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7.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9.xml" ContentType="application/vnd.openxmlformats-officedocument.spreadsheetml.comments+xml"/>
  <Override PartName="/xl/sharedStrings.xml" ContentType="application/vnd.openxmlformats-officedocument.spreadsheetml.sharedStrings+xml"/>
  <Override PartName="/xl/comments10.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vmlDrawing1.vml" ContentType="application/vnd.openxmlformats-officedocument.vmlDrawing"/>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vmlDrawing2.vml" ContentType="application/vnd.openxmlformats-officedocument.vmlDrawing"/>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Dashboard" sheetId="2" state="visible" r:id="rId4"/>
    <sheet name="Monthly Summary" sheetId="3" state="visible" r:id="rId5"/>
    <sheet name="Properties" sheetId="4" state="visible" r:id="rId6"/>
    <sheet name="Bookings" sheetId="5" state="visible" r:id="rId7"/>
    <sheet name="Turnovers" sheetId="6" state="visible" r:id="rId8"/>
    <sheet name="Expenses" sheetId="7" state="visible" r:id="rId9"/>
    <sheet name="Supplies" sheetId="8" state="visible" r:id="rId10"/>
    <sheet name="Pricing Calculator" sheetId="9" state="visible" r:id="rId11"/>
    <sheet name="Settings" sheetId="10" state="visible" r:id="rId12"/>
  </sheets>
  <definedNames>
    <definedName function="false" hidden="true" localSheetId="4" name="_xlnm._FilterDatabase" vbProcedure="false">Bookings!$A$4:$Y$1004</definedName>
    <definedName function="false" hidden="true" localSheetId="6" name="_xlnm._FilterDatabase" vbProcedure="false">Expenses!$A$4:$H$1004</definedName>
    <definedName function="false" hidden="false" localSheetId="5" name="_xlnm.Print_Area" vbProcedure="false">Turnovers!$A$1:$L$46</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K4" authorId="0">
      <text>
        <r>
          <rPr>
            <sz val="10"/>
            <rFont val="Arial"/>
            <family val="2"/>
          </rPr>
          <t xml:space="preserve">First night this property was available to book. Occupancy counts available nights from this date. Leave blank if it was listed before the year you're looking at.</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I4" authorId="0">
      <text>
        <r>
          <rPr>
            <sz val="10"/>
            <rFont val="Arial"/>
            <family val="2"/>
          </rPr>
          <t xml:space="preserve">Leave blank to use the property's weekday/weekend rates (with your length-of-stay discount). Type a rate to use one flat nightly rate for this stay.</t>
        </r>
      </text>
    </comment>
    <comment ref="M4" authorId="0">
      <text>
        <r>
          <rPr>
            <sz val="10"/>
            <rFont val="Arial"/>
            <family val="2"/>
          </rPr>
          <t xml:space="preserve">Pet fee, early check-in, damage charge (+) or a discount you gave (-).</t>
        </r>
      </text>
    </comment>
    <comment ref="P4" authorId="0">
      <text>
        <r>
          <rPr>
            <sz val="10"/>
            <rFont val="Arial"/>
            <family val="2"/>
          </rPr>
          <t xml:space="preserve">Optional. Type the payout your platform actually sent. It replaces the estimate, and the platform fee becomes the difference.</t>
        </r>
      </text>
    </comment>
    <comment ref="U4" authorId="0">
      <text>
        <r>
          <rPr>
            <sz val="10"/>
            <rFont val="Arial"/>
            <family val="2"/>
          </rPr>
          <t xml:space="preserve">For direct bookings: No = the guest still owes you. Unpaid totals show on the Dashboard.</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Pick a property from the dropdown.</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B8" authorId="0">
      <text>
        <r>
          <rPr>
            <sz val="10"/>
            <rFont val="Arial"/>
            <family val="2"/>
          </rPr>
          <t xml:space="preserve">A planning estimate only. Ask a tax professional what to set aside.</t>
        </r>
      </text>
    </comment>
    <comment ref="B9" authorId="0">
      <text>
        <r>
          <rPr>
            <sz val="10"/>
            <rFont val="Arial"/>
            <family val="2"/>
          </rPr>
          <t xml:space="preserve">Applied to rent when a stay is 7-27 nights and you haven't typed a nightly rate override. Set 0% if you don't offer it.</t>
        </r>
      </text>
    </comment>
    <comment ref="B10" authorId="0">
      <text>
        <r>
          <rPr>
            <sz val="10"/>
            <rFont val="Arial"/>
            <family val="2"/>
          </rPr>
          <t xml:space="preserve">Applied to rent when a stay is 28+ nights. Set 0% if you don't offer it.</t>
        </r>
      </text>
    </comment>
    <comment ref="E5" authorId="0">
      <text>
        <r>
          <rPr>
            <sz val="10"/>
            <rFont val="Arial"/>
            <family val="2"/>
          </rPr>
          <t xml:space="preserve">Example: Airbnb split-fee hosts pay about 3%. Check the fee shown on your own payouts and change it here.</t>
        </r>
      </text>
    </comment>
    <comment ref="E6" authorId="0">
      <text>
        <r>
          <rPr>
            <sz val="10"/>
            <rFont val="Arial"/>
            <family val="2"/>
          </rPr>
          <t xml:space="preserve">Example: host-only fee is about 14-16%. Check your own payouts.</t>
        </r>
      </text>
    </comment>
    <comment ref="E7" authorId="0">
      <text>
        <r>
          <rPr>
            <sz val="10"/>
            <rFont val="Arial"/>
            <family val="2"/>
          </rPr>
          <t xml:space="preserve">Example: 5% commission + 3% payment processing on pay-per-booking. Check your own plan.</t>
        </r>
      </text>
    </comment>
    <comment ref="E9" authorId="0">
      <text>
        <r>
          <rPr>
            <sz val="10"/>
            <rFont val="Arial"/>
            <family val="2"/>
          </rPr>
          <t xml:space="preserve">Example: card processing fee for bookings you take yourself.</t>
        </r>
      </text>
    </comment>
  </commentList>
</comments>
</file>

<file path=xl/sharedStrings.xml><?xml version="1.0" encoding="utf-8"?>
<sst xmlns="http://schemas.openxmlformats.org/spreadsheetml/2006/main" count="353" uniqueCount="270">
  <si>
    <t xml:space="preserve">Airbnb Host Business Manager</t>
  </si>
  <si>
    <t xml:space="preserve">Bookings · Turnovers · Occupancy &amp; ADR · Expenses · Supplies · Profit dashboard: Google Sheets &amp; Excel</t>
  </si>
  <si>
    <t xml:space="preserve">HOW TO USE</t>
  </si>
  <si>
    <t xml:space="preserve">1. Settings</t>
  </si>
  <si>
    <t xml:space="preserve">Your business name, tax set-aside %, length-of-stay discounts, booking channels with their fee %, expense categories and cleaner names.</t>
  </si>
  <si>
    <t xml:space="preserve">2. Properties</t>
  </si>
  <si>
    <t xml:space="preserve">One row per listing: nightly and weekend rate, cleaning fee, what you pay your cleaner, guests included and the extra-guest fee. Each row shows whether it's occupied today and the next check-in.</t>
  </si>
  <si>
    <t xml:space="preserve">3. Bookings</t>
  </si>
  <si>
    <t xml:space="preserve">Log every reservation: property, guest, channel, check-in and check-out. Nights, rent (weekday/weekend aware), cleaning fee, platform fee, payout and your net fill in. Type the real payout from your platform in 'Actual payout' to use it instead of the estimate. Double bookings are flagged.</t>
  </si>
  <si>
    <t xml:space="preserve">4. Turnovers</t>
  </si>
  <si>
    <t xml:space="preserve">Your cleaning schedule: every upcoming check-out, the next check-in at that property, the gap, and same-day turnover alerts. Assign the cleaner and tick Done in Bookings.</t>
  </si>
  <si>
    <t xml:space="preserve">5. Expenses</t>
  </si>
  <si>
    <t xml:space="preserve">Mortgage or rent, utilities, repairs, supplies, software, insurance. Pick the property, or leave it blank for costs shared across all properties.</t>
  </si>
  <si>
    <t xml:space="preserve">6. Supplies</t>
  </si>
  <si>
    <t xml:space="preserve">Par levels for toilet paper, coffee, soap and linens. Items at or below the reorder level turn red with the order quantity and cost.</t>
  </si>
  <si>
    <t xml:space="preserve">7. Pricing Calculator</t>
  </si>
  <si>
    <t xml:space="preserve">Price any stay before you accept it (rent, fees, platform cut, cleaning cost and net per night), and find the nightly rate you need to break even.</t>
  </si>
  <si>
    <t xml:space="preserve">8. Dashboard &amp; Monthly Summary</t>
  </si>
  <si>
    <t xml:space="preserve">Pick a year. See payout, profit, occupancy, ADR and RevPAR per property and by month. Monthly Summary drills into one property.</t>
  </si>
  <si>
    <t xml:space="preserve">COLOR KEY</t>
  </si>
  <si>
    <t xml:space="preserve">Yellow cell, blue text</t>
  </si>
  <si>
    <t xml:space="preserve">Type here: your inputs</t>
  </si>
  <si>
    <t xml:space="preserve">White cell, black text</t>
  </si>
  <si>
    <t xml:space="preserve">Calculated automatically. Don't type over these.</t>
  </si>
  <si>
    <t xml:space="preserve">KEY TERMS</t>
  </si>
  <si>
    <t xml:space="preserve">Occupancy</t>
  </si>
  <si>
    <t xml:space="preserve">Booked nights ÷ nights available.</t>
  </si>
  <si>
    <t xml:space="preserve">ADR</t>
  </si>
  <si>
    <t xml:space="preserve">Average daily rate: rent ÷ booked nights (cleaning and other fees not included).</t>
  </si>
  <si>
    <t xml:space="preserve">RevPAR</t>
  </si>
  <si>
    <t xml:space="preserve">Rent ÷ nights available. Combines price and occupancy in one number.</t>
  </si>
  <si>
    <t xml:space="preserve">Payout</t>
  </si>
  <si>
    <t xml:space="preserve">What the platform pays you after its host fee (or the actual payout you type in).</t>
  </si>
  <si>
    <t xml:space="preserve">Split months</t>
  </si>
  <si>
    <t xml:space="preserve">A stay that crosses into a new month is split by nights, so each month gets its fair share.</t>
  </si>
  <si>
    <t xml:space="preserve">GOOGLE SHEETS</t>
  </si>
  <si>
    <t xml:space="preserve">Upload this file to Google Drive, open it, then File &gt; Save as Google Sheets. Everything works in both Excel and Google Sheets.</t>
  </si>
  <si>
    <t xml:space="preserve">The example rows (marked EXAMPLE) show the format. Delete them when you start. After that, clear a booking row instead of deleting it, so Booking IDs stay the same.</t>
  </si>
  <si>
    <t xml:space="preserve">Default fees and rates are examples. Check your own platform fees. Expense categories are an organizing aid, not tax advice. Not affiliated with or endorsed by Airbnb, Inc. or Vrbo.</t>
  </si>
  <si>
    <t xml:space="preserve">Dashboard</t>
  </si>
  <si>
    <t xml:space="preserve">Pick a year. Everything updates from Properties, Bookings and Expenses.</t>
  </si>
  <si>
    <t xml:space="preserve">Year</t>
  </si>
  <si>
    <t xml:space="preserve">All properties</t>
  </si>
  <si>
    <t xml:space="preserve">Profit</t>
  </si>
  <si>
    <t xml:space="preserve">ADR (avg nightly rate)</t>
  </si>
  <si>
    <t xml:space="preserve">Unpaid direct bookings</t>
  </si>
  <si>
    <t xml:space="preserve">Tax set-aside</t>
  </si>
  <si>
    <t xml:space="preserve">Month</t>
  </si>
  <si>
    <t xml:space="preserve">Nights booked</t>
  </si>
  <si>
    <t xml:space="preserve">Cleaning costs</t>
  </si>
  <si>
    <t xml:space="preserve">Expenses</t>
  </si>
  <si>
    <t xml:space="preserve">Nights available</t>
  </si>
  <si>
    <t xml:space="preserve">Rent</t>
  </si>
  <si>
    <t xml:space="preserve">Year total</t>
  </si>
  <si>
    <t xml:space="preserve">BY PROPERTY</t>
  </si>
  <si>
    <t xml:space="preserve">Property</t>
  </si>
  <si>
    <t xml:space="preserve">Shared costs (no property)</t>
  </si>
  <si>
    <t xml:space="preserve">Note: Tax set-aside is a planning estimate, not tax advice. Stays that cross months are split by nights.</t>
  </si>
  <si>
    <t xml:space="preserve">Year total profit (row 22) = sum of properties minus shared costs.</t>
  </si>
  <si>
    <t xml:space="preserve">Monthly Summary</t>
  </si>
  <si>
    <t xml:space="preserve">Pick a property (or All properties) and a year.</t>
  </si>
  <si>
    <t xml:space="preserve">Stays (by check-in)</t>
  </si>
  <si>
    <t xml:space="preserve">Avg stay (nights)</t>
  </si>
  <si>
    <t xml:space="preserve">Cleaning fees collected</t>
  </si>
  <si>
    <t xml:space="preserve">Platform fees</t>
  </si>
  <si>
    <t xml:space="preserve">Expenses: with one property picked, only that property's expenses count; shared costs appear under All properties. Stays and average stay count by check-in month.</t>
  </si>
  <si>
    <t xml:space="preserve">Properties</t>
  </si>
  <si>
    <t xml:space="preserve">One row per listing. Rates and fees here feed Bookings and the Pricing Calculator.</t>
  </si>
  <si>
    <t xml:space="preserve">Property name</t>
  </si>
  <si>
    <t xml:space="preserve">Address</t>
  </si>
  <si>
    <t xml:space="preserve">Bedrooms</t>
  </si>
  <si>
    <t xml:space="preserve">Max guests</t>
  </si>
  <si>
    <t xml:space="preserve">Nightly rate (Sun-Thu)</t>
  </si>
  <si>
    <t xml:space="preserve">Weekend rate (Fri-Sat)</t>
  </si>
  <si>
    <t xml:space="preserve">Cleaning fee (guest pays)</t>
  </si>
  <si>
    <t xml:space="preserve">Cleaner pay per turnover</t>
  </si>
  <si>
    <t xml:space="preserve">Guests included</t>
  </si>
  <si>
    <t xml:space="preserve">Extra guest fee / night</t>
  </si>
  <si>
    <t xml:space="preserve">Listed since</t>
  </si>
  <si>
    <t xml:space="preserve">Wi-Fi, lockbox, notes</t>
  </si>
  <si>
    <t xml:space="preserve">Today</t>
  </si>
  <si>
    <t xml:space="preserve">Next check-in</t>
  </si>
  <si>
    <t xml:space="preserve">Upcoming stays</t>
  </si>
  <si>
    <t xml:space="preserve">EXAMPLE – Lakeview Cabin</t>
  </si>
  <si>
    <t xml:space="preserve">12 Shore Rd</t>
  </si>
  <si>
    <t xml:space="preserve">Lockbox 4471 · Wi-Fi LakeView5G</t>
  </si>
  <si>
    <t xml:space="preserve">Bookings</t>
  </si>
  <si>
    <t xml:space="preserve">Log every reservation. Yellow = you type, white = calculated. Type the real payout in 'Actual payout' when you have it.</t>
  </si>
  <si>
    <t xml:space="preserve">Helper columns: used by the dashboard and turnovers. Don't edit.</t>
  </si>
  <si>
    <t xml:space="preserve">Booking ID</t>
  </si>
  <si>
    <t xml:space="preserve">Check-in</t>
  </si>
  <si>
    <t xml:space="preserve">Check-out</t>
  </si>
  <si>
    <t xml:space="preserve">Guest name</t>
  </si>
  <si>
    <t xml:space="preserve">Channel</t>
  </si>
  <si>
    <t xml:space="preserve">Guests</t>
  </si>
  <si>
    <t xml:space="preserve">Nights</t>
  </si>
  <si>
    <t xml:space="preserve">Nightly rate override</t>
  </si>
  <si>
    <t xml:space="preserve">Cleaning fee</t>
  </si>
  <si>
    <t xml:space="preserve">Extra guest fees</t>
  </si>
  <si>
    <t xml:space="preserve">Other fees / discounts</t>
  </si>
  <si>
    <t xml:space="preserve">Guest total</t>
  </si>
  <si>
    <t xml:space="preserve">Platform fee</t>
  </si>
  <si>
    <t xml:space="preserve">Actual payout (optional)</t>
  </si>
  <si>
    <t xml:space="preserve">Cleaning cost</t>
  </si>
  <si>
    <t xml:space="preserve">Net after cleaning</t>
  </si>
  <si>
    <t xml:space="preserve">Status</t>
  </si>
  <si>
    <t xml:space="preserve">Paid?</t>
  </si>
  <si>
    <t xml:space="preserve">Cleaner</t>
  </si>
  <si>
    <t xml:space="preserve">Clean done?</t>
  </si>
  <si>
    <t xml:space="preserve">Notes</t>
  </si>
  <si>
    <t xml:space="preserve">Check</t>
  </si>
  <si>
    <t xml:space="preserve">Turnover key</t>
  </si>
  <si>
    <t xml:space="preserve">Include</t>
  </si>
  <si>
    <t xml:space="preserve">Rent / night</t>
  </si>
  <si>
    <t xml:space="preserve">Payout / night</t>
  </si>
  <si>
    <t xml:space="preserve">Cleaning cost / night</t>
  </si>
  <si>
    <t xml:space="preserve">Platform fee / night</t>
  </si>
  <si>
    <t xml:space="preserve">Cleaning fee / night</t>
  </si>
  <si>
    <t xml:space="preserve">Check-in key</t>
  </si>
  <si>
    <t xml:space="preserve">Nights (helper)</t>
  </si>
  <si>
    <t xml:space="preserve">Jordan P.</t>
  </si>
  <si>
    <t xml:space="preserve">Airbnb</t>
  </si>
  <si>
    <t xml:space="preserve">Booked</t>
  </si>
  <si>
    <t xml:space="preserve">Yes</t>
  </si>
  <si>
    <t xml:space="preserve">Maria (cleaner)</t>
  </si>
  <si>
    <t xml:space="preserve">Sam &amp; Lee R.</t>
  </si>
  <si>
    <t xml:space="preserve">Direct booking</t>
  </si>
  <si>
    <t xml:space="preserve">No</t>
  </si>
  <si>
    <t xml:space="preserve">Pet fee $25</t>
  </si>
  <si>
    <t xml:space="preserve">Turnovers</t>
  </si>
  <si>
    <t xml:space="preserve">Your cleaning schedule: the next 40 check-outs, sorted by date. Assign cleaners and tick Done in Bookings.</t>
  </si>
  <si>
    <t xml:space="preserve">Show from</t>
  </si>
  <si>
    <t xml:space="preserve">Leave 'Show from' as =TODAY(), or type a date to look ahead or back.</t>
  </si>
  <si>
    <t xml:space="preserve">Turnover date</t>
  </si>
  <si>
    <t xml:space="preserve">Day</t>
  </si>
  <si>
    <t xml:space="preserve">Checking out</t>
  </si>
  <si>
    <t xml:space="preserve">Next guest</t>
  </si>
  <si>
    <t xml:space="preserve">Gap (days)</t>
  </si>
  <si>
    <t xml:space="preserve">Alert</t>
  </si>
  <si>
    <t xml:space="preserve">Done?</t>
  </si>
  <si>
    <t xml:space="preserve">Booking notes</t>
  </si>
  <si>
    <t xml:space="preserve">idx</t>
  </si>
  <si>
    <t xml:space="preserve">Every cost of running your rentals. Pick the property, or leave it blank for costs shared by all.</t>
  </si>
  <si>
    <t xml:space="preserve">Date</t>
  </si>
  <si>
    <t xml:space="preserve">Property (blank = shared)</t>
  </si>
  <si>
    <t xml:space="preserve">Category</t>
  </si>
  <si>
    <t xml:space="preserve">Vendor</t>
  </si>
  <si>
    <t xml:space="preserve">Description</t>
  </si>
  <si>
    <t xml:space="preserve">Amount</t>
  </si>
  <si>
    <t xml:space="preserve">Paid with</t>
  </si>
  <si>
    <t xml:space="preserve">Receipt saved?</t>
  </si>
  <si>
    <t xml:space="preserve">Utilities</t>
  </si>
  <si>
    <t xml:space="preserve">City Power</t>
  </si>
  <si>
    <t xml:space="preserve">EXAMPLE – Electric bill</t>
  </si>
  <si>
    <t xml:space="preserve">Card</t>
  </si>
  <si>
    <t xml:space="preserve">Software &amp; pricing tools</t>
  </si>
  <si>
    <t xml:space="preserve">PriceLabs</t>
  </si>
  <si>
    <t xml:space="preserve">EXAMPLE – Dynamic pricing (all listings)</t>
  </si>
  <si>
    <t xml:space="preserve">Supplies</t>
  </si>
  <si>
    <t xml:space="preserve">Set a par level for each item. Count what's on hand after a turnover; anything at or below its reorder level turns red.</t>
  </si>
  <si>
    <t xml:space="preserve">Reorder total</t>
  </si>
  <si>
    <t xml:space="preserve">Item</t>
  </si>
  <si>
    <t xml:space="preserve">Property (blank = all)</t>
  </si>
  <si>
    <t xml:space="preserve">Unit</t>
  </si>
  <si>
    <t xml:space="preserve">Par level</t>
  </si>
  <si>
    <t xml:space="preserve">On hand</t>
  </si>
  <si>
    <t xml:space="preserve">Reorder at</t>
  </si>
  <si>
    <t xml:space="preserve">Order qty</t>
  </si>
  <si>
    <t xml:space="preserve">Unit cost</t>
  </si>
  <si>
    <t xml:space="preserve">Order cost</t>
  </si>
  <si>
    <t xml:space="preserve">Where to buy</t>
  </si>
  <si>
    <t xml:space="preserve">Last restocked</t>
  </si>
  <si>
    <t xml:space="preserve">Toilet paper</t>
  </si>
  <si>
    <t xml:space="preserve">roll</t>
  </si>
  <si>
    <t xml:space="preserve">Costco</t>
  </si>
  <si>
    <t xml:space="preserve">Paper towels</t>
  </si>
  <si>
    <t xml:space="preserve">Coffee pods</t>
  </si>
  <si>
    <t xml:space="preserve">pod</t>
  </si>
  <si>
    <t xml:space="preserve">Amazon</t>
  </si>
  <si>
    <t xml:space="preserve">Dish soap</t>
  </si>
  <si>
    <t xml:space="preserve">bottle</t>
  </si>
  <si>
    <t xml:space="preserve">Target</t>
  </si>
  <si>
    <t xml:space="preserve">Dishwasher pods</t>
  </si>
  <si>
    <t xml:space="preserve">Laundry detergent</t>
  </si>
  <si>
    <t xml:space="preserve">Trash bags (13 gal)</t>
  </si>
  <si>
    <t xml:space="preserve">bag</t>
  </si>
  <si>
    <t xml:space="preserve">Shampoo &amp; conditioner minis</t>
  </si>
  <si>
    <t xml:space="preserve">set</t>
  </si>
  <si>
    <t xml:space="preserve">Hand soap refill</t>
  </si>
  <si>
    <t xml:space="preserve">Sponges</t>
  </si>
  <si>
    <t xml:space="preserve">pack</t>
  </si>
  <si>
    <t xml:space="preserve">Spare light bulbs</t>
  </si>
  <si>
    <t xml:space="preserve">bulb</t>
  </si>
  <si>
    <t xml:space="preserve">Home Depot</t>
  </si>
  <si>
    <t xml:space="preserve">AA batteries (remotes)</t>
  </si>
  <si>
    <t xml:space="preserve">battery</t>
  </si>
  <si>
    <t xml:space="preserve">Starter list: edit items, quantities and prices to match your properties.</t>
  </si>
  <si>
    <t xml:space="preserve">Pricing Calculator</t>
  </si>
  <si>
    <t xml:space="preserve">Price a stay before you accept it, and find the nightly rate you need to break even.</t>
  </si>
  <si>
    <t xml:space="preserve">PRICE A STAY</t>
  </si>
  <si>
    <t xml:space="preserve">BREAK-EVEN NIGHTLY RATE</t>
  </si>
  <si>
    <t xml:space="preserve">Monthly fixed costs (mortgage, utilities, internet, insurance…)</t>
  </si>
  <si>
    <t xml:space="preserve">Check-in date</t>
  </si>
  <si>
    <t xml:space="preserve">Expected occupancy</t>
  </si>
  <si>
    <t xml:space="preserve">Average stay (nights)</t>
  </si>
  <si>
    <t xml:space="preserve">Target monthly profit</t>
  </si>
  <si>
    <t xml:space="preserve">RESULT</t>
  </si>
  <si>
    <t xml:space="preserve">Weekend nights (Fri, Sat)</t>
  </si>
  <si>
    <t xml:space="preserve">Booked nights per month</t>
  </si>
  <si>
    <t xml:space="preserve">Weekday nights</t>
  </si>
  <si>
    <t xml:space="preserve">Stays (turnovers) per month</t>
  </si>
  <si>
    <t xml:space="preserve">Rent before discount</t>
  </si>
  <si>
    <t xml:space="preserve">Platform fee %</t>
  </si>
  <si>
    <t xml:space="preserve">Length-of-stay discount</t>
  </si>
  <si>
    <t xml:space="preserve">BREAK-EVEN RATE / night</t>
  </si>
  <si>
    <t xml:space="preserve">RATE FOR TARGET PROFIT</t>
  </si>
  <si>
    <t xml:space="preserve">Uses the property picked on the left for cleaning fee and cleaner pay.</t>
  </si>
  <si>
    <t xml:space="preserve">GUEST PAYS (before taxes)</t>
  </si>
  <si>
    <t xml:space="preserve">Your payout</t>
  </si>
  <si>
    <t xml:space="preserve">Cleaner pay</t>
  </si>
  <si>
    <t xml:space="preserve">NET TO YOU</t>
  </si>
  <si>
    <t xml:space="preserve">Net per night</t>
  </si>
  <si>
    <t xml:space="preserve">Rates, fees and discounts come from Properties and Settings. Defaults are examples: set your own. Lodging taxes are not included.</t>
  </si>
  <si>
    <t xml:space="preserve">Settings</t>
  </si>
  <si>
    <t xml:space="preserve">Your business details and defaults. Every yellow cell is editable.</t>
  </si>
  <si>
    <t xml:space="preserve">BOOKING CHANNELS</t>
  </si>
  <si>
    <t xml:space="preserve">EXPENSE CATEGORIES</t>
  </si>
  <si>
    <t xml:space="preserve">CLEANERS</t>
  </si>
  <si>
    <t xml:space="preserve">PROPERTY PICKER (auto)</t>
  </si>
  <si>
    <t xml:space="preserve">Business name</t>
  </si>
  <si>
    <t xml:space="preserve">Harbor Stays</t>
  </si>
  <si>
    <t xml:space="preserve">Host fee %</t>
  </si>
  <si>
    <t xml:space="preserve">Mortgage interest / rent</t>
  </si>
  <si>
    <t xml:space="preserve">Me</t>
  </si>
  <si>
    <t xml:space="preserve">Owner / contact</t>
  </si>
  <si>
    <t xml:space="preserve">Your Name</t>
  </si>
  <si>
    <t xml:space="preserve">Phone</t>
  </si>
  <si>
    <t xml:space="preserve">(555) 555-0123</t>
  </si>
  <si>
    <t xml:space="preserve">Airbnb (host-only fee)</t>
  </si>
  <si>
    <t xml:space="preserve">Internet &amp; streaming</t>
  </si>
  <si>
    <t xml:space="preserve">Sparkle Turnover Co.</t>
  </si>
  <si>
    <t xml:space="preserve">Email</t>
  </si>
  <si>
    <t xml:space="preserve">hello@example.com</t>
  </si>
  <si>
    <t xml:space="preserve">Vrbo</t>
  </si>
  <si>
    <t xml:space="preserve">Cleaning &amp; laundry</t>
  </si>
  <si>
    <t xml:space="preserve">Tax set-aside % of profit</t>
  </si>
  <si>
    <t xml:space="preserve">Booking.com</t>
  </si>
  <si>
    <t xml:space="preserve">Supplies &amp; consumables</t>
  </si>
  <si>
    <t xml:space="preserve">Weekly discount (7+ nights)</t>
  </si>
  <si>
    <t xml:space="preserve">Repairs &amp; maintenance</t>
  </si>
  <si>
    <t xml:space="preserve">Monthly discount (28+ nights)</t>
  </si>
  <si>
    <t xml:space="preserve">Furnishings &amp; equipment</t>
  </si>
  <si>
    <t xml:space="preserve">Check-out time</t>
  </si>
  <si>
    <t xml:space="preserve">11:00 AM</t>
  </si>
  <si>
    <t xml:space="preserve">Insurance</t>
  </si>
  <si>
    <t xml:space="preserve">Check-in time</t>
  </si>
  <si>
    <t xml:space="preserve">4:00 PM</t>
  </si>
  <si>
    <t xml:space="preserve">Property tax</t>
  </si>
  <si>
    <t xml:space="preserve">HOA fees</t>
  </si>
  <si>
    <t xml:space="preserve">PAYMENT METHODS</t>
  </si>
  <si>
    <t xml:space="preserve">Platform payout</t>
  </si>
  <si>
    <t xml:space="preserve">Photos &amp; advertising</t>
  </si>
  <si>
    <t xml:space="preserve">Lodging taxes paid</t>
  </si>
  <si>
    <t xml:space="preserve">Bank transfer</t>
  </si>
  <si>
    <t xml:space="preserve">Other</t>
  </si>
  <si>
    <t xml:space="preserve">Zelle</t>
  </si>
  <si>
    <t xml:space="preserve">Venmo</t>
  </si>
  <si>
    <t xml:space="preserve">Cash</t>
  </si>
  <si>
    <t xml:space="preserve">Categories are an organizing aid, not tax advice.</t>
  </si>
  <si>
    <t xml:space="preserve">Feeds the property dropdowns. Don't edit.</t>
  </si>
</sst>
</file>

<file path=xl/styles.xml><?xml version="1.0" encoding="utf-8"?>
<styleSheet xmlns="http://schemas.openxmlformats.org/spreadsheetml/2006/main">
  <numFmts count="12">
    <numFmt numFmtId="164" formatCode="General"/>
    <numFmt numFmtId="165" formatCode="0"/>
    <numFmt numFmtId="166" formatCode=";;;"/>
    <numFmt numFmtId="167" formatCode="\$#,##0;&quot;($&quot;#,##0\);\-"/>
    <numFmt numFmtId="168" formatCode="0%;\-0%;\-"/>
    <numFmt numFmtId="169" formatCode="\$#,##0"/>
    <numFmt numFmtId="170" formatCode="0.0"/>
    <numFmt numFmtId="171" formatCode="0%"/>
    <numFmt numFmtId="172" formatCode="\$#,##0.00;&quot;($&quot;#,##0.00\);\-"/>
    <numFmt numFmtId="173" formatCode="mmm\ d&quot;, &quot;yyyy"/>
    <numFmt numFmtId="174" formatCode="0.00000"/>
    <numFmt numFmtId="175" formatCode="0.0%"/>
  </numFmts>
  <fonts count="25">
    <font>
      <sz val="11"/>
      <color theme="1"/>
      <name val="Calibri"/>
      <family val="2"/>
      <charset val="1"/>
    </font>
    <font>
      <sz val="10"/>
      <name val="Arial"/>
      <family val="0"/>
    </font>
    <font>
      <sz val="10"/>
      <name val="Arial"/>
      <family val="0"/>
    </font>
    <font>
      <sz val="10"/>
      <name val="Arial"/>
      <family val="0"/>
    </font>
    <font>
      <b val="true"/>
      <sz val="18"/>
      <color rgb="FF1E6B64"/>
      <name val="Arial"/>
      <family val="0"/>
      <charset val="1"/>
    </font>
    <font>
      <i val="true"/>
      <sz val="10"/>
      <color rgb="FF57606A"/>
      <name val="Arial"/>
      <family val="0"/>
      <charset val="1"/>
    </font>
    <font>
      <b val="true"/>
      <sz val="12"/>
      <color rgb="FF1E6B64"/>
      <name val="Arial"/>
      <family val="0"/>
      <charset val="1"/>
    </font>
    <font>
      <b val="true"/>
      <sz val="10"/>
      <name val="Arial"/>
      <family val="0"/>
      <charset val="1"/>
    </font>
    <font>
      <sz val="10"/>
      <name val="Arial"/>
      <family val="0"/>
      <charset val="1"/>
    </font>
    <font>
      <sz val="10"/>
      <color rgb="FF1F4EB4"/>
      <name val="Arial"/>
      <family val="0"/>
      <charset val="1"/>
    </font>
    <font>
      <sz val="10"/>
      <color rgb="FFFFFFFF"/>
      <name val="Arial"/>
      <family val="0"/>
      <charset val="1"/>
    </font>
    <font>
      <b val="true"/>
      <sz val="9"/>
      <color rgb="FF57606A"/>
      <name val="Arial"/>
      <family val="0"/>
      <charset val="1"/>
    </font>
    <font>
      <b val="true"/>
      <sz val="16"/>
      <color rgb="FF1E6B64"/>
      <name val="Arial"/>
      <family val="0"/>
      <charset val="1"/>
    </font>
    <font>
      <b val="true"/>
      <sz val="10"/>
      <color rgb="FFFFFFFF"/>
      <name val="Arial"/>
      <family val="0"/>
      <charset val="1"/>
    </font>
    <font>
      <sz val="8"/>
      <color rgb="FF8C959F"/>
      <name val="Arial"/>
      <family val="0"/>
      <charset val="1"/>
    </font>
    <font>
      <b val="true"/>
      <sz val="10"/>
      <color rgb="FF1E6B64"/>
      <name val="Arial"/>
      <family val="0"/>
      <charset val="1"/>
    </font>
    <font>
      <i val="true"/>
      <sz val="10"/>
      <name val="Arial"/>
      <family val="0"/>
      <charset val="1"/>
    </font>
    <font>
      <i val="true"/>
      <sz val="9"/>
      <color rgb="FF57606A"/>
      <name val="Arial"/>
      <family val="0"/>
      <charset val="1"/>
    </font>
    <font>
      <b val="true"/>
      <sz val="18"/>
      <color rgb="FF000000"/>
      <name val="Calibri"/>
      <family val="2"/>
    </font>
    <font>
      <sz val="10"/>
      <color rgb="FF000000"/>
      <name val="Calibri"/>
      <family val="2"/>
    </font>
    <font>
      <sz val="10"/>
      <name val="Arial"/>
      <family val="2"/>
    </font>
    <font>
      <i val="true"/>
      <sz val="8"/>
      <color rgb="FF57606A"/>
      <name val="Arial"/>
      <family val="0"/>
      <charset val="1"/>
    </font>
    <font>
      <sz val="9"/>
      <color rgb="FF8C959F"/>
      <name val="Arial"/>
      <family val="0"/>
      <charset val="1"/>
    </font>
    <font>
      <b val="true"/>
      <sz val="10"/>
      <color rgb="FF9C1C28"/>
      <name val="Arial"/>
      <family val="0"/>
      <charset val="1"/>
    </font>
    <font>
      <b val="true"/>
      <sz val="13"/>
      <color rgb="FF1E6B64"/>
      <name val="Arial"/>
      <family val="0"/>
      <charset val="1"/>
    </font>
  </fonts>
  <fills count="6">
    <fill>
      <patternFill patternType="none"/>
    </fill>
    <fill>
      <patternFill patternType="gray125"/>
    </fill>
    <fill>
      <patternFill patternType="solid">
        <fgColor rgb="FFFFF7D6"/>
        <bgColor rgb="FFFFF3CD"/>
      </patternFill>
    </fill>
    <fill>
      <patternFill patternType="solid">
        <fgColor rgb="FF1E6B64"/>
        <bgColor rgb="FF008080"/>
      </patternFill>
    </fill>
    <fill>
      <patternFill patternType="solid">
        <fgColor rgb="FFE3F1EF"/>
        <bgColor rgb="FFF2F2F2"/>
      </patternFill>
    </fill>
    <fill>
      <patternFill patternType="solid">
        <fgColor rgb="FFF2F2F2"/>
        <bgColor rgb="FFE3F1EF"/>
      </patternFill>
    </fill>
  </fills>
  <borders count="2">
    <border diagonalUp="false" diagonalDown="false">
      <left/>
      <right/>
      <top/>
      <bottom/>
      <diagonal/>
    </border>
    <border diagonalUp="false" diagonalDown="false">
      <left style="thin">
        <color rgb="FFD0D7DE"/>
      </left>
      <right style="thin">
        <color rgb="FFD0D7DE"/>
      </right>
      <top style="thin">
        <color rgb="FFD0D7DE"/>
      </top>
      <bottom style="thin">
        <color rgb="FFD0D7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5" fontId="9" fillId="2" borderId="1" xfId="0" applyFont="true" applyBorder="tru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xf numFmtId="164" fontId="13" fillId="3" borderId="1"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5" fontId="8" fillId="4" borderId="1" xfId="0" applyFont="true" applyBorder="true" applyAlignment="false" applyProtection="false">
      <alignment horizontal="general" vertical="bottom" textRotation="0" wrapText="false" indent="0" shrinkToFit="false"/>
      <protection locked="true" hidden="false"/>
    </xf>
    <xf numFmtId="168" fontId="8" fillId="4" borderId="1" xfId="0" applyFont="true" applyBorder="true" applyAlignment="false" applyProtection="false">
      <alignment horizontal="general" vertical="bottom" textRotation="0" wrapText="false" indent="0" shrinkToFit="false"/>
      <protection locked="true" hidden="false"/>
    </xf>
    <xf numFmtId="167" fontId="8" fillId="4"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70" fontId="8" fillId="4"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72" fontId="9" fillId="2" borderId="1" xfId="0" applyFont="true" applyBorder="true" applyAlignment="false" applyProtection="false">
      <alignment horizontal="general" vertical="bottom" textRotation="0" wrapText="false" indent="0" shrinkToFit="false"/>
      <protection locked="true" hidden="false"/>
    </xf>
    <xf numFmtId="173" fontId="9" fillId="2" borderId="1" xfId="0" applyFont="true" applyBorder="true" applyAlignment="false" applyProtection="false">
      <alignment horizontal="general" vertical="bottom" textRotation="0" wrapText="false" indent="0" shrinkToFit="false"/>
      <protection locked="true" hidden="false"/>
    </xf>
    <xf numFmtId="173" fontId="8" fillId="0" borderId="1"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72" fontId="8" fillId="0" borderId="1" xfId="0" applyFont="true" applyBorder="true" applyAlignment="false" applyProtection="false">
      <alignment horizontal="general" vertical="bottom" textRotation="0" wrapText="false" indent="0" shrinkToFit="false"/>
      <protection locked="true" hidden="false"/>
    </xf>
    <xf numFmtId="174" fontId="22" fillId="5" borderId="0" xfId="0" applyFont="true" applyBorder="false" applyAlignment="false" applyProtection="false">
      <alignment horizontal="general" vertical="bottom" textRotation="0" wrapText="false" indent="0" shrinkToFit="false"/>
      <protection locked="true" hidden="false"/>
    </xf>
    <xf numFmtId="165" fontId="22" fillId="5" borderId="0" xfId="0" applyFont="true" applyBorder="false" applyAlignment="false" applyProtection="false">
      <alignment horizontal="general" vertical="bottom" textRotation="0" wrapText="false" indent="0" shrinkToFit="false"/>
      <protection locked="true" hidden="false"/>
    </xf>
    <xf numFmtId="172" fontId="22" fillId="5" borderId="0" xfId="0" applyFont="true" applyBorder="false" applyAlignment="false" applyProtection="false">
      <alignment horizontal="general" vertical="bottom" textRotation="0" wrapText="false" indent="0" shrinkToFit="false"/>
      <protection locked="true" hidden="false"/>
    </xf>
    <xf numFmtId="164" fontId="22" fillId="5" borderId="0" xfId="0" applyFont="true" applyBorder="false" applyAlignment="false" applyProtection="false">
      <alignment horizontal="general" vertical="bottom" textRotation="0" wrapText="false" indent="0" shrinkToFit="false"/>
      <protection locked="true" hidden="false"/>
    </xf>
    <xf numFmtId="172" fontId="8" fillId="4" borderId="1" xfId="0" applyFont="true" applyBorder="true" applyAlignment="false" applyProtection="false">
      <alignment horizontal="general" vertical="bottom" textRotation="0" wrapText="false" indent="0" shrinkToFit="false"/>
      <protection locked="true" hidden="false"/>
    </xf>
    <xf numFmtId="165" fontId="14" fillId="0" borderId="1" xfId="0" applyFont="true" applyBorder="true" applyAlignment="false" applyProtection="false">
      <alignment horizontal="general" vertical="bottom" textRotation="0" wrapText="false" indent="0" shrinkToFit="false"/>
      <protection locked="true" hidden="false"/>
    </xf>
    <xf numFmtId="173" fontId="8" fillId="4" borderId="1" xfId="0" applyFont="true" applyBorder="true" applyAlignment="false" applyProtection="false">
      <alignment horizontal="general" vertical="bottom" textRotation="0" wrapText="false" indent="0" shrinkToFit="false"/>
      <protection locked="true" hidden="false"/>
    </xf>
    <xf numFmtId="172" fontId="6" fillId="0" borderId="1" xfId="0" applyFont="true" applyBorder="tru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8" fontId="9" fillId="2" borderId="1" xfId="0" applyFont="true" applyBorder="true" applyAlignment="false" applyProtection="false">
      <alignment horizontal="general" vertical="bottom" textRotation="0" wrapText="false" indent="0" shrinkToFit="false"/>
      <protection locked="true" hidden="false"/>
    </xf>
    <xf numFmtId="170" fontId="9" fillId="2" borderId="1" xfId="0" applyFont="true" applyBorder="true" applyAlignment="false" applyProtection="false">
      <alignment horizontal="general" vertical="bottom" textRotation="0" wrapText="false" indent="0" shrinkToFit="false"/>
      <protection locked="true" hidden="false"/>
    </xf>
    <xf numFmtId="175" fontId="8" fillId="0" borderId="1" xfId="0" applyFont="true" applyBorder="true" applyAlignment="false" applyProtection="false">
      <alignment horizontal="general" vertical="bottom" textRotation="0" wrapText="false" indent="0" shrinkToFit="false"/>
      <protection locked="true" hidden="false"/>
    </xf>
    <xf numFmtId="172" fontId="6" fillId="4" borderId="1"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72" fontId="24" fillId="4" borderId="1" xfId="0" applyFont="true" applyBorder="true" applyAlignment="false" applyProtection="false">
      <alignment horizontal="general" vertical="bottom" textRotation="0" wrapText="false" indent="0" shrinkToFit="false"/>
      <protection locked="true" hidden="false"/>
    </xf>
    <xf numFmtId="164" fontId="13" fillId="3" borderId="1" xfId="0" applyFont="true" applyBorder="true" applyAlignment="false" applyProtection="false">
      <alignment horizontal="general" vertical="bottom" textRotation="0" wrapText="false" indent="0" shrinkToFit="false"/>
      <protection locked="true" hidden="false"/>
    </xf>
    <xf numFmtId="175" fontId="9" fillId="2"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ont>
        <name val="Arial"/>
        <charset val="1"/>
        <family val="0"/>
        <b val="1"/>
        <color rgb="FF9C1C28"/>
      </font>
    </dxf>
    <dxf>
      <font>
        <name val="Arial"/>
        <charset val="1"/>
        <family val="0"/>
        <b val="1"/>
      </font>
      <fill>
        <patternFill>
          <bgColor rgb="FFFFF3CD"/>
        </patternFill>
      </fill>
    </dxf>
    <dxf>
      <font>
        <name val="Arial"/>
        <charset val="1"/>
        <family val="0"/>
        <b val="1"/>
        <color rgb="FF1E6B64"/>
      </font>
      <fill>
        <patternFill>
          <bgColor rgb="FFE3F1EF"/>
        </patternFill>
      </fill>
    </dxf>
    <dxf>
      <fill>
        <patternFill patternType="solid">
          <fgColor rgb="FF1E6B64"/>
          <bgColor rgb="FF000000"/>
        </patternFill>
      </fill>
    </dxf>
    <dxf>
      <fill>
        <patternFill patternType="solid">
          <fgColor rgb="FFE3F1EF"/>
          <bgColor rgb="FF000000"/>
        </patternFill>
      </fill>
    </dxf>
    <dxf>
      <fill>
        <patternFill patternType="solid">
          <bgColor rgb="FF000000"/>
        </patternFill>
      </fill>
    </dxf>
    <dxf>
      <fill>
        <patternFill patternType="solid">
          <fgColor rgb="FFFFFFFF"/>
          <bgColor rgb="FF000000"/>
        </patternFill>
      </fill>
    </dxf>
    <dxf>
      <fill>
        <patternFill patternType="solid">
          <fgColor rgb="FFFFF7D6"/>
          <bgColor rgb="FF000000"/>
        </patternFill>
      </fill>
    </dxf>
    <dxf>
      <fill>
        <patternFill patternType="solid">
          <fgColor rgb="FF1F4EB4"/>
          <bgColor rgb="FF000000"/>
        </patternFill>
      </fill>
    </dxf>
    <dxf>
      <fill>
        <patternFill patternType="solid">
          <fgColor rgb="FFF8D7DA"/>
          <bgColor rgb="FF000000"/>
        </patternFill>
      </fill>
    </dxf>
    <dxf>
      <fill>
        <patternFill patternType="solid">
          <fgColor rgb="FF9C1C28"/>
          <bgColor rgb="FF000000"/>
        </patternFill>
      </fill>
    </dxf>
    <dxf>
      <font>
        <name val="Arial"/>
        <charset val="1"/>
        <family val="0"/>
        <b val="1"/>
        <color rgb="FF9C1C28"/>
      </font>
      <fill>
        <patternFill>
          <bgColor rgb="FFF8D7DA"/>
        </patternFill>
      </fill>
    </dxf>
    <dxf>
      <font>
        <name val="Arial"/>
        <charset val="1"/>
        <family val="0"/>
        <strike val="1"/>
        <color rgb="FF8C959F"/>
      </font>
    </dxf>
    <dxf>
      <fill>
        <patternFill>
          <bgColor rgb="FFFFF3CD"/>
        </patternFill>
      </fill>
    </dxf>
    <dxf>
      <font>
        <name val="Arial"/>
        <charset val="1"/>
        <family val="0"/>
        <b val="1"/>
        <color rgb="FF1E6B64"/>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E6B64"/>
      <rgbColor rgb="FFD9D9D9"/>
      <rgbColor rgb="FF878787"/>
      <rgbColor rgb="FF9999FF"/>
      <rgbColor rgb="FFC0504D"/>
      <rgbColor rgb="FFFFF7D6"/>
      <rgbColor rgb="FFE3F1EF"/>
      <rgbColor rgb="FF660066"/>
      <rgbColor rgb="FFFF8080"/>
      <rgbColor rgb="FF0066CC"/>
      <rgbColor rgb="FFD0D7DE"/>
      <rgbColor rgb="FF000080"/>
      <rgbColor rgb="FFFF00FF"/>
      <rgbColor rgb="FFFFFF00"/>
      <rgbColor rgb="FF00FFFF"/>
      <rgbColor rgb="FF800080"/>
      <rgbColor rgb="FF800000"/>
      <rgbColor rgb="FF008080"/>
      <rgbColor rgb="FF0000FF"/>
      <rgbColor rgb="FF00CCFF"/>
      <rgbColor rgb="FFF2F2F2"/>
      <rgbColor rgb="FFCCFFCC"/>
      <rgbColor rgb="FFFFF3CD"/>
      <rgbColor rgb="FF99CCFF"/>
      <rgbColor rgb="FFFF99CC"/>
      <rgbColor rgb="FFCC99FF"/>
      <rgbColor rgb="FFF8D7DA"/>
      <rgbColor rgb="FF4F81BD"/>
      <rgbColor rgb="FF33CCCC"/>
      <rgbColor rgb="FF99CC00"/>
      <rgbColor rgb="FFFFCC00"/>
      <rgbColor rgb="FFFF9900"/>
      <rgbColor rgb="FFFF6600"/>
      <rgbColor rgb="FF57606A"/>
      <rgbColor rgb="FF8C959F"/>
      <rgbColor rgb="FF003366"/>
      <rgbColor rgb="FF339966"/>
      <rgbColor rgb="FF003300"/>
      <rgbColor rgb="FF333300"/>
      <rgbColor rgb="FF9C1C28"/>
      <rgbColor rgb="FF993366"/>
      <rgbColor rgb="FF1F4EB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Payout vs profit by month</a:t>
            </a:r>
          </a:p>
        </c:rich>
      </c:tx>
      <c:overlay val="0"/>
      <c:spPr>
        <a:noFill/>
        <a:ln w="0">
          <a:noFill/>
        </a:ln>
      </c:spPr>
    </c:title>
    <c:autoTitleDeleted val="0"/>
    <c:plotArea>
      <c:barChart>
        <c:barDir val="col"/>
        <c:grouping val="clustered"/>
        <c:varyColors val="0"/>
        <c:ser>
          <c:idx val="0"/>
          <c:order val="0"/>
          <c:tx>
            <c:strRef>
              <c:f>Dashboard!F9</c:f>
              <c:strCache>
                <c:ptCount val="1"/>
                <c:pt idx="0">
                  <c:v>Payout</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Dashboard!$A$10:$A$21</c:f>
              <c:strCache>
                <c:ptCount val="12"/>
                <c:pt idx="0">
                  <c:v>Jan 2026</c:v>
                </c:pt>
                <c:pt idx="1">
                  <c:v>Feb 2026</c:v>
                </c:pt>
                <c:pt idx="2">
                  <c:v>Mar 2026</c:v>
                </c:pt>
                <c:pt idx="3">
                  <c:v>Apr 2026</c:v>
                </c:pt>
                <c:pt idx="4">
                  <c:v>May 2026</c:v>
                </c:pt>
                <c:pt idx="5">
                  <c:v>Jun 2026</c:v>
                </c:pt>
                <c:pt idx="6">
                  <c:v>Jul 2026</c:v>
                </c:pt>
                <c:pt idx="7">
                  <c:v>Aug 2026</c:v>
                </c:pt>
                <c:pt idx="8">
                  <c:v>Sep 2026</c:v>
                </c:pt>
                <c:pt idx="9">
                  <c:v>Oct 2026</c:v>
                </c:pt>
                <c:pt idx="10">
                  <c:v>Nov 2026</c:v>
                </c:pt>
                <c:pt idx="11">
                  <c:v>Dec 2026</c:v>
                </c:pt>
              </c:strCache>
            </c:strRef>
          </c:cat>
          <c:val>
            <c:numRef>
              <c:f>Dashboard!$F$10:$F$21</c:f>
              <c:numCache>
                <c:formatCode>\$#,##0;"($"#,##0\);\-</c:formatCode>
                <c:ptCount val="12"/>
                <c:pt idx="0">
                  <c:v>0</c:v>
                </c:pt>
                <c:pt idx="1">
                  <c:v>0</c:v>
                </c:pt>
                <c:pt idx="2">
                  <c:v>0</c:v>
                </c:pt>
                <c:pt idx="3">
                  <c:v>0</c:v>
                </c:pt>
                <c:pt idx="4">
                  <c:v>0</c:v>
                </c:pt>
                <c:pt idx="5">
                  <c:v>0</c:v>
                </c:pt>
                <c:pt idx="6">
                  <c:v>0</c:v>
                </c:pt>
                <c:pt idx="7">
                  <c:v>0</c:v>
                </c:pt>
                <c:pt idx="8">
                  <c:v>0</c:v>
                </c:pt>
                <c:pt idx="9">
                  <c:v>1241.6</c:v>
                </c:pt>
                <c:pt idx="10">
                  <c:v>0</c:v>
                </c:pt>
                <c:pt idx="11">
                  <c:v>0</c:v>
                </c:pt>
              </c:numCache>
            </c:numRef>
          </c:val>
        </c:ser>
        <c:ser>
          <c:idx val="1"/>
          <c:order val="1"/>
          <c:tx>
            <c:strRef>
              <c:f>Dashboard!I9</c:f>
              <c:strCache>
                <c:ptCount val="1"/>
                <c:pt idx="0">
                  <c:v>Profit</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Dashboard!$A$10:$A$21</c:f>
              <c:strCache>
                <c:ptCount val="12"/>
                <c:pt idx="0">
                  <c:v>Jan 2026</c:v>
                </c:pt>
                <c:pt idx="1">
                  <c:v>Feb 2026</c:v>
                </c:pt>
                <c:pt idx="2">
                  <c:v>Mar 2026</c:v>
                </c:pt>
                <c:pt idx="3">
                  <c:v>Apr 2026</c:v>
                </c:pt>
                <c:pt idx="4">
                  <c:v>May 2026</c:v>
                </c:pt>
                <c:pt idx="5">
                  <c:v>Jun 2026</c:v>
                </c:pt>
                <c:pt idx="6">
                  <c:v>Jul 2026</c:v>
                </c:pt>
                <c:pt idx="7">
                  <c:v>Aug 2026</c:v>
                </c:pt>
                <c:pt idx="8">
                  <c:v>Sep 2026</c:v>
                </c:pt>
                <c:pt idx="9">
                  <c:v>Oct 2026</c:v>
                </c:pt>
                <c:pt idx="10">
                  <c:v>Nov 2026</c:v>
                </c:pt>
                <c:pt idx="11">
                  <c:v>Dec 2026</c:v>
                </c:pt>
              </c:strCache>
            </c:strRef>
          </c:cat>
          <c:val>
            <c:numRef>
              <c:f>Dashboard!$I$10:$I$21</c:f>
              <c:numCache>
                <c:formatCode>\$#,##0;"($"#,##0\);\-</c:formatCode>
                <c:ptCount val="12"/>
                <c:pt idx="0">
                  <c:v>0</c:v>
                </c:pt>
                <c:pt idx="1">
                  <c:v>0</c:v>
                </c:pt>
                <c:pt idx="2">
                  <c:v>0</c:v>
                </c:pt>
                <c:pt idx="3">
                  <c:v>0</c:v>
                </c:pt>
                <c:pt idx="4">
                  <c:v>0</c:v>
                </c:pt>
                <c:pt idx="5">
                  <c:v>0</c:v>
                </c:pt>
                <c:pt idx="6">
                  <c:v>0</c:v>
                </c:pt>
                <c:pt idx="7">
                  <c:v>0</c:v>
                </c:pt>
                <c:pt idx="8">
                  <c:v>0</c:v>
                </c:pt>
                <c:pt idx="9">
                  <c:v>949.43</c:v>
                </c:pt>
                <c:pt idx="10">
                  <c:v>0</c:v>
                </c:pt>
                <c:pt idx="11">
                  <c:v>0</c:v>
                </c:pt>
              </c:numCache>
            </c:numRef>
          </c:val>
        </c:ser>
        <c:gapWidth val="150"/>
        <c:overlap val="0"/>
        <c:axId val="20959798"/>
        <c:axId val="98207538"/>
      </c:barChart>
      <c:catAx>
        <c:axId val="2095979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207538"/>
        <c:crosses val="autoZero"/>
        <c:auto val="1"/>
        <c:lblAlgn val="ctr"/>
        <c:lblOffset val="100"/>
        <c:noMultiLvlLbl val="0"/>
      </c:catAx>
      <c:valAx>
        <c:axId val="98207538"/>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095979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Occupancy by month</a:t>
            </a:r>
          </a:p>
        </c:rich>
      </c:tx>
      <c:overlay val="0"/>
      <c:spPr>
        <a:noFill/>
        <a:ln w="0">
          <a:noFill/>
        </a:ln>
      </c:spPr>
    </c:title>
    <c:autoTitleDeleted val="0"/>
    <c:plotArea>
      <c:barChart>
        <c:barDir val="col"/>
        <c:grouping val="clustered"/>
        <c:varyColors val="0"/>
        <c:ser>
          <c:idx val="0"/>
          <c:order val="0"/>
          <c:tx>
            <c:strRef>
              <c:f>'Monthly Summary'!C6</c:f>
              <c:strCache>
                <c:ptCount val="1"/>
                <c:pt idx="0">
                  <c:v>Occupancy</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'Monthly Summary'!$A$7:$A$18</c:f>
              <c:strCache>
                <c:ptCount val="12"/>
                <c:pt idx="0">
                  <c:v>Jan 2026</c:v>
                </c:pt>
                <c:pt idx="1">
                  <c:v>Feb 2026</c:v>
                </c:pt>
                <c:pt idx="2">
                  <c:v>Mar 2026</c:v>
                </c:pt>
                <c:pt idx="3">
                  <c:v>Apr 2026</c:v>
                </c:pt>
                <c:pt idx="4">
                  <c:v>May 2026</c:v>
                </c:pt>
                <c:pt idx="5">
                  <c:v>Jun 2026</c:v>
                </c:pt>
                <c:pt idx="6">
                  <c:v>Jul 2026</c:v>
                </c:pt>
                <c:pt idx="7">
                  <c:v>Aug 2026</c:v>
                </c:pt>
                <c:pt idx="8">
                  <c:v>Sep 2026</c:v>
                </c:pt>
                <c:pt idx="9">
                  <c:v>Oct 2026</c:v>
                </c:pt>
                <c:pt idx="10">
                  <c:v>Nov 2026</c:v>
                </c:pt>
                <c:pt idx="11">
                  <c:v>Dec 2026</c:v>
                </c:pt>
              </c:strCache>
            </c:strRef>
          </c:cat>
          <c:val>
            <c:numRef>
              <c:f>'Monthly Summary'!$C$7:$C$18</c:f>
              <c:numCache>
                <c:formatCode>0%;\-0%;\-</c:formatCode>
                <c:ptCount val="12"/>
                <c:pt idx="0">
                  <c:v>0</c:v>
                </c:pt>
                <c:pt idx="1">
                  <c:v>0</c:v>
                </c:pt>
                <c:pt idx="2">
                  <c:v>0</c:v>
                </c:pt>
                <c:pt idx="3">
                  <c:v>0</c:v>
                </c:pt>
                <c:pt idx="4">
                  <c:v>0</c:v>
                </c:pt>
                <c:pt idx="5">
                  <c:v>0</c:v>
                </c:pt>
                <c:pt idx="6">
                  <c:v>0</c:v>
                </c:pt>
                <c:pt idx="7">
                  <c:v>0</c:v>
                </c:pt>
                <c:pt idx="8">
                  <c:v>0</c:v>
                </c:pt>
                <c:pt idx="9">
                  <c:v>0.161290322580645</c:v>
                </c:pt>
                <c:pt idx="10">
                  <c:v>0</c:v>
                </c:pt>
                <c:pt idx="11">
                  <c:v>0</c:v>
                </c:pt>
              </c:numCache>
            </c:numRef>
          </c:val>
        </c:ser>
        <c:gapWidth val="150"/>
        <c:overlap val="0"/>
        <c:axId val="95206715"/>
        <c:axId val="5662172"/>
      </c:barChart>
      <c:catAx>
        <c:axId val="9520671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62172"/>
        <c:crosses val="autoZero"/>
        <c:auto val="1"/>
        <c:lblAlgn val="ctr"/>
        <c:lblOffset val="100"/>
        <c:noMultiLvlLbl val="0"/>
      </c:catAx>
      <c:valAx>
        <c:axId val="5662172"/>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520671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0</xdr:colOff>
      <xdr:row>3</xdr:row>
      <xdr:rowOff>0</xdr:rowOff>
    </xdr:from>
    <xdr:to>
      <xdr:col>23</xdr:col>
      <xdr:colOff>364680</xdr:colOff>
      <xdr:row>16</xdr:row>
      <xdr:rowOff>31680</xdr:rowOff>
    </xdr:to>
    <xdr:graphicFrame>
      <xdr:nvGraphicFramePr>
        <xdr:cNvPr id="0" name="Chart 1"/>
        <xdr:cNvGraphicFramePr/>
      </xdr:nvGraphicFramePr>
      <xdr:xfrm>
        <a:off x="10620360" y="762120"/>
        <a:ext cx="647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22</xdr:row>
      <xdr:rowOff>0</xdr:rowOff>
    </xdr:from>
    <xdr:to>
      <xdr:col>7</xdr:col>
      <xdr:colOff>417960</xdr:colOff>
      <xdr:row>35</xdr:row>
      <xdr:rowOff>43200</xdr:rowOff>
    </xdr:to>
    <xdr:graphicFrame>
      <xdr:nvGraphicFramePr>
        <xdr:cNvPr id="1" name="Chart 1"/>
        <xdr:cNvGraphicFramePr/>
      </xdr:nvGraphicFramePr>
      <xdr:xfrm>
        <a:off x="0" y="4591080"/>
        <a:ext cx="647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3.xml"/><Relationship Id="rId3" Type="http://schemas.openxmlformats.org/officeDocument/2006/relationships/vmlDrawing" Target="../drawings/vmlDrawing2.v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6B64"/>
    <pageSetUpPr fitToPage="false"/>
  </sheetPr>
  <dimension ref="A1:C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80"/>
  </cols>
  <sheetData>
    <row r="1" customFormat="false" ht="30" hidden="false" customHeight="true" outlineLevel="0" collapsed="false">
      <c r="A1" s="1" t="s">
        <v>0</v>
      </c>
    </row>
    <row r="2" customFormat="false" ht="15" hidden="false" customHeight="false" outlineLevel="0" collapsed="false">
      <c r="A2" s="2" t="s">
        <v>1</v>
      </c>
    </row>
    <row r="4" customFormat="false" ht="15" hidden="false" customHeight="false" outlineLevel="0" collapsed="false">
      <c r="B4" s="3" t="s">
        <v>2</v>
      </c>
    </row>
    <row r="5" customFormat="false" ht="42" hidden="false" customHeight="true" outlineLevel="0" collapsed="false">
      <c r="B5" s="4" t="s">
        <v>3</v>
      </c>
      <c r="C5" s="5" t="s">
        <v>4</v>
      </c>
    </row>
    <row r="6" customFormat="false" ht="42" hidden="false" customHeight="true" outlineLevel="0" collapsed="false">
      <c r="B6" s="4" t="s">
        <v>5</v>
      </c>
      <c r="C6" s="5" t="s">
        <v>6</v>
      </c>
    </row>
    <row r="7" customFormat="false" ht="42" hidden="false" customHeight="true" outlineLevel="0" collapsed="false">
      <c r="B7" s="4" t="s">
        <v>7</v>
      </c>
      <c r="C7" s="5" t="s">
        <v>8</v>
      </c>
    </row>
    <row r="8" customFormat="false" ht="42" hidden="false" customHeight="true" outlineLevel="0" collapsed="false">
      <c r="B8" s="4" t="s">
        <v>9</v>
      </c>
      <c r="C8" s="5" t="s">
        <v>10</v>
      </c>
    </row>
    <row r="9" customFormat="false" ht="42" hidden="false" customHeight="true" outlineLevel="0" collapsed="false">
      <c r="B9" s="4" t="s">
        <v>11</v>
      </c>
      <c r="C9" s="5" t="s">
        <v>12</v>
      </c>
    </row>
    <row r="10" customFormat="false" ht="42" hidden="false" customHeight="true" outlineLevel="0" collapsed="false">
      <c r="B10" s="4" t="s">
        <v>13</v>
      </c>
      <c r="C10" s="5" t="s">
        <v>14</v>
      </c>
    </row>
    <row r="11" customFormat="false" ht="42" hidden="false" customHeight="true" outlineLevel="0" collapsed="false">
      <c r="B11" s="4" t="s">
        <v>15</v>
      </c>
      <c r="C11" s="5" t="s">
        <v>16</v>
      </c>
    </row>
    <row r="12" customFormat="false" ht="42" hidden="false" customHeight="true" outlineLevel="0" collapsed="false">
      <c r="B12" s="4" t="s">
        <v>17</v>
      </c>
      <c r="C12" s="5" t="s">
        <v>18</v>
      </c>
    </row>
    <row r="14" customFormat="false" ht="15" hidden="false" customHeight="false" outlineLevel="0" collapsed="false">
      <c r="B14" s="3" t="s">
        <v>19</v>
      </c>
    </row>
    <row r="15" customFormat="false" ht="15" hidden="false" customHeight="false" outlineLevel="0" collapsed="false">
      <c r="B15" s="6" t="s">
        <v>20</v>
      </c>
      <c r="C15" s="7" t="s">
        <v>21</v>
      </c>
    </row>
    <row r="16" customFormat="false" ht="15" hidden="false" customHeight="false" outlineLevel="0" collapsed="false">
      <c r="B16" s="8" t="s">
        <v>22</v>
      </c>
      <c r="C16" s="7" t="s">
        <v>23</v>
      </c>
    </row>
    <row r="18" customFormat="false" ht="15" hidden="false" customHeight="false" outlineLevel="0" collapsed="false">
      <c r="B18" s="3" t="s">
        <v>24</v>
      </c>
    </row>
    <row r="19" customFormat="false" ht="15" hidden="false" customHeight="false" outlineLevel="0" collapsed="false">
      <c r="B19" s="4" t="s">
        <v>25</v>
      </c>
      <c r="C19" s="7" t="s">
        <v>26</v>
      </c>
    </row>
    <row r="20" customFormat="false" ht="15" hidden="false" customHeight="false" outlineLevel="0" collapsed="false">
      <c r="B20" s="4" t="s">
        <v>27</v>
      </c>
      <c r="C20" s="7" t="s">
        <v>28</v>
      </c>
    </row>
    <row r="21" customFormat="false" ht="15" hidden="false" customHeight="false" outlineLevel="0" collapsed="false">
      <c r="B21" s="4" t="s">
        <v>29</v>
      </c>
      <c r="C21" s="7" t="s">
        <v>30</v>
      </c>
    </row>
    <row r="22" customFormat="false" ht="15" hidden="false" customHeight="false" outlineLevel="0" collapsed="false">
      <c r="B22" s="4" t="s">
        <v>31</v>
      </c>
      <c r="C22" s="7" t="s">
        <v>32</v>
      </c>
    </row>
    <row r="23" customFormat="false" ht="15" hidden="false" customHeight="false" outlineLevel="0" collapsed="false">
      <c r="B23" s="4" t="s">
        <v>33</v>
      </c>
      <c r="C23" s="7" t="s">
        <v>34</v>
      </c>
    </row>
    <row r="25" customFormat="false" ht="15" hidden="false" customHeight="false" outlineLevel="0" collapsed="false">
      <c r="B25" s="3" t="s">
        <v>35</v>
      </c>
    </row>
    <row r="26" customFormat="false" ht="30" hidden="false" customHeight="true" outlineLevel="0" collapsed="false">
      <c r="C26" s="9" t="s">
        <v>36</v>
      </c>
    </row>
    <row r="27" customFormat="false" ht="30" hidden="false" customHeight="true" outlineLevel="0" collapsed="false">
      <c r="C27" s="10" t="s">
        <v>37</v>
      </c>
    </row>
    <row r="28" customFormat="false" ht="30" hidden="false" customHeight="true" outlineLevel="0" collapsed="false">
      <c r="C28" s="10" t="s">
        <v>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6B64"/>
    <pageSetUpPr fitToPage="false"/>
  </sheetPr>
  <dimension ref="A1:L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5" min="2" style="0" width="11"/>
    <col collapsed="false" customWidth="true" hidden="false" outlineLevel="0" max="9" min="6" style="0" width="13"/>
    <col collapsed="false" customWidth="true" hidden="false" outlineLevel="0" max="10" min="10" style="0" width="4"/>
    <col collapsed="false" customWidth="true" hidden="false" outlineLevel="0" max="12" min="11" style="0" width="9"/>
  </cols>
  <sheetData>
    <row r="1" customFormat="false" ht="30" hidden="false" customHeight="true" outlineLevel="0" collapsed="false">
      <c r="A1" s="1" t="s">
        <v>39</v>
      </c>
    </row>
    <row r="2" customFormat="false" ht="15" hidden="false" customHeight="false" outlineLevel="0" collapsed="false">
      <c r="A2" s="2" t="s">
        <v>40</v>
      </c>
    </row>
    <row r="4" customFormat="false" ht="15" hidden="false" customHeight="false" outlineLevel="0" collapsed="false">
      <c r="A4" s="4" t="s">
        <v>41</v>
      </c>
      <c r="B4" s="11" t="n">
        <v>2026</v>
      </c>
      <c r="D4" s="12" t="s">
        <v>42</v>
      </c>
    </row>
    <row r="6" customFormat="false" ht="15" hidden="false" customHeight="false" outlineLevel="0" collapsed="false">
      <c r="A6" s="13" t="s">
        <v>31</v>
      </c>
      <c r="C6" s="13" t="s">
        <v>43</v>
      </c>
      <c r="E6" s="13" t="s">
        <v>25</v>
      </c>
      <c r="F6" s="13" t="s">
        <v>44</v>
      </c>
      <c r="H6" s="13" t="s">
        <v>45</v>
      </c>
      <c r="I6" s="13" t="s">
        <v>46</v>
      </c>
    </row>
    <row r="7" customFormat="false" ht="27.75" hidden="false" customHeight="true" outlineLevel="0" collapsed="false">
      <c r="A7" s="14" t="n">
        <f aca="false">F22</f>
        <v>1241.6</v>
      </c>
      <c r="C7" s="14" t="n">
        <f aca="false">I22</f>
        <v>949.43</v>
      </c>
      <c r="E7" s="15" t="n">
        <f aca="false">C22</f>
        <v>0.0136986301369863</v>
      </c>
      <c r="F7" s="14" t="n">
        <f aca="false">D22</f>
        <v>201</v>
      </c>
      <c r="H7" s="14" t="n">
        <f aca="false">SUMIFS(Bookings!$Q$5:$Q$1004,Bookings!$U$5:$U$1004,"No",Bookings!$AA$5:$AA$1004,1)</f>
        <v>582</v>
      </c>
      <c r="I7" s="14" t="n">
        <f aca="false">MAX(0,I22)*Settings!$B$8</f>
        <v>237.3575</v>
      </c>
    </row>
    <row r="9" customFormat="false" ht="31.5" hidden="false" customHeight="true" outlineLevel="0" collapsed="false">
      <c r="A9" s="16" t="s">
        <v>47</v>
      </c>
      <c r="B9" s="16" t="s">
        <v>48</v>
      </c>
      <c r="C9" s="16" t="s">
        <v>25</v>
      </c>
      <c r="D9" s="16" t="s">
        <v>27</v>
      </c>
      <c r="E9" s="16" t="s">
        <v>29</v>
      </c>
      <c r="F9" s="16" t="s">
        <v>31</v>
      </c>
      <c r="G9" s="16" t="s">
        <v>49</v>
      </c>
      <c r="H9" s="16" t="s">
        <v>50</v>
      </c>
      <c r="I9" s="16" t="s">
        <v>43</v>
      </c>
      <c r="K9" s="17" t="s">
        <v>51</v>
      </c>
      <c r="L9" s="17" t="s">
        <v>52</v>
      </c>
    </row>
    <row r="10" customFormat="false" ht="15" hidden="false" customHeight="false" outlineLevel="0" collapsed="false">
      <c r="A10" s="8" t="str">
        <f aca="false">TEXT(DATE($B$4,1,1),"mmm yyyy")</f>
        <v>Jan 2026</v>
      </c>
      <c r="B10" s="18" t="n">
        <f aca="false">SUMPRODUCT(Bookings!$AA$5:$AA$1004*(($D$4="All properties")+(Bookings!$D$5:$D$1004=$D$4)&gt;0)*(((((Bookings!$C$5:$C$1004+DATE($B$4,2,1)-ABS(Bookings!$C$5:$C$1004-DATE($B$4,2,1)))/2)-((Bookings!$B$5:$B$1004+DATE($B$4,1,1)+ABS(Bookings!$B$5:$B$1004-DATE($B$4,1,1)))/2))+ABS(((Bookings!$C$5:$C$1004+DATE($B$4,2,1)-ABS(Bookings!$C$5:$C$1004-DATE($B$4,2,1)))/2)-((Bookings!$B$5:$B$1004+DATE($B$4,1,1)+ABS(Bookings!$B$5:$B$1004-DATE($B$4,1,1)))/2)))/2))</f>
        <v>0</v>
      </c>
      <c r="C10" s="19" t="n">
        <f aca="false">IF(K10=0,0,B10/K10)</f>
        <v>0</v>
      </c>
      <c r="D10" s="20" t="n">
        <f aca="false">IF(B10=0,0,L10/B10)</f>
        <v>0</v>
      </c>
      <c r="E10" s="20" t="n">
        <f aca="false">IF(K10=0,0,L10/K10)</f>
        <v>0</v>
      </c>
      <c r="F10" s="20" t="n">
        <f aca="false">SUMPRODUCT(Bookings!$AA$5:$AA$1004*(($D$4="All properties")+(Bookings!$D$5:$D$1004=$D$4)&gt;0)*(((((Bookings!$C$5:$C$1004+DATE($B$4,2,1)-ABS(Bookings!$C$5:$C$1004-DATE($B$4,2,1)))/2)-((Bookings!$B$5:$B$1004+DATE($B$4,1,1)+ABS(Bookings!$B$5:$B$1004-DATE($B$4,1,1)))/2))+ABS(((Bookings!$C$5:$C$1004+DATE($B$4,2,1)-ABS(Bookings!$C$5:$C$1004-DATE($B$4,2,1)))/2)-((Bookings!$B$5:$B$1004+DATE($B$4,1,1)+ABS(Bookings!$B$5:$B$1004-DATE($B$4,1,1)))/2)))/2)*Bookings!$AC$5:$AC$1004)</f>
        <v>0</v>
      </c>
      <c r="G10" s="20" t="n">
        <f aca="false">SUMPRODUCT(Bookings!$AA$5:$AA$1004*(($D$4="All properties")+(Bookings!$D$5:$D$1004=$D$4)&gt;0)*(((((Bookings!$C$5:$C$1004+DATE($B$4,2,1)-ABS(Bookings!$C$5:$C$1004-DATE($B$4,2,1)))/2)-((Bookings!$B$5:$B$1004+DATE($B$4,1,1)+ABS(Bookings!$B$5:$B$1004-DATE($B$4,1,1)))/2))+ABS(((Bookings!$C$5:$C$1004+DATE($B$4,2,1)-ABS(Bookings!$C$5:$C$1004-DATE($B$4,2,1)))/2)-((Bookings!$B$5:$B$1004+DATE($B$4,1,1)+ABS(Bookings!$B$5:$B$1004-DATE($B$4,1,1)))/2)))/2)*Bookings!$AD$5:$AD$1004)</f>
        <v>0</v>
      </c>
      <c r="H10" s="20" t="n">
        <f aca="false">IF($D$4="All properties",SUMIFS(Expenses!$F$5:$F$1004,Expenses!$A$5:$A$1004,"&gt;="&amp;DATE($B$4,1,1),Expenses!$A$5:$A$1004,"&lt;"&amp;DATE($B$4,2,1)),SUMIFS(Expenses!$F$5:$F$1004,Expenses!$A$5:$A$1004,"&gt;="&amp;DATE($B$4,1,1),Expenses!$A$5:$A$1004,"&lt;"&amp;DATE($B$4,2,1),Expenses!$B$5:$B$1004,$D$4))</f>
        <v>0</v>
      </c>
      <c r="I10" s="20" t="n">
        <f aca="false">F10-G10-H10</f>
        <v>0</v>
      </c>
      <c r="K10" s="21" t="n">
        <f aca="false">SUMPRODUCT((Properties!$A$5:$A$24&lt;&gt;"")*(($D$4="All properties")+(Properties!$A$5:$A$24=$D$4)&gt;0)*(((DATE($B$4,2,1)-((Properties!$K$5:$K$24+DATE($B$4,1,1)+ABS(Properties!$K$5:$K$24-DATE($B$4,1,1)))/2))+ABS(DATE($B$4,2,1)-((Properties!$K$5:$K$24+DATE($B$4,1,1)+ABS(Properties!$K$5:$K$24-DATE($B$4,1,1)))/2)))/2))</f>
        <v>31</v>
      </c>
      <c r="L10" s="22" t="n">
        <f aca="false">SUMPRODUCT(Bookings!$AA$5:$AA$1004*(($D$4="All properties")+(Bookings!$D$5:$D$1004=$D$4)&gt;0)*(((((Bookings!$C$5:$C$1004+DATE($B$4,2,1)-ABS(Bookings!$C$5:$C$1004-DATE($B$4,2,1)))/2)-((Bookings!$B$5:$B$1004+DATE($B$4,1,1)+ABS(Bookings!$B$5:$B$1004-DATE($B$4,1,1)))/2))+ABS(((Bookings!$C$5:$C$1004+DATE($B$4,2,1)-ABS(Bookings!$C$5:$C$1004-DATE($B$4,2,1)))/2)-((Bookings!$B$5:$B$1004+DATE($B$4,1,1)+ABS(Bookings!$B$5:$B$1004-DATE($B$4,1,1)))/2)))/2)*Bookings!$AB$5:$AB$1004)</f>
        <v>0</v>
      </c>
    </row>
    <row r="11" customFormat="false" ht="15" hidden="false" customHeight="false" outlineLevel="0" collapsed="false">
      <c r="A11" s="23" t="str">
        <f aca="false">TEXT(DATE($B$4,2,1),"mmm yyyy")</f>
        <v>Feb 2026</v>
      </c>
      <c r="B11" s="24" t="n">
        <f aca="false">SUMPRODUCT(Bookings!$AA$5:$AA$1004*(($D$4="All properties")+(Bookings!$D$5:$D$1004=$D$4)&gt;0)*(((((Bookings!$C$5:$C$1004+DATE($B$4,3,1)-ABS(Bookings!$C$5:$C$1004-DATE($B$4,3,1)))/2)-((Bookings!$B$5:$B$1004+DATE($B$4,2,1)+ABS(Bookings!$B$5:$B$1004-DATE($B$4,2,1)))/2))+ABS(((Bookings!$C$5:$C$1004+DATE($B$4,3,1)-ABS(Bookings!$C$5:$C$1004-DATE($B$4,3,1)))/2)-((Bookings!$B$5:$B$1004+DATE($B$4,2,1)+ABS(Bookings!$B$5:$B$1004-DATE($B$4,2,1)))/2)))/2))</f>
        <v>0</v>
      </c>
      <c r="C11" s="25" t="n">
        <f aca="false">IF(K11=0,0,B11/K11)</f>
        <v>0</v>
      </c>
      <c r="D11" s="26" t="n">
        <f aca="false">IF(B11=0,0,L11/B11)</f>
        <v>0</v>
      </c>
      <c r="E11" s="26" t="n">
        <f aca="false">IF(K11=0,0,L11/K11)</f>
        <v>0</v>
      </c>
      <c r="F11" s="26" t="n">
        <f aca="false">SUMPRODUCT(Bookings!$AA$5:$AA$1004*(($D$4="All properties")+(Bookings!$D$5:$D$1004=$D$4)&gt;0)*(((((Bookings!$C$5:$C$1004+DATE($B$4,3,1)-ABS(Bookings!$C$5:$C$1004-DATE($B$4,3,1)))/2)-((Bookings!$B$5:$B$1004+DATE($B$4,2,1)+ABS(Bookings!$B$5:$B$1004-DATE($B$4,2,1)))/2))+ABS(((Bookings!$C$5:$C$1004+DATE($B$4,3,1)-ABS(Bookings!$C$5:$C$1004-DATE($B$4,3,1)))/2)-((Bookings!$B$5:$B$1004+DATE($B$4,2,1)+ABS(Bookings!$B$5:$B$1004-DATE($B$4,2,1)))/2)))/2)*Bookings!$AC$5:$AC$1004)</f>
        <v>0</v>
      </c>
      <c r="G11" s="26" t="n">
        <f aca="false">SUMPRODUCT(Bookings!$AA$5:$AA$1004*(($D$4="All properties")+(Bookings!$D$5:$D$1004=$D$4)&gt;0)*(((((Bookings!$C$5:$C$1004+DATE($B$4,3,1)-ABS(Bookings!$C$5:$C$1004-DATE($B$4,3,1)))/2)-((Bookings!$B$5:$B$1004+DATE($B$4,2,1)+ABS(Bookings!$B$5:$B$1004-DATE($B$4,2,1)))/2))+ABS(((Bookings!$C$5:$C$1004+DATE($B$4,3,1)-ABS(Bookings!$C$5:$C$1004-DATE($B$4,3,1)))/2)-((Bookings!$B$5:$B$1004+DATE($B$4,2,1)+ABS(Bookings!$B$5:$B$1004-DATE($B$4,2,1)))/2)))/2)*Bookings!$AD$5:$AD$1004)</f>
        <v>0</v>
      </c>
      <c r="H11" s="26" t="n">
        <f aca="false">IF($D$4="All properties",SUMIFS(Expenses!$F$5:$F$1004,Expenses!$A$5:$A$1004,"&gt;="&amp;DATE($B$4,2,1),Expenses!$A$5:$A$1004,"&lt;"&amp;DATE($B$4,3,1)),SUMIFS(Expenses!$F$5:$F$1004,Expenses!$A$5:$A$1004,"&gt;="&amp;DATE($B$4,2,1),Expenses!$A$5:$A$1004,"&lt;"&amp;DATE($B$4,3,1),Expenses!$B$5:$B$1004,$D$4))</f>
        <v>0</v>
      </c>
      <c r="I11" s="26" t="n">
        <f aca="false">F11-G11-H11</f>
        <v>0</v>
      </c>
      <c r="K11" s="21" t="n">
        <f aca="false">SUMPRODUCT((Properties!$A$5:$A$24&lt;&gt;"")*(($D$4="All properties")+(Properties!$A$5:$A$24=$D$4)&gt;0)*(((DATE($B$4,3,1)-((Properties!$K$5:$K$24+DATE($B$4,2,1)+ABS(Properties!$K$5:$K$24-DATE($B$4,2,1)))/2))+ABS(DATE($B$4,3,1)-((Properties!$K$5:$K$24+DATE($B$4,2,1)+ABS(Properties!$K$5:$K$24-DATE($B$4,2,1)))/2)))/2))</f>
        <v>28</v>
      </c>
      <c r="L11" s="22" t="n">
        <f aca="false">SUMPRODUCT(Bookings!$AA$5:$AA$1004*(($D$4="All properties")+(Bookings!$D$5:$D$1004=$D$4)&gt;0)*(((((Bookings!$C$5:$C$1004+DATE($B$4,3,1)-ABS(Bookings!$C$5:$C$1004-DATE($B$4,3,1)))/2)-((Bookings!$B$5:$B$1004+DATE($B$4,2,1)+ABS(Bookings!$B$5:$B$1004-DATE($B$4,2,1)))/2))+ABS(((Bookings!$C$5:$C$1004+DATE($B$4,3,1)-ABS(Bookings!$C$5:$C$1004-DATE($B$4,3,1)))/2)-((Bookings!$B$5:$B$1004+DATE($B$4,2,1)+ABS(Bookings!$B$5:$B$1004-DATE($B$4,2,1)))/2)))/2)*Bookings!$AB$5:$AB$1004)</f>
        <v>0</v>
      </c>
    </row>
    <row r="12" customFormat="false" ht="15" hidden="false" customHeight="false" outlineLevel="0" collapsed="false">
      <c r="A12" s="8" t="str">
        <f aca="false">TEXT(DATE($B$4,3,1),"mmm yyyy")</f>
        <v>Mar 2026</v>
      </c>
      <c r="B12" s="18" t="n">
        <f aca="false">SUMPRODUCT(Bookings!$AA$5:$AA$1004*(($D$4="All properties")+(Bookings!$D$5:$D$1004=$D$4)&gt;0)*(((((Bookings!$C$5:$C$1004+DATE($B$4,4,1)-ABS(Bookings!$C$5:$C$1004-DATE($B$4,4,1)))/2)-((Bookings!$B$5:$B$1004+DATE($B$4,3,1)+ABS(Bookings!$B$5:$B$1004-DATE($B$4,3,1)))/2))+ABS(((Bookings!$C$5:$C$1004+DATE($B$4,4,1)-ABS(Bookings!$C$5:$C$1004-DATE($B$4,4,1)))/2)-((Bookings!$B$5:$B$1004+DATE($B$4,3,1)+ABS(Bookings!$B$5:$B$1004-DATE($B$4,3,1)))/2)))/2))</f>
        <v>0</v>
      </c>
      <c r="C12" s="19" t="n">
        <f aca="false">IF(K12=0,0,B12/K12)</f>
        <v>0</v>
      </c>
      <c r="D12" s="20" t="n">
        <f aca="false">IF(B12=0,0,L12/B12)</f>
        <v>0</v>
      </c>
      <c r="E12" s="20" t="n">
        <f aca="false">IF(K12=0,0,L12/K12)</f>
        <v>0</v>
      </c>
      <c r="F12" s="20" t="n">
        <f aca="false">SUMPRODUCT(Bookings!$AA$5:$AA$1004*(($D$4="All properties")+(Bookings!$D$5:$D$1004=$D$4)&gt;0)*(((((Bookings!$C$5:$C$1004+DATE($B$4,4,1)-ABS(Bookings!$C$5:$C$1004-DATE($B$4,4,1)))/2)-((Bookings!$B$5:$B$1004+DATE($B$4,3,1)+ABS(Bookings!$B$5:$B$1004-DATE($B$4,3,1)))/2))+ABS(((Bookings!$C$5:$C$1004+DATE($B$4,4,1)-ABS(Bookings!$C$5:$C$1004-DATE($B$4,4,1)))/2)-((Bookings!$B$5:$B$1004+DATE($B$4,3,1)+ABS(Bookings!$B$5:$B$1004-DATE($B$4,3,1)))/2)))/2)*Bookings!$AC$5:$AC$1004)</f>
        <v>0</v>
      </c>
      <c r="G12" s="20" t="n">
        <f aca="false">SUMPRODUCT(Bookings!$AA$5:$AA$1004*(($D$4="All properties")+(Bookings!$D$5:$D$1004=$D$4)&gt;0)*(((((Bookings!$C$5:$C$1004+DATE($B$4,4,1)-ABS(Bookings!$C$5:$C$1004-DATE($B$4,4,1)))/2)-((Bookings!$B$5:$B$1004+DATE($B$4,3,1)+ABS(Bookings!$B$5:$B$1004-DATE($B$4,3,1)))/2))+ABS(((Bookings!$C$5:$C$1004+DATE($B$4,4,1)-ABS(Bookings!$C$5:$C$1004-DATE($B$4,4,1)))/2)-((Bookings!$B$5:$B$1004+DATE($B$4,3,1)+ABS(Bookings!$B$5:$B$1004-DATE($B$4,3,1)))/2)))/2)*Bookings!$AD$5:$AD$1004)</f>
        <v>0</v>
      </c>
      <c r="H12" s="20" t="n">
        <f aca="false">IF($D$4="All properties",SUMIFS(Expenses!$F$5:$F$1004,Expenses!$A$5:$A$1004,"&gt;="&amp;DATE($B$4,3,1),Expenses!$A$5:$A$1004,"&lt;"&amp;DATE($B$4,4,1)),SUMIFS(Expenses!$F$5:$F$1004,Expenses!$A$5:$A$1004,"&gt;="&amp;DATE($B$4,3,1),Expenses!$A$5:$A$1004,"&lt;"&amp;DATE($B$4,4,1),Expenses!$B$5:$B$1004,$D$4))</f>
        <v>0</v>
      </c>
      <c r="I12" s="20" t="n">
        <f aca="false">F12-G12-H12</f>
        <v>0</v>
      </c>
      <c r="K12" s="21" t="n">
        <f aca="false">SUMPRODUCT((Properties!$A$5:$A$24&lt;&gt;"")*(($D$4="All properties")+(Properties!$A$5:$A$24=$D$4)&gt;0)*(((DATE($B$4,4,1)-((Properties!$K$5:$K$24+DATE($B$4,3,1)+ABS(Properties!$K$5:$K$24-DATE($B$4,3,1)))/2))+ABS(DATE($B$4,4,1)-((Properties!$K$5:$K$24+DATE($B$4,3,1)+ABS(Properties!$K$5:$K$24-DATE($B$4,3,1)))/2)))/2))</f>
        <v>31</v>
      </c>
      <c r="L12" s="22" t="n">
        <f aca="false">SUMPRODUCT(Bookings!$AA$5:$AA$1004*(($D$4="All properties")+(Bookings!$D$5:$D$1004=$D$4)&gt;0)*(((((Bookings!$C$5:$C$1004+DATE($B$4,4,1)-ABS(Bookings!$C$5:$C$1004-DATE($B$4,4,1)))/2)-((Bookings!$B$5:$B$1004+DATE($B$4,3,1)+ABS(Bookings!$B$5:$B$1004-DATE($B$4,3,1)))/2))+ABS(((Bookings!$C$5:$C$1004+DATE($B$4,4,1)-ABS(Bookings!$C$5:$C$1004-DATE($B$4,4,1)))/2)-((Bookings!$B$5:$B$1004+DATE($B$4,3,1)+ABS(Bookings!$B$5:$B$1004-DATE($B$4,3,1)))/2)))/2)*Bookings!$AB$5:$AB$1004)</f>
        <v>0</v>
      </c>
    </row>
    <row r="13" customFormat="false" ht="15" hidden="false" customHeight="false" outlineLevel="0" collapsed="false">
      <c r="A13" s="23" t="str">
        <f aca="false">TEXT(DATE($B$4,4,1),"mmm yyyy")</f>
        <v>Apr 2026</v>
      </c>
      <c r="B13" s="24" t="n">
        <f aca="false">SUMPRODUCT(Bookings!$AA$5:$AA$1004*(($D$4="All properties")+(Bookings!$D$5:$D$1004=$D$4)&gt;0)*(((((Bookings!$C$5:$C$1004+DATE($B$4,5,1)-ABS(Bookings!$C$5:$C$1004-DATE($B$4,5,1)))/2)-((Bookings!$B$5:$B$1004+DATE($B$4,4,1)+ABS(Bookings!$B$5:$B$1004-DATE($B$4,4,1)))/2))+ABS(((Bookings!$C$5:$C$1004+DATE($B$4,5,1)-ABS(Bookings!$C$5:$C$1004-DATE($B$4,5,1)))/2)-((Bookings!$B$5:$B$1004+DATE($B$4,4,1)+ABS(Bookings!$B$5:$B$1004-DATE($B$4,4,1)))/2)))/2))</f>
        <v>0</v>
      </c>
      <c r="C13" s="25" t="n">
        <f aca="false">IF(K13=0,0,B13/K13)</f>
        <v>0</v>
      </c>
      <c r="D13" s="26" t="n">
        <f aca="false">IF(B13=0,0,L13/B13)</f>
        <v>0</v>
      </c>
      <c r="E13" s="26" t="n">
        <f aca="false">IF(K13=0,0,L13/K13)</f>
        <v>0</v>
      </c>
      <c r="F13" s="26" t="n">
        <f aca="false">SUMPRODUCT(Bookings!$AA$5:$AA$1004*(($D$4="All properties")+(Bookings!$D$5:$D$1004=$D$4)&gt;0)*(((((Bookings!$C$5:$C$1004+DATE($B$4,5,1)-ABS(Bookings!$C$5:$C$1004-DATE($B$4,5,1)))/2)-((Bookings!$B$5:$B$1004+DATE($B$4,4,1)+ABS(Bookings!$B$5:$B$1004-DATE($B$4,4,1)))/2))+ABS(((Bookings!$C$5:$C$1004+DATE($B$4,5,1)-ABS(Bookings!$C$5:$C$1004-DATE($B$4,5,1)))/2)-((Bookings!$B$5:$B$1004+DATE($B$4,4,1)+ABS(Bookings!$B$5:$B$1004-DATE($B$4,4,1)))/2)))/2)*Bookings!$AC$5:$AC$1004)</f>
        <v>0</v>
      </c>
      <c r="G13" s="26" t="n">
        <f aca="false">SUMPRODUCT(Bookings!$AA$5:$AA$1004*(($D$4="All properties")+(Bookings!$D$5:$D$1004=$D$4)&gt;0)*(((((Bookings!$C$5:$C$1004+DATE($B$4,5,1)-ABS(Bookings!$C$5:$C$1004-DATE($B$4,5,1)))/2)-((Bookings!$B$5:$B$1004+DATE($B$4,4,1)+ABS(Bookings!$B$5:$B$1004-DATE($B$4,4,1)))/2))+ABS(((Bookings!$C$5:$C$1004+DATE($B$4,5,1)-ABS(Bookings!$C$5:$C$1004-DATE($B$4,5,1)))/2)-((Bookings!$B$5:$B$1004+DATE($B$4,4,1)+ABS(Bookings!$B$5:$B$1004-DATE($B$4,4,1)))/2)))/2)*Bookings!$AD$5:$AD$1004)</f>
        <v>0</v>
      </c>
      <c r="H13" s="26" t="n">
        <f aca="false">IF($D$4="All properties",SUMIFS(Expenses!$F$5:$F$1004,Expenses!$A$5:$A$1004,"&gt;="&amp;DATE($B$4,4,1),Expenses!$A$5:$A$1004,"&lt;"&amp;DATE($B$4,5,1)),SUMIFS(Expenses!$F$5:$F$1004,Expenses!$A$5:$A$1004,"&gt;="&amp;DATE($B$4,4,1),Expenses!$A$5:$A$1004,"&lt;"&amp;DATE($B$4,5,1),Expenses!$B$5:$B$1004,$D$4))</f>
        <v>0</v>
      </c>
      <c r="I13" s="26" t="n">
        <f aca="false">F13-G13-H13</f>
        <v>0</v>
      </c>
      <c r="K13" s="21" t="n">
        <f aca="false">SUMPRODUCT((Properties!$A$5:$A$24&lt;&gt;"")*(($D$4="All properties")+(Properties!$A$5:$A$24=$D$4)&gt;0)*(((DATE($B$4,5,1)-((Properties!$K$5:$K$24+DATE($B$4,4,1)+ABS(Properties!$K$5:$K$24-DATE($B$4,4,1)))/2))+ABS(DATE($B$4,5,1)-((Properties!$K$5:$K$24+DATE($B$4,4,1)+ABS(Properties!$K$5:$K$24-DATE($B$4,4,1)))/2)))/2))</f>
        <v>30</v>
      </c>
      <c r="L13" s="22" t="n">
        <f aca="false">SUMPRODUCT(Bookings!$AA$5:$AA$1004*(($D$4="All properties")+(Bookings!$D$5:$D$1004=$D$4)&gt;0)*(((((Bookings!$C$5:$C$1004+DATE($B$4,5,1)-ABS(Bookings!$C$5:$C$1004-DATE($B$4,5,1)))/2)-((Bookings!$B$5:$B$1004+DATE($B$4,4,1)+ABS(Bookings!$B$5:$B$1004-DATE($B$4,4,1)))/2))+ABS(((Bookings!$C$5:$C$1004+DATE($B$4,5,1)-ABS(Bookings!$C$5:$C$1004-DATE($B$4,5,1)))/2)-((Bookings!$B$5:$B$1004+DATE($B$4,4,1)+ABS(Bookings!$B$5:$B$1004-DATE($B$4,4,1)))/2)))/2)*Bookings!$AB$5:$AB$1004)</f>
        <v>0</v>
      </c>
    </row>
    <row r="14" customFormat="false" ht="15" hidden="false" customHeight="false" outlineLevel="0" collapsed="false">
      <c r="A14" s="8" t="str">
        <f aca="false">TEXT(DATE($B$4,5,1),"mmm yyyy")</f>
        <v>May 2026</v>
      </c>
      <c r="B14" s="18" t="n">
        <f aca="false">SUMPRODUCT(Bookings!$AA$5:$AA$1004*(($D$4="All properties")+(Bookings!$D$5:$D$1004=$D$4)&gt;0)*(((((Bookings!$C$5:$C$1004+DATE($B$4,6,1)-ABS(Bookings!$C$5:$C$1004-DATE($B$4,6,1)))/2)-((Bookings!$B$5:$B$1004+DATE($B$4,5,1)+ABS(Bookings!$B$5:$B$1004-DATE($B$4,5,1)))/2))+ABS(((Bookings!$C$5:$C$1004+DATE($B$4,6,1)-ABS(Bookings!$C$5:$C$1004-DATE($B$4,6,1)))/2)-((Bookings!$B$5:$B$1004+DATE($B$4,5,1)+ABS(Bookings!$B$5:$B$1004-DATE($B$4,5,1)))/2)))/2))</f>
        <v>0</v>
      </c>
      <c r="C14" s="19" t="n">
        <f aca="false">IF(K14=0,0,B14/K14)</f>
        <v>0</v>
      </c>
      <c r="D14" s="20" t="n">
        <f aca="false">IF(B14=0,0,L14/B14)</f>
        <v>0</v>
      </c>
      <c r="E14" s="20" t="n">
        <f aca="false">IF(K14=0,0,L14/K14)</f>
        <v>0</v>
      </c>
      <c r="F14" s="20" t="n">
        <f aca="false">SUMPRODUCT(Bookings!$AA$5:$AA$1004*(($D$4="All properties")+(Bookings!$D$5:$D$1004=$D$4)&gt;0)*(((((Bookings!$C$5:$C$1004+DATE($B$4,6,1)-ABS(Bookings!$C$5:$C$1004-DATE($B$4,6,1)))/2)-((Bookings!$B$5:$B$1004+DATE($B$4,5,1)+ABS(Bookings!$B$5:$B$1004-DATE($B$4,5,1)))/2))+ABS(((Bookings!$C$5:$C$1004+DATE($B$4,6,1)-ABS(Bookings!$C$5:$C$1004-DATE($B$4,6,1)))/2)-((Bookings!$B$5:$B$1004+DATE($B$4,5,1)+ABS(Bookings!$B$5:$B$1004-DATE($B$4,5,1)))/2)))/2)*Bookings!$AC$5:$AC$1004)</f>
        <v>0</v>
      </c>
      <c r="G14" s="20" t="n">
        <f aca="false">SUMPRODUCT(Bookings!$AA$5:$AA$1004*(($D$4="All properties")+(Bookings!$D$5:$D$1004=$D$4)&gt;0)*(((((Bookings!$C$5:$C$1004+DATE($B$4,6,1)-ABS(Bookings!$C$5:$C$1004-DATE($B$4,6,1)))/2)-((Bookings!$B$5:$B$1004+DATE($B$4,5,1)+ABS(Bookings!$B$5:$B$1004-DATE($B$4,5,1)))/2))+ABS(((Bookings!$C$5:$C$1004+DATE($B$4,6,1)-ABS(Bookings!$C$5:$C$1004-DATE($B$4,6,1)))/2)-((Bookings!$B$5:$B$1004+DATE($B$4,5,1)+ABS(Bookings!$B$5:$B$1004-DATE($B$4,5,1)))/2)))/2)*Bookings!$AD$5:$AD$1004)</f>
        <v>0</v>
      </c>
      <c r="H14" s="20" t="n">
        <f aca="false">IF($D$4="All properties",SUMIFS(Expenses!$F$5:$F$1004,Expenses!$A$5:$A$1004,"&gt;="&amp;DATE($B$4,5,1),Expenses!$A$5:$A$1004,"&lt;"&amp;DATE($B$4,6,1)),SUMIFS(Expenses!$F$5:$F$1004,Expenses!$A$5:$A$1004,"&gt;="&amp;DATE($B$4,5,1),Expenses!$A$5:$A$1004,"&lt;"&amp;DATE($B$4,6,1),Expenses!$B$5:$B$1004,$D$4))</f>
        <v>0</v>
      </c>
      <c r="I14" s="20" t="n">
        <f aca="false">F14-G14-H14</f>
        <v>0</v>
      </c>
      <c r="K14" s="21" t="n">
        <f aca="false">SUMPRODUCT((Properties!$A$5:$A$24&lt;&gt;"")*(($D$4="All properties")+(Properties!$A$5:$A$24=$D$4)&gt;0)*(((DATE($B$4,6,1)-((Properties!$K$5:$K$24+DATE($B$4,5,1)+ABS(Properties!$K$5:$K$24-DATE($B$4,5,1)))/2))+ABS(DATE($B$4,6,1)-((Properties!$K$5:$K$24+DATE($B$4,5,1)+ABS(Properties!$K$5:$K$24-DATE($B$4,5,1)))/2)))/2))</f>
        <v>31</v>
      </c>
      <c r="L14" s="22" t="n">
        <f aca="false">SUMPRODUCT(Bookings!$AA$5:$AA$1004*(($D$4="All properties")+(Bookings!$D$5:$D$1004=$D$4)&gt;0)*(((((Bookings!$C$5:$C$1004+DATE($B$4,6,1)-ABS(Bookings!$C$5:$C$1004-DATE($B$4,6,1)))/2)-((Bookings!$B$5:$B$1004+DATE($B$4,5,1)+ABS(Bookings!$B$5:$B$1004-DATE($B$4,5,1)))/2))+ABS(((Bookings!$C$5:$C$1004+DATE($B$4,6,1)-ABS(Bookings!$C$5:$C$1004-DATE($B$4,6,1)))/2)-((Bookings!$B$5:$B$1004+DATE($B$4,5,1)+ABS(Bookings!$B$5:$B$1004-DATE($B$4,5,1)))/2)))/2)*Bookings!$AB$5:$AB$1004)</f>
        <v>0</v>
      </c>
    </row>
    <row r="15" customFormat="false" ht="15" hidden="false" customHeight="false" outlineLevel="0" collapsed="false">
      <c r="A15" s="23" t="str">
        <f aca="false">TEXT(DATE($B$4,6,1),"mmm yyyy")</f>
        <v>Jun 2026</v>
      </c>
      <c r="B15" s="24" t="n">
        <f aca="false">SUMPRODUCT(Bookings!$AA$5:$AA$1004*(($D$4="All properties")+(Bookings!$D$5:$D$1004=$D$4)&gt;0)*(((((Bookings!$C$5:$C$1004+DATE($B$4,7,1)-ABS(Bookings!$C$5:$C$1004-DATE($B$4,7,1)))/2)-((Bookings!$B$5:$B$1004+DATE($B$4,6,1)+ABS(Bookings!$B$5:$B$1004-DATE($B$4,6,1)))/2))+ABS(((Bookings!$C$5:$C$1004+DATE($B$4,7,1)-ABS(Bookings!$C$5:$C$1004-DATE($B$4,7,1)))/2)-((Bookings!$B$5:$B$1004+DATE($B$4,6,1)+ABS(Bookings!$B$5:$B$1004-DATE($B$4,6,1)))/2)))/2))</f>
        <v>0</v>
      </c>
      <c r="C15" s="25" t="n">
        <f aca="false">IF(K15=0,0,B15/K15)</f>
        <v>0</v>
      </c>
      <c r="D15" s="26" t="n">
        <f aca="false">IF(B15=0,0,L15/B15)</f>
        <v>0</v>
      </c>
      <c r="E15" s="26" t="n">
        <f aca="false">IF(K15=0,0,L15/K15)</f>
        <v>0</v>
      </c>
      <c r="F15" s="26" t="n">
        <f aca="false">SUMPRODUCT(Bookings!$AA$5:$AA$1004*(($D$4="All properties")+(Bookings!$D$5:$D$1004=$D$4)&gt;0)*(((((Bookings!$C$5:$C$1004+DATE($B$4,7,1)-ABS(Bookings!$C$5:$C$1004-DATE($B$4,7,1)))/2)-((Bookings!$B$5:$B$1004+DATE($B$4,6,1)+ABS(Bookings!$B$5:$B$1004-DATE($B$4,6,1)))/2))+ABS(((Bookings!$C$5:$C$1004+DATE($B$4,7,1)-ABS(Bookings!$C$5:$C$1004-DATE($B$4,7,1)))/2)-((Bookings!$B$5:$B$1004+DATE($B$4,6,1)+ABS(Bookings!$B$5:$B$1004-DATE($B$4,6,1)))/2)))/2)*Bookings!$AC$5:$AC$1004)</f>
        <v>0</v>
      </c>
      <c r="G15" s="26" t="n">
        <f aca="false">SUMPRODUCT(Bookings!$AA$5:$AA$1004*(($D$4="All properties")+(Bookings!$D$5:$D$1004=$D$4)&gt;0)*(((((Bookings!$C$5:$C$1004+DATE($B$4,7,1)-ABS(Bookings!$C$5:$C$1004-DATE($B$4,7,1)))/2)-((Bookings!$B$5:$B$1004+DATE($B$4,6,1)+ABS(Bookings!$B$5:$B$1004-DATE($B$4,6,1)))/2))+ABS(((Bookings!$C$5:$C$1004+DATE($B$4,7,1)-ABS(Bookings!$C$5:$C$1004-DATE($B$4,7,1)))/2)-((Bookings!$B$5:$B$1004+DATE($B$4,6,1)+ABS(Bookings!$B$5:$B$1004-DATE($B$4,6,1)))/2)))/2)*Bookings!$AD$5:$AD$1004)</f>
        <v>0</v>
      </c>
      <c r="H15" s="26" t="n">
        <f aca="false">IF($D$4="All properties",SUMIFS(Expenses!$F$5:$F$1004,Expenses!$A$5:$A$1004,"&gt;="&amp;DATE($B$4,6,1),Expenses!$A$5:$A$1004,"&lt;"&amp;DATE($B$4,7,1)),SUMIFS(Expenses!$F$5:$F$1004,Expenses!$A$5:$A$1004,"&gt;="&amp;DATE($B$4,6,1),Expenses!$A$5:$A$1004,"&lt;"&amp;DATE($B$4,7,1),Expenses!$B$5:$B$1004,$D$4))</f>
        <v>0</v>
      </c>
      <c r="I15" s="26" t="n">
        <f aca="false">F15-G15-H15</f>
        <v>0</v>
      </c>
      <c r="K15" s="21" t="n">
        <f aca="false">SUMPRODUCT((Properties!$A$5:$A$24&lt;&gt;"")*(($D$4="All properties")+(Properties!$A$5:$A$24=$D$4)&gt;0)*(((DATE($B$4,7,1)-((Properties!$K$5:$K$24+DATE($B$4,6,1)+ABS(Properties!$K$5:$K$24-DATE($B$4,6,1)))/2))+ABS(DATE($B$4,7,1)-((Properties!$K$5:$K$24+DATE($B$4,6,1)+ABS(Properties!$K$5:$K$24-DATE($B$4,6,1)))/2)))/2))</f>
        <v>30</v>
      </c>
      <c r="L15" s="22" t="n">
        <f aca="false">SUMPRODUCT(Bookings!$AA$5:$AA$1004*(($D$4="All properties")+(Bookings!$D$5:$D$1004=$D$4)&gt;0)*(((((Bookings!$C$5:$C$1004+DATE($B$4,7,1)-ABS(Bookings!$C$5:$C$1004-DATE($B$4,7,1)))/2)-((Bookings!$B$5:$B$1004+DATE($B$4,6,1)+ABS(Bookings!$B$5:$B$1004-DATE($B$4,6,1)))/2))+ABS(((Bookings!$C$5:$C$1004+DATE($B$4,7,1)-ABS(Bookings!$C$5:$C$1004-DATE($B$4,7,1)))/2)-((Bookings!$B$5:$B$1004+DATE($B$4,6,1)+ABS(Bookings!$B$5:$B$1004-DATE($B$4,6,1)))/2)))/2)*Bookings!$AB$5:$AB$1004)</f>
        <v>0</v>
      </c>
    </row>
    <row r="16" customFormat="false" ht="15" hidden="false" customHeight="false" outlineLevel="0" collapsed="false">
      <c r="A16" s="8" t="str">
        <f aca="false">TEXT(DATE($B$4,7,1),"mmm yyyy")</f>
        <v>Jul 2026</v>
      </c>
      <c r="B16" s="18" t="n">
        <f aca="false">SUMPRODUCT(Bookings!$AA$5:$AA$1004*(($D$4="All properties")+(Bookings!$D$5:$D$1004=$D$4)&gt;0)*(((((Bookings!$C$5:$C$1004+DATE($B$4,8,1)-ABS(Bookings!$C$5:$C$1004-DATE($B$4,8,1)))/2)-((Bookings!$B$5:$B$1004+DATE($B$4,7,1)+ABS(Bookings!$B$5:$B$1004-DATE($B$4,7,1)))/2))+ABS(((Bookings!$C$5:$C$1004+DATE($B$4,8,1)-ABS(Bookings!$C$5:$C$1004-DATE($B$4,8,1)))/2)-((Bookings!$B$5:$B$1004+DATE($B$4,7,1)+ABS(Bookings!$B$5:$B$1004-DATE($B$4,7,1)))/2)))/2))</f>
        <v>0</v>
      </c>
      <c r="C16" s="19" t="n">
        <f aca="false">IF(K16=0,0,B16/K16)</f>
        <v>0</v>
      </c>
      <c r="D16" s="20" t="n">
        <f aca="false">IF(B16=0,0,L16/B16)</f>
        <v>0</v>
      </c>
      <c r="E16" s="20" t="n">
        <f aca="false">IF(K16=0,0,L16/K16)</f>
        <v>0</v>
      </c>
      <c r="F16" s="20" t="n">
        <f aca="false">SUMPRODUCT(Bookings!$AA$5:$AA$1004*(($D$4="All properties")+(Bookings!$D$5:$D$1004=$D$4)&gt;0)*(((((Bookings!$C$5:$C$1004+DATE($B$4,8,1)-ABS(Bookings!$C$5:$C$1004-DATE($B$4,8,1)))/2)-((Bookings!$B$5:$B$1004+DATE($B$4,7,1)+ABS(Bookings!$B$5:$B$1004-DATE($B$4,7,1)))/2))+ABS(((Bookings!$C$5:$C$1004+DATE($B$4,8,1)-ABS(Bookings!$C$5:$C$1004-DATE($B$4,8,1)))/2)-((Bookings!$B$5:$B$1004+DATE($B$4,7,1)+ABS(Bookings!$B$5:$B$1004-DATE($B$4,7,1)))/2)))/2)*Bookings!$AC$5:$AC$1004)</f>
        <v>0</v>
      </c>
      <c r="G16" s="20" t="n">
        <f aca="false">SUMPRODUCT(Bookings!$AA$5:$AA$1004*(($D$4="All properties")+(Bookings!$D$5:$D$1004=$D$4)&gt;0)*(((((Bookings!$C$5:$C$1004+DATE($B$4,8,1)-ABS(Bookings!$C$5:$C$1004-DATE($B$4,8,1)))/2)-((Bookings!$B$5:$B$1004+DATE($B$4,7,1)+ABS(Bookings!$B$5:$B$1004-DATE($B$4,7,1)))/2))+ABS(((Bookings!$C$5:$C$1004+DATE($B$4,8,1)-ABS(Bookings!$C$5:$C$1004-DATE($B$4,8,1)))/2)-((Bookings!$B$5:$B$1004+DATE($B$4,7,1)+ABS(Bookings!$B$5:$B$1004-DATE($B$4,7,1)))/2)))/2)*Bookings!$AD$5:$AD$1004)</f>
        <v>0</v>
      </c>
      <c r="H16" s="20" t="n">
        <f aca="false">IF($D$4="All properties",SUMIFS(Expenses!$F$5:$F$1004,Expenses!$A$5:$A$1004,"&gt;="&amp;DATE($B$4,7,1),Expenses!$A$5:$A$1004,"&lt;"&amp;DATE($B$4,8,1)),SUMIFS(Expenses!$F$5:$F$1004,Expenses!$A$5:$A$1004,"&gt;="&amp;DATE($B$4,7,1),Expenses!$A$5:$A$1004,"&lt;"&amp;DATE($B$4,8,1),Expenses!$B$5:$B$1004,$D$4))</f>
        <v>0</v>
      </c>
      <c r="I16" s="20" t="n">
        <f aca="false">F16-G16-H16</f>
        <v>0</v>
      </c>
      <c r="K16" s="21" t="n">
        <f aca="false">SUMPRODUCT((Properties!$A$5:$A$24&lt;&gt;"")*(($D$4="All properties")+(Properties!$A$5:$A$24=$D$4)&gt;0)*(((DATE($B$4,8,1)-((Properties!$K$5:$K$24+DATE($B$4,7,1)+ABS(Properties!$K$5:$K$24-DATE($B$4,7,1)))/2))+ABS(DATE($B$4,8,1)-((Properties!$K$5:$K$24+DATE($B$4,7,1)+ABS(Properties!$K$5:$K$24-DATE($B$4,7,1)))/2)))/2))</f>
        <v>31</v>
      </c>
      <c r="L16" s="22" t="n">
        <f aca="false">SUMPRODUCT(Bookings!$AA$5:$AA$1004*(($D$4="All properties")+(Bookings!$D$5:$D$1004=$D$4)&gt;0)*(((((Bookings!$C$5:$C$1004+DATE($B$4,8,1)-ABS(Bookings!$C$5:$C$1004-DATE($B$4,8,1)))/2)-((Bookings!$B$5:$B$1004+DATE($B$4,7,1)+ABS(Bookings!$B$5:$B$1004-DATE($B$4,7,1)))/2))+ABS(((Bookings!$C$5:$C$1004+DATE($B$4,8,1)-ABS(Bookings!$C$5:$C$1004-DATE($B$4,8,1)))/2)-((Bookings!$B$5:$B$1004+DATE($B$4,7,1)+ABS(Bookings!$B$5:$B$1004-DATE($B$4,7,1)))/2)))/2)*Bookings!$AB$5:$AB$1004)</f>
        <v>0</v>
      </c>
    </row>
    <row r="17" customFormat="false" ht="15" hidden="false" customHeight="false" outlineLevel="0" collapsed="false">
      <c r="A17" s="23" t="str">
        <f aca="false">TEXT(DATE($B$4,8,1),"mmm yyyy")</f>
        <v>Aug 2026</v>
      </c>
      <c r="B17" s="24" t="n">
        <f aca="false">SUMPRODUCT(Bookings!$AA$5:$AA$1004*(($D$4="All properties")+(Bookings!$D$5:$D$1004=$D$4)&gt;0)*(((((Bookings!$C$5:$C$1004+DATE($B$4,9,1)-ABS(Bookings!$C$5:$C$1004-DATE($B$4,9,1)))/2)-((Bookings!$B$5:$B$1004+DATE($B$4,8,1)+ABS(Bookings!$B$5:$B$1004-DATE($B$4,8,1)))/2))+ABS(((Bookings!$C$5:$C$1004+DATE($B$4,9,1)-ABS(Bookings!$C$5:$C$1004-DATE($B$4,9,1)))/2)-((Bookings!$B$5:$B$1004+DATE($B$4,8,1)+ABS(Bookings!$B$5:$B$1004-DATE($B$4,8,1)))/2)))/2))</f>
        <v>0</v>
      </c>
      <c r="C17" s="25" t="n">
        <f aca="false">IF(K17=0,0,B17/K17)</f>
        <v>0</v>
      </c>
      <c r="D17" s="26" t="n">
        <f aca="false">IF(B17=0,0,L17/B17)</f>
        <v>0</v>
      </c>
      <c r="E17" s="26" t="n">
        <f aca="false">IF(K17=0,0,L17/K17)</f>
        <v>0</v>
      </c>
      <c r="F17" s="26" t="n">
        <f aca="false">SUMPRODUCT(Bookings!$AA$5:$AA$1004*(($D$4="All properties")+(Bookings!$D$5:$D$1004=$D$4)&gt;0)*(((((Bookings!$C$5:$C$1004+DATE($B$4,9,1)-ABS(Bookings!$C$5:$C$1004-DATE($B$4,9,1)))/2)-((Bookings!$B$5:$B$1004+DATE($B$4,8,1)+ABS(Bookings!$B$5:$B$1004-DATE($B$4,8,1)))/2))+ABS(((Bookings!$C$5:$C$1004+DATE($B$4,9,1)-ABS(Bookings!$C$5:$C$1004-DATE($B$4,9,1)))/2)-((Bookings!$B$5:$B$1004+DATE($B$4,8,1)+ABS(Bookings!$B$5:$B$1004-DATE($B$4,8,1)))/2)))/2)*Bookings!$AC$5:$AC$1004)</f>
        <v>0</v>
      </c>
      <c r="G17" s="26" t="n">
        <f aca="false">SUMPRODUCT(Bookings!$AA$5:$AA$1004*(($D$4="All properties")+(Bookings!$D$5:$D$1004=$D$4)&gt;0)*(((((Bookings!$C$5:$C$1004+DATE($B$4,9,1)-ABS(Bookings!$C$5:$C$1004-DATE($B$4,9,1)))/2)-((Bookings!$B$5:$B$1004+DATE($B$4,8,1)+ABS(Bookings!$B$5:$B$1004-DATE($B$4,8,1)))/2))+ABS(((Bookings!$C$5:$C$1004+DATE($B$4,9,1)-ABS(Bookings!$C$5:$C$1004-DATE($B$4,9,1)))/2)-((Bookings!$B$5:$B$1004+DATE($B$4,8,1)+ABS(Bookings!$B$5:$B$1004-DATE($B$4,8,1)))/2)))/2)*Bookings!$AD$5:$AD$1004)</f>
        <v>0</v>
      </c>
      <c r="H17" s="26" t="n">
        <f aca="false">IF($D$4="All properties",SUMIFS(Expenses!$F$5:$F$1004,Expenses!$A$5:$A$1004,"&gt;="&amp;DATE($B$4,8,1),Expenses!$A$5:$A$1004,"&lt;"&amp;DATE($B$4,9,1)),SUMIFS(Expenses!$F$5:$F$1004,Expenses!$A$5:$A$1004,"&gt;="&amp;DATE($B$4,8,1),Expenses!$A$5:$A$1004,"&lt;"&amp;DATE($B$4,9,1),Expenses!$B$5:$B$1004,$D$4))</f>
        <v>0</v>
      </c>
      <c r="I17" s="26" t="n">
        <f aca="false">F17-G17-H17</f>
        <v>0</v>
      </c>
      <c r="K17" s="21" t="n">
        <f aca="false">SUMPRODUCT((Properties!$A$5:$A$24&lt;&gt;"")*(($D$4="All properties")+(Properties!$A$5:$A$24=$D$4)&gt;0)*(((DATE($B$4,9,1)-((Properties!$K$5:$K$24+DATE($B$4,8,1)+ABS(Properties!$K$5:$K$24-DATE($B$4,8,1)))/2))+ABS(DATE($B$4,9,1)-((Properties!$K$5:$K$24+DATE($B$4,8,1)+ABS(Properties!$K$5:$K$24-DATE($B$4,8,1)))/2)))/2))</f>
        <v>31</v>
      </c>
      <c r="L17" s="22" t="n">
        <f aca="false">SUMPRODUCT(Bookings!$AA$5:$AA$1004*(($D$4="All properties")+(Bookings!$D$5:$D$1004=$D$4)&gt;0)*(((((Bookings!$C$5:$C$1004+DATE($B$4,9,1)-ABS(Bookings!$C$5:$C$1004-DATE($B$4,9,1)))/2)-((Bookings!$B$5:$B$1004+DATE($B$4,8,1)+ABS(Bookings!$B$5:$B$1004-DATE($B$4,8,1)))/2))+ABS(((Bookings!$C$5:$C$1004+DATE($B$4,9,1)-ABS(Bookings!$C$5:$C$1004-DATE($B$4,9,1)))/2)-((Bookings!$B$5:$B$1004+DATE($B$4,8,1)+ABS(Bookings!$B$5:$B$1004-DATE($B$4,8,1)))/2)))/2)*Bookings!$AB$5:$AB$1004)</f>
        <v>0</v>
      </c>
    </row>
    <row r="18" customFormat="false" ht="15" hidden="false" customHeight="false" outlineLevel="0" collapsed="false">
      <c r="A18" s="8" t="str">
        <f aca="false">TEXT(DATE($B$4,9,1),"mmm yyyy")</f>
        <v>Sep 2026</v>
      </c>
      <c r="B18" s="18" t="n">
        <f aca="false">SUMPRODUCT(Bookings!$AA$5:$AA$1004*(($D$4="All properties")+(Bookings!$D$5:$D$1004=$D$4)&gt;0)*(((((Bookings!$C$5:$C$1004+DATE($B$4,10,1)-ABS(Bookings!$C$5:$C$1004-DATE($B$4,10,1)))/2)-((Bookings!$B$5:$B$1004+DATE($B$4,9,1)+ABS(Bookings!$B$5:$B$1004-DATE($B$4,9,1)))/2))+ABS(((Bookings!$C$5:$C$1004+DATE($B$4,10,1)-ABS(Bookings!$C$5:$C$1004-DATE($B$4,10,1)))/2)-((Bookings!$B$5:$B$1004+DATE($B$4,9,1)+ABS(Bookings!$B$5:$B$1004-DATE($B$4,9,1)))/2)))/2))</f>
        <v>0</v>
      </c>
      <c r="C18" s="19" t="n">
        <f aca="false">IF(K18=0,0,B18/K18)</f>
        <v>0</v>
      </c>
      <c r="D18" s="20" t="n">
        <f aca="false">IF(B18=0,0,L18/B18)</f>
        <v>0</v>
      </c>
      <c r="E18" s="20" t="n">
        <f aca="false">IF(K18=0,0,L18/K18)</f>
        <v>0</v>
      </c>
      <c r="F18" s="20" t="n">
        <f aca="false">SUMPRODUCT(Bookings!$AA$5:$AA$1004*(($D$4="All properties")+(Bookings!$D$5:$D$1004=$D$4)&gt;0)*(((((Bookings!$C$5:$C$1004+DATE($B$4,10,1)-ABS(Bookings!$C$5:$C$1004-DATE($B$4,10,1)))/2)-((Bookings!$B$5:$B$1004+DATE($B$4,9,1)+ABS(Bookings!$B$5:$B$1004-DATE($B$4,9,1)))/2))+ABS(((Bookings!$C$5:$C$1004+DATE($B$4,10,1)-ABS(Bookings!$C$5:$C$1004-DATE($B$4,10,1)))/2)-((Bookings!$B$5:$B$1004+DATE($B$4,9,1)+ABS(Bookings!$B$5:$B$1004-DATE($B$4,9,1)))/2)))/2)*Bookings!$AC$5:$AC$1004)</f>
        <v>0</v>
      </c>
      <c r="G18" s="20" t="n">
        <f aca="false">SUMPRODUCT(Bookings!$AA$5:$AA$1004*(($D$4="All properties")+(Bookings!$D$5:$D$1004=$D$4)&gt;0)*(((((Bookings!$C$5:$C$1004+DATE($B$4,10,1)-ABS(Bookings!$C$5:$C$1004-DATE($B$4,10,1)))/2)-((Bookings!$B$5:$B$1004+DATE($B$4,9,1)+ABS(Bookings!$B$5:$B$1004-DATE($B$4,9,1)))/2))+ABS(((Bookings!$C$5:$C$1004+DATE($B$4,10,1)-ABS(Bookings!$C$5:$C$1004-DATE($B$4,10,1)))/2)-((Bookings!$B$5:$B$1004+DATE($B$4,9,1)+ABS(Bookings!$B$5:$B$1004-DATE($B$4,9,1)))/2)))/2)*Bookings!$AD$5:$AD$1004)</f>
        <v>0</v>
      </c>
      <c r="H18" s="20" t="n">
        <f aca="false">IF($D$4="All properties",SUMIFS(Expenses!$F$5:$F$1004,Expenses!$A$5:$A$1004,"&gt;="&amp;DATE($B$4,9,1),Expenses!$A$5:$A$1004,"&lt;"&amp;DATE($B$4,10,1)),SUMIFS(Expenses!$F$5:$F$1004,Expenses!$A$5:$A$1004,"&gt;="&amp;DATE($B$4,9,1),Expenses!$A$5:$A$1004,"&lt;"&amp;DATE($B$4,10,1),Expenses!$B$5:$B$1004,$D$4))</f>
        <v>0</v>
      </c>
      <c r="I18" s="20" t="n">
        <f aca="false">F18-G18-H18</f>
        <v>0</v>
      </c>
      <c r="K18" s="21" t="n">
        <f aca="false">SUMPRODUCT((Properties!$A$5:$A$24&lt;&gt;"")*(($D$4="All properties")+(Properties!$A$5:$A$24=$D$4)&gt;0)*(((DATE($B$4,10,1)-((Properties!$K$5:$K$24+DATE($B$4,9,1)+ABS(Properties!$K$5:$K$24-DATE($B$4,9,1)))/2))+ABS(DATE($B$4,10,1)-((Properties!$K$5:$K$24+DATE($B$4,9,1)+ABS(Properties!$K$5:$K$24-DATE($B$4,9,1)))/2)))/2))</f>
        <v>30</v>
      </c>
      <c r="L18" s="22" t="n">
        <f aca="false">SUMPRODUCT(Bookings!$AA$5:$AA$1004*(($D$4="All properties")+(Bookings!$D$5:$D$1004=$D$4)&gt;0)*(((((Bookings!$C$5:$C$1004+DATE($B$4,10,1)-ABS(Bookings!$C$5:$C$1004-DATE($B$4,10,1)))/2)-((Bookings!$B$5:$B$1004+DATE($B$4,9,1)+ABS(Bookings!$B$5:$B$1004-DATE($B$4,9,1)))/2))+ABS(((Bookings!$C$5:$C$1004+DATE($B$4,10,1)-ABS(Bookings!$C$5:$C$1004-DATE($B$4,10,1)))/2)-((Bookings!$B$5:$B$1004+DATE($B$4,9,1)+ABS(Bookings!$B$5:$B$1004-DATE($B$4,9,1)))/2)))/2)*Bookings!$AB$5:$AB$1004)</f>
        <v>0</v>
      </c>
    </row>
    <row r="19" customFormat="false" ht="15" hidden="false" customHeight="false" outlineLevel="0" collapsed="false">
      <c r="A19" s="23" t="str">
        <f aca="false">TEXT(DATE($B$4,10,1),"mmm yyyy")</f>
        <v>Oct 2026</v>
      </c>
      <c r="B19" s="24" t="n">
        <f aca="false">SUMPRODUCT(Bookings!$AA$5:$AA$1004*(($D$4="All properties")+(Bookings!$D$5:$D$1004=$D$4)&gt;0)*(((((Bookings!$C$5:$C$1004+DATE($B$4,11,1)-ABS(Bookings!$C$5:$C$1004-DATE($B$4,11,1)))/2)-((Bookings!$B$5:$B$1004+DATE($B$4,10,1)+ABS(Bookings!$B$5:$B$1004-DATE($B$4,10,1)))/2))+ABS(((Bookings!$C$5:$C$1004+DATE($B$4,11,1)-ABS(Bookings!$C$5:$C$1004-DATE($B$4,11,1)))/2)-((Bookings!$B$5:$B$1004+DATE($B$4,10,1)+ABS(Bookings!$B$5:$B$1004-DATE($B$4,10,1)))/2)))/2))</f>
        <v>5</v>
      </c>
      <c r="C19" s="25" t="n">
        <f aca="false">IF(K19=0,0,B19/K19)</f>
        <v>0.161290322580645</v>
      </c>
      <c r="D19" s="26" t="n">
        <f aca="false">IF(B19=0,0,L19/B19)</f>
        <v>201</v>
      </c>
      <c r="E19" s="26" t="n">
        <f aca="false">IF(K19=0,0,L19/K19)</f>
        <v>32.4193548387097</v>
      </c>
      <c r="F19" s="26" t="n">
        <f aca="false">SUMPRODUCT(Bookings!$AA$5:$AA$1004*(($D$4="All properties")+(Bookings!$D$5:$D$1004=$D$4)&gt;0)*(((((Bookings!$C$5:$C$1004+DATE($B$4,11,1)-ABS(Bookings!$C$5:$C$1004-DATE($B$4,11,1)))/2)-((Bookings!$B$5:$B$1004+DATE($B$4,10,1)+ABS(Bookings!$B$5:$B$1004-DATE($B$4,10,1)))/2))+ABS(((Bookings!$C$5:$C$1004+DATE($B$4,11,1)-ABS(Bookings!$C$5:$C$1004-DATE($B$4,11,1)))/2)-((Bookings!$B$5:$B$1004+DATE($B$4,10,1)+ABS(Bookings!$B$5:$B$1004-DATE($B$4,10,1)))/2)))/2)*Bookings!$AC$5:$AC$1004)</f>
        <v>1241.6</v>
      </c>
      <c r="G19" s="26" t="n">
        <f aca="false">SUMPRODUCT(Bookings!$AA$5:$AA$1004*(($D$4="All properties")+(Bookings!$D$5:$D$1004=$D$4)&gt;0)*(((((Bookings!$C$5:$C$1004+DATE($B$4,11,1)-ABS(Bookings!$C$5:$C$1004-DATE($B$4,11,1)))/2)-((Bookings!$B$5:$B$1004+DATE($B$4,10,1)+ABS(Bookings!$B$5:$B$1004-DATE($B$4,10,1)))/2))+ABS(((Bookings!$C$5:$C$1004+DATE($B$4,11,1)-ABS(Bookings!$C$5:$C$1004-DATE($B$4,11,1)))/2)-((Bookings!$B$5:$B$1004+DATE($B$4,10,1)+ABS(Bookings!$B$5:$B$1004-DATE($B$4,10,1)))/2)))/2)*Bookings!$AD$5:$AD$1004)</f>
        <v>130</v>
      </c>
      <c r="H19" s="26" t="n">
        <f aca="false">IF($D$4="All properties",SUMIFS(Expenses!$F$5:$F$1004,Expenses!$A$5:$A$1004,"&gt;="&amp;DATE($B$4,10,1),Expenses!$A$5:$A$1004,"&lt;"&amp;DATE($B$4,11,1)),SUMIFS(Expenses!$F$5:$F$1004,Expenses!$A$5:$A$1004,"&gt;="&amp;DATE($B$4,10,1),Expenses!$A$5:$A$1004,"&lt;"&amp;DATE($B$4,11,1),Expenses!$B$5:$B$1004,$D$4))</f>
        <v>162.17</v>
      </c>
      <c r="I19" s="26" t="n">
        <f aca="false">F19-G19-H19</f>
        <v>949.43</v>
      </c>
      <c r="K19" s="21" t="n">
        <f aca="false">SUMPRODUCT((Properties!$A$5:$A$24&lt;&gt;"")*(($D$4="All properties")+(Properties!$A$5:$A$24=$D$4)&gt;0)*(((DATE($B$4,11,1)-((Properties!$K$5:$K$24+DATE($B$4,10,1)+ABS(Properties!$K$5:$K$24-DATE($B$4,10,1)))/2))+ABS(DATE($B$4,11,1)-((Properties!$K$5:$K$24+DATE($B$4,10,1)+ABS(Properties!$K$5:$K$24-DATE($B$4,10,1)))/2)))/2))</f>
        <v>31</v>
      </c>
      <c r="L19" s="22" t="n">
        <f aca="false">SUMPRODUCT(Bookings!$AA$5:$AA$1004*(($D$4="All properties")+(Bookings!$D$5:$D$1004=$D$4)&gt;0)*(((((Bookings!$C$5:$C$1004+DATE($B$4,11,1)-ABS(Bookings!$C$5:$C$1004-DATE($B$4,11,1)))/2)-((Bookings!$B$5:$B$1004+DATE($B$4,10,1)+ABS(Bookings!$B$5:$B$1004-DATE($B$4,10,1)))/2))+ABS(((Bookings!$C$5:$C$1004+DATE($B$4,11,1)-ABS(Bookings!$C$5:$C$1004-DATE($B$4,11,1)))/2)-((Bookings!$B$5:$B$1004+DATE($B$4,10,1)+ABS(Bookings!$B$5:$B$1004-DATE($B$4,10,1)))/2)))/2)*Bookings!$AB$5:$AB$1004)</f>
        <v>1005</v>
      </c>
    </row>
    <row r="20" customFormat="false" ht="15" hidden="false" customHeight="false" outlineLevel="0" collapsed="false">
      <c r="A20" s="8" t="str">
        <f aca="false">TEXT(DATE($B$4,11,1),"mmm yyyy")</f>
        <v>Nov 2026</v>
      </c>
      <c r="B20" s="18" t="n">
        <f aca="false">SUMPRODUCT(Bookings!$AA$5:$AA$1004*(($D$4="All properties")+(Bookings!$D$5:$D$1004=$D$4)&gt;0)*(((((Bookings!$C$5:$C$1004+DATE($B$4,12,1)-ABS(Bookings!$C$5:$C$1004-DATE($B$4,12,1)))/2)-((Bookings!$B$5:$B$1004+DATE($B$4,11,1)+ABS(Bookings!$B$5:$B$1004-DATE($B$4,11,1)))/2))+ABS(((Bookings!$C$5:$C$1004+DATE($B$4,12,1)-ABS(Bookings!$C$5:$C$1004-DATE($B$4,12,1)))/2)-((Bookings!$B$5:$B$1004+DATE($B$4,11,1)+ABS(Bookings!$B$5:$B$1004-DATE($B$4,11,1)))/2)))/2))</f>
        <v>0</v>
      </c>
      <c r="C20" s="19" t="n">
        <f aca="false">IF(K20=0,0,B20/K20)</f>
        <v>0</v>
      </c>
      <c r="D20" s="20" t="n">
        <f aca="false">IF(B20=0,0,L20/B20)</f>
        <v>0</v>
      </c>
      <c r="E20" s="20" t="n">
        <f aca="false">IF(K20=0,0,L20/K20)</f>
        <v>0</v>
      </c>
      <c r="F20" s="20" t="n">
        <f aca="false">SUMPRODUCT(Bookings!$AA$5:$AA$1004*(($D$4="All properties")+(Bookings!$D$5:$D$1004=$D$4)&gt;0)*(((((Bookings!$C$5:$C$1004+DATE($B$4,12,1)-ABS(Bookings!$C$5:$C$1004-DATE($B$4,12,1)))/2)-((Bookings!$B$5:$B$1004+DATE($B$4,11,1)+ABS(Bookings!$B$5:$B$1004-DATE($B$4,11,1)))/2))+ABS(((Bookings!$C$5:$C$1004+DATE($B$4,12,1)-ABS(Bookings!$C$5:$C$1004-DATE($B$4,12,1)))/2)-((Bookings!$B$5:$B$1004+DATE($B$4,11,1)+ABS(Bookings!$B$5:$B$1004-DATE($B$4,11,1)))/2)))/2)*Bookings!$AC$5:$AC$1004)</f>
        <v>0</v>
      </c>
      <c r="G20" s="20" t="n">
        <f aca="false">SUMPRODUCT(Bookings!$AA$5:$AA$1004*(($D$4="All properties")+(Bookings!$D$5:$D$1004=$D$4)&gt;0)*(((((Bookings!$C$5:$C$1004+DATE($B$4,12,1)-ABS(Bookings!$C$5:$C$1004-DATE($B$4,12,1)))/2)-((Bookings!$B$5:$B$1004+DATE($B$4,11,1)+ABS(Bookings!$B$5:$B$1004-DATE($B$4,11,1)))/2))+ABS(((Bookings!$C$5:$C$1004+DATE($B$4,12,1)-ABS(Bookings!$C$5:$C$1004-DATE($B$4,12,1)))/2)-((Bookings!$B$5:$B$1004+DATE($B$4,11,1)+ABS(Bookings!$B$5:$B$1004-DATE($B$4,11,1)))/2)))/2)*Bookings!$AD$5:$AD$1004)</f>
        <v>0</v>
      </c>
      <c r="H20" s="20" t="n">
        <f aca="false">IF($D$4="All properties",SUMIFS(Expenses!$F$5:$F$1004,Expenses!$A$5:$A$1004,"&gt;="&amp;DATE($B$4,11,1),Expenses!$A$5:$A$1004,"&lt;"&amp;DATE($B$4,12,1)),SUMIFS(Expenses!$F$5:$F$1004,Expenses!$A$5:$A$1004,"&gt;="&amp;DATE($B$4,11,1),Expenses!$A$5:$A$1004,"&lt;"&amp;DATE($B$4,12,1),Expenses!$B$5:$B$1004,$D$4))</f>
        <v>0</v>
      </c>
      <c r="I20" s="20" t="n">
        <f aca="false">F20-G20-H20</f>
        <v>0</v>
      </c>
      <c r="K20" s="21" t="n">
        <f aca="false">SUMPRODUCT((Properties!$A$5:$A$24&lt;&gt;"")*(($D$4="All properties")+(Properties!$A$5:$A$24=$D$4)&gt;0)*(((DATE($B$4,12,1)-((Properties!$K$5:$K$24+DATE($B$4,11,1)+ABS(Properties!$K$5:$K$24-DATE($B$4,11,1)))/2))+ABS(DATE($B$4,12,1)-((Properties!$K$5:$K$24+DATE($B$4,11,1)+ABS(Properties!$K$5:$K$24-DATE($B$4,11,1)))/2)))/2))</f>
        <v>30</v>
      </c>
      <c r="L20" s="22" t="n">
        <f aca="false">SUMPRODUCT(Bookings!$AA$5:$AA$1004*(($D$4="All properties")+(Bookings!$D$5:$D$1004=$D$4)&gt;0)*(((((Bookings!$C$5:$C$1004+DATE($B$4,12,1)-ABS(Bookings!$C$5:$C$1004-DATE($B$4,12,1)))/2)-((Bookings!$B$5:$B$1004+DATE($B$4,11,1)+ABS(Bookings!$B$5:$B$1004-DATE($B$4,11,1)))/2))+ABS(((Bookings!$C$5:$C$1004+DATE($B$4,12,1)-ABS(Bookings!$C$5:$C$1004-DATE($B$4,12,1)))/2)-((Bookings!$B$5:$B$1004+DATE($B$4,11,1)+ABS(Bookings!$B$5:$B$1004-DATE($B$4,11,1)))/2)))/2)*Bookings!$AB$5:$AB$1004)</f>
        <v>0</v>
      </c>
    </row>
    <row r="21" customFormat="false" ht="15" hidden="false" customHeight="false" outlineLevel="0" collapsed="false">
      <c r="A21" s="23" t="str">
        <f aca="false">TEXT(DATE($B$4,12,1),"mmm yyyy")</f>
        <v>Dec 2026</v>
      </c>
      <c r="B21" s="24" t="n">
        <f aca="false">SUMPRODUCT(Bookings!$AA$5:$AA$1004*(($D$4="All properties")+(Bookings!$D$5:$D$1004=$D$4)&gt;0)*(((((Bookings!$C$5:$C$1004+DATE($B$4,13,1)-ABS(Bookings!$C$5:$C$1004-DATE($B$4,13,1)))/2)-((Bookings!$B$5:$B$1004+DATE($B$4,12,1)+ABS(Bookings!$B$5:$B$1004-DATE($B$4,12,1)))/2))+ABS(((Bookings!$C$5:$C$1004+DATE($B$4,13,1)-ABS(Bookings!$C$5:$C$1004-DATE($B$4,13,1)))/2)-((Bookings!$B$5:$B$1004+DATE($B$4,12,1)+ABS(Bookings!$B$5:$B$1004-DATE($B$4,12,1)))/2)))/2))</f>
        <v>0</v>
      </c>
      <c r="C21" s="25" t="n">
        <f aca="false">IF(K21=0,0,B21/K21)</f>
        <v>0</v>
      </c>
      <c r="D21" s="26" t="n">
        <f aca="false">IF(B21=0,0,L21/B21)</f>
        <v>0</v>
      </c>
      <c r="E21" s="26" t="n">
        <f aca="false">IF(K21=0,0,L21/K21)</f>
        <v>0</v>
      </c>
      <c r="F21" s="26" t="n">
        <f aca="false">SUMPRODUCT(Bookings!$AA$5:$AA$1004*(($D$4="All properties")+(Bookings!$D$5:$D$1004=$D$4)&gt;0)*(((((Bookings!$C$5:$C$1004+DATE($B$4,13,1)-ABS(Bookings!$C$5:$C$1004-DATE($B$4,13,1)))/2)-((Bookings!$B$5:$B$1004+DATE($B$4,12,1)+ABS(Bookings!$B$5:$B$1004-DATE($B$4,12,1)))/2))+ABS(((Bookings!$C$5:$C$1004+DATE($B$4,13,1)-ABS(Bookings!$C$5:$C$1004-DATE($B$4,13,1)))/2)-((Bookings!$B$5:$B$1004+DATE($B$4,12,1)+ABS(Bookings!$B$5:$B$1004-DATE($B$4,12,1)))/2)))/2)*Bookings!$AC$5:$AC$1004)</f>
        <v>0</v>
      </c>
      <c r="G21" s="26" t="n">
        <f aca="false">SUMPRODUCT(Bookings!$AA$5:$AA$1004*(($D$4="All properties")+(Bookings!$D$5:$D$1004=$D$4)&gt;0)*(((((Bookings!$C$5:$C$1004+DATE($B$4,13,1)-ABS(Bookings!$C$5:$C$1004-DATE($B$4,13,1)))/2)-((Bookings!$B$5:$B$1004+DATE($B$4,12,1)+ABS(Bookings!$B$5:$B$1004-DATE($B$4,12,1)))/2))+ABS(((Bookings!$C$5:$C$1004+DATE($B$4,13,1)-ABS(Bookings!$C$5:$C$1004-DATE($B$4,13,1)))/2)-((Bookings!$B$5:$B$1004+DATE($B$4,12,1)+ABS(Bookings!$B$5:$B$1004-DATE($B$4,12,1)))/2)))/2)*Bookings!$AD$5:$AD$1004)</f>
        <v>0</v>
      </c>
      <c r="H21" s="26" t="n">
        <f aca="false">IF($D$4="All properties",SUMIFS(Expenses!$F$5:$F$1004,Expenses!$A$5:$A$1004,"&gt;="&amp;DATE($B$4,12,1),Expenses!$A$5:$A$1004,"&lt;"&amp;DATE($B$4,13,1)),SUMIFS(Expenses!$F$5:$F$1004,Expenses!$A$5:$A$1004,"&gt;="&amp;DATE($B$4,12,1),Expenses!$A$5:$A$1004,"&lt;"&amp;DATE($B$4,13,1),Expenses!$B$5:$B$1004,$D$4))</f>
        <v>0</v>
      </c>
      <c r="I21" s="26" t="n">
        <f aca="false">F21-G21-H21</f>
        <v>0</v>
      </c>
      <c r="K21" s="21" t="n">
        <f aca="false">SUMPRODUCT((Properties!$A$5:$A$24&lt;&gt;"")*(($D$4="All properties")+(Properties!$A$5:$A$24=$D$4)&gt;0)*(((DATE($B$4,13,1)-((Properties!$K$5:$K$24+DATE($B$4,12,1)+ABS(Properties!$K$5:$K$24-DATE($B$4,12,1)))/2))+ABS(DATE($B$4,13,1)-((Properties!$K$5:$K$24+DATE($B$4,12,1)+ABS(Properties!$K$5:$K$24-DATE($B$4,12,1)))/2)))/2))</f>
        <v>31</v>
      </c>
      <c r="L21" s="22" t="n">
        <f aca="false">SUMPRODUCT(Bookings!$AA$5:$AA$1004*(($D$4="All properties")+(Bookings!$D$5:$D$1004=$D$4)&gt;0)*(((((Bookings!$C$5:$C$1004+DATE($B$4,13,1)-ABS(Bookings!$C$5:$C$1004-DATE($B$4,13,1)))/2)-((Bookings!$B$5:$B$1004+DATE($B$4,12,1)+ABS(Bookings!$B$5:$B$1004-DATE($B$4,12,1)))/2))+ABS(((Bookings!$C$5:$C$1004+DATE($B$4,13,1)-ABS(Bookings!$C$5:$C$1004-DATE($B$4,13,1)))/2)-((Bookings!$B$5:$B$1004+DATE($B$4,12,1)+ABS(Bookings!$B$5:$B$1004-DATE($B$4,12,1)))/2)))/2)*Bookings!$AB$5:$AB$1004)</f>
        <v>0</v>
      </c>
    </row>
    <row r="22" customFormat="false" ht="15" hidden="false" customHeight="false" outlineLevel="0" collapsed="false">
      <c r="A22" s="4" t="s">
        <v>53</v>
      </c>
      <c r="B22" s="27" t="n">
        <f aca="false">SUM(B10:B21)</f>
        <v>5</v>
      </c>
      <c r="C22" s="28" t="n">
        <f aca="false">IF(K22=0,0,B22/K22)</f>
        <v>0.0136986301369863</v>
      </c>
      <c r="D22" s="29" t="n">
        <f aca="false">IF(B22=0,0,L22/B22)</f>
        <v>201</v>
      </c>
      <c r="E22" s="29" t="n">
        <f aca="false">IF(K22=0,0,L22/K22)</f>
        <v>2.75342465753425</v>
      </c>
      <c r="F22" s="29" t="n">
        <f aca="false">SUM(F10:F21)</f>
        <v>1241.6</v>
      </c>
      <c r="G22" s="29" t="n">
        <f aca="false">SUM(G10:G21)</f>
        <v>130</v>
      </c>
      <c r="H22" s="29" t="n">
        <f aca="false">SUM(H10:H21)</f>
        <v>162.17</v>
      </c>
      <c r="I22" s="29" t="n">
        <f aca="false">SUM(I10:I21)</f>
        <v>949.43</v>
      </c>
      <c r="K22" s="21" t="n">
        <f aca="false">SUM(K10:K21)</f>
        <v>365</v>
      </c>
      <c r="L22" s="22" t="n">
        <f aca="false">SUM(L10:L21)</f>
        <v>1005</v>
      </c>
    </row>
    <row r="25" customFormat="false" ht="15" hidden="false" customHeight="false" outlineLevel="0" collapsed="false">
      <c r="A25" s="30" t="s">
        <v>54</v>
      </c>
    </row>
    <row r="26" customFormat="false" ht="31.5" hidden="false" customHeight="true" outlineLevel="0" collapsed="false">
      <c r="A26" s="16" t="s">
        <v>55</v>
      </c>
      <c r="B26" s="16" t="s">
        <v>48</v>
      </c>
      <c r="C26" s="16" t="s">
        <v>25</v>
      </c>
      <c r="D26" s="16" t="s">
        <v>27</v>
      </c>
      <c r="E26" s="16" t="s">
        <v>29</v>
      </c>
      <c r="F26" s="16" t="s">
        <v>31</v>
      </c>
      <c r="G26" s="16" t="s">
        <v>49</v>
      </c>
      <c r="H26" s="16" t="s">
        <v>50</v>
      </c>
      <c r="I26" s="16" t="s">
        <v>43</v>
      </c>
    </row>
    <row r="27" customFormat="false" ht="15" hidden="false" customHeight="false" outlineLevel="0" collapsed="false">
      <c r="A27" s="8" t="str">
        <f aca="false">IF(Properties!A5="","",Properties!A5)</f>
        <v>EXAMPLE – Lakeview Cabin</v>
      </c>
      <c r="B27" s="18" t="n">
        <f aca="false">IF($A27="","",SUMPRODUCT(Bookings!$AA$5:$AA$1004*(($A27="All properties")+(Bookings!$D$5:$D$1004=$A27)&gt;0)*(((((Bookings!$C$5:$C$1004+DATE($B$4+1,1,1)-ABS(Bookings!$C$5:$C$1004-DATE($B$4+1,1,1)))/2)-((Bookings!$B$5:$B$1004+DATE($B$4,1,1)+ABS(Bookings!$B$5:$B$1004-DATE($B$4,1,1)))/2))+ABS(((Bookings!$C$5:$C$1004+DATE($B$4+1,1,1)-ABS(Bookings!$C$5:$C$1004-DATE($B$4+1,1,1)))/2)-((Bookings!$B$5:$B$1004+DATE($B$4,1,1)+ABS(Bookings!$B$5:$B$1004-DATE($B$4,1,1)))/2)))/2)))</f>
        <v>5</v>
      </c>
      <c r="C27" s="19" t="n">
        <f aca="false">IF($A27="","",IF(K27=0,0,B27/K27))</f>
        <v>0.0136986301369863</v>
      </c>
      <c r="D27" s="20" t="n">
        <f aca="false">IF($A27="","",IF(B27=0,0,L27/B27))</f>
        <v>201</v>
      </c>
      <c r="E27" s="20" t="n">
        <f aca="false">IF($A27="","",IF(K27=0,0,L27/K27))</f>
        <v>2.75342465753425</v>
      </c>
      <c r="F27" s="20" t="n">
        <f aca="false">IF($A27="","",SUMPRODUCT(Bookings!$AA$5:$AA$1004*(($A27="All properties")+(Bookings!$D$5:$D$1004=$A27)&gt;0)*(((((Bookings!$C$5:$C$1004+DATE($B$4+1,1,1)-ABS(Bookings!$C$5:$C$1004-DATE($B$4+1,1,1)))/2)-((Bookings!$B$5:$B$1004+DATE($B$4,1,1)+ABS(Bookings!$B$5:$B$1004-DATE($B$4,1,1)))/2))+ABS(((Bookings!$C$5:$C$1004+DATE($B$4+1,1,1)-ABS(Bookings!$C$5:$C$1004-DATE($B$4+1,1,1)))/2)-((Bookings!$B$5:$B$1004+DATE($B$4,1,1)+ABS(Bookings!$B$5:$B$1004-DATE($B$4,1,1)))/2)))/2)*Bookings!$AC$5:$AC$1004))</f>
        <v>1241.6</v>
      </c>
      <c r="G27" s="20" t="n">
        <f aca="false">IF($A27="","",SUMPRODUCT(Bookings!$AA$5:$AA$1004*(($A27="All properties")+(Bookings!$D$5:$D$1004=$A27)&gt;0)*(((((Bookings!$C$5:$C$1004+DATE($B$4+1,1,1)-ABS(Bookings!$C$5:$C$1004-DATE($B$4+1,1,1)))/2)-((Bookings!$B$5:$B$1004+DATE($B$4,1,1)+ABS(Bookings!$B$5:$B$1004-DATE($B$4,1,1)))/2))+ABS(((Bookings!$C$5:$C$1004+DATE($B$4+1,1,1)-ABS(Bookings!$C$5:$C$1004-DATE($B$4+1,1,1)))/2)-((Bookings!$B$5:$B$1004+DATE($B$4,1,1)+ABS(Bookings!$B$5:$B$1004-DATE($B$4,1,1)))/2)))/2)*Bookings!$AD$5:$AD$1004))</f>
        <v>130</v>
      </c>
      <c r="H27" s="20" t="n">
        <f aca="false">IF($A27="","",SUMIFS(Expenses!$F$5:$F$1004,Expenses!$A$5:$A$1004,"&gt;="&amp;DATE($B$4,1,1),Expenses!$A$5:$A$1004,"&lt;"&amp;DATE($B$4+1,1,1),Expenses!$B$5:$B$1004,$A27))</f>
        <v>142.18</v>
      </c>
      <c r="I27" s="20" t="n">
        <f aca="false">IF($A27="","",F27-G27-H27)</f>
        <v>969.42</v>
      </c>
      <c r="K27" s="21" t="n">
        <f aca="false">IF($A27="","",SUMPRODUCT((Properties!$A$5:$A$24&lt;&gt;"")*(($A27="All properties")+(Properties!$A$5:$A$24=$A27)&gt;0)*(((DATE($B$4+1,1,1)-((Properties!$K$5:$K$24+DATE($B$4,1,1)+ABS(Properties!$K$5:$K$24-DATE($B$4,1,1)))/2))+ABS(DATE($B$4+1,1,1)-((Properties!$K$5:$K$24+DATE($B$4,1,1)+ABS(Properties!$K$5:$K$24-DATE($B$4,1,1)))/2)))/2)))</f>
        <v>365</v>
      </c>
      <c r="L27" s="22" t="n">
        <f aca="false">IF($A27="","",SUMPRODUCT(Bookings!$AA$5:$AA$1004*(($A27="All properties")+(Bookings!$D$5:$D$1004=$A27)&gt;0)*(((((Bookings!$C$5:$C$1004+DATE($B$4+1,1,1)-ABS(Bookings!$C$5:$C$1004-DATE($B$4+1,1,1)))/2)-((Bookings!$B$5:$B$1004+DATE($B$4,1,1)+ABS(Bookings!$B$5:$B$1004-DATE($B$4,1,1)))/2))+ABS(((Bookings!$C$5:$C$1004+DATE($B$4+1,1,1)-ABS(Bookings!$C$5:$C$1004-DATE($B$4+1,1,1)))/2)-((Bookings!$B$5:$B$1004+DATE($B$4,1,1)+ABS(Bookings!$B$5:$B$1004-DATE($B$4,1,1)))/2)))/2)*Bookings!$AB$5:$AB$1004))</f>
        <v>1005</v>
      </c>
    </row>
    <row r="28" customFormat="false" ht="15" hidden="false" customHeight="false" outlineLevel="0" collapsed="false">
      <c r="A28" s="8" t="str">
        <f aca="false">IF(Properties!A6="","",Properties!A6)</f>
        <v/>
      </c>
      <c r="B28" s="18" t="str">
        <f aca="false">IF($A28="","",SUMPRODUCT(Bookings!$AA$5:$AA$1004*(($A28="All properties")+(Bookings!$D$5:$D$1004=$A28)&gt;0)*(((((Bookings!$C$5:$C$1004+DATE($B$4+1,1,1)-ABS(Bookings!$C$5:$C$1004-DATE($B$4+1,1,1)))/2)-((Bookings!$B$5:$B$1004+DATE($B$4,1,1)+ABS(Bookings!$B$5:$B$1004-DATE($B$4,1,1)))/2))+ABS(((Bookings!$C$5:$C$1004+DATE($B$4+1,1,1)-ABS(Bookings!$C$5:$C$1004-DATE($B$4+1,1,1)))/2)-((Bookings!$B$5:$B$1004+DATE($B$4,1,1)+ABS(Bookings!$B$5:$B$1004-DATE($B$4,1,1)))/2)))/2)))</f>
        <v/>
      </c>
      <c r="C28" s="19" t="str">
        <f aca="false">IF($A28="","",IF(K28=0,0,B28/K28))</f>
        <v/>
      </c>
      <c r="D28" s="20" t="str">
        <f aca="false">IF($A28="","",IF(B28=0,0,L28/B28))</f>
        <v/>
      </c>
      <c r="E28" s="20" t="str">
        <f aca="false">IF($A28="","",IF(K28=0,0,L28/K28))</f>
        <v/>
      </c>
      <c r="F28" s="20" t="str">
        <f aca="false">IF($A28="","",SUMPRODUCT(Bookings!$AA$5:$AA$1004*(($A28="All properties")+(Bookings!$D$5:$D$1004=$A28)&gt;0)*(((((Bookings!$C$5:$C$1004+DATE($B$4+1,1,1)-ABS(Bookings!$C$5:$C$1004-DATE($B$4+1,1,1)))/2)-((Bookings!$B$5:$B$1004+DATE($B$4,1,1)+ABS(Bookings!$B$5:$B$1004-DATE($B$4,1,1)))/2))+ABS(((Bookings!$C$5:$C$1004+DATE($B$4+1,1,1)-ABS(Bookings!$C$5:$C$1004-DATE($B$4+1,1,1)))/2)-((Bookings!$B$5:$B$1004+DATE($B$4,1,1)+ABS(Bookings!$B$5:$B$1004-DATE($B$4,1,1)))/2)))/2)*Bookings!$AC$5:$AC$1004))</f>
        <v/>
      </c>
      <c r="G28" s="20" t="str">
        <f aca="false">IF($A28="","",SUMPRODUCT(Bookings!$AA$5:$AA$1004*(($A28="All properties")+(Bookings!$D$5:$D$1004=$A28)&gt;0)*(((((Bookings!$C$5:$C$1004+DATE($B$4+1,1,1)-ABS(Bookings!$C$5:$C$1004-DATE($B$4+1,1,1)))/2)-((Bookings!$B$5:$B$1004+DATE($B$4,1,1)+ABS(Bookings!$B$5:$B$1004-DATE($B$4,1,1)))/2))+ABS(((Bookings!$C$5:$C$1004+DATE($B$4+1,1,1)-ABS(Bookings!$C$5:$C$1004-DATE($B$4+1,1,1)))/2)-((Bookings!$B$5:$B$1004+DATE($B$4,1,1)+ABS(Bookings!$B$5:$B$1004-DATE($B$4,1,1)))/2)))/2)*Bookings!$AD$5:$AD$1004))</f>
        <v/>
      </c>
      <c r="H28" s="20" t="str">
        <f aca="false">IF($A28="","",SUMIFS(Expenses!$F$5:$F$1004,Expenses!$A$5:$A$1004,"&gt;="&amp;DATE($B$4,1,1),Expenses!$A$5:$A$1004,"&lt;"&amp;DATE($B$4+1,1,1),Expenses!$B$5:$B$1004,$A28))</f>
        <v/>
      </c>
      <c r="I28" s="20" t="str">
        <f aca="false">IF($A28="","",F28-G28-H28)</f>
        <v/>
      </c>
      <c r="K28" s="21" t="str">
        <f aca="false">IF($A28="","",SUMPRODUCT((Properties!$A$5:$A$24&lt;&gt;"")*(($A28="All properties")+(Properties!$A$5:$A$24=$A28)&gt;0)*(((DATE($B$4+1,1,1)-((Properties!$K$5:$K$24+DATE($B$4,1,1)+ABS(Properties!$K$5:$K$24-DATE($B$4,1,1)))/2))+ABS(DATE($B$4+1,1,1)-((Properties!$K$5:$K$24+DATE($B$4,1,1)+ABS(Properties!$K$5:$K$24-DATE($B$4,1,1)))/2)))/2)))</f>
        <v/>
      </c>
      <c r="L28" s="22" t="str">
        <f aca="false">IF($A28="","",SUMPRODUCT(Bookings!$AA$5:$AA$1004*(($A28="All properties")+(Bookings!$D$5:$D$1004=$A28)&gt;0)*(((((Bookings!$C$5:$C$1004+DATE($B$4+1,1,1)-ABS(Bookings!$C$5:$C$1004-DATE($B$4+1,1,1)))/2)-((Bookings!$B$5:$B$1004+DATE($B$4,1,1)+ABS(Bookings!$B$5:$B$1004-DATE($B$4,1,1)))/2))+ABS(((Bookings!$C$5:$C$1004+DATE($B$4+1,1,1)-ABS(Bookings!$C$5:$C$1004-DATE($B$4+1,1,1)))/2)-((Bookings!$B$5:$B$1004+DATE($B$4,1,1)+ABS(Bookings!$B$5:$B$1004-DATE($B$4,1,1)))/2)))/2)*Bookings!$AB$5:$AB$1004))</f>
        <v/>
      </c>
    </row>
    <row r="29" customFormat="false" ht="15" hidden="false" customHeight="false" outlineLevel="0" collapsed="false">
      <c r="A29" s="8" t="str">
        <f aca="false">IF(Properties!A7="","",Properties!A7)</f>
        <v/>
      </c>
      <c r="B29" s="18" t="str">
        <f aca="false">IF($A29="","",SUMPRODUCT(Bookings!$AA$5:$AA$1004*(($A29="All properties")+(Bookings!$D$5:$D$1004=$A29)&gt;0)*(((((Bookings!$C$5:$C$1004+DATE($B$4+1,1,1)-ABS(Bookings!$C$5:$C$1004-DATE($B$4+1,1,1)))/2)-((Bookings!$B$5:$B$1004+DATE($B$4,1,1)+ABS(Bookings!$B$5:$B$1004-DATE($B$4,1,1)))/2))+ABS(((Bookings!$C$5:$C$1004+DATE($B$4+1,1,1)-ABS(Bookings!$C$5:$C$1004-DATE($B$4+1,1,1)))/2)-((Bookings!$B$5:$B$1004+DATE($B$4,1,1)+ABS(Bookings!$B$5:$B$1004-DATE($B$4,1,1)))/2)))/2)))</f>
        <v/>
      </c>
      <c r="C29" s="19" t="str">
        <f aca="false">IF($A29="","",IF(K29=0,0,B29/K29))</f>
        <v/>
      </c>
      <c r="D29" s="20" t="str">
        <f aca="false">IF($A29="","",IF(B29=0,0,L29/B29))</f>
        <v/>
      </c>
      <c r="E29" s="20" t="str">
        <f aca="false">IF($A29="","",IF(K29=0,0,L29/K29))</f>
        <v/>
      </c>
      <c r="F29" s="20" t="str">
        <f aca="false">IF($A29="","",SUMPRODUCT(Bookings!$AA$5:$AA$1004*(($A29="All properties")+(Bookings!$D$5:$D$1004=$A29)&gt;0)*(((((Bookings!$C$5:$C$1004+DATE($B$4+1,1,1)-ABS(Bookings!$C$5:$C$1004-DATE($B$4+1,1,1)))/2)-((Bookings!$B$5:$B$1004+DATE($B$4,1,1)+ABS(Bookings!$B$5:$B$1004-DATE($B$4,1,1)))/2))+ABS(((Bookings!$C$5:$C$1004+DATE($B$4+1,1,1)-ABS(Bookings!$C$5:$C$1004-DATE($B$4+1,1,1)))/2)-((Bookings!$B$5:$B$1004+DATE($B$4,1,1)+ABS(Bookings!$B$5:$B$1004-DATE($B$4,1,1)))/2)))/2)*Bookings!$AC$5:$AC$1004))</f>
        <v/>
      </c>
      <c r="G29" s="20" t="str">
        <f aca="false">IF($A29="","",SUMPRODUCT(Bookings!$AA$5:$AA$1004*(($A29="All properties")+(Bookings!$D$5:$D$1004=$A29)&gt;0)*(((((Bookings!$C$5:$C$1004+DATE($B$4+1,1,1)-ABS(Bookings!$C$5:$C$1004-DATE($B$4+1,1,1)))/2)-((Bookings!$B$5:$B$1004+DATE($B$4,1,1)+ABS(Bookings!$B$5:$B$1004-DATE($B$4,1,1)))/2))+ABS(((Bookings!$C$5:$C$1004+DATE($B$4+1,1,1)-ABS(Bookings!$C$5:$C$1004-DATE($B$4+1,1,1)))/2)-((Bookings!$B$5:$B$1004+DATE($B$4,1,1)+ABS(Bookings!$B$5:$B$1004-DATE($B$4,1,1)))/2)))/2)*Bookings!$AD$5:$AD$1004))</f>
        <v/>
      </c>
      <c r="H29" s="20" t="str">
        <f aca="false">IF($A29="","",SUMIFS(Expenses!$F$5:$F$1004,Expenses!$A$5:$A$1004,"&gt;="&amp;DATE($B$4,1,1),Expenses!$A$5:$A$1004,"&lt;"&amp;DATE($B$4+1,1,1),Expenses!$B$5:$B$1004,$A29))</f>
        <v/>
      </c>
      <c r="I29" s="20" t="str">
        <f aca="false">IF($A29="","",F29-G29-H29)</f>
        <v/>
      </c>
      <c r="K29" s="21" t="str">
        <f aca="false">IF($A29="","",SUMPRODUCT((Properties!$A$5:$A$24&lt;&gt;"")*(($A29="All properties")+(Properties!$A$5:$A$24=$A29)&gt;0)*(((DATE($B$4+1,1,1)-((Properties!$K$5:$K$24+DATE($B$4,1,1)+ABS(Properties!$K$5:$K$24-DATE($B$4,1,1)))/2))+ABS(DATE($B$4+1,1,1)-((Properties!$K$5:$K$24+DATE($B$4,1,1)+ABS(Properties!$K$5:$K$24-DATE($B$4,1,1)))/2)))/2)))</f>
        <v/>
      </c>
      <c r="L29" s="22" t="str">
        <f aca="false">IF($A29="","",SUMPRODUCT(Bookings!$AA$5:$AA$1004*(($A29="All properties")+(Bookings!$D$5:$D$1004=$A29)&gt;0)*(((((Bookings!$C$5:$C$1004+DATE($B$4+1,1,1)-ABS(Bookings!$C$5:$C$1004-DATE($B$4+1,1,1)))/2)-((Bookings!$B$5:$B$1004+DATE($B$4,1,1)+ABS(Bookings!$B$5:$B$1004-DATE($B$4,1,1)))/2))+ABS(((Bookings!$C$5:$C$1004+DATE($B$4+1,1,1)-ABS(Bookings!$C$5:$C$1004-DATE($B$4+1,1,1)))/2)-((Bookings!$B$5:$B$1004+DATE($B$4,1,1)+ABS(Bookings!$B$5:$B$1004-DATE($B$4,1,1)))/2)))/2)*Bookings!$AB$5:$AB$1004))</f>
        <v/>
      </c>
    </row>
    <row r="30" customFormat="false" ht="15" hidden="false" customHeight="false" outlineLevel="0" collapsed="false">
      <c r="A30" s="8" t="str">
        <f aca="false">IF(Properties!A8="","",Properties!A8)</f>
        <v/>
      </c>
      <c r="B30" s="18" t="str">
        <f aca="false">IF($A30="","",SUMPRODUCT(Bookings!$AA$5:$AA$1004*(($A30="All properties")+(Bookings!$D$5:$D$1004=$A30)&gt;0)*(((((Bookings!$C$5:$C$1004+DATE($B$4+1,1,1)-ABS(Bookings!$C$5:$C$1004-DATE($B$4+1,1,1)))/2)-((Bookings!$B$5:$B$1004+DATE($B$4,1,1)+ABS(Bookings!$B$5:$B$1004-DATE($B$4,1,1)))/2))+ABS(((Bookings!$C$5:$C$1004+DATE($B$4+1,1,1)-ABS(Bookings!$C$5:$C$1004-DATE($B$4+1,1,1)))/2)-((Bookings!$B$5:$B$1004+DATE($B$4,1,1)+ABS(Bookings!$B$5:$B$1004-DATE($B$4,1,1)))/2)))/2)))</f>
        <v/>
      </c>
      <c r="C30" s="19" t="str">
        <f aca="false">IF($A30="","",IF(K30=0,0,B30/K30))</f>
        <v/>
      </c>
      <c r="D30" s="20" t="str">
        <f aca="false">IF($A30="","",IF(B30=0,0,L30/B30))</f>
        <v/>
      </c>
      <c r="E30" s="20" t="str">
        <f aca="false">IF($A30="","",IF(K30=0,0,L30/K30))</f>
        <v/>
      </c>
      <c r="F30" s="20" t="str">
        <f aca="false">IF($A30="","",SUMPRODUCT(Bookings!$AA$5:$AA$1004*(($A30="All properties")+(Bookings!$D$5:$D$1004=$A30)&gt;0)*(((((Bookings!$C$5:$C$1004+DATE($B$4+1,1,1)-ABS(Bookings!$C$5:$C$1004-DATE($B$4+1,1,1)))/2)-((Bookings!$B$5:$B$1004+DATE($B$4,1,1)+ABS(Bookings!$B$5:$B$1004-DATE($B$4,1,1)))/2))+ABS(((Bookings!$C$5:$C$1004+DATE($B$4+1,1,1)-ABS(Bookings!$C$5:$C$1004-DATE($B$4+1,1,1)))/2)-((Bookings!$B$5:$B$1004+DATE($B$4,1,1)+ABS(Bookings!$B$5:$B$1004-DATE($B$4,1,1)))/2)))/2)*Bookings!$AC$5:$AC$1004))</f>
        <v/>
      </c>
      <c r="G30" s="20" t="str">
        <f aca="false">IF($A30="","",SUMPRODUCT(Bookings!$AA$5:$AA$1004*(($A30="All properties")+(Bookings!$D$5:$D$1004=$A30)&gt;0)*(((((Bookings!$C$5:$C$1004+DATE($B$4+1,1,1)-ABS(Bookings!$C$5:$C$1004-DATE($B$4+1,1,1)))/2)-((Bookings!$B$5:$B$1004+DATE($B$4,1,1)+ABS(Bookings!$B$5:$B$1004-DATE($B$4,1,1)))/2))+ABS(((Bookings!$C$5:$C$1004+DATE($B$4+1,1,1)-ABS(Bookings!$C$5:$C$1004-DATE($B$4+1,1,1)))/2)-((Bookings!$B$5:$B$1004+DATE($B$4,1,1)+ABS(Bookings!$B$5:$B$1004-DATE($B$4,1,1)))/2)))/2)*Bookings!$AD$5:$AD$1004))</f>
        <v/>
      </c>
      <c r="H30" s="20" t="str">
        <f aca="false">IF($A30="","",SUMIFS(Expenses!$F$5:$F$1004,Expenses!$A$5:$A$1004,"&gt;="&amp;DATE($B$4,1,1),Expenses!$A$5:$A$1004,"&lt;"&amp;DATE($B$4+1,1,1),Expenses!$B$5:$B$1004,$A30))</f>
        <v/>
      </c>
      <c r="I30" s="20" t="str">
        <f aca="false">IF($A30="","",F30-G30-H30)</f>
        <v/>
      </c>
      <c r="K30" s="21" t="str">
        <f aca="false">IF($A30="","",SUMPRODUCT((Properties!$A$5:$A$24&lt;&gt;"")*(($A30="All properties")+(Properties!$A$5:$A$24=$A30)&gt;0)*(((DATE($B$4+1,1,1)-((Properties!$K$5:$K$24+DATE($B$4,1,1)+ABS(Properties!$K$5:$K$24-DATE($B$4,1,1)))/2))+ABS(DATE($B$4+1,1,1)-((Properties!$K$5:$K$24+DATE($B$4,1,1)+ABS(Properties!$K$5:$K$24-DATE($B$4,1,1)))/2)))/2)))</f>
        <v/>
      </c>
      <c r="L30" s="22" t="str">
        <f aca="false">IF($A30="","",SUMPRODUCT(Bookings!$AA$5:$AA$1004*(($A30="All properties")+(Bookings!$D$5:$D$1004=$A30)&gt;0)*(((((Bookings!$C$5:$C$1004+DATE($B$4+1,1,1)-ABS(Bookings!$C$5:$C$1004-DATE($B$4+1,1,1)))/2)-((Bookings!$B$5:$B$1004+DATE($B$4,1,1)+ABS(Bookings!$B$5:$B$1004-DATE($B$4,1,1)))/2))+ABS(((Bookings!$C$5:$C$1004+DATE($B$4+1,1,1)-ABS(Bookings!$C$5:$C$1004-DATE($B$4+1,1,1)))/2)-((Bookings!$B$5:$B$1004+DATE($B$4,1,1)+ABS(Bookings!$B$5:$B$1004-DATE($B$4,1,1)))/2)))/2)*Bookings!$AB$5:$AB$1004))</f>
        <v/>
      </c>
    </row>
    <row r="31" customFormat="false" ht="15" hidden="false" customHeight="false" outlineLevel="0" collapsed="false">
      <c r="A31" s="8" t="str">
        <f aca="false">IF(Properties!A9="","",Properties!A9)</f>
        <v/>
      </c>
      <c r="B31" s="18" t="str">
        <f aca="false">IF($A31="","",SUMPRODUCT(Bookings!$AA$5:$AA$1004*(($A31="All properties")+(Bookings!$D$5:$D$1004=$A31)&gt;0)*(((((Bookings!$C$5:$C$1004+DATE($B$4+1,1,1)-ABS(Bookings!$C$5:$C$1004-DATE($B$4+1,1,1)))/2)-((Bookings!$B$5:$B$1004+DATE($B$4,1,1)+ABS(Bookings!$B$5:$B$1004-DATE($B$4,1,1)))/2))+ABS(((Bookings!$C$5:$C$1004+DATE($B$4+1,1,1)-ABS(Bookings!$C$5:$C$1004-DATE($B$4+1,1,1)))/2)-((Bookings!$B$5:$B$1004+DATE($B$4,1,1)+ABS(Bookings!$B$5:$B$1004-DATE($B$4,1,1)))/2)))/2)))</f>
        <v/>
      </c>
      <c r="C31" s="19" t="str">
        <f aca="false">IF($A31="","",IF(K31=0,0,B31/K31))</f>
        <v/>
      </c>
      <c r="D31" s="20" t="str">
        <f aca="false">IF($A31="","",IF(B31=0,0,L31/B31))</f>
        <v/>
      </c>
      <c r="E31" s="20" t="str">
        <f aca="false">IF($A31="","",IF(K31=0,0,L31/K31))</f>
        <v/>
      </c>
      <c r="F31" s="20" t="str">
        <f aca="false">IF($A31="","",SUMPRODUCT(Bookings!$AA$5:$AA$1004*(($A31="All properties")+(Bookings!$D$5:$D$1004=$A31)&gt;0)*(((((Bookings!$C$5:$C$1004+DATE($B$4+1,1,1)-ABS(Bookings!$C$5:$C$1004-DATE($B$4+1,1,1)))/2)-((Bookings!$B$5:$B$1004+DATE($B$4,1,1)+ABS(Bookings!$B$5:$B$1004-DATE($B$4,1,1)))/2))+ABS(((Bookings!$C$5:$C$1004+DATE($B$4+1,1,1)-ABS(Bookings!$C$5:$C$1004-DATE($B$4+1,1,1)))/2)-((Bookings!$B$5:$B$1004+DATE($B$4,1,1)+ABS(Bookings!$B$5:$B$1004-DATE($B$4,1,1)))/2)))/2)*Bookings!$AC$5:$AC$1004))</f>
        <v/>
      </c>
      <c r="G31" s="20" t="str">
        <f aca="false">IF($A31="","",SUMPRODUCT(Bookings!$AA$5:$AA$1004*(($A31="All properties")+(Bookings!$D$5:$D$1004=$A31)&gt;0)*(((((Bookings!$C$5:$C$1004+DATE($B$4+1,1,1)-ABS(Bookings!$C$5:$C$1004-DATE($B$4+1,1,1)))/2)-((Bookings!$B$5:$B$1004+DATE($B$4,1,1)+ABS(Bookings!$B$5:$B$1004-DATE($B$4,1,1)))/2))+ABS(((Bookings!$C$5:$C$1004+DATE($B$4+1,1,1)-ABS(Bookings!$C$5:$C$1004-DATE($B$4+1,1,1)))/2)-((Bookings!$B$5:$B$1004+DATE($B$4,1,1)+ABS(Bookings!$B$5:$B$1004-DATE($B$4,1,1)))/2)))/2)*Bookings!$AD$5:$AD$1004))</f>
        <v/>
      </c>
      <c r="H31" s="20" t="str">
        <f aca="false">IF($A31="","",SUMIFS(Expenses!$F$5:$F$1004,Expenses!$A$5:$A$1004,"&gt;="&amp;DATE($B$4,1,1),Expenses!$A$5:$A$1004,"&lt;"&amp;DATE($B$4+1,1,1),Expenses!$B$5:$B$1004,$A31))</f>
        <v/>
      </c>
      <c r="I31" s="20" t="str">
        <f aca="false">IF($A31="","",F31-G31-H31)</f>
        <v/>
      </c>
      <c r="K31" s="21" t="str">
        <f aca="false">IF($A31="","",SUMPRODUCT((Properties!$A$5:$A$24&lt;&gt;"")*(($A31="All properties")+(Properties!$A$5:$A$24=$A31)&gt;0)*(((DATE($B$4+1,1,1)-((Properties!$K$5:$K$24+DATE($B$4,1,1)+ABS(Properties!$K$5:$K$24-DATE($B$4,1,1)))/2))+ABS(DATE($B$4+1,1,1)-((Properties!$K$5:$K$24+DATE($B$4,1,1)+ABS(Properties!$K$5:$K$24-DATE($B$4,1,1)))/2)))/2)))</f>
        <v/>
      </c>
      <c r="L31" s="22" t="str">
        <f aca="false">IF($A31="","",SUMPRODUCT(Bookings!$AA$5:$AA$1004*(($A31="All properties")+(Bookings!$D$5:$D$1004=$A31)&gt;0)*(((((Bookings!$C$5:$C$1004+DATE($B$4+1,1,1)-ABS(Bookings!$C$5:$C$1004-DATE($B$4+1,1,1)))/2)-((Bookings!$B$5:$B$1004+DATE($B$4,1,1)+ABS(Bookings!$B$5:$B$1004-DATE($B$4,1,1)))/2))+ABS(((Bookings!$C$5:$C$1004+DATE($B$4+1,1,1)-ABS(Bookings!$C$5:$C$1004-DATE($B$4+1,1,1)))/2)-((Bookings!$B$5:$B$1004+DATE($B$4,1,1)+ABS(Bookings!$B$5:$B$1004-DATE($B$4,1,1)))/2)))/2)*Bookings!$AB$5:$AB$1004))</f>
        <v/>
      </c>
    </row>
    <row r="32" customFormat="false" ht="15" hidden="false" customHeight="false" outlineLevel="0" collapsed="false">
      <c r="A32" s="8" t="str">
        <f aca="false">IF(Properties!A10="","",Properties!A10)</f>
        <v/>
      </c>
      <c r="B32" s="18" t="str">
        <f aca="false">IF($A32="","",SUMPRODUCT(Bookings!$AA$5:$AA$1004*(($A32="All properties")+(Bookings!$D$5:$D$1004=$A32)&gt;0)*(((((Bookings!$C$5:$C$1004+DATE($B$4+1,1,1)-ABS(Bookings!$C$5:$C$1004-DATE($B$4+1,1,1)))/2)-((Bookings!$B$5:$B$1004+DATE($B$4,1,1)+ABS(Bookings!$B$5:$B$1004-DATE($B$4,1,1)))/2))+ABS(((Bookings!$C$5:$C$1004+DATE($B$4+1,1,1)-ABS(Bookings!$C$5:$C$1004-DATE($B$4+1,1,1)))/2)-((Bookings!$B$5:$B$1004+DATE($B$4,1,1)+ABS(Bookings!$B$5:$B$1004-DATE($B$4,1,1)))/2)))/2)))</f>
        <v/>
      </c>
      <c r="C32" s="19" t="str">
        <f aca="false">IF($A32="","",IF(K32=0,0,B32/K32))</f>
        <v/>
      </c>
      <c r="D32" s="20" t="str">
        <f aca="false">IF($A32="","",IF(B32=0,0,L32/B32))</f>
        <v/>
      </c>
      <c r="E32" s="20" t="str">
        <f aca="false">IF($A32="","",IF(K32=0,0,L32/K32))</f>
        <v/>
      </c>
      <c r="F32" s="20" t="str">
        <f aca="false">IF($A32="","",SUMPRODUCT(Bookings!$AA$5:$AA$1004*(($A32="All properties")+(Bookings!$D$5:$D$1004=$A32)&gt;0)*(((((Bookings!$C$5:$C$1004+DATE($B$4+1,1,1)-ABS(Bookings!$C$5:$C$1004-DATE($B$4+1,1,1)))/2)-((Bookings!$B$5:$B$1004+DATE($B$4,1,1)+ABS(Bookings!$B$5:$B$1004-DATE($B$4,1,1)))/2))+ABS(((Bookings!$C$5:$C$1004+DATE($B$4+1,1,1)-ABS(Bookings!$C$5:$C$1004-DATE($B$4+1,1,1)))/2)-((Bookings!$B$5:$B$1004+DATE($B$4,1,1)+ABS(Bookings!$B$5:$B$1004-DATE($B$4,1,1)))/2)))/2)*Bookings!$AC$5:$AC$1004))</f>
        <v/>
      </c>
      <c r="G32" s="20" t="str">
        <f aca="false">IF($A32="","",SUMPRODUCT(Bookings!$AA$5:$AA$1004*(($A32="All properties")+(Bookings!$D$5:$D$1004=$A32)&gt;0)*(((((Bookings!$C$5:$C$1004+DATE($B$4+1,1,1)-ABS(Bookings!$C$5:$C$1004-DATE($B$4+1,1,1)))/2)-((Bookings!$B$5:$B$1004+DATE($B$4,1,1)+ABS(Bookings!$B$5:$B$1004-DATE($B$4,1,1)))/2))+ABS(((Bookings!$C$5:$C$1004+DATE($B$4+1,1,1)-ABS(Bookings!$C$5:$C$1004-DATE($B$4+1,1,1)))/2)-((Bookings!$B$5:$B$1004+DATE($B$4,1,1)+ABS(Bookings!$B$5:$B$1004-DATE($B$4,1,1)))/2)))/2)*Bookings!$AD$5:$AD$1004))</f>
        <v/>
      </c>
      <c r="H32" s="20" t="str">
        <f aca="false">IF($A32="","",SUMIFS(Expenses!$F$5:$F$1004,Expenses!$A$5:$A$1004,"&gt;="&amp;DATE($B$4,1,1),Expenses!$A$5:$A$1004,"&lt;"&amp;DATE($B$4+1,1,1),Expenses!$B$5:$B$1004,$A32))</f>
        <v/>
      </c>
      <c r="I32" s="20" t="str">
        <f aca="false">IF($A32="","",F32-G32-H32)</f>
        <v/>
      </c>
      <c r="K32" s="21" t="str">
        <f aca="false">IF($A32="","",SUMPRODUCT((Properties!$A$5:$A$24&lt;&gt;"")*(($A32="All properties")+(Properties!$A$5:$A$24=$A32)&gt;0)*(((DATE($B$4+1,1,1)-((Properties!$K$5:$K$24+DATE($B$4,1,1)+ABS(Properties!$K$5:$K$24-DATE($B$4,1,1)))/2))+ABS(DATE($B$4+1,1,1)-((Properties!$K$5:$K$24+DATE($B$4,1,1)+ABS(Properties!$K$5:$K$24-DATE($B$4,1,1)))/2)))/2)))</f>
        <v/>
      </c>
      <c r="L32" s="22" t="str">
        <f aca="false">IF($A32="","",SUMPRODUCT(Bookings!$AA$5:$AA$1004*(($A32="All properties")+(Bookings!$D$5:$D$1004=$A32)&gt;0)*(((((Bookings!$C$5:$C$1004+DATE($B$4+1,1,1)-ABS(Bookings!$C$5:$C$1004-DATE($B$4+1,1,1)))/2)-((Bookings!$B$5:$B$1004+DATE($B$4,1,1)+ABS(Bookings!$B$5:$B$1004-DATE($B$4,1,1)))/2))+ABS(((Bookings!$C$5:$C$1004+DATE($B$4+1,1,1)-ABS(Bookings!$C$5:$C$1004-DATE($B$4+1,1,1)))/2)-((Bookings!$B$5:$B$1004+DATE($B$4,1,1)+ABS(Bookings!$B$5:$B$1004-DATE($B$4,1,1)))/2)))/2)*Bookings!$AB$5:$AB$1004))</f>
        <v/>
      </c>
    </row>
    <row r="33" customFormat="false" ht="15" hidden="false" customHeight="false" outlineLevel="0" collapsed="false">
      <c r="A33" s="8" t="str">
        <f aca="false">IF(Properties!A11="","",Properties!A11)</f>
        <v/>
      </c>
      <c r="B33" s="18" t="str">
        <f aca="false">IF($A33="","",SUMPRODUCT(Bookings!$AA$5:$AA$1004*(($A33="All properties")+(Bookings!$D$5:$D$1004=$A33)&gt;0)*(((((Bookings!$C$5:$C$1004+DATE($B$4+1,1,1)-ABS(Bookings!$C$5:$C$1004-DATE($B$4+1,1,1)))/2)-((Bookings!$B$5:$B$1004+DATE($B$4,1,1)+ABS(Bookings!$B$5:$B$1004-DATE($B$4,1,1)))/2))+ABS(((Bookings!$C$5:$C$1004+DATE($B$4+1,1,1)-ABS(Bookings!$C$5:$C$1004-DATE($B$4+1,1,1)))/2)-((Bookings!$B$5:$B$1004+DATE($B$4,1,1)+ABS(Bookings!$B$5:$B$1004-DATE($B$4,1,1)))/2)))/2)))</f>
        <v/>
      </c>
      <c r="C33" s="19" t="str">
        <f aca="false">IF($A33="","",IF(K33=0,0,B33/K33))</f>
        <v/>
      </c>
      <c r="D33" s="20" t="str">
        <f aca="false">IF($A33="","",IF(B33=0,0,L33/B33))</f>
        <v/>
      </c>
      <c r="E33" s="20" t="str">
        <f aca="false">IF($A33="","",IF(K33=0,0,L33/K33))</f>
        <v/>
      </c>
      <c r="F33" s="20" t="str">
        <f aca="false">IF($A33="","",SUMPRODUCT(Bookings!$AA$5:$AA$1004*(($A33="All properties")+(Bookings!$D$5:$D$1004=$A33)&gt;0)*(((((Bookings!$C$5:$C$1004+DATE($B$4+1,1,1)-ABS(Bookings!$C$5:$C$1004-DATE($B$4+1,1,1)))/2)-((Bookings!$B$5:$B$1004+DATE($B$4,1,1)+ABS(Bookings!$B$5:$B$1004-DATE($B$4,1,1)))/2))+ABS(((Bookings!$C$5:$C$1004+DATE($B$4+1,1,1)-ABS(Bookings!$C$5:$C$1004-DATE($B$4+1,1,1)))/2)-((Bookings!$B$5:$B$1004+DATE($B$4,1,1)+ABS(Bookings!$B$5:$B$1004-DATE($B$4,1,1)))/2)))/2)*Bookings!$AC$5:$AC$1004))</f>
        <v/>
      </c>
      <c r="G33" s="20" t="str">
        <f aca="false">IF($A33="","",SUMPRODUCT(Bookings!$AA$5:$AA$1004*(($A33="All properties")+(Bookings!$D$5:$D$1004=$A33)&gt;0)*(((((Bookings!$C$5:$C$1004+DATE($B$4+1,1,1)-ABS(Bookings!$C$5:$C$1004-DATE($B$4+1,1,1)))/2)-((Bookings!$B$5:$B$1004+DATE($B$4,1,1)+ABS(Bookings!$B$5:$B$1004-DATE($B$4,1,1)))/2))+ABS(((Bookings!$C$5:$C$1004+DATE($B$4+1,1,1)-ABS(Bookings!$C$5:$C$1004-DATE($B$4+1,1,1)))/2)-((Bookings!$B$5:$B$1004+DATE($B$4,1,1)+ABS(Bookings!$B$5:$B$1004-DATE($B$4,1,1)))/2)))/2)*Bookings!$AD$5:$AD$1004))</f>
        <v/>
      </c>
      <c r="H33" s="20" t="str">
        <f aca="false">IF($A33="","",SUMIFS(Expenses!$F$5:$F$1004,Expenses!$A$5:$A$1004,"&gt;="&amp;DATE($B$4,1,1),Expenses!$A$5:$A$1004,"&lt;"&amp;DATE($B$4+1,1,1),Expenses!$B$5:$B$1004,$A33))</f>
        <v/>
      </c>
      <c r="I33" s="20" t="str">
        <f aca="false">IF($A33="","",F33-G33-H33)</f>
        <v/>
      </c>
      <c r="K33" s="21" t="str">
        <f aca="false">IF($A33="","",SUMPRODUCT((Properties!$A$5:$A$24&lt;&gt;"")*(($A33="All properties")+(Properties!$A$5:$A$24=$A33)&gt;0)*(((DATE($B$4+1,1,1)-((Properties!$K$5:$K$24+DATE($B$4,1,1)+ABS(Properties!$K$5:$K$24-DATE($B$4,1,1)))/2))+ABS(DATE($B$4+1,1,1)-((Properties!$K$5:$K$24+DATE($B$4,1,1)+ABS(Properties!$K$5:$K$24-DATE($B$4,1,1)))/2)))/2)))</f>
        <v/>
      </c>
      <c r="L33" s="22" t="str">
        <f aca="false">IF($A33="","",SUMPRODUCT(Bookings!$AA$5:$AA$1004*(($A33="All properties")+(Bookings!$D$5:$D$1004=$A33)&gt;0)*(((((Bookings!$C$5:$C$1004+DATE($B$4+1,1,1)-ABS(Bookings!$C$5:$C$1004-DATE($B$4+1,1,1)))/2)-((Bookings!$B$5:$B$1004+DATE($B$4,1,1)+ABS(Bookings!$B$5:$B$1004-DATE($B$4,1,1)))/2))+ABS(((Bookings!$C$5:$C$1004+DATE($B$4+1,1,1)-ABS(Bookings!$C$5:$C$1004-DATE($B$4+1,1,1)))/2)-((Bookings!$B$5:$B$1004+DATE($B$4,1,1)+ABS(Bookings!$B$5:$B$1004-DATE($B$4,1,1)))/2)))/2)*Bookings!$AB$5:$AB$1004))</f>
        <v/>
      </c>
    </row>
    <row r="34" customFormat="false" ht="15" hidden="false" customHeight="false" outlineLevel="0" collapsed="false">
      <c r="A34" s="8" t="str">
        <f aca="false">IF(Properties!A12="","",Properties!A12)</f>
        <v/>
      </c>
      <c r="B34" s="18" t="str">
        <f aca="false">IF($A34="","",SUMPRODUCT(Bookings!$AA$5:$AA$1004*(($A34="All properties")+(Bookings!$D$5:$D$1004=$A34)&gt;0)*(((((Bookings!$C$5:$C$1004+DATE($B$4+1,1,1)-ABS(Bookings!$C$5:$C$1004-DATE($B$4+1,1,1)))/2)-((Bookings!$B$5:$B$1004+DATE($B$4,1,1)+ABS(Bookings!$B$5:$B$1004-DATE($B$4,1,1)))/2))+ABS(((Bookings!$C$5:$C$1004+DATE($B$4+1,1,1)-ABS(Bookings!$C$5:$C$1004-DATE($B$4+1,1,1)))/2)-((Bookings!$B$5:$B$1004+DATE($B$4,1,1)+ABS(Bookings!$B$5:$B$1004-DATE($B$4,1,1)))/2)))/2)))</f>
        <v/>
      </c>
      <c r="C34" s="19" t="str">
        <f aca="false">IF($A34="","",IF(K34=0,0,B34/K34))</f>
        <v/>
      </c>
      <c r="D34" s="20" t="str">
        <f aca="false">IF($A34="","",IF(B34=0,0,L34/B34))</f>
        <v/>
      </c>
      <c r="E34" s="20" t="str">
        <f aca="false">IF($A34="","",IF(K34=0,0,L34/K34))</f>
        <v/>
      </c>
      <c r="F34" s="20" t="str">
        <f aca="false">IF($A34="","",SUMPRODUCT(Bookings!$AA$5:$AA$1004*(($A34="All properties")+(Bookings!$D$5:$D$1004=$A34)&gt;0)*(((((Bookings!$C$5:$C$1004+DATE($B$4+1,1,1)-ABS(Bookings!$C$5:$C$1004-DATE($B$4+1,1,1)))/2)-((Bookings!$B$5:$B$1004+DATE($B$4,1,1)+ABS(Bookings!$B$5:$B$1004-DATE($B$4,1,1)))/2))+ABS(((Bookings!$C$5:$C$1004+DATE($B$4+1,1,1)-ABS(Bookings!$C$5:$C$1004-DATE($B$4+1,1,1)))/2)-((Bookings!$B$5:$B$1004+DATE($B$4,1,1)+ABS(Bookings!$B$5:$B$1004-DATE($B$4,1,1)))/2)))/2)*Bookings!$AC$5:$AC$1004))</f>
        <v/>
      </c>
      <c r="G34" s="20" t="str">
        <f aca="false">IF($A34="","",SUMPRODUCT(Bookings!$AA$5:$AA$1004*(($A34="All properties")+(Bookings!$D$5:$D$1004=$A34)&gt;0)*(((((Bookings!$C$5:$C$1004+DATE($B$4+1,1,1)-ABS(Bookings!$C$5:$C$1004-DATE($B$4+1,1,1)))/2)-((Bookings!$B$5:$B$1004+DATE($B$4,1,1)+ABS(Bookings!$B$5:$B$1004-DATE($B$4,1,1)))/2))+ABS(((Bookings!$C$5:$C$1004+DATE($B$4+1,1,1)-ABS(Bookings!$C$5:$C$1004-DATE($B$4+1,1,1)))/2)-((Bookings!$B$5:$B$1004+DATE($B$4,1,1)+ABS(Bookings!$B$5:$B$1004-DATE($B$4,1,1)))/2)))/2)*Bookings!$AD$5:$AD$1004))</f>
        <v/>
      </c>
      <c r="H34" s="20" t="str">
        <f aca="false">IF($A34="","",SUMIFS(Expenses!$F$5:$F$1004,Expenses!$A$5:$A$1004,"&gt;="&amp;DATE($B$4,1,1),Expenses!$A$5:$A$1004,"&lt;"&amp;DATE($B$4+1,1,1),Expenses!$B$5:$B$1004,$A34))</f>
        <v/>
      </c>
      <c r="I34" s="20" t="str">
        <f aca="false">IF($A34="","",F34-G34-H34)</f>
        <v/>
      </c>
      <c r="K34" s="21" t="str">
        <f aca="false">IF($A34="","",SUMPRODUCT((Properties!$A$5:$A$24&lt;&gt;"")*(($A34="All properties")+(Properties!$A$5:$A$24=$A34)&gt;0)*(((DATE($B$4+1,1,1)-((Properties!$K$5:$K$24+DATE($B$4,1,1)+ABS(Properties!$K$5:$K$24-DATE($B$4,1,1)))/2))+ABS(DATE($B$4+1,1,1)-((Properties!$K$5:$K$24+DATE($B$4,1,1)+ABS(Properties!$K$5:$K$24-DATE($B$4,1,1)))/2)))/2)))</f>
        <v/>
      </c>
      <c r="L34" s="22" t="str">
        <f aca="false">IF($A34="","",SUMPRODUCT(Bookings!$AA$5:$AA$1004*(($A34="All properties")+(Bookings!$D$5:$D$1004=$A34)&gt;0)*(((((Bookings!$C$5:$C$1004+DATE($B$4+1,1,1)-ABS(Bookings!$C$5:$C$1004-DATE($B$4+1,1,1)))/2)-((Bookings!$B$5:$B$1004+DATE($B$4,1,1)+ABS(Bookings!$B$5:$B$1004-DATE($B$4,1,1)))/2))+ABS(((Bookings!$C$5:$C$1004+DATE($B$4+1,1,1)-ABS(Bookings!$C$5:$C$1004-DATE($B$4+1,1,1)))/2)-((Bookings!$B$5:$B$1004+DATE($B$4,1,1)+ABS(Bookings!$B$5:$B$1004-DATE($B$4,1,1)))/2)))/2)*Bookings!$AB$5:$AB$1004))</f>
        <v/>
      </c>
    </row>
    <row r="35" customFormat="false" ht="15" hidden="false" customHeight="false" outlineLevel="0" collapsed="false">
      <c r="A35" s="8" t="str">
        <f aca="false">IF(Properties!A13="","",Properties!A13)</f>
        <v/>
      </c>
      <c r="B35" s="18" t="str">
        <f aca="false">IF($A35="","",SUMPRODUCT(Bookings!$AA$5:$AA$1004*(($A35="All properties")+(Bookings!$D$5:$D$1004=$A35)&gt;0)*(((((Bookings!$C$5:$C$1004+DATE($B$4+1,1,1)-ABS(Bookings!$C$5:$C$1004-DATE($B$4+1,1,1)))/2)-((Bookings!$B$5:$B$1004+DATE($B$4,1,1)+ABS(Bookings!$B$5:$B$1004-DATE($B$4,1,1)))/2))+ABS(((Bookings!$C$5:$C$1004+DATE($B$4+1,1,1)-ABS(Bookings!$C$5:$C$1004-DATE($B$4+1,1,1)))/2)-((Bookings!$B$5:$B$1004+DATE($B$4,1,1)+ABS(Bookings!$B$5:$B$1004-DATE($B$4,1,1)))/2)))/2)))</f>
        <v/>
      </c>
      <c r="C35" s="19" t="str">
        <f aca="false">IF($A35="","",IF(K35=0,0,B35/K35))</f>
        <v/>
      </c>
      <c r="D35" s="20" t="str">
        <f aca="false">IF($A35="","",IF(B35=0,0,L35/B35))</f>
        <v/>
      </c>
      <c r="E35" s="20" t="str">
        <f aca="false">IF($A35="","",IF(K35=0,0,L35/K35))</f>
        <v/>
      </c>
      <c r="F35" s="20" t="str">
        <f aca="false">IF($A35="","",SUMPRODUCT(Bookings!$AA$5:$AA$1004*(($A35="All properties")+(Bookings!$D$5:$D$1004=$A35)&gt;0)*(((((Bookings!$C$5:$C$1004+DATE($B$4+1,1,1)-ABS(Bookings!$C$5:$C$1004-DATE($B$4+1,1,1)))/2)-((Bookings!$B$5:$B$1004+DATE($B$4,1,1)+ABS(Bookings!$B$5:$B$1004-DATE($B$4,1,1)))/2))+ABS(((Bookings!$C$5:$C$1004+DATE($B$4+1,1,1)-ABS(Bookings!$C$5:$C$1004-DATE($B$4+1,1,1)))/2)-((Bookings!$B$5:$B$1004+DATE($B$4,1,1)+ABS(Bookings!$B$5:$B$1004-DATE($B$4,1,1)))/2)))/2)*Bookings!$AC$5:$AC$1004))</f>
        <v/>
      </c>
      <c r="G35" s="20" t="str">
        <f aca="false">IF($A35="","",SUMPRODUCT(Bookings!$AA$5:$AA$1004*(($A35="All properties")+(Bookings!$D$5:$D$1004=$A35)&gt;0)*(((((Bookings!$C$5:$C$1004+DATE($B$4+1,1,1)-ABS(Bookings!$C$5:$C$1004-DATE($B$4+1,1,1)))/2)-((Bookings!$B$5:$B$1004+DATE($B$4,1,1)+ABS(Bookings!$B$5:$B$1004-DATE($B$4,1,1)))/2))+ABS(((Bookings!$C$5:$C$1004+DATE($B$4+1,1,1)-ABS(Bookings!$C$5:$C$1004-DATE($B$4+1,1,1)))/2)-((Bookings!$B$5:$B$1004+DATE($B$4,1,1)+ABS(Bookings!$B$5:$B$1004-DATE($B$4,1,1)))/2)))/2)*Bookings!$AD$5:$AD$1004))</f>
        <v/>
      </c>
      <c r="H35" s="20" t="str">
        <f aca="false">IF($A35="","",SUMIFS(Expenses!$F$5:$F$1004,Expenses!$A$5:$A$1004,"&gt;="&amp;DATE($B$4,1,1),Expenses!$A$5:$A$1004,"&lt;"&amp;DATE($B$4+1,1,1),Expenses!$B$5:$B$1004,$A35))</f>
        <v/>
      </c>
      <c r="I35" s="20" t="str">
        <f aca="false">IF($A35="","",F35-G35-H35)</f>
        <v/>
      </c>
      <c r="K35" s="21" t="str">
        <f aca="false">IF($A35="","",SUMPRODUCT((Properties!$A$5:$A$24&lt;&gt;"")*(($A35="All properties")+(Properties!$A$5:$A$24=$A35)&gt;0)*(((DATE($B$4+1,1,1)-((Properties!$K$5:$K$24+DATE($B$4,1,1)+ABS(Properties!$K$5:$K$24-DATE($B$4,1,1)))/2))+ABS(DATE($B$4+1,1,1)-((Properties!$K$5:$K$24+DATE($B$4,1,1)+ABS(Properties!$K$5:$K$24-DATE($B$4,1,1)))/2)))/2)))</f>
        <v/>
      </c>
      <c r="L35" s="22" t="str">
        <f aca="false">IF($A35="","",SUMPRODUCT(Bookings!$AA$5:$AA$1004*(($A35="All properties")+(Bookings!$D$5:$D$1004=$A35)&gt;0)*(((((Bookings!$C$5:$C$1004+DATE($B$4+1,1,1)-ABS(Bookings!$C$5:$C$1004-DATE($B$4+1,1,1)))/2)-((Bookings!$B$5:$B$1004+DATE($B$4,1,1)+ABS(Bookings!$B$5:$B$1004-DATE($B$4,1,1)))/2))+ABS(((Bookings!$C$5:$C$1004+DATE($B$4+1,1,1)-ABS(Bookings!$C$5:$C$1004-DATE($B$4+1,1,1)))/2)-((Bookings!$B$5:$B$1004+DATE($B$4,1,1)+ABS(Bookings!$B$5:$B$1004-DATE($B$4,1,1)))/2)))/2)*Bookings!$AB$5:$AB$1004))</f>
        <v/>
      </c>
    </row>
    <row r="36" customFormat="false" ht="15" hidden="false" customHeight="false" outlineLevel="0" collapsed="false">
      <c r="A36" s="8" t="str">
        <f aca="false">IF(Properties!A14="","",Properties!A14)</f>
        <v/>
      </c>
      <c r="B36" s="18" t="str">
        <f aca="false">IF($A36="","",SUMPRODUCT(Bookings!$AA$5:$AA$1004*(($A36="All properties")+(Bookings!$D$5:$D$1004=$A36)&gt;0)*(((((Bookings!$C$5:$C$1004+DATE($B$4+1,1,1)-ABS(Bookings!$C$5:$C$1004-DATE($B$4+1,1,1)))/2)-((Bookings!$B$5:$B$1004+DATE($B$4,1,1)+ABS(Bookings!$B$5:$B$1004-DATE($B$4,1,1)))/2))+ABS(((Bookings!$C$5:$C$1004+DATE($B$4+1,1,1)-ABS(Bookings!$C$5:$C$1004-DATE($B$4+1,1,1)))/2)-((Bookings!$B$5:$B$1004+DATE($B$4,1,1)+ABS(Bookings!$B$5:$B$1004-DATE($B$4,1,1)))/2)))/2)))</f>
        <v/>
      </c>
      <c r="C36" s="19" t="str">
        <f aca="false">IF($A36="","",IF(K36=0,0,B36/K36))</f>
        <v/>
      </c>
      <c r="D36" s="20" t="str">
        <f aca="false">IF($A36="","",IF(B36=0,0,L36/B36))</f>
        <v/>
      </c>
      <c r="E36" s="20" t="str">
        <f aca="false">IF($A36="","",IF(K36=0,0,L36/K36))</f>
        <v/>
      </c>
      <c r="F36" s="20" t="str">
        <f aca="false">IF($A36="","",SUMPRODUCT(Bookings!$AA$5:$AA$1004*(($A36="All properties")+(Bookings!$D$5:$D$1004=$A36)&gt;0)*(((((Bookings!$C$5:$C$1004+DATE($B$4+1,1,1)-ABS(Bookings!$C$5:$C$1004-DATE($B$4+1,1,1)))/2)-((Bookings!$B$5:$B$1004+DATE($B$4,1,1)+ABS(Bookings!$B$5:$B$1004-DATE($B$4,1,1)))/2))+ABS(((Bookings!$C$5:$C$1004+DATE($B$4+1,1,1)-ABS(Bookings!$C$5:$C$1004-DATE($B$4+1,1,1)))/2)-((Bookings!$B$5:$B$1004+DATE($B$4,1,1)+ABS(Bookings!$B$5:$B$1004-DATE($B$4,1,1)))/2)))/2)*Bookings!$AC$5:$AC$1004))</f>
        <v/>
      </c>
      <c r="G36" s="20" t="str">
        <f aca="false">IF($A36="","",SUMPRODUCT(Bookings!$AA$5:$AA$1004*(($A36="All properties")+(Bookings!$D$5:$D$1004=$A36)&gt;0)*(((((Bookings!$C$5:$C$1004+DATE($B$4+1,1,1)-ABS(Bookings!$C$5:$C$1004-DATE($B$4+1,1,1)))/2)-((Bookings!$B$5:$B$1004+DATE($B$4,1,1)+ABS(Bookings!$B$5:$B$1004-DATE($B$4,1,1)))/2))+ABS(((Bookings!$C$5:$C$1004+DATE($B$4+1,1,1)-ABS(Bookings!$C$5:$C$1004-DATE($B$4+1,1,1)))/2)-((Bookings!$B$5:$B$1004+DATE($B$4,1,1)+ABS(Bookings!$B$5:$B$1004-DATE($B$4,1,1)))/2)))/2)*Bookings!$AD$5:$AD$1004))</f>
        <v/>
      </c>
      <c r="H36" s="20" t="str">
        <f aca="false">IF($A36="","",SUMIFS(Expenses!$F$5:$F$1004,Expenses!$A$5:$A$1004,"&gt;="&amp;DATE($B$4,1,1),Expenses!$A$5:$A$1004,"&lt;"&amp;DATE($B$4+1,1,1),Expenses!$B$5:$B$1004,$A36))</f>
        <v/>
      </c>
      <c r="I36" s="20" t="str">
        <f aca="false">IF($A36="","",F36-G36-H36)</f>
        <v/>
      </c>
      <c r="K36" s="21" t="str">
        <f aca="false">IF($A36="","",SUMPRODUCT((Properties!$A$5:$A$24&lt;&gt;"")*(($A36="All properties")+(Properties!$A$5:$A$24=$A36)&gt;0)*(((DATE($B$4+1,1,1)-((Properties!$K$5:$K$24+DATE($B$4,1,1)+ABS(Properties!$K$5:$K$24-DATE($B$4,1,1)))/2))+ABS(DATE($B$4+1,1,1)-((Properties!$K$5:$K$24+DATE($B$4,1,1)+ABS(Properties!$K$5:$K$24-DATE($B$4,1,1)))/2)))/2)))</f>
        <v/>
      </c>
      <c r="L36" s="22" t="str">
        <f aca="false">IF($A36="","",SUMPRODUCT(Bookings!$AA$5:$AA$1004*(($A36="All properties")+(Bookings!$D$5:$D$1004=$A36)&gt;0)*(((((Bookings!$C$5:$C$1004+DATE($B$4+1,1,1)-ABS(Bookings!$C$5:$C$1004-DATE($B$4+1,1,1)))/2)-((Bookings!$B$5:$B$1004+DATE($B$4,1,1)+ABS(Bookings!$B$5:$B$1004-DATE($B$4,1,1)))/2))+ABS(((Bookings!$C$5:$C$1004+DATE($B$4+1,1,1)-ABS(Bookings!$C$5:$C$1004-DATE($B$4+1,1,1)))/2)-((Bookings!$B$5:$B$1004+DATE($B$4,1,1)+ABS(Bookings!$B$5:$B$1004-DATE($B$4,1,1)))/2)))/2)*Bookings!$AB$5:$AB$1004))</f>
        <v/>
      </c>
    </row>
    <row r="37" customFormat="false" ht="15" hidden="false" customHeight="false" outlineLevel="0" collapsed="false">
      <c r="A37" s="8" t="str">
        <f aca="false">IF(Properties!A15="","",Properties!A15)</f>
        <v/>
      </c>
      <c r="B37" s="18" t="str">
        <f aca="false">IF($A37="","",SUMPRODUCT(Bookings!$AA$5:$AA$1004*(($A37="All properties")+(Bookings!$D$5:$D$1004=$A37)&gt;0)*(((((Bookings!$C$5:$C$1004+DATE($B$4+1,1,1)-ABS(Bookings!$C$5:$C$1004-DATE($B$4+1,1,1)))/2)-((Bookings!$B$5:$B$1004+DATE($B$4,1,1)+ABS(Bookings!$B$5:$B$1004-DATE($B$4,1,1)))/2))+ABS(((Bookings!$C$5:$C$1004+DATE($B$4+1,1,1)-ABS(Bookings!$C$5:$C$1004-DATE($B$4+1,1,1)))/2)-((Bookings!$B$5:$B$1004+DATE($B$4,1,1)+ABS(Bookings!$B$5:$B$1004-DATE($B$4,1,1)))/2)))/2)))</f>
        <v/>
      </c>
      <c r="C37" s="19" t="str">
        <f aca="false">IF($A37="","",IF(K37=0,0,B37/K37))</f>
        <v/>
      </c>
      <c r="D37" s="20" t="str">
        <f aca="false">IF($A37="","",IF(B37=0,0,L37/B37))</f>
        <v/>
      </c>
      <c r="E37" s="20" t="str">
        <f aca="false">IF($A37="","",IF(K37=0,0,L37/K37))</f>
        <v/>
      </c>
      <c r="F37" s="20" t="str">
        <f aca="false">IF($A37="","",SUMPRODUCT(Bookings!$AA$5:$AA$1004*(($A37="All properties")+(Bookings!$D$5:$D$1004=$A37)&gt;0)*(((((Bookings!$C$5:$C$1004+DATE($B$4+1,1,1)-ABS(Bookings!$C$5:$C$1004-DATE($B$4+1,1,1)))/2)-((Bookings!$B$5:$B$1004+DATE($B$4,1,1)+ABS(Bookings!$B$5:$B$1004-DATE($B$4,1,1)))/2))+ABS(((Bookings!$C$5:$C$1004+DATE($B$4+1,1,1)-ABS(Bookings!$C$5:$C$1004-DATE($B$4+1,1,1)))/2)-((Bookings!$B$5:$B$1004+DATE($B$4,1,1)+ABS(Bookings!$B$5:$B$1004-DATE($B$4,1,1)))/2)))/2)*Bookings!$AC$5:$AC$1004))</f>
        <v/>
      </c>
      <c r="G37" s="20" t="str">
        <f aca="false">IF($A37="","",SUMPRODUCT(Bookings!$AA$5:$AA$1004*(($A37="All properties")+(Bookings!$D$5:$D$1004=$A37)&gt;0)*(((((Bookings!$C$5:$C$1004+DATE($B$4+1,1,1)-ABS(Bookings!$C$5:$C$1004-DATE($B$4+1,1,1)))/2)-((Bookings!$B$5:$B$1004+DATE($B$4,1,1)+ABS(Bookings!$B$5:$B$1004-DATE($B$4,1,1)))/2))+ABS(((Bookings!$C$5:$C$1004+DATE($B$4+1,1,1)-ABS(Bookings!$C$5:$C$1004-DATE($B$4+1,1,1)))/2)-((Bookings!$B$5:$B$1004+DATE($B$4,1,1)+ABS(Bookings!$B$5:$B$1004-DATE($B$4,1,1)))/2)))/2)*Bookings!$AD$5:$AD$1004))</f>
        <v/>
      </c>
      <c r="H37" s="20" t="str">
        <f aca="false">IF($A37="","",SUMIFS(Expenses!$F$5:$F$1004,Expenses!$A$5:$A$1004,"&gt;="&amp;DATE($B$4,1,1),Expenses!$A$5:$A$1004,"&lt;"&amp;DATE($B$4+1,1,1),Expenses!$B$5:$B$1004,$A37))</f>
        <v/>
      </c>
      <c r="I37" s="20" t="str">
        <f aca="false">IF($A37="","",F37-G37-H37)</f>
        <v/>
      </c>
      <c r="K37" s="21" t="str">
        <f aca="false">IF($A37="","",SUMPRODUCT((Properties!$A$5:$A$24&lt;&gt;"")*(($A37="All properties")+(Properties!$A$5:$A$24=$A37)&gt;0)*(((DATE($B$4+1,1,1)-((Properties!$K$5:$K$24+DATE($B$4,1,1)+ABS(Properties!$K$5:$K$24-DATE($B$4,1,1)))/2))+ABS(DATE($B$4+1,1,1)-((Properties!$K$5:$K$24+DATE($B$4,1,1)+ABS(Properties!$K$5:$K$24-DATE($B$4,1,1)))/2)))/2)))</f>
        <v/>
      </c>
      <c r="L37" s="22" t="str">
        <f aca="false">IF($A37="","",SUMPRODUCT(Bookings!$AA$5:$AA$1004*(($A37="All properties")+(Bookings!$D$5:$D$1004=$A37)&gt;0)*(((((Bookings!$C$5:$C$1004+DATE($B$4+1,1,1)-ABS(Bookings!$C$5:$C$1004-DATE($B$4+1,1,1)))/2)-((Bookings!$B$5:$B$1004+DATE($B$4,1,1)+ABS(Bookings!$B$5:$B$1004-DATE($B$4,1,1)))/2))+ABS(((Bookings!$C$5:$C$1004+DATE($B$4+1,1,1)-ABS(Bookings!$C$5:$C$1004-DATE($B$4+1,1,1)))/2)-((Bookings!$B$5:$B$1004+DATE($B$4,1,1)+ABS(Bookings!$B$5:$B$1004-DATE($B$4,1,1)))/2)))/2)*Bookings!$AB$5:$AB$1004))</f>
        <v/>
      </c>
    </row>
    <row r="38" customFormat="false" ht="15" hidden="false" customHeight="false" outlineLevel="0" collapsed="false">
      <c r="A38" s="8" t="str">
        <f aca="false">IF(Properties!A16="","",Properties!A16)</f>
        <v/>
      </c>
      <c r="B38" s="18" t="str">
        <f aca="false">IF($A38="","",SUMPRODUCT(Bookings!$AA$5:$AA$1004*(($A38="All properties")+(Bookings!$D$5:$D$1004=$A38)&gt;0)*(((((Bookings!$C$5:$C$1004+DATE($B$4+1,1,1)-ABS(Bookings!$C$5:$C$1004-DATE($B$4+1,1,1)))/2)-((Bookings!$B$5:$B$1004+DATE($B$4,1,1)+ABS(Bookings!$B$5:$B$1004-DATE($B$4,1,1)))/2))+ABS(((Bookings!$C$5:$C$1004+DATE($B$4+1,1,1)-ABS(Bookings!$C$5:$C$1004-DATE($B$4+1,1,1)))/2)-((Bookings!$B$5:$B$1004+DATE($B$4,1,1)+ABS(Bookings!$B$5:$B$1004-DATE($B$4,1,1)))/2)))/2)))</f>
        <v/>
      </c>
      <c r="C38" s="19" t="str">
        <f aca="false">IF($A38="","",IF(K38=0,0,B38/K38))</f>
        <v/>
      </c>
      <c r="D38" s="20" t="str">
        <f aca="false">IF($A38="","",IF(B38=0,0,L38/B38))</f>
        <v/>
      </c>
      <c r="E38" s="20" t="str">
        <f aca="false">IF($A38="","",IF(K38=0,0,L38/K38))</f>
        <v/>
      </c>
      <c r="F38" s="20" t="str">
        <f aca="false">IF($A38="","",SUMPRODUCT(Bookings!$AA$5:$AA$1004*(($A38="All properties")+(Bookings!$D$5:$D$1004=$A38)&gt;0)*(((((Bookings!$C$5:$C$1004+DATE($B$4+1,1,1)-ABS(Bookings!$C$5:$C$1004-DATE($B$4+1,1,1)))/2)-((Bookings!$B$5:$B$1004+DATE($B$4,1,1)+ABS(Bookings!$B$5:$B$1004-DATE($B$4,1,1)))/2))+ABS(((Bookings!$C$5:$C$1004+DATE($B$4+1,1,1)-ABS(Bookings!$C$5:$C$1004-DATE($B$4+1,1,1)))/2)-((Bookings!$B$5:$B$1004+DATE($B$4,1,1)+ABS(Bookings!$B$5:$B$1004-DATE($B$4,1,1)))/2)))/2)*Bookings!$AC$5:$AC$1004))</f>
        <v/>
      </c>
      <c r="G38" s="20" t="str">
        <f aca="false">IF($A38="","",SUMPRODUCT(Bookings!$AA$5:$AA$1004*(($A38="All properties")+(Bookings!$D$5:$D$1004=$A38)&gt;0)*(((((Bookings!$C$5:$C$1004+DATE($B$4+1,1,1)-ABS(Bookings!$C$5:$C$1004-DATE($B$4+1,1,1)))/2)-((Bookings!$B$5:$B$1004+DATE($B$4,1,1)+ABS(Bookings!$B$5:$B$1004-DATE($B$4,1,1)))/2))+ABS(((Bookings!$C$5:$C$1004+DATE($B$4+1,1,1)-ABS(Bookings!$C$5:$C$1004-DATE($B$4+1,1,1)))/2)-((Bookings!$B$5:$B$1004+DATE($B$4,1,1)+ABS(Bookings!$B$5:$B$1004-DATE($B$4,1,1)))/2)))/2)*Bookings!$AD$5:$AD$1004))</f>
        <v/>
      </c>
      <c r="H38" s="20" t="str">
        <f aca="false">IF($A38="","",SUMIFS(Expenses!$F$5:$F$1004,Expenses!$A$5:$A$1004,"&gt;="&amp;DATE($B$4,1,1),Expenses!$A$5:$A$1004,"&lt;"&amp;DATE($B$4+1,1,1),Expenses!$B$5:$B$1004,$A38))</f>
        <v/>
      </c>
      <c r="I38" s="20" t="str">
        <f aca="false">IF($A38="","",F38-G38-H38)</f>
        <v/>
      </c>
      <c r="K38" s="21" t="str">
        <f aca="false">IF($A38="","",SUMPRODUCT((Properties!$A$5:$A$24&lt;&gt;"")*(($A38="All properties")+(Properties!$A$5:$A$24=$A38)&gt;0)*(((DATE($B$4+1,1,1)-((Properties!$K$5:$K$24+DATE($B$4,1,1)+ABS(Properties!$K$5:$K$24-DATE($B$4,1,1)))/2))+ABS(DATE($B$4+1,1,1)-((Properties!$K$5:$K$24+DATE($B$4,1,1)+ABS(Properties!$K$5:$K$24-DATE($B$4,1,1)))/2)))/2)))</f>
        <v/>
      </c>
      <c r="L38" s="22" t="str">
        <f aca="false">IF($A38="","",SUMPRODUCT(Bookings!$AA$5:$AA$1004*(($A38="All properties")+(Bookings!$D$5:$D$1004=$A38)&gt;0)*(((((Bookings!$C$5:$C$1004+DATE($B$4+1,1,1)-ABS(Bookings!$C$5:$C$1004-DATE($B$4+1,1,1)))/2)-((Bookings!$B$5:$B$1004+DATE($B$4,1,1)+ABS(Bookings!$B$5:$B$1004-DATE($B$4,1,1)))/2))+ABS(((Bookings!$C$5:$C$1004+DATE($B$4+1,1,1)-ABS(Bookings!$C$5:$C$1004-DATE($B$4+1,1,1)))/2)-((Bookings!$B$5:$B$1004+DATE($B$4,1,1)+ABS(Bookings!$B$5:$B$1004-DATE($B$4,1,1)))/2)))/2)*Bookings!$AB$5:$AB$1004))</f>
        <v/>
      </c>
    </row>
    <row r="39" customFormat="false" ht="15" hidden="false" customHeight="false" outlineLevel="0" collapsed="false">
      <c r="A39" s="8" t="str">
        <f aca="false">IF(Properties!A17="","",Properties!A17)</f>
        <v/>
      </c>
      <c r="B39" s="18" t="str">
        <f aca="false">IF($A39="","",SUMPRODUCT(Bookings!$AA$5:$AA$1004*(($A39="All properties")+(Bookings!$D$5:$D$1004=$A39)&gt;0)*(((((Bookings!$C$5:$C$1004+DATE($B$4+1,1,1)-ABS(Bookings!$C$5:$C$1004-DATE($B$4+1,1,1)))/2)-((Bookings!$B$5:$B$1004+DATE($B$4,1,1)+ABS(Bookings!$B$5:$B$1004-DATE($B$4,1,1)))/2))+ABS(((Bookings!$C$5:$C$1004+DATE($B$4+1,1,1)-ABS(Bookings!$C$5:$C$1004-DATE($B$4+1,1,1)))/2)-((Bookings!$B$5:$B$1004+DATE($B$4,1,1)+ABS(Bookings!$B$5:$B$1004-DATE($B$4,1,1)))/2)))/2)))</f>
        <v/>
      </c>
      <c r="C39" s="19" t="str">
        <f aca="false">IF($A39="","",IF(K39=0,0,B39/K39))</f>
        <v/>
      </c>
      <c r="D39" s="20" t="str">
        <f aca="false">IF($A39="","",IF(B39=0,0,L39/B39))</f>
        <v/>
      </c>
      <c r="E39" s="20" t="str">
        <f aca="false">IF($A39="","",IF(K39=0,0,L39/K39))</f>
        <v/>
      </c>
      <c r="F39" s="20" t="str">
        <f aca="false">IF($A39="","",SUMPRODUCT(Bookings!$AA$5:$AA$1004*(($A39="All properties")+(Bookings!$D$5:$D$1004=$A39)&gt;0)*(((((Bookings!$C$5:$C$1004+DATE($B$4+1,1,1)-ABS(Bookings!$C$5:$C$1004-DATE($B$4+1,1,1)))/2)-((Bookings!$B$5:$B$1004+DATE($B$4,1,1)+ABS(Bookings!$B$5:$B$1004-DATE($B$4,1,1)))/2))+ABS(((Bookings!$C$5:$C$1004+DATE($B$4+1,1,1)-ABS(Bookings!$C$5:$C$1004-DATE($B$4+1,1,1)))/2)-((Bookings!$B$5:$B$1004+DATE($B$4,1,1)+ABS(Bookings!$B$5:$B$1004-DATE($B$4,1,1)))/2)))/2)*Bookings!$AC$5:$AC$1004))</f>
        <v/>
      </c>
      <c r="G39" s="20" t="str">
        <f aca="false">IF($A39="","",SUMPRODUCT(Bookings!$AA$5:$AA$1004*(($A39="All properties")+(Bookings!$D$5:$D$1004=$A39)&gt;0)*(((((Bookings!$C$5:$C$1004+DATE($B$4+1,1,1)-ABS(Bookings!$C$5:$C$1004-DATE($B$4+1,1,1)))/2)-((Bookings!$B$5:$B$1004+DATE($B$4,1,1)+ABS(Bookings!$B$5:$B$1004-DATE($B$4,1,1)))/2))+ABS(((Bookings!$C$5:$C$1004+DATE($B$4+1,1,1)-ABS(Bookings!$C$5:$C$1004-DATE($B$4+1,1,1)))/2)-((Bookings!$B$5:$B$1004+DATE($B$4,1,1)+ABS(Bookings!$B$5:$B$1004-DATE($B$4,1,1)))/2)))/2)*Bookings!$AD$5:$AD$1004))</f>
        <v/>
      </c>
      <c r="H39" s="20" t="str">
        <f aca="false">IF($A39="","",SUMIFS(Expenses!$F$5:$F$1004,Expenses!$A$5:$A$1004,"&gt;="&amp;DATE($B$4,1,1),Expenses!$A$5:$A$1004,"&lt;"&amp;DATE($B$4+1,1,1),Expenses!$B$5:$B$1004,$A39))</f>
        <v/>
      </c>
      <c r="I39" s="20" t="str">
        <f aca="false">IF($A39="","",F39-G39-H39)</f>
        <v/>
      </c>
      <c r="K39" s="21" t="str">
        <f aca="false">IF($A39="","",SUMPRODUCT((Properties!$A$5:$A$24&lt;&gt;"")*(($A39="All properties")+(Properties!$A$5:$A$24=$A39)&gt;0)*(((DATE($B$4+1,1,1)-((Properties!$K$5:$K$24+DATE($B$4,1,1)+ABS(Properties!$K$5:$K$24-DATE($B$4,1,1)))/2))+ABS(DATE($B$4+1,1,1)-((Properties!$K$5:$K$24+DATE($B$4,1,1)+ABS(Properties!$K$5:$K$24-DATE($B$4,1,1)))/2)))/2)))</f>
        <v/>
      </c>
      <c r="L39" s="22" t="str">
        <f aca="false">IF($A39="","",SUMPRODUCT(Bookings!$AA$5:$AA$1004*(($A39="All properties")+(Bookings!$D$5:$D$1004=$A39)&gt;0)*(((((Bookings!$C$5:$C$1004+DATE($B$4+1,1,1)-ABS(Bookings!$C$5:$C$1004-DATE($B$4+1,1,1)))/2)-((Bookings!$B$5:$B$1004+DATE($B$4,1,1)+ABS(Bookings!$B$5:$B$1004-DATE($B$4,1,1)))/2))+ABS(((Bookings!$C$5:$C$1004+DATE($B$4+1,1,1)-ABS(Bookings!$C$5:$C$1004-DATE($B$4+1,1,1)))/2)-((Bookings!$B$5:$B$1004+DATE($B$4,1,1)+ABS(Bookings!$B$5:$B$1004-DATE($B$4,1,1)))/2)))/2)*Bookings!$AB$5:$AB$1004))</f>
        <v/>
      </c>
    </row>
    <row r="40" customFormat="false" ht="15" hidden="false" customHeight="false" outlineLevel="0" collapsed="false">
      <c r="A40" s="8" t="str">
        <f aca="false">IF(Properties!A18="","",Properties!A18)</f>
        <v/>
      </c>
      <c r="B40" s="18" t="str">
        <f aca="false">IF($A40="","",SUMPRODUCT(Bookings!$AA$5:$AA$1004*(($A40="All properties")+(Bookings!$D$5:$D$1004=$A40)&gt;0)*(((((Bookings!$C$5:$C$1004+DATE($B$4+1,1,1)-ABS(Bookings!$C$5:$C$1004-DATE($B$4+1,1,1)))/2)-((Bookings!$B$5:$B$1004+DATE($B$4,1,1)+ABS(Bookings!$B$5:$B$1004-DATE($B$4,1,1)))/2))+ABS(((Bookings!$C$5:$C$1004+DATE($B$4+1,1,1)-ABS(Bookings!$C$5:$C$1004-DATE($B$4+1,1,1)))/2)-((Bookings!$B$5:$B$1004+DATE($B$4,1,1)+ABS(Bookings!$B$5:$B$1004-DATE($B$4,1,1)))/2)))/2)))</f>
        <v/>
      </c>
      <c r="C40" s="19" t="str">
        <f aca="false">IF($A40="","",IF(K40=0,0,B40/K40))</f>
        <v/>
      </c>
      <c r="D40" s="20" t="str">
        <f aca="false">IF($A40="","",IF(B40=0,0,L40/B40))</f>
        <v/>
      </c>
      <c r="E40" s="20" t="str">
        <f aca="false">IF($A40="","",IF(K40=0,0,L40/K40))</f>
        <v/>
      </c>
      <c r="F40" s="20" t="str">
        <f aca="false">IF($A40="","",SUMPRODUCT(Bookings!$AA$5:$AA$1004*(($A40="All properties")+(Bookings!$D$5:$D$1004=$A40)&gt;0)*(((((Bookings!$C$5:$C$1004+DATE($B$4+1,1,1)-ABS(Bookings!$C$5:$C$1004-DATE($B$4+1,1,1)))/2)-((Bookings!$B$5:$B$1004+DATE($B$4,1,1)+ABS(Bookings!$B$5:$B$1004-DATE($B$4,1,1)))/2))+ABS(((Bookings!$C$5:$C$1004+DATE($B$4+1,1,1)-ABS(Bookings!$C$5:$C$1004-DATE($B$4+1,1,1)))/2)-((Bookings!$B$5:$B$1004+DATE($B$4,1,1)+ABS(Bookings!$B$5:$B$1004-DATE($B$4,1,1)))/2)))/2)*Bookings!$AC$5:$AC$1004))</f>
        <v/>
      </c>
      <c r="G40" s="20" t="str">
        <f aca="false">IF($A40="","",SUMPRODUCT(Bookings!$AA$5:$AA$1004*(($A40="All properties")+(Bookings!$D$5:$D$1004=$A40)&gt;0)*(((((Bookings!$C$5:$C$1004+DATE($B$4+1,1,1)-ABS(Bookings!$C$5:$C$1004-DATE($B$4+1,1,1)))/2)-((Bookings!$B$5:$B$1004+DATE($B$4,1,1)+ABS(Bookings!$B$5:$B$1004-DATE($B$4,1,1)))/2))+ABS(((Bookings!$C$5:$C$1004+DATE($B$4+1,1,1)-ABS(Bookings!$C$5:$C$1004-DATE($B$4+1,1,1)))/2)-((Bookings!$B$5:$B$1004+DATE($B$4,1,1)+ABS(Bookings!$B$5:$B$1004-DATE($B$4,1,1)))/2)))/2)*Bookings!$AD$5:$AD$1004))</f>
        <v/>
      </c>
      <c r="H40" s="20" t="str">
        <f aca="false">IF($A40="","",SUMIFS(Expenses!$F$5:$F$1004,Expenses!$A$5:$A$1004,"&gt;="&amp;DATE($B$4,1,1),Expenses!$A$5:$A$1004,"&lt;"&amp;DATE($B$4+1,1,1),Expenses!$B$5:$B$1004,$A40))</f>
        <v/>
      </c>
      <c r="I40" s="20" t="str">
        <f aca="false">IF($A40="","",F40-G40-H40)</f>
        <v/>
      </c>
      <c r="K40" s="21" t="str">
        <f aca="false">IF($A40="","",SUMPRODUCT((Properties!$A$5:$A$24&lt;&gt;"")*(($A40="All properties")+(Properties!$A$5:$A$24=$A40)&gt;0)*(((DATE($B$4+1,1,1)-((Properties!$K$5:$K$24+DATE($B$4,1,1)+ABS(Properties!$K$5:$K$24-DATE($B$4,1,1)))/2))+ABS(DATE($B$4+1,1,1)-((Properties!$K$5:$K$24+DATE($B$4,1,1)+ABS(Properties!$K$5:$K$24-DATE($B$4,1,1)))/2)))/2)))</f>
        <v/>
      </c>
      <c r="L40" s="22" t="str">
        <f aca="false">IF($A40="","",SUMPRODUCT(Bookings!$AA$5:$AA$1004*(($A40="All properties")+(Bookings!$D$5:$D$1004=$A40)&gt;0)*(((((Bookings!$C$5:$C$1004+DATE($B$4+1,1,1)-ABS(Bookings!$C$5:$C$1004-DATE($B$4+1,1,1)))/2)-((Bookings!$B$5:$B$1004+DATE($B$4,1,1)+ABS(Bookings!$B$5:$B$1004-DATE($B$4,1,1)))/2))+ABS(((Bookings!$C$5:$C$1004+DATE($B$4+1,1,1)-ABS(Bookings!$C$5:$C$1004-DATE($B$4+1,1,1)))/2)-((Bookings!$B$5:$B$1004+DATE($B$4,1,1)+ABS(Bookings!$B$5:$B$1004-DATE($B$4,1,1)))/2)))/2)*Bookings!$AB$5:$AB$1004))</f>
        <v/>
      </c>
    </row>
    <row r="41" customFormat="false" ht="15" hidden="false" customHeight="false" outlineLevel="0" collapsed="false">
      <c r="A41" s="8" t="str">
        <f aca="false">IF(Properties!A19="","",Properties!A19)</f>
        <v/>
      </c>
      <c r="B41" s="18" t="str">
        <f aca="false">IF($A41="","",SUMPRODUCT(Bookings!$AA$5:$AA$1004*(($A41="All properties")+(Bookings!$D$5:$D$1004=$A41)&gt;0)*(((((Bookings!$C$5:$C$1004+DATE($B$4+1,1,1)-ABS(Bookings!$C$5:$C$1004-DATE($B$4+1,1,1)))/2)-((Bookings!$B$5:$B$1004+DATE($B$4,1,1)+ABS(Bookings!$B$5:$B$1004-DATE($B$4,1,1)))/2))+ABS(((Bookings!$C$5:$C$1004+DATE($B$4+1,1,1)-ABS(Bookings!$C$5:$C$1004-DATE($B$4+1,1,1)))/2)-((Bookings!$B$5:$B$1004+DATE($B$4,1,1)+ABS(Bookings!$B$5:$B$1004-DATE($B$4,1,1)))/2)))/2)))</f>
        <v/>
      </c>
      <c r="C41" s="19" t="str">
        <f aca="false">IF($A41="","",IF(K41=0,0,B41/K41))</f>
        <v/>
      </c>
      <c r="D41" s="20" t="str">
        <f aca="false">IF($A41="","",IF(B41=0,0,L41/B41))</f>
        <v/>
      </c>
      <c r="E41" s="20" t="str">
        <f aca="false">IF($A41="","",IF(K41=0,0,L41/K41))</f>
        <v/>
      </c>
      <c r="F41" s="20" t="str">
        <f aca="false">IF($A41="","",SUMPRODUCT(Bookings!$AA$5:$AA$1004*(($A41="All properties")+(Bookings!$D$5:$D$1004=$A41)&gt;0)*(((((Bookings!$C$5:$C$1004+DATE($B$4+1,1,1)-ABS(Bookings!$C$5:$C$1004-DATE($B$4+1,1,1)))/2)-((Bookings!$B$5:$B$1004+DATE($B$4,1,1)+ABS(Bookings!$B$5:$B$1004-DATE($B$4,1,1)))/2))+ABS(((Bookings!$C$5:$C$1004+DATE($B$4+1,1,1)-ABS(Bookings!$C$5:$C$1004-DATE($B$4+1,1,1)))/2)-((Bookings!$B$5:$B$1004+DATE($B$4,1,1)+ABS(Bookings!$B$5:$B$1004-DATE($B$4,1,1)))/2)))/2)*Bookings!$AC$5:$AC$1004))</f>
        <v/>
      </c>
      <c r="G41" s="20" t="str">
        <f aca="false">IF($A41="","",SUMPRODUCT(Bookings!$AA$5:$AA$1004*(($A41="All properties")+(Bookings!$D$5:$D$1004=$A41)&gt;0)*(((((Bookings!$C$5:$C$1004+DATE($B$4+1,1,1)-ABS(Bookings!$C$5:$C$1004-DATE($B$4+1,1,1)))/2)-((Bookings!$B$5:$B$1004+DATE($B$4,1,1)+ABS(Bookings!$B$5:$B$1004-DATE($B$4,1,1)))/2))+ABS(((Bookings!$C$5:$C$1004+DATE($B$4+1,1,1)-ABS(Bookings!$C$5:$C$1004-DATE($B$4+1,1,1)))/2)-((Bookings!$B$5:$B$1004+DATE($B$4,1,1)+ABS(Bookings!$B$5:$B$1004-DATE($B$4,1,1)))/2)))/2)*Bookings!$AD$5:$AD$1004))</f>
        <v/>
      </c>
      <c r="H41" s="20" t="str">
        <f aca="false">IF($A41="","",SUMIFS(Expenses!$F$5:$F$1004,Expenses!$A$5:$A$1004,"&gt;="&amp;DATE($B$4,1,1),Expenses!$A$5:$A$1004,"&lt;"&amp;DATE($B$4+1,1,1),Expenses!$B$5:$B$1004,$A41))</f>
        <v/>
      </c>
      <c r="I41" s="20" t="str">
        <f aca="false">IF($A41="","",F41-G41-H41)</f>
        <v/>
      </c>
      <c r="K41" s="21" t="str">
        <f aca="false">IF($A41="","",SUMPRODUCT((Properties!$A$5:$A$24&lt;&gt;"")*(($A41="All properties")+(Properties!$A$5:$A$24=$A41)&gt;0)*(((DATE($B$4+1,1,1)-((Properties!$K$5:$K$24+DATE($B$4,1,1)+ABS(Properties!$K$5:$K$24-DATE($B$4,1,1)))/2))+ABS(DATE($B$4+1,1,1)-((Properties!$K$5:$K$24+DATE($B$4,1,1)+ABS(Properties!$K$5:$K$24-DATE($B$4,1,1)))/2)))/2)))</f>
        <v/>
      </c>
      <c r="L41" s="22" t="str">
        <f aca="false">IF($A41="","",SUMPRODUCT(Bookings!$AA$5:$AA$1004*(($A41="All properties")+(Bookings!$D$5:$D$1004=$A41)&gt;0)*(((((Bookings!$C$5:$C$1004+DATE($B$4+1,1,1)-ABS(Bookings!$C$5:$C$1004-DATE($B$4+1,1,1)))/2)-((Bookings!$B$5:$B$1004+DATE($B$4,1,1)+ABS(Bookings!$B$5:$B$1004-DATE($B$4,1,1)))/2))+ABS(((Bookings!$C$5:$C$1004+DATE($B$4+1,1,1)-ABS(Bookings!$C$5:$C$1004-DATE($B$4+1,1,1)))/2)-((Bookings!$B$5:$B$1004+DATE($B$4,1,1)+ABS(Bookings!$B$5:$B$1004-DATE($B$4,1,1)))/2)))/2)*Bookings!$AB$5:$AB$1004))</f>
        <v/>
      </c>
    </row>
    <row r="42" customFormat="false" ht="15" hidden="false" customHeight="false" outlineLevel="0" collapsed="false">
      <c r="A42" s="8" t="str">
        <f aca="false">IF(Properties!A20="","",Properties!A20)</f>
        <v/>
      </c>
      <c r="B42" s="18" t="str">
        <f aca="false">IF($A42="","",SUMPRODUCT(Bookings!$AA$5:$AA$1004*(($A42="All properties")+(Bookings!$D$5:$D$1004=$A42)&gt;0)*(((((Bookings!$C$5:$C$1004+DATE($B$4+1,1,1)-ABS(Bookings!$C$5:$C$1004-DATE($B$4+1,1,1)))/2)-((Bookings!$B$5:$B$1004+DATE($B$4,1,1)+ABS(Bookings!$B$5:$B$1004-DATE($B$4,1,1)))/2))+ABS(((Bookings!$C$5:$C$1004+DATE($B$4+1,1,1)-ABS(Bookings!$C$5:$C$1004-DATE($B$4+1,1,1)))/2)-((Bookings!$B$5:$B$1004+DATE($B$4,1,1)+ABS(Bookings!$B$5:$B$1004-DATE($B$4,1,1)))/2)))/2)))</f>
        <v/>
      </c>
      <c r="C42" s="19" t="str">
        <f aca="false">IF($A42="","",IF(K42=0,0,B42/K42))</f>
        <v/>
      </c>
      <c r="D42" s="20" t="str">
        <f aca="false">IF($A42="","",IF(B42=0,0,L42/B42))</f>
        <v/>
      </c>
      <c r="E42" s="20" t="str">
        <f aca="false">IF($A42="","",IF(K42=0,0,L42/K42))</f>
        <v/>
      </c>
      <c r="F42" s="20" t="str">
        <f aca="false">IF($A42="","",SUMPRODUCT(Bookings!$AA$5:$AA$1004*(($A42="All properties")+(Bookings!$D$5:$D$1004=$A42)&gt;0)*(((((Bookings!$C$5:$C$1004+DATE($B$4+1,1,1)-ABS(Bookings!$C$5:$C$1004-DATE($B$4+1,1,1)))/2)-((Bookings!$B$5:$B$1004+DATE($B$4,1,1)+ABS(Bookings!$B$5:$B$1004-DATE($B$4,1,1)))/2))+ABS(((Bookings!$C$5:$C$1004+DATE($B$4+1,1,1)-ABS(Bookings!$C$5:$C$1004-DATE($B$4+1,1,1)))/2)-((Bookings!$B$5:$B$1004+DATE($B$4,1,1)+ABS(Bookings!$B$5:$B$1004-DATE($B$4,1,1)))/2)))/2)*Bookings!$AC$5:$AC$1004))</f>
        <v/>
      </c>
      <c r="G42" s="20" t="str">
        <f aca="false">IF($A42="","",SUMPRODUCT(Bookings!$AA$5:$AA$1004*(($A42="All properties")+(Bookings!$D$5:$D$1004=$A42)&gt;0)*(((((Bookings!$C$5:$C$1004+DATE($B$4+1,1,1)-ABS(Bookings!$C$5:$C$1004-DATE($B$4+1,1,1)))/2)-((Bookings!$B$5:$B$1004+DATE($B$4,1,1)+ABS(Bookings!$B$5:$B$1004-DATE($B$4,1,1)))/2))+ABS(((Bookings!$C$5:$C$1004+DATE($B$4+1,1,1)-ABS(Bookings!$C$5:$C$1004-DATE($B$4+1,1,1)))/2)-((Bookings!$B$5:$B$1004+DATE($B$4,1,1)+ABS(Bookings!$B$5:$B$1004-DATE($B$4,1,1)))/2)))/2)*Bookings!$AD$5:$AD$1004))</f>
        <v/>
      </c>
      <c r="H42" s="20" t="str">
        <f aca="false">IF($A42="","",SUMIFS(Expenses!$F$5:$F$1004,Expenses!$A$5:$A$1004,"&gt;="&amp;DATE($B$4,1,1),Expenses!$A$5:$A$1004,"&lt;"&amp;DATE($B$4+1,1,1),Expenses!$B$5:$B$1004,$A42))</f>
        <v/>
      </c>
      <c r="I42" s="20" t="str">
        <f aca="false">IF($A42="","",F42-G42-H42)</f>
        <v/>
      </c>
      <c r="K42" s="21" t="str">
        <f aca="false">IF($A42="","",SUMPRODUCT((Properties!$A$5:$A$24&lt;&gt;"")*(($A42="All properties")+(Properties!$A$5:$A$24=$A42)&gt;0)*(((DATE($B$4+1,1,1)-((Properties!$K$5:$K$24+DATE($B$4,1,1)+ABS(Properties!$K$5:$K$24-DATE($B$4,1,1)))/2))+ABS(DATE($B$4+1,1,1)-((Properties!$K$5:$K$24+DATE($B$4,1,1)+ABS(Properties!$K$5:$K$24-DATE($B$4,1,1)))/2)))/2)))</f>
        <v/>
      </c>
      <c r="L42" s="22" t="str">
        <f aca="false">IF($A42="","",SUMPRODUCT(Bookings!$AA$5:$AA$1004*(($A42="All properties")+(Bookings!$D$5:$D$1004=$A42)&gt;0)*(((((Bookings!$C$5:$C$1004+DATE($B$4+1,1,1)-ABS(Bookings!$C$5:$C$1004-DATE($B$4+1,1,1)))/2)-((Bookings!$B$5:$B$1004+DATE($B$4,1,1)+ABS(Bookings!$B$5:$B$1004-DATE($B$4,1,1)))/2))+ABS(((Bookings!$C$5:$C$1004+DATE($B$4+1,1,1)-ABS(Bookings!$C$5:$C$1004-DATE($B$4+1,1,1)))/2)-((Bookings!$B$5:$B$1004+DATE($B$4,1,1)+ABS(Bookings!$B$5:$B$1004-DATE($B$4,1,1)))/2)))/2)*Bookings!$AB$5:$AB$1004))</f>
        <v/>
      </c>
    </row>
    <row r="43" customFormat="false" ht="15" hidden="false" customHeight="false" outlineLevel="0" collapsed="false">
      <c r="A43" s="8" t="str">
        <f aca="false">IF(Properties!A21="","",Properties!A21)</f>
        <v/>
      </c>
      <c r="B43" s="18" t="str">
        <f aca="false">IF($A43="","",SUMPRODUCT(Bookings!$AA$5:$AA$1004*(($A43="All properties")+(Bookings!$D$5:$D$1004=$A43)&gt;0)*(((((Bookings!$C$5:$C$1004+DATE($B$4+1,1,1)-ABS(Bookings!$C$5:$C$1004-DATE($B$4+1,1,1)))/2)-((Bookings!$B$5:$B$1004+DATE($B$4,1,1)+ABS(Bookings!$B$5:$B$1004-DATE($B$4,1,1)))/2))+ABS(((Bookings!$C$5:$C$1004+DATE($B$4+1,1,1)-ABS(Bookings!$C$5:$C$1004-DATE($B$4+1,1,1)))/2)-((Bookings!$B$5:$B$1004+DATE($B$4,1,1)+ABS(Bookings!$B$5:$B$1004-DATE($B$4,1,1)))/2)))/2)))</f>
        <v/>
      </c>
      <c r="C43" s="19" t="str">
        <f aca="false">IF($A43="","",IF(K43=0,0,B43/K43))</f>
        <v/>
      </c>
      <c r="D43" s="20" t="str">
        <f aca="false">IF($A43="","",IF(B43=0,0,L43/B43))</f>
        <v/>
      </c>
      <c r="E43" s="20" t="str">
        <f aca="false">IF($A43="","",IF(K43=0,0,L43/K43))</f>
        <v/>
      </c>
      <c r="F43" s="20" t="str">
        <f aca="false">IF($A43="","",SUMPRODUCT(Bookings!$AA$5:$AA$1004*(($A43="All properties")+(Bookings!$D$5:$D$1004=$A43)&gt;0)*(((((Bookings!$C$5:$C$1004+DATE($B$4+1,1,1)-ABS(Bookings!$C$5:$C$1004-DATE($B$4+1,1,1)))/2)-((Bookings!$B$5:$B$1004+DATE($B$4,1,1)+ABS(Bookings!$B$5:$B$1004-DATE($B$4,1,1)))/2))+ABS(((Bookings!$C$5:$C$1004+DATE($B$4+1,1,1)-ABS(Bookings!$C$5:$C$1004-DATE($B$4+1,1,1)))/2)-((Bookings!$B$5:$B$1004+DATE($B$4,1,1)+ABS(Bookings!$B$5:$B$1004-DATE($B$4,1,1)))/2)))/2)*Bookings!$AC$5:$AC$1004))</f>
        <v/>
      </c>
      <c r="G43" s="20" t="str">
        <f aca="false">IF($A43="","",SUMPRODUCT(Bookings!$AA$5:$AA$1004*(($A43="All properties")+(Bookings!$D$5:$D$1004=$A43)&gt;0)*(((((Bookings!$C$5:$C$1004+DATE($B$4+1,1,1)-ABS(Bookings!$C$5:$C$1004-DATE($B$4+1,1,1)))/2)-((Bookings!$B$5:$B$1004+DATE($B$4,1,1)+ABS(Bookings!$B$5:$B$1004-DATE($B$4,1,1)))/2))+ABS(((Bookings!$C$5:$C$1004+DATE($B$4+1,1,1)-ABS(Bookings!$C$5:$C$1004-DATE($B$4+1,1,1)))/2)-((Bookings!$B$5:$B$1004+DATE($B$4,1,1)+ABS(Bookings!$B$5:$B$1004-DATE($B$4,1,1)))/2)))/2)*Bookings!$AD$5:$AD$1004))</f>
        <v/>
      </c>
      <c r="H43" s="20" t="str">
        <f aca="false">IF($A43="","",SUMIFS(Expenses!$F$5:$F$1004,Expenses!$A$5:$A$1004,"&gt;="&amp;DATE($B$4,1,1),Expenses!$A$5:$A$1004,"&lt;"&amp;DATE($B$4+1,1,1),Expenses!$B$5:$B$1004,$A43))</f>
        <v/>
      </c>
      <c r="I43" s="20" t="str">
        <f aca="false">IF($A43="","",F43-G43-H43)</f>
        <v/>
      </c>
      <c r="K43" s="21" t="str">
        <f aca="false">IF($A43="","",SUMPRODUCT((Properties!$A$5:$A$24&lt;&gt;"")*(($A43="All properties")+(Properties!$A$5:$A$24=$A43)&gt;0)*(((DATE($B$4+1,1,1)-((Properties!$K$5:$K$24+DATE($B$4,1,1)+ABS(Properties!$K$5:$K$24-DATE($B$4,1,1)))/2))+ABS(DATE($B$4+1,1,1)-((Properties!$K$5:$K$24+DATE($B$4,1,1)+ABS(Properties!$K$5:$K$24-DATE($B$4,1,1)))/2)))/2)))</f>
        <v/>
      </c>
      <c r="L43" s="22" t="str">
        <f aca="false">IF($A43="","",SUMPRODUCT(Bookings!$AA$5:$AA$1004*(($A43="All properties")+(Bookings!$D$5:$D$1004=$A43)&gt;0)*(((((Bookings!$C$5:$C$1004+DATE($B$4+1,1,1)-ABS(Bookings!$C$5:$C$1004-DATE($B$4+1,1,1)))/2)-((Bookings!$B$5:$B$1004+DATE($B$4,1,1)+ABS(Bookings!$B$5:$B$1004-DATE($B$4,1,1)))/2))+ABS(((Bookings!$C$5:$C$1004+DATE($B$4+1,1,1)-ABS(Bookings!$C$5:$C$1004-DATE($B$4+1,1,1)))/2)-((Bookings!$B$5:$B$1004+DATE($B$4,1,1)+ABS(Bookings!$B$5:$B$1004-DATE($B$4,1,1)))/2)))/2)*Bookings!$AB$5:$AB$1004))</f>
        <v/>
      </c>
    </row>
    <row r="44" customFormat="false" ht="15" hidden="false" customHeight="false" outlineLevel="0" collapsed="false">
      <c r="A44" s="8" t="str">
        <f aca="false">IF(Properties!A22="","",Properties!A22)</f>
        <v/>
      </c>
      <c r="B44" s="18" t="str">
        <f aca="false">IF($A44="","",SUMPRODUCT(Bookings!$AA$5:$AA$1004*(($A44="All properties")+(Bookings!$D$5:$D$1004=$A44)&gt;0)*(((((Bookings!$C$5:$C$1004+DATE($B$4+1,1,1)-ABS(Bookings!$C$5:$C$1004-DATE($B$4+1,1,1)))/2)-((Bookings!$B$5:$B$1004+DATE($B$4,1,1)+ABS(Bookings!$B$5:$B$1004-DATE($B$4,1,1)))/2))+ABS(((Bookings!$C$5:$C$1004+DATE($B$4+1,1,1)-ABS(Bookings!$C$5:$C$1004-DATE($B$4+1,1,1)))/2)-((Bookings!$B$5:$B$1004+DATE($B$4,1,1)+ABS(Bookings!$B$5:$B$1004-DATE($B$4,1,1)))/2)))/2)))</f>
        <v/>
      </c>
      <c r="C44" s="19" t="str">
        <f aca="false">IF($A44="","",IF(K44=0,0,B44/K44))</f>
        <v/>
      </c>
      <c r="D44" s="20" t="str">
        <f aca="false">IF($A44="","",IF(B44=0,0,L44/B44))</f>
        <v/>
      </c>
      <c r="E44" s="20" t="str">
        <f aca="false">IF($A44="","",IF(K44=0,0,L44/K44))</f>
        <v/>
      </c>
      <c r="F44" s="20" t="str">
        <f aca="false">IF($A44="","",SUMPRODUCT(Bookings!$AA$5:$AA$1004*(($A44="All properties")+(Bookings!$D$5:$D$1004=$A44)&gt;0)*(((((Bookings!$C$5:$C$1004+DATE($B$4+1,1,1)-ABS(Bookings!$C$5:$C$1004-DATE($B$4+1,1,1)))/2)-((Bookings!$B$5:$B$1004+DATE($B$4,1,1)+ABS(Bookings!$B$5:$B$1004-DATE($B$4,1,1)))/2))+ABS(((Bookings!$C$5:$C$1004+DATE($B$4+1,1,1)-ABS(Bookings!$C$5:$C$1004-DATE($B$4+1,1,1)))/2)-((Bookings!$B$5:$B$1004+DATE($B$4,1,1)+ABS(Bookings!$B$5:$B$1004-DATE($B$4,1,1)))/2)))/2)*Bookings!$AC$5:$AC$1004))</f>
        <v/>
      </c>
      <c r="G44" s="20" t="str">
        <f aca="false">IF($A44="","",SUMPRODUCT(Bookings!$AA$5:$AA$1004*(($A44="All properties")+(Bookings!$D$5:$D$1004=$A44)&gt;0)*(((((Bookings!$C$5:$C$1004+DATE($B$4+1,1,1)-ABS(Bookings!$C$5:$C$1004-DATE($B$4+1,1,1)))/2)-((Bookings!$B$5:$B$1004+DATE($B$4,1,1)+ABS(Bookings!$B$5:$B$1004-DATE($B$4,1,1)))/2))+ABS(((Bookings!$C$5:$C$1004+DATE($B$4+1,1,1)-ABS(Bookings!$C$5:$C$1004-DATE($B$4+1,1,1)))/2)-((Bookings!$B$5:$B$1004+DATE($B$4,1,1)+ABS(Bookings!$B$5:$B$1004-DATE($B$4,1,1)))/2)))/2)*Bookings!$AD$5:$AD$1004))</f>
        <v/>
      </c>
      <c r="H44" s="20" t="str">
        <f aca="false">IF($A44="","",SUMIFS(Expenses!$F$5:$F$1004,Expenses!$A$5:$A$1004,"&gt;="&amp;DATE($B$4,1,1),Expenses!$A$5:$A$1004,"&lt;"&amp;DATE($B$4+1,1,1),Expenses!$B$5:$B$1004,$A44))</f>
        <v/>
      </c>
      <c r="I44" s="20" t="str">
        <f aca="false">IF($A44="","",F44-G44-H44)</f>
        <v/>
      </c>
      <c r="K44" s="21" t="str">
        <f aca="false">IF($A44="","",SUMPRODUCT((Properties!$A$5:$A$24&lt;&gt;"")*(($A44="All properties")+(Properties!$A$5:$A$24=$A44)&gt;0)*(((DATE($B$4+1,1,1)-((Properties!$K$5:$K$24+DATE($B$4,1,1)+ABS(Properties!$K$5:$K$24-DATE($B$4,1,1)))/2))+ABS(DATE($B$4+1,1,1)-((Properties!$K$5:$K$24+DATE($B$4,1,1)+ABS(Properties!$K$5:$K$24-DATE($B$4,1,1)))/2)))/2)))</f>
        <v/>
      </c>
      <c r="L44" s="22" t="str">
        <f aca="false">IF($A44="","",SUMPRODUCT(Bookings!$AA$5:$AA$1004*(($A44="All properties")+(Bookings!$D$5:$D$1004=$A44)&gt;0)*(((((Bookings!$C$5:$C$1004+DATE($B$4+1,1,1)-ABS(Bookings!$C$5:$C$1004-DATE($B$4+1,1,1)))/2)-((Bookings!$B$5:$B$1004+DATE($B$4,1,1)+ABS(Bookings!$B$5:$B$1004-DATE($B$4,1,1)))/2))+ABS(((Bookings!$C$5:$C$1004+DATE($B$4+1,1,1)-ABS(Bookings!$C$5:$C$1004-DATE($B$4+1,1,1)))/2)-((Bookings!$B$5:$B$1004+DATE($B$4,1,1)+ABS(Bookings!$B$5:$B$1004-DATE($B$4,1,1)))/2)))/2)*Bookings!$AB$5:$AB$1004))</f>
        <v/>
      </c>
    </row>
    <row r="45" customFormat="false" ht="15" hidden="false" customHeight="false" outlineLevel="0" collapsed="false">
      <c r="A45" s="8" t="str">
        <f aca="false">IF(Properties!A23="","",Properties!A23)</f>
        <v/>
      </c>
      <c r="B45" s="18" t="str">
        <f aca="false">IF($A45="","",SUMPRODUCT(Bookings!$AA$5:$AA$1004*(($A45="All properties")+(Bookings!$D$5:$D$1004=$A45)&gt;0)*(((((Bookings!$C$5:$C$1004+DATE($B$4+1,1,1)-ABS(Bookings!$C$5:$C$1004-DATE($B$4+1,1,1)))/2)-((Bookings!$B$5:$B$1004+DATE($B$4,1,1)+ABS(Bookings!$B$5:$B$1004-DATE($B$4,1,1)))/2))+ABS(((Bookings!$C$5:$C$1004+DATE($B$4+1,1,1)-ABS(Bookings!$C$5:$C$1004-DATE($B$4+1,1,1)))/2)-((Bookings!$B$5:$B$1004+DATE($B$4,1,1)+ABS(Bookings!$B$5:$B$1004-DATE($B$4,1,1)))/2)))/2)))</f>
        <v/>
      </c>
      <c r="C45" s="19" t="str">
        <f aca="false">IF($A45="","",IF(K45=0,0,B45/K45))</f>
        <v/>
      </c>
      <c r="D45" s="20" t="str">
        <f aca="false">IF($A45="","",IF(B45=0,0,L45/B45))</f>
        <v/>
      </c>
      <c r="E45" s="20" t="str">
        <f aca="false">IF($A45="","",IF(K45=0,0,L45/K45))</f>
        <v/>
      </c>
      <c r="F45" s="20" t="str">
        <f aca="false">IF($A45="","",SUMPRODUCT(Bookings!$AA$5:$AA$1004*(($A45="All properties")+(Bookings!$D$5:$D$1004=$A45)&gt;0)*(((((Bookings!$C$5:$C$1004+DATE($B$4+1,1,1)-ABS(Bookings!$C$5:$C$1004-DATE($B$4+1,1,1)))/2)-((Bookings!$B$5:$B$1004+DATE($B$4,1,1)+ABS(Bookings!$B$5:$B$1004-DATE($B$4,1,1)))/2))+ABS(((Bookings!$C$5:$C$1004+DATE($B$4+1,1,1)-ABS(Bookings!$C$5:$C$1004-DATE($B$4+1,1,1)))/2)-((Bookings!$B$5:$B$1004+DATE($B$4,1,1)+ABS(Bookings!$B$5:$B$1004-DATE($B$4,1,1)))/2)))/2)*Bookings!$AC$5:$AC$1004))</f>
        <v/>
      </c>
      <c r="G45" s="20" t="str">
        <f aca="false">IF($A45="","",SUMPRODUCT(Bookings!$AA$5:$AA$1004*(($A45="All properties")+(Bookings!$D$5:$D$1004=$A45)&gt;0)*(((((Bookings!$C$5:$C$1004+DATE($B$4+1,1,1)-ABS(Bookings!$C$5:$C$1004-DATE($B$4+1,1,1)))/2)-((Bookings!$B$5:$B$1004+DATE($B$4,1,1)+ABS(Bookings!$B$5:$B$1004-DATE($B$4,1,1)))/2))+ABS(((Bookings!$C$5:$C$1004+DATE($B$4+1,1,1)-ABS(Bookings!$C$5:$C$1004-DATE($B$4+1,1,1)))/2)-((Bookings!$B$5:$B$1004+DATE($B$4,1,1)+ABS(Bookings!$B$5:$B$1004-DATE($B$4,1,1)))/2)))/2)*Bookings!$AD$5:$AD$1004))</f>
        <v/>
      </c>
      <c r="H45" s="20" t="str">
        <f aca="false">IF($A45="","",SUMIFS(Expenses!$F$5:$F$1004,Expenses!$A$5:$A$1004,"&gt;="&amp;DATE($B$4,1,1),Expenses!$A$5:$A$1004,"&lt;"&amp;DATE($B$4+1,1,1),Expenses!$B$5:$B$1004,$A45))</f>
        <v/>
      </c>
      <c r="I45" s="20" t="str">
        <f aca="false">IF($A45="","",F45-G45-H45)</f>
        <v/>
      </c>
      <c r="K45" s="21" t="str">
        <f aca="false">IF($A45="","",SUMPRODUCT((Properties!$A$5:$A$24&lt;&gt;"")*(($A45="All properties")+(Properties!$A$5:$A$24=$A45)&gt;0)*(((DATE($B$4+1,1,1)-((Properties!$K$5:$K$24+DATE($B$4,1,1)+ABS(Properties!$K$5:$K$24-DATE($B$4,1,1)))/2))+ABS(DATE($B$4+1,1,1)-((Properties!$K$5:$K$24+DATE($B$4,1,1)+ABS(Properties!$K$5:$K$24-DATE($B$4,1,1)))/2)))/2)))</f>
        <v/>
      </c>
      <c r="L45" s="22" t="str">
        <f aca="false">IF($A45="","",SUMPRODUCT(Bookings!$AA$5:$AA$1004*(($A45="All properties")+(Bookings!$D$5:$D$1004=$A45)&gt;0)*(((((Bookings!$C$5:$C$1004+DATE($B$4+1,1,1)-ABS(Bookings!$C$5:$C$1004-DATE($B$4+1,1,1)))/2)-((Bookings!$B$5:$B$1004+DATE($B$4,1,1)+ABS(Bookings!$B$5:$B$1004-DATE($B$4,1,1)))/2))+ABS(((Bookings!$C$5:$C$1004+DATE($B$4+1,1,1)-ABS(Bookings!$C$5:$C$1004-DATE($B$4+1,1,1)))/2)-((Bookings!$B$5:$B$1004+DATE($B$4,1,1)+ABS(Bookings!$B$5:$B$1004-DATE($B$4,1,1)))/2)))/2)*Bookings!$AB$5:$AB$1004))</f>
        <v/>
      </c>
    </row>
    <row r="46" customFormat="false" ht="15" hidden="false" customHeight="false" outlineLevel="0" collapsed="false">
      <c r="A46" s="8" t="str">
        <f aca="false">IF(Properties!A24="","",Properties!A24)</f>
        <v/>
      </c>
      <c r="B46" s="18" t="str">
        <f aca="false">IF($A46="","",SUMPRODUCT(Bookings!$AA$5:$AA$1004*(($A46="All properties")+(Bookings!$D$5:$D$1004=$A46)&gt;0)*(((((Bookings!$C$5:$C$1004+DATE($B$4+1,1,1)-ABS(Bookings!$C$5:$C$1004-DATE($B$4+1,1,1)))/2)-((Bookings!$B$5:$B$1004+DATE($B$4,1,1)+ABS(Bookings!$B$5:$B$1004-DATE($B$4,1,1)))/2))+ABS(((Bookings!$C$5:$C$1004+DATE($B$4+1,1,1)-ABS(Bookings!$C$5:$C$1004-DATE($B$4+1,1,1)))/2)-((Bookings!$B$5:$B$1004+DATE($B$4,1,1)+ABS(Bookings!$B$5:$B$1004-DATE($B$4,1,1)))/2)))/2)))</f>
        <v/>
      </c>
      <c r="C46" s="19" t="str">
        <f aca="false">IF($A46="","",IF(K46=0,0,B46/K46))</f>
        <v/>
      </c>
      <c r="D46" s="20" t="str">
        <f aca="false">IF($A46="","",IF(B46=0,0,L46/B46))</f>
        <v/>
      </c>
      <c r="E46" s="20" t="str">
        <f aca="false">IF($A46="","",IF(K46=0,0,L46/K46))</f>
        <v/>
      </c>
      <c r="F46" s="20" t="str">
        <f aca="false">IF($A46="","",SUMPRODUCT(Bookings!$AA$5:$AA$1004*(($A46="All properties")+(Bookings!$D$5:$D$1004=$A46)&gt;0)*(((((Bookings!$C$5:$C$1004+DATE($B$4+1,1,1)-ABS(Bookings!$C$5:$C$1004-DATE($B$4+1,1,1)))/2)-((Bookings!$B$5:$B$1004+DATE($B$4,1,1)+ABS(Bookings!$B$5:$B$1004-DATE($B$4,1,1)))/2))+ABS(((Bookings!$C$5:$C$1004+DATE($B$4+1,1,1)-ABS(Bookings!$C$5:$C$1004-DATE($B$4+1,1,1)))/2)-((Bookings!$B$5:$B$1004+DATE($B$4,1,1)+ABS(Bookings!$B$5:$B$1004-DATE($B$4,1,1)))/2)))/2)*Bookings!$AC$5:$AC$1004))</f>
        <v/>
      </c>
      <c r="G46" s="20" t="str">
        <f aca="false">IF($A46="","",SUMPRODUCT(Bookings!$AA$5:$AA$1004*(($A46="All properties")+(Bookings!$D$5:$D$1004=$A46)&gt;0)*(((((Bookings!$C$5:$C$1004+DATE($B$4+1,1,1)-ABS(Bookings!$C$5:$C$1004-DATE($B$4+1,1,1)))/2)-((Bookings!$B$5:$B$1004+DATE($B$4,1,1)+ABS(Bookings!$B$5:$B$1004-DATE($B$4,1,1)))/2))+ABS(((Bookings!$C$5:$C$1004+DATE($B$4+1,1,1)-ABS(Bookings!$C$5:$C$1004-DATE($B$4+1,1,1)))/2)-((Bookings!$B$5:$B$1004+DATE($B$4,1,1)+ABS(Bookings!$B$5:$B$1004-DATE($B$4,1,1)))/2)))/2)*Bookings!$AD$5:$AD$1004))</f>
        <v/>
      </c>
      <c r="H46" s="20" t="str">
        <f aca="false">IF($A46="","",SUMIFS(Expenses!$F$5:$F$1004,Expenses!$A$5:$A$1004,"&gt;="&amp;DATE($B$4,1,1),Expenses!$A$5:$A$1004,"&lt;"&amp;DATE($B$4+1,1,1),Expenses!$B$5:$B$1004,$A46))</f>
        <v/>
      </c>
      <c r="I46" s="20" t="str">
        <f aca="false">IF($A46="","",F46-G46-H46)</f>
        <v/>
      </c>
      <c r="K46" s="21" t="str">
        <f aca="false">IF($A46="","",SUMPRODUCT((Properties!$A$5:$A$24&lt;&gt;"")*(($A46="All properties")+(Properties!$A$5:$A$24=$A46)&gt;0)*(((DATE($B$4+1,1,1)-((Properties!$K$5:$K$24+DATE($B$4,1,1)+ABS(Properties!$K$5:$K$24-DATE($B$4,1,1)))/2))+ABS(DATE($B$4+1,1,1)-((Properties!$K$5:$K$24+DATE($B$4,1,1)+ABS(Properties!$K$5:$K$24-DATE($B$4,1,1)))/2)))/2)))</f>
        <v/>
      </c>
      <c r="L46" s="22" t="str">
        <f aca="false">IF($A46="","",SUMPRODUCT(Bookings!$AA$5:$AA$1004*(($A46="All properties")+(Bookings!$D$5:$D$1004=$A46)&gt;0)*(((((Bookings!$C$5:$C$1004+DATE($B$4+1,1,1)-ABS(Bookings!$C$5:$C$1004-DATE($B$4+1,1,1)))/2)-((Bookings!$B$5:$B$1004+DATE($B$4,1,1)+ABS(Bookings!$B$5:$B$1004-DATE($B$4,1,1)))/2))+ABS(((Bookings!$C$5:$C$1004+DATE($B$4+1,1,1)-ABS(Bookings!$C$5:$C$1004-DATE($B$4+1,1,1)))/2)-((Bookings!$B$5:$B$1004+DATE($B$4,1,1)+ABS(Bookings!$B$5:$B$1004-DATE($B$4,1,1)))/2)))/2)*Bookings!$AB$5:$AB$1004))</f>
        <v/>
      </c>
    </row>
    <row r="47" customFormat="false" ht="15" hidden="false" customHeight="false" outlineLevel="0" collapsed="false">
      <c r="A47" s="31" t="s">
        <v>56</v>
      </c>
      <c r="H47" s="20" t="n">
        <f aca="false">H22-SUM(H27:H46)</f>
        <v>19.99</v>
      </c>
      <c r="I47" s="20" t="n">
        <f aca="false">-H47</f>
        <v>-19.99</v>
      </c>
    </row>
    <row r="48" customFormat="false" ht="15" hidden="false" customHeight="false" outlineLevel="0" collapsed="false">
      <c r="A48" s="32" t="s">
        <v>57</v>
      </c>
    </row>
    <row r="49" customFormat="false" ht="15" hidden="false" customHeight="false" outlineLevel="0" collapsed="false">
      <c r="A49" s="32" t="s">
        <v>58</v>
      </c>
    </row>
  </sheetData>
  <conditionalFormatting sqref="I10:I22">
    <cfRule type="cellIs" priority="2" operator="lessThan" aboveAverage="0" equalAverage="0" bottom="0" percent="0" rank="0" text="" dxfId="0">
      <formula>0</formula>
    </cfRule>
  </conditionalFormatting>
  <conditionalFormatting sqref="I27:I47">
    <cfRule type="cellIs" priority="3"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6B64"/>
    <pageSetUpPr fitToPage="false"/>
  </sheetPr>
  <dimension ref="A1:P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5" min="2" style="0" width="11"/>
    <col collapsed="false" customWidth="true" hidden="false" outlineLevel="0" max="9" min="6" style="0" width="13"/>
    <col collapsed="false" customWidth="true" hidden="false" outlineLevel="0" max="10" min="10" style="0" width="4"/>
    <col collapsed="false" customWidth="true" hidden="false" outlineLevel="0" max="12" min="11" style="0" width="9"/>
    <col collapsed="false" customWidth="true" hidden="false" outlineLevel="0" max="14" min="13" style="0" width="10"/>
    <col collapsed="false" customWidth="true" hidden="false" outlineLevel="0" max="16" min="15" style="0" width="12"/>
  </cols>
  <sheetData>
    <row r="1" customFormat="false" ht="30" hidden="false" customHeight="true" outlineLevel="0" collapsed="false">
      <c r="A1" s="1" t="s">
        <v>59</v>
      </c>
    </row>
    <row r="2" customFormat="false" ht="15" hidden="false" customHeight="false" outlineLevel="0" collapsed="false">
      <c r="A2" s="2" t="s">
        <v>60</v>
      </c>
    </row>
    <row r="4" customFormat="false" ht="15" hidden="false" customHeight="false" outlineLevel="0" collapsed="false">
      <c r="A4" s="4" t="s">
        <v>55</v>
      </c>
      <c r="B4" s="6" t="s">
        <v>42</v>
      </c>
      <c r="C4" s="6"/>
      <c r="D4" s="6"/>
      <c r="F4" s="4" t="s">
        <v>41</v>
      </c>
      <c r="G4" s="11" t="n">
        <f aca="false">Dashboard!B4</f>
        <v>2026</v>
      </c>
    </row>
    <row r="6" customFormat="false" ht="31.5" hidden="false" customHeight="true" outlineLevel="0" collapsed="false">
      <c r="A6" s="16" t="s">
        <v>47</v>
      </c>
      <c r="B6" s="16" t="s">
        <v>48</v>
      </c>
      <c r="C6" s="16" t="s">
        <v>25</v>
      </c>
      <c r="D6" s="16" t="s">
        <v>27</v>
      </c>
      <c r="E6" s="16" t="s">
        <v>29</v>
      </c>
      <c r="F6" s="16" t="s">
        <v>31</v>
      </c>
      <c r="G6" s="16" t="s">
        <v>49</v>
      </c>
      <c r="H6" s="16" t="s">
        <v>50</v>
      </c>
      <c r="I6" s="16" t="s">
        <v>43</v>
      </c>
      <c r="K6" s="17" t="s">
        <v>51</v>
      </c>
      <c r="L6" s="17" t="s">
        <v>52</v>
      </c>
      <c r="M6" s="16" t="s">
        <v>61</v>
      </c>
      <c r="N6" s="16" t="s">
        <v>62</v>
      </c>
      <c r="O6" s="16" t="s">
        <v>63</v>
      </c>
      <c r="P6" s="16" t="s">
        <v>64</v>
      </c>
    </row>
    <row r="7" customFormat="false" ht="15" hidden="false" customHeight="false" outlineLevel="0" collapsed="false">
      <c r="A7" s="8" t="str">
        <f aca="false">TEXT(DATE($G$4,1,1),"mmm yyyy")</f>
        <v>Jan 2026</v>
      </c>
      <c r="B7" s="18" t="n">
        <f aca="false">SUMPRODUCT(Bookings!$AA$5:$AA$1004*(($B$4="All properties")+(Bookings!$D$5:$D$1004=$B$4)&gt;0)*(((((Bookings!$C$5:$C$1004+DATE($G$4,2,1)-ABS(Bookings!$C$5:$C$1004-DATE($G$4,2,1)))/2)-((Bookings!$B$5:$B$1004+DATE($G$4,1,1)+ABS(Bookings!$B$5:$B$1004-DATE($G$4,1,1)))/2))+ABS(((Bookings!$C$5:$C$1004+DATE($G$4,2,1)-ABS(Bookings!$C$5:$C$1004-DATE($G$4,2,1)))/2)-((Bookings!$B$5:$B$1004+DATE($G$4,1,1)+ABS(Bookings!$B$5:$B$1004-DATE($G$4,1,1)))/2)))/2))</f>
        <v>0</v>
      </c>
      <c r="C7" s="19" t="n">
        <f aca="false">IF(K7=0,0,B7/K7)</f>
        <v>0</v>
      </c>
      <c r="D7" s="20" t="n">
        <f aca="false">IF(B7=0,0,L7/B7)</f>
        <v>0</v>
      </c>
      <c r="E7" s="20" t="n">
        <f aca="false">IF(K7=0,0,L7/K7)</f>
        <v>0</v>
      </c>
      <c r="F7" s="20" t="n">
        <f aca="false">SUMPRODUCT(Bookings!$AA$5:$AA$1004*(($B$4="All properties")+(Bookings!$D$5:$D$1004=$B$4)&gt;0)*(((((Bookings!$C$5:$C$1004+DATE($G$4,2,1)-ABS(Bookings!$C$5:$C$1004-DATE($G$4,2,1)))/2)-((Bookings!$B$5:$B$1004+DATE($G$4,1,1)+ABS(Bookings!$B$5:$B$1004-DATE($G$4,1,1)))/2))+ABS(((Bookings!$C$5:$C$1004+DATE($G$4,2,1)-ABS(Bookings!$C$5:$C$1004-DATE($G$4,2,1)))/2)-((Bookings!$B$5:$B$1004+DATE($G$4,1,1)+ABS(Bookings!$B$5:$B$1004-DATE($G$4,1,1)))/2)))/2)*Bookings!$AC$5:$AC$1004)</f>
        <v>0</v>
      </c>
      <c r="G7" s="20" t="n">
        <f aca="false">SUMPRODUCT(Bookings!$AA$5:$AA$1004*(($B$4="All properties")+(Bookings!$D$5:$D$1004=$B$4)&gt;0)*(((((Bookings!$C$5:$C$1004+DATE($G$4,2,1)-ABS(Bookings!$C$5:$C$1004-DATE($G$4,2,1)))/2)-((Bookings!$B$5:$B$1004+DATE($G$4,1,1)+ABS(Bookings!$B$5:$B$1004-DATE($G$4,1,1)))/2))+ABS(((Bookings!$C$5:$C$1004+DATE($G$4,2,1)-ABS(Bookings!$C$5:$C$1004-DATE($G$4,2,1)))/2)-((Bookings!$B$5:$B$1004+DATE($G$4,1,1)+ABS(Bookings!$B$5:$B$1004-DATE($G$4,1,1)))/2)))/2)*Bookings!$AD$5:$AD$1004)</f>
        <v>0</v>
      </c>
      <c r="H7" s="20" t="n">
        <f aca="false">IF($B$4="All properties",SUMIFS(Expenses!$F$5:$F$1004,Expenses!$A$5:$A$1004,"&gt;="&amp;DATE($G$4,1,1),Expenses!$A$5:$A$1004,"&lt;"&amp;DATE($G$4,2,1)),SUMIFS(Expenses!$F$5:$F$1004,Expenses!$A$5:$A$1004,"&gt;="&amp;DATE($G$4,1,1),Expenses!$A$5:$A$1004,"&lt;"&amp;DATE($G$4,2,1),Expenses!$B$5:$B$1004,$B$4))</f>
        <v>0</v>
      </c>
      <c r="I7" s="20" t="n">
        <f aca="false">F7-G7-H7</f>
        <v>0</v>
      </c>
      <c r="K7" s="21" t="n">
        <f aca="false">SUMPRODUCT((Properties!$A$5:$A$24&lt;&gt;"")*(($B$4="All properties")+(Properties!$A$5:$A$24=$B$4)&gt;0)*(((DATE($G$4,2,1)-((Properties!$K$5:$K$24+DATE($G$4,1,1)+ABS(Properties!$K$5:$K$24-DATE($G$4,1,1)))/2))+ABS(DATE($G$4,2,1)-((Properties!$K$5:$K$24+DATE($G$4,1,1)+ABS(Properties!$K$5:$K$24-DATE($G$4,1,1)))/2)))/2))</f>
        <v>31</v>
      </c>
      <c r="L7" s="22" t="n">
        <f aca="false">SUMPRODUCT(Bookings!$AA$5:$AA$1004*(($B$4="All properties")+(Bookings!$D$5:$D$1004=$B$4)&gt;0)*(((((Bookings!$C$5:$C$1004+DATE($G$4,2,1)-ABS(Bookings!$C$5:$C$1004-DATE($G$4,2,1)))/2)-((Bookings!$B$5:$B$1004+DATE($G$4,1,1)+ABS(Bookings!$B$5:$B$1004-DATE($G$4,1,1)))/2))+ABS(((Bookings!$C$5:$C$1004+DATE($G$4,2,1)-ABS(Bookings!$C$5:$C$1004-DATE($G$4,2,1)))/2)-((Bookings!$B$5:$B$1004+DATE($G$4,1,1)+ABS(Bookings!$B$5:$B$1004-DATE($G$4,1,1)))/2)))/2)*Bookings!$AB$5:$AB$1004)</f>
        <v>0</v>
      </c>
      <c r="M7" s="18" t="n">
        <f aca="false">SUMPRODUCT(Bookings!$AA$5:$AA$1004*(($B$4="All properties")+(Bookings!$D$5:$D$1004=$B$4)&gt;0)*(Bookings!$B$5:$B$1004&gt;=DATE($G$4,1,1))*(Bookings!$B$5:$B$1004&lt;DATE($G$4,2,1)))</f>
        <v>0</v>
      </c>
      <c r="N7" s="33" t="n">
        <f aca="false">IF(M7=0,0,SUMPRODUCT(Bookings!$AA$5:$AA$1004*(($B$4="All properties")+(Bookings!$D$5:$D$1004=$B$4)&gt;0)*(Bookings!$B$5:$B$1004&gt;=DATE($G$4,1,1))*(Bookings!$B$5:$B$1004&lt;DATE($G$4,2,1))*Bookings!$AH$5:$AH$1004)/M7)</f>
        <v>0</v>
      </c>
      <c r="O7" s="20" t="n">
        <f aca="false">SUMPRODUCT(Bookings!$AA$5:$AA$1004*(($B$4="All properties")+(Bookings!$D$5:$D$1004=$B$4)&gt;0)*(((((Bookings!$C$5:$C$1004+DATE($G$4,2,1)-ABS(Bookings!$C$5:$C$1004-DATE($G$4,2,1)))/2)-((Bookings!$B$5:$B$1004+DATE($G$4,1,1)+ABS(Bookings!$B$5:$B$1004-DATE($G$4,1,1)))/2))+ABS(((Bookings!$C$5:$C$1004+DATE($G$4,2,1)-ABS(Bookings!$C$5:$C$1004-DATE($G$4,2,1)))/2)-((Bookings!$B$5:$B$1004+DATE($G$4,1,1)+ABS(Bookings!$B$5:$B$1004-DATE($G$4,1,1)))/2)))/2)*Bookings!$AF$5:$AF$1004)</f>
        <v>0</v>
      </c>
      <c r="P7" s="20" t="n">
        <f aca="false">SUMPRODUCT(Bookings!$AA$5:$AA$1004*(($B$4="All properties")+(Bookings!$D$5:$D$1004=$B$4)&gt;0)*(((((Bookings!$C$5:$C$1004+DATE($G$4,2,1)-ABS(Bookings!$C$5:$C$1004-DATE($G$4,2,1)))/2)-((Bookings!$B$5:$B$1004+DATE($G$4,1,1)+ABS(Bookings!$B$5:$B$1004-DATE($G$4,1,1)))/2))+ABS(((Bookings!$C$5:$C$1004+DATE($G$4,2,1)-ABS(Bookings!$C$5:$C$1004-DATE($G$4,2,1)))/2)-((Bookings!$B$5:$B$1004+DATE($G$4,1,1)+ABS(Bookings!$B$5:$B$1004-DATE($G$4,1,1)))/2)))/2)*Bookings!$AE$5:$AE$1004)</f>
        <v>0</v>
      </c>
    </row>
    <row r="8" customFormat="false" ht="15" hidden="false" customHeight="false" outlineLevel="0" collapsed="false">
      <c r="A8" s="23" t="str">
        <f aca="false">TEXT(DATE($G$4,2,1),"mmm yyyy")</f>
        <v>Feb 2026</v>
      </c>
      <c r="B8" s="24" t="n">
        <f aca="false">SUMPRODUCT(Bookings!$AA$5:$AA$1004*(($B$4="All properties")+(Bookings!$D$5:$D$1004=$B$4)&gt;0)*(((((Bookings!$C$5:$C$1004+DATE($G$4,3,1)-ABS(Bookings!$C$5:$C$1004-DATE($G$4,3,1)))/2)-((Bookings!$B$5:$B$1004+DATE($G$4,2,1)+ABS(Bookings!$B$5:$B$1004-DATE($G$4,2,1)))/2))+ABS(((Bookings!$C$5:$C$1004+DATE($G$4,3,1)-ABS(Bookings!$C$5:$C$1004-DATE($G$4,3,1)))/2)-((Bookings!$B$5:$B$1004+DATE($G$4,2,1)+ABS(Bookings!$B$5:$B$1004-DATE($G$4,2,1)))/2)))/2))</f>
        <v>0</v>
      </c>
      <c r="C8" s="25" t="n">
        <f aca="false">IF(K8=0,0,B8/K8)</f>
        <v>0</v>
      </c>
      <c r="D8" s="26" t="n">
        <f aca="false">IF(B8=0,0,L8/B8)</f>
        <v>0</v>
      </c>
      <c r="E8" s="26" t="n">
        <f aca="false">IF(K8=0,0,L8/K8)</f>
        <v>0</v>
      </c>
      <c r="F8" s="26" t="n">
        <f aca="false">SUMPRODUCT(Bookings!$AA$5:$AA$1004*(($B$4="All properties")+(Bookings!$D$5:$D$1004=$B$4)&gt;0)*(((((Bookings!$C$5:$C$1004+DATE($G$4,3,1)-ABS(Bookings!$C$5:$C$1004-DATE($G$4,3,1)))/2)-((Bookings!$B$5:$B$1004+DATE($G$4,2,1)+ABS(Bookings!$B$5:$B$1004-DATE($G$4,2,1)))/2))+ABS(((Bookings!$C$5:$C$1004+DATE($G$4,3,1)-ABS(Bookings!$C$5:$C$1004-DATE($G$4,3,1)))/2)-((Bookings!$B$5:$B$1004+DATE($G$4,2,1)+ABS(Bookings!$B$5:$B$1004-DATE($G$4,2,1)))/2)))/2)*Bookings!$AC$5:$AC$1004)</f>
        <v>0</v>
      </c>
      <c r="G8" s="26" t="n">
        <f aca="false">SUMPRODUCT(Bookings!$AA$5:$AA$1004*(($B$4="All properties")+(Bookings!$D$5:$D$1004=$B$4)&gt;0)*(((((Bookings!$C$5:$C$1004+DATE($G$4,3,1)-ABS(Bookings!$C$5:$C$1004-DATE($G$4,3,1)))/2)-((Bookings!$B$5:$B$1004+DATE($G$4,2,1)+ABS(Bookings!$B$5:$B$1004-DATE($G$4,2,1)))/2))+ABS(((Bookings!$C$5:$C$1004+DATE($G$4,3,1)-ABS(Bookings!$C$5:$C$1004-DATE($G$4,3,1)))/2)-((Bookings!$B$5:$B$1004+DATE($G$4,2,1)+ABS(Bookings!$B$5:$B$1004-DATE($G$4,2,1)))/2)))/2)*Bookings!$AD$5:$AD$1004)</f>
        <v>0</v>
      </c>
      <c r="H8" s="26" t="n">
        <f aca="false">IF($B$4="All properties",SUMIFS(Expenses!$F$5:$F$1004,Expenses!$A$5:$A$1004,"&gt;="&amp;DATE($G$4,2,1),Expenses!$A$5:$A$1004,"&lt;"&amp;DATE($G$4,3,1)),SUMIFS(Expenses!$F$5:$F$1004,Expenses!$A$5:$A$1004,"&gt;="&amp;DATE($G$4,2,1),Expenses!$A$5:$A$1004,"&lt;"&amp;DATE($G$4,3,1),Expenses!$B$5:$B$1004,$B$4))</f>
        <v>0</v>
      </c>
      <c r="I8" s="26" t="n">
        <f aca="false">F8-G8-H8</f>
        <v>0</v>
      </c>
      <c r="J8" s="34"/>
      <c r="K8" s="21" t="n">
        <f aca="false">SUMPRODUCT((Properties!$A$5:$A$24&lt;&gt;"")*(($B$4="All properties")+(Properties!$A$5:$A$24=$B$4)&gt;0)*(((DATE($G$4,3,1)-((Properties!$K$5:$K$24+DATE($G$4,2,1)+ABS(Properties!$K$5:$K$24-DATE($G$4,2,1)))/2))+ABS(DATE($G$4,3,1)-((Properties!$K$5:$K$24+DATE($G$4,2,1)+ABS(Properties!$K$5:$K$24-DATE($G$4,2,1)))/2)))/2))</f>
        <v>28</v>
      </c>
      <c r="L8" s="22" t="n">
        <f aca="false">SUMPRODUCT(Bookings!$AA$5:$AA$1004*(($B$4="All properties")+(Bookings!$D$5:$D$1004=$B$4)&gt;0)*(((((Bookings!$C$5:$C$1004+DATE($G$4,3,1)-ABS(Bookings!$C$5:$C$1004-DATE($G$4,3,1)))/2)-((Bookings!$B$5:$B$1004+DATE($G$4,2,1)+ABS(Bookings!$B$5:$B$1004-DATE($G$4,2,1)))/2))+ABS(((Bookings!$C$5:$C$1004+DATE($G$4,3,1)-ABS(Bookings!$C$5:$C$1004-DATE($G$4,3,1)))/2)-((Bookings!$B$5:$B$1004+DATE($G$4,2,1)+ABS(Bookings!$B$5:$B$1004-DATE($G$4,2,1)))/2)))/2)*Bookings!$AB$5:$AB$1004)</f>
        <v>0</v>
      </c>
      <c r="M8" s="24" t="n">
        <f aca="false">SUMPRODUCT(Bookings!$AA$5:$AA$1004*(($B$4="All properties")+(Bookings!$D$5:$D$1004=$B$4)&gt;0)*(Bookings!$B$5:$B$1004&gt;=DATE($G$4,2,1))*(Bookings!$B$5:$B$1004&lt;DATE($G$4,3,1)))</f>
        <v>0</v>
      </c>
      <c r="N8" s="35" t="n">
        <f aca="false">IF(M8=0,0,SUMPRODUCT(Bookings!$AA$5:$AA$1004*(($B$4="All properties")+(Bookings!$D$5:$D$1004=$B$4)&gt;0)*(Bookings!$B$5:$B$1004&gt;=DATE($G$4,2,1))*(Bookings!$B$5:$B$1004&lt;DATE($G$4,3,1))*Bookings!$AH$5:$AH$1004)/M8)</f>
        <v>0</v>
      </c>
      <c r="O8" s="26" t="n">
        <f aca="false">SUMPRODUCT(Bookings!$AA$5:$AA$1004*(($B$4="All properties")+(Bookings!$D$5:$D$1004=$B$4)&gt;0)*(((((Bookings!$C$5:$C$1004+DATE($G$4,3,1)-ABS(Bookings!$C$5:$C$1004-DATE($G$4,3,1)))/2)-((Bookings!$B$5:$B$1004+DATE($G$4,2,1)+ABS(Bookings!$B$5:$B$1004-DATE($G$4,2,1)))/2))+ABS(((Bookings!$C$5:$C$1004+DATE($G$4,3,1)-ABS(Bookings!$C$5:$C$1004-DATE($G$4,3,1)))/2)-((Bookings!$B$5:$B$1004+DATE($G$4,2,1)+ABS(Bookings!$B$5:$B$1004-DATE($G$4,2,1)))/2)))/2)*Bookings!$AF$5:$AF$1004)</f>
        <v>0</v>
      </c>
      <c r="P8" s="26" t="n">
        <f aca="false">SUMPRODUCT(Bookings!$AA$5:$AA$1004*(($B$4="All properties")+(Bookings!$D$5:$D$1004=$B$4)&gt;0)*(((((Bookings!$C$5:$C$1004+DATE($G$4,3,1)-ABS(Bookings!$C$5:$C$1004-DATE($G$4,3,1)))/2)-((Bookings!$B$5:$B$1004+DATE($G$4,2,1)+ABS(Bookings!$B$5:$B$1004-DATE($G$4,2,1)))/2))+ABS(((Bookings!$C$5:$C$1004+DATE($G$4,3,1)-ABS(Bookings!$C$5:$C$1004-DATE($G$4,3,1)))/2)-((Bookings!$B$5:$B$1004+DATE($G$4,2,1)+ABS(Bookings!$B$5:$B$1004-DATE($G$4,2,1)))/2)))/2)*Bookings!$AE$5:$AE$1004)</f>
        <v>0</v>
      </c>
    </row>
    <row r="9" customFormat="false" ht="15" hidden="false" customHeight="false" outlineLevel="0" collapsed="false">
      <c r="A9" s="8" t="str">
        <f aca="false">TEXT(DATE($G$4,3,1),"mmm yyyy")</f>
        <v>Mar 2026</v>
      </c>
      <c r="B9" s="18" t="n">
        <f aca="false">SUMPRODUCT(Bookings!$AA$5:$AA$1004*(($B$4="All properties")+(Bookings!$D$5:$D$1004=$B$4)&gt;0)*(((((Bookings!$C$5:$C$1004+DATE($G$4,4,1)-ABS(Bookings!$C$5:$C$1004-DATE($G$4,4,1)))/2)-((Bookings!$B$5:$B$1004+DATE($G$4,3,1)+ABS(Bookings!$B$5:$B$1004-DATE($G$4,3,1)))/2))+ABS(((Bookings!$C$5:$C$1004+DATE($G$4,4,1)-ABS(Bookings!$C$5:$C$1004-DATE($G$4,4,1)))/2)-((Bookings!$B$5:$B$1004+DATE($G$4,3,1)+ABS(Bookings!$B$5:$B$1004-DATE($G$4,3,1)))/2)))/2))</f>
        <v>0</v>
      </c>
      <c r="C9" s="19" t="n">
        <f aca="false">IF(K9=0,0,B9/K9)</f>
        <v>0</v>
      </c>
      <c r="D9" s="20" t="n">
        <f aca="false">IF(B9=0,0,L9/B9)</f>
        <v>0</v>
      </c>
      <c r="E9" s="20" t="n">
        <f aca="false">IF(K9=0,0,L9/K9)</f>
        <v>0</v>
      </c>
      <c r="F9" s="20" t="n">
        <f aca="false">SUMPRODUCT(Bookings!$AA$5:$AA$1004*(($B$4="All properties")+(Bookings!$D$5:$D$1004=$B$4)&gt;0)*(((((Bookings!$C$5:$C$1004+DATE($G$4,4,1)-ABS(Bookings!$C$5:$C$1004-DATE($G$4,4,1)))/2)-((Bookings!$B$5:$B$1004+DATE($G$4,3,1)+ABS(Bookings!$B$5:$B$1004-DATE($G$4,3,1)))/2))+ABS(((Bookings!$C$5:$C$1004+DATE($G$4,4,1)-ABS(Bookings!$C$5:$C$1004-DATE($G$4,4,1)))/2)-((Bookings!$B$5:$B$1004+DATE($G$4,3,1)+ABS(Bookings!$B$5:$B$1004-DATE($G$4,3,1)))/2)))/2)*Bookings!$AC$5:$AC$1004)</f>
        <v>0</v>
      </c>
      <c r="G9" s="20" t="n">
        <f aca="false">SUMPRODUCT(Bookings!$AA$5:$AA$1004*(($B$4="All properties")+(Bookings!$D$5:$D$1004=$B$4)&gt;0)*(((((Bookings!$C$5:$C$1004+DATE($G$4,4,1)-ABS(Bookings!$C$5:$C$1004-DATE($G$4,4,1)))/2)-((Bookings!$B$5:$B$1004+DATE($G$4,3,1)+ABS(Bookings!$B$5:$B$1004-DATE($G$4,3,1)))/2))+ABS(((Bookings!$C$5:$C$1004+DATE($G$4,4,1)-ABS(Bookings!$C$5:$C$1004-DATE($G$4,4,1)))/2)-((Bookings!$B$5:$B$1004+DATE($G$4,3,1)+ABS(Bookings!$B$5:$B$1004-DATE($G$4,3,1)))/2)))/2)*Bookings!$AD$5:$AD$1004)</f>
        <v>0</v>
      </c>
      <c r="H9" s="20" t="n">
        <f aca="false">IF($B$4="All properties",SUMIFS(Expenses!$F$5:$F$1004,Expenses!$A$5:$A$1004,"&gt;="&amp;DATE($G$4,3,1),Expenses!$A$5:$A$1004,"&lt;"&amp;DATE($G$4,4,1)),SUMIFS(Expenses!$F$5:$F$1004,Expenses!$A$5:$A$1004,"&gt;="&amp;DATE($G$4,3,1),Expenses!$A$5:$A$1004,"&lt;"&amp;DATE($G$4,4,1),Expenses!$B$5:$B$1004,$B$4))</f>
        <v>0</v>
      </c>
      <c r="I9" s="20" t="n">
        <f aca="false">F9-G9-H9</f>
        <v>0</v>
      </c>
      <c r="K9" s="21" t="n">
        <f aca="false">SUMPRODUCT((Properties!$A$5:$A$24&lt;&gt;"")*(($B$4="All properties")+(Properties!$A$5:$A$24=$B$4)&gt;0)*(((DATE($G$4,4,1)-((Properties!$K$5:$K$24+DATE($G$4,3,1)+ABS(Properties!$K$5:$K$24-DATE($G$4,3,1)))/2))+ABS(DATE($G$4,4,1)-((Properties!$K$5:$K$24+DATE($G$4,3,1)+ABS(Properties!$K$5:$K$24-DATE($G$4,3,1)))/2)))/2))</f>
        <v>31</v>
      </c>
      <c r="L9" s="22" t="n">
        <f aca="false">SUMPRODUCT(Bookings!$AA$5:$AA$1004*(($B$4="All properties")+(Bookings!$D$5:$D$1004=$B$4)&gt;0)*(((((Bookings!$C$5:$C$1004+DATE($G$4,4,1)-ABS(Bookings!$C$5:$C$1004-DATE($G$4,4,1)))/2)-((Bookings!$B$5:$B$1004+DATE($G$4,3,1)+ABS(Bookings!$B$5:$B$1004-DATE($G$4,3,1)))/2))+ABS(((Bookings!$C$5:$C$1004+DATE($G$4,4,1)-ABS(Bookings!$C$5:$C$1004-DATE($G$4,4,1)))/2)-((Bookings!$B$5:$B$1004+DATE($G$4,3,1)+ABS(Bookings!$B$5:$B$1004-DATE($G$4,3,1)))/2)))/2)*Bookings!$AB$5:$AB$1004)</f>
        <v>0</v>
      </c>
      <c r="M9" s="18" t="n">
        <f aca="false">SUMPRODUCT(Bookings!$AA$5:$AA$1004*(($B$4="All properties")+(Bookings!$D$5:$D$1004=$B$4)&gt;0)*(Bookings!$B$5:$B$1004&gt;=DATE($G$4,3,1))*(Bookings!$B$5:$B$1004&lt;DATE($G$4,4,1)))</f>
        <v>0</v>
      </c>
      <c r="N9" s="33" t="n">
        <f aca="false">IF(M9=0,0,SUMPRODUCT(Bookings!$AA$5:$AA$1004*(($B$4="All properties")+(Bookings!$D$5:$D$1004=$B$4)&gt;0)*(Bookings!$B$5:$B$1004&gt;=DATE($G$4,3,1))*(Bookings!$B$5:$B$1004&lt;DATE($G$4,4,1))*Bookings!$AH$5:$AH$1004)/M9)</f>
        <v>0</v>
      </c>
      <c r="O9" s="20" t="n">
        <f aca="false">SUMPRODUCT(Bookings!$AA$5:$AA$1004*(($B$4="All properties")+(Bookings!$D$5:$D$1004=$B$4)&gt;0)*(((((Bookings!$C$5:$C$1004+DATE($G$4,4,1)-ABS(Bookings!$C$5:$C$1004-DATE($G$4,4,1)))/2)-((Bookings!$B$5:$B$1004+DATE($G$4,3,1)+ABS(Bookings!$B$5:$B$1004-DATE($G$4,3,1)))/2))+ABS(((Bookings!$C$5:$C$1004+DATE($G$4,4,1)-ABS(Bookings!$C$5:$C$1004-DATE($G$4,4,1)))/2)-((Bookings!$B$5:$B$1004+DATE($G$4,3,1)+ABS(Bookings!$B$5:$B$1004-DATE($G$4,3,1)))/2)))/2)*Bookings!$AF$5:$AF$1004)</f>
        <v>0</v>
      </c>
      <c r="P9" s="20" t="n">
        <f aca="false">SUMPRODUCT(Bookings!$AA$5:$AA$1004*(($B$4="All properties")+(Bookings!$D$5:$D$1004=$B$4)&gt;0)*(((((Bookings!$C$5:$C$1004+DATE($G$4,4,1)-ABS(Bookings!$C$5:$C$1004-DATE($G$4,4,1)))/2)-((Bookings!$B$5:$B$1004+DATE($G$4,3,1)+ABS(Bookings!$B$5:$B$1004-DATE($G$4,3,1)))/2))+ABS(((Bookings!$C$5:$C$1004+DATE($G$4,4,1)-ABS(Bookings!$C$5:$C$1004-DATE($G$4,4,1)))/2)-((Bookings!$B$5:$B$1004+DATE($G$4,3,1)+ABS(Bookings!$B$5:$B$1004-DATE($G$4,3,1)))/2)))/2)*Bookings!$AE$5:$AE$1004)</f>
        <v>0</v>
      </c>
    </row>
    <row r="10" customFormat="false" ht="15" hidden="false" customHeight="false" outlineLevel="0" collapsed="false">
      <c r="A10" s="23" t="str">
        <f aca="false">TEXT(DATE($G$4,4,1),"mmm yyyy")</f>
        <v>Apr 2026</v>
      </c>
      <c r="B10" s="24" t="n">
        <f aca="false">SUMPRODUCT(Bookings!$AA$5:$AA$1004*(($B$4="All properties")+(Bookings!$D$5:$D$1004=$B$4)&gt;0)*(((((Bookings!$C$5:$C$1004+DATE($G$4,5,1)-ABS(Bookings!$C$5:$C$1004-DATE($G$4,5,1)))/2)-((Bookings!$B$5:$B$1004+DATE($G$4,4,1)+ABS(Bookings!$B$5:$B$1004-DATE($G$4,4,1)))/2))+ABS(((Bookings!$C$5:$C$1004+DATE($G$4,5,1)-ABS(Bookings!$C$5:$C$1004-DATE($G$4,5,1)))/2)-((Bookings!$B$5:$B$1004+DATE($G$4,4,1)+ABS(Bookings!$B$5:$B$1004-DATE($G$4,4,1)))/2)))/2))</f>
        <v>0</v>
      </c>
      <c r="C10" s="25" t="n">
        <f aca="false">IF(K10=0,0,B10/K10)</f>
        <v>0</v>
      </c>
      <c r="D10" s="26" t="n">
        <f aca="false">IF(B10=0,0,L10/B10)</f>
        <v>0</v>
      </c>
      <c r="E10" s="26" t="n">
        <f aca="false">IF(K10=0,0,L10/K10)</f>
        <v>0</v>
      </c>
      <c r="F10" s="26" t="n">
        <f aca="false">SUMPRODUCT(Bookings!$AA$5:$AA$1004*(($B$4="All properties")+(Bookings!$D$5:$D$1004=$B$4)&gt;0)*(((((Bookings!$C$5:$C$1004+DATE($G$4,5,1)-ABS(Bookings!$C$5:$C$1004-DATE($G$4,5,1)))/2)-((Bookings!$B$5:$B$1004+DATE($G$4,4,1)+ABS(Bookings!$B$5:$B$1004-DATE($G$4,4,1)))/2))+ABS(((Bookings!$C$5:$C$1004+DATE($G$4,5,1)-ABS(Bookings!$C$5:$C$1004-DATE($G$4,5,1)))/2)-((Bookings!$B$5:$B$1004+DATE($G$4,4,1)+ABS(Bookings!$B$5:$B$1004-DATE($G$4,4,1)))/2)))/2)*Bookings!$AC$5:$AC$1004)</f>
        <v>0</v>
      </c>
      <c r="G10" s="26" t="n">
        <f aca="false">SUMPRODUCT(Bookings!$AA$5:$AA$1004*(($B$4="All properties")+(Bookings!$D$5:$D$1004=$B$4)&gt;0)*(((((Bookings!$C$5:$C$1004+DATE($G$4,5,1)-ABS(Bookings!$C$5:$C$1004-DATE($G$4,5,1)))/2)-((Bookings!$B$5:$B$1004+DATE($G$4,4,1)+ABS(Bookings!$B$5:$B$1004-DATE($G$4,4,1)))/2))+ABS(((Bookings!$C$5:$C$1004+DATE($G$4,5,1)-ABS(Bookings!$C$5:$C$1004-DATE($G$4,5,1)))/2)-((Bookings!$B$5:$B$1004+DATE($G$4,4,1)+ABS(Bookings!$B$5:$B$1004-DATE($G$4,4,1)))/2)))/2)*Bookings!$AD$5:$AD$1004)</f>
        <v>0</v>
      </c>
      <c r="H10" s="26" t="n">
        <f aca="false">IF($B$4="All properties",SUMIFS(Expenses!$F$5:$F$1004,Expenses!$A$5:$A$1004,"&gt;="&amp;DATE($G$4,4,1),Expenses!$A$5:$A$1004,"&lt;"&amp;DATE($G$4,5,1)),SUMIFS(Expenses!$F$5:$F$1004,Expenses!$A$5:$A$1004,"&gt;="&amp;DATE($G$4,4,1),Expenses!$A$5:$A$1004,"&lt;"&amp;DATE($G$4,5,1),Expenses!$B$5:$B$1004,$B$4))</f>
        <v>0</v>
      </c>
      <c r="I10" s="26" t="n">
        <f aca="false">F10-G10-H10</f>
        <v>0</v>
      </c>
      <c r="J10" s="34"/>
      <c r="K10" s="21" t="n">
        <f aca="false">SUMPRODUCT((Properties!$A$5:$A$24&lt;&gt;"")*(($B$4="All properties")+(Properties!$A$5:$A$24=$B$4)&gt;0)*(((DATE($G$4,5,1)-((Properties!$K$5:$K$24+DATE($G$4,4,1)+ABS(Properties!$K$5:$K$24-DATE($G$4,4,1)))/2))+ABS(DATE($G$4,5,1)-((Properties!$K$5:$K$24+DATE($G$4,4,1)+ABS(Properties!$K$5:$K$24-DATE($G$4,4,1)))/2)))/2))</f>
        <v>30</v>
      </c>
      <c r="L10" s="22" t="n">
        <f aca="false">SUMPRODUCT(Bookings!$AA$5:$AA$1004*(($B$4="All properties")+(Bookings!$D$5:$D$1004=$B$4)&gt;0)*(((((Bookings!$C$5:$C$1004+DATE($G$4,5,1)-ABS(Bookings!$C$5:$C$1004-DATE($G$4,5,1)))/2)-((Bookings!$B$5:$B$1004+DATE($G$4,4,1)+ABS(Bookings!$B$5:$B$1004-DATE($G$4,4,1)))/2))+ABS(((Bookings!$C$5:$C$1004+DATE($G$4,5,1)-ABS(Bookings!$C$5:$C$1004-DATE($G$4,5,1)))/2)-((Bookings!$B$5:$B$1004+DATE($G$4,4,1)+ABS(Bookings!$B$5:$B$1004-DATE($G$4,4,1)))/2)))/2)*Bookings!$AB$5:$AB$1004)</f>
        <v>0</v>
      </c>
      <c r="M10" s="24" t="n">
        <f aca="false">SUMPRODUCT(Bookings!$AA$5:$AA$1004*(($B$4="All properties")+(Bookings!$D$5:$D$1004=$B$4)&gt;0)*(Bookings!$B$5:$B$1004&gt;=DATE($G$4,4,1))*(Bookings!$B$5:$B$1004&lt;DATE($G$4,5,1)))</f>
        <v>0</v>
      </c>
      <c r="N10" s="35" t="n">
        <f aca="false">IF(M10=0,0,SUMPRODUCT(Bookings!$AA$5:$AA$1004*(($B$4="All properties")+(Bookings!$D$5:$D$1004=$B$4)&gt;0)*(Bookings!$B$5:$B$1004&gt;=DATE($G$4,4,1))*(Bookings!$B$5:$B$1004&lt;DATE($G$4,5,1))*Bookings!$AH$5:$AH$1004)/M10)</f>
        <v>0</v>
      </c>
      <c r="O10" s="26" t="n">
        <f aca="false">SUMPRODUCT(Bookings!$AA$5:$AA$1004*(($B$4="All properties")+(Bookings!$D$5:$D$1004=$B$4)&gt;0)*(((((Bookings!$C$5:$C$1004+DATE($G$4,5,1)-ABS(Bookings!$C$5:$C$1004-DATE($G$4,5,1)))/2)-((Bookings!$B$5:$B$1004+DATE($G$4,4,1)+ABS(Bookings!$B$5:$B$1004-DATE($G$4,4,1)))/2))+ABS(((Bookings!$C$5:$C$1004+DATE($G$4,5,1)-ABS(Bookings!$C$5:$C$1004-DATE($G$4,5,1)))/2)-((Bookings!$B$5:$B$1004+DATE($G$4,4,1)+ABS(Bookings!$B$5:$B$1004-DATE($G$4,4,1)))/2)))/2)*Bookings!$AF$5:$AF$1004)</f>
        <v>0</v>
      </c>
      <c r="P10" s="26" t="n">
        <f aca="false">SUMPRODUCT(Bookings!$AA$5:$AA$1004*(($B$4="All properties")+(Bookings!$D$5:$D$1004=$B$4)&gt;0)*(((((Bookings!$C$5:$C$1004+DATE($G$4,5,1)-ABS(Bookings!$C$5:$C$1004-DATE($G$4,5,1)))/2)-((Bookings!$B$5:$B$1004+DATE($G$4,4,1)+ABS(Bookings!$B$5:$B$1004-DATE($G$4,4,1)))/2))+ABS(((Bookings!$C$5:$C$1004+DATE($G$4,5,1)-ABS(Bookings!$C$5:$C$1004-DATE($G$4,5,1)))/2)-((Bookings!$B$5:$B$1004+DATE($G$4,4,1)+ABS(Bookings!$B$5:$B$1004-DATE($G$4,4,1)))/2)))/2)*Bookings!$AE$5:$AE$1004)</f>
        <v>0</v>
      </c>
    </row>
    <row r="11" customFormat="false" ht="15" hidden="false" customHeight="false" outlineLevel="0" collapsed="false">
      <c r="A11" s="8" t="str">
        <f aca="false">TEXT(DATE($G$4,5,1),"mmm yyyy")</f>
        <v>May 2026</v>
      </c>
      <c r="B11" s="18" t="n">
        <f aca="false">SUMPRODUCT(Bookings!$AA$5:$AA$1004*(($B$4="All properties")+(Bookings!$D$5:$D$1004=$B$4)&gt;0)*(((((Bookings!$C$5:$C$1004+DATE($G$4,6,1)-ABS(Bookings!$C$5:$C$1004-DATE($G$4,6,1)))/2)-((Bookings!$B$5:$B$1004+DATE($G$4,5,1)+ABS(Bookings!$B$5:$B$1004-DATE($G$4,5,1)))/2))+ABS(((Bookings!$C$5:$C$1004+DATE($G$4,6,1)-ABS(Bookings!$C$5:$C$1004-DATE($G$4,6,1)))/2)-((Bookings!$B$5:$B$1004+DATE($G$4,5,1)+ABS(Bookings!$B$5:$B$1004-DATE($G$4,5,1)))/2)))/2))</f>
        <v>0</v>
      </c>
      <c r="C11" s="19" t="n">
        <f aca="false">IF(K11=0,0,B11/K11)</f>
        <v>0</v>
      </c>
      <c r="D11" s="20" t="n">
        <f aca="false">IF(B11=0,0,L11/B11)</f>
        <v>0</v>
      </c>
      <c r="E11" s="20" t="n">
        <f aca="false">IF(K11=0,0,L11/K11)</f>
        <v>0</v>
      </c>
      <c r="F11" s="20" t="n">
        <f aca="false">SUMPRODUCT(Bookings!$AA$5:$AA$1004*(($B$4="All properties")+(Bookings!$D$5:$D$1004=$B$4)&gt;0)*(((((Bookings!$C$5:$C$1004+DATE($G$4,6,1)-ABS(Bookings!$C$5:$C$1004-DATE($G$4,6,1)))/2)-((Bookings!$B$5:$B$1004+DATE($G$4,5,1)+ABS(Bookings!$B$5:$B$1004-DATE($G$4,5,1)))/2))+ABS(((Bookings!$C$5:$C$1004+DATE($G$4,6,1)-ABS(Bookings!$C$5:$C$1004-DATE($G$4,6,1)))/2)-((Bookings!$B$5:$B$1004+DATE($G$4,5,1)+ABS(Bookings!$B$5:$B$1004-DATE($G$4,5,1)))/2)))/2)*Bookings!$AC$5:$AC$1004)</f>
        <v>0</v>
      </c>
      <c r="G11" s="20" t="n">
        <f aca="false">SUMPRODUCT(Bookings!$AA$5:$AA$1004*(($B$4="All properties")+(Bookings!$D$5:$D$1004=$B$4)&gt;0)*(((((Bookings!$C$5:$C$1004+DATE($G$4,6,1)-ABS(Bookings!$C$5:$C$1004-DATE($G$4,6,1)))/2)-((Bookings!$B$5:$B$1004+DATE($G$4,5,1)+ABS(Bookings!$B$5:$B$1004-DATE($G$4,5,1)))/2))+ABS(((Bookings!$C$5:$C$1004+DATE($G$4,6,1)-ABS(Bookings!$C$5:$C$1004-DATE($G$4,6,1)))/2)-((Bookings!$B$5:$B$1004+DATE($G$4,5,1)+ABS(Bookings!$B$5:$B$1004-DATE($G$4,5,1)))/2)))/2)*Bookings!$AD$5:$AD$1004)</f>
        <v>0</v>
      </c>
      <c r="H11" s="20" t="n">
        <f aca="false">IF($B$4="All properties",SUMIFS(Expenses!$F$5:$F$1004,Expenses!$A$5:$A$1004,"&gt;="&amp;DATE($G$4,5,1),Expenses!$A$5:$A$1004,"&lt;"&amp;DATE($G$4,6,1)),SUMIFS(Expenses!$F$5:$F$1004,Expenses!$A$5:$A$1004,"&gt;="&amp;DATE($G$4,5,1),Expenses!$A$5:$A$1004,"&lt;"&amp;DATE($G$4,6,1),Expenses!$B$5:$B$1004,$B$4))</f>
        <v>0</v>
      </c>
      <c r="I11" s="20" t="n">
        <f aca="false">F11-G11-H11</f>
        <v>0</v>
      </c>
      <c r="K11" s="21" t="n">
        <f aca="false">SUMPRODUCT((Properties!$A$5:$A$24&lt;&gt;"")*(($B$4="All properties")+(Properties!$A$5:$A$24=$B$4)&gt;0)*(((DATE($G$4,6,1)-((Properties!$K$5:$K$24+DATE($G$4,5,1)+ABS(Properties!$K$5:$K$24-DATE($G$4,5,1)))/2))+ABS(DATE($G$4,6,1)-((Properties!$K$5:$K$24+DATE($G$4,5,1)+ABS(Properties!$K$5:$K$24-DATE($G$4,5,1)))/2)))/2))</f>
        <v>31</v>
      </c>
      <c r="L11" s="22" t="n">
        <f aca="false">SUMPRODUCT(Bookings!$AA$5:$AA$1004*(($B$4="All properties")+(Bookings!$D$5:$D$1004=$B$4)&gt;0)*(((((Bookings!$C$5:$C$1004+DATE($G$4,6,1)-ABS(Bookings!$C$5:$C$1004-DATE($G$4,6,1)))/2)-((Bookings!$B$5:$B$1004+DATE($G$4,5,1)+ABS(Bookings!$B$5:$B$1004-DATE($G$4,5,1)))/2))+ABS(((Bookings!$C$5:$C$1004+DATE($G$4,6,1)-ABS(Bookings!$C$5:$C$1004-DATE($G$4,6,1)))/2)-((Bookings!$B$5:$B$1004+DATE($G$4,5,1)+ABS(Bookings!$B$5:$B$1004-DATE($G$4,5,1)))/2)))/2)*Bookings!$AB$5:$AB$1004)</f>
        <v>0</v>
      </c>
      <c r="M11" s="18" t="n">
        <f aca="false">SUMPRODUCT(Bookings!$AA$5:$AA$1004*(($B$4="All properties")+(Bookings!$D$5:$D$1004=$B$4)&gt;0)*(Bookings!$B$5:$B$1004&gt;=DATE($G$4,5,1))*(Bookings!$B$5:$B$1004&lt;DATE($G$4,6,1)))</f>
        <v>0</v>
      </c>
      <c r="N11" s="33" t="n">
        <f aca="false">IF(M11=0,0,SUMPRODUCT(Bookings!$AA$5:$AA$1004*(($B$4="All properties")+(Bookings!$D$5:$D$1004=$B$4)&gt;0)*(Bookings!$B$5:$B$1004&gt;=DATE($G$4,5,1))*(Bookings!$B$5:$B$1004&lt;DATE($G$4,6,1))*Bookings!$AH$5:$AH$1004)/M11)</f>
        <v>0</v>
      </c>
      <c r="O11" s="20" t="n">
        <f aca="false">SUMPRODUCT(Bookings!$AA$5:$AA$1004*(($B$4="All properties")+(Bookings!$D$5:$D$1004=$B$4)&gt;0)*(((((Bookings!$C$5:$C$1004+DATE($G$4,6,1)-ABS(Bookings!$C$5:$C$1004-DATE($G$4,6,1)))/2)-((Bookings!$B$5:$B$1004+DATE($G$4,5,1)+ABS(Bookings!$B$5:$B$1004-DATE($G$4,5,1)))/2))+ABS(((Bookings!$C$5:$C$1004+DATE($G$4,6,1)-ABS(Bookings!$C$5:$C$1004-DATE($G$4,6,1)))/2)-((Bookings!$B$5:$B$1004+DATE($G$4,5,1)+ABS(Bookings!$B$5:$B$1004-DATE($G$4,5,1)))/2)))/2)*Bookings!$AF$5:$AF$1004)</f>
        <v>0</v>
      </c>
      <c r="P11" s="20" t="n">
        <f aca="false">SUMPRODUCT(Bookings!$AA$5:$AA$1004*(($B$4="All properties")+(Bookings!$D$5:$D$1004=$B$4)&gt;0)*(((((Bookings!$C$5:$C$1004+DATE($G$4,6,1)-ABS(Bookings!$C$5:$C$1004-DATE($G$4,6,1)))/2)-((Bookings!$B$5:$B$1004+DATE($G$4,5,1)+ABS(Bookings!$B$5:$B$1004-DATE($G$4,5,1)))/2))+ABS(((Bookings!$C$5:$C$1004+DATE($G$4,6,1)-ABS(Bookings!$C$5:$C$1004-DATE($G$4,6,1)))/2)-((Bookings!$B$5:$B$1004+DATE($G$4,5,1)+ABS(Bookings!$B$5:$B$1004-DATE($G$4,5,1)))/2)))/2)*Bookings!$AE$5:$AE$1004)</f>
        <v>0</v>
      </c>
    </row>
    <row r="12" customFormat="false" ht="15" hidden="false" customHeight="false" outlineLevel="0" collapsed="false">
      <c r="A12" s="23" t="str">
        <f aca="false">TEXT(DATE($G$4,6,1),"mmm yyyy")</f>
        <v>Jun 2026</v>
      </c>
      <c r="B12" s="24" t="n">
        <f aca="false">SUMPRODUCT(Bookings!$AA$5:$AA$1004*(($B$4="All properties")+(Bookings!$D$5:$D$1004=$B$4)&gt;0)*(((((Bookings!$C$5:$C$1004+DATE($G$4,7,1)-ABS(Bookings!$C$5:$C$1004-DATE($G$4,7,1)))/2)-((Bookings!$B$5:$B$1004+DATE($G$4,6,1)+ABS(Bookings!$B$5:$B$1004-DATE($G$4,6,1)))/2))+ABS(((Bookings!$C$5:$C$1004+DATE($G$4,7,1)-ABS(Bookings!$C$5:$C$1004-DATE($G$4,7,1)))/2)-((Bookings!$B$5:$B$1004+DATE($G$4,6,1)+ABS(Bookings!$B$5:$B$1004-DATE($G$4,6,1)))/2)))/2))</f>
        <v>0</v>
      </c>
      <c r="C12" s="25" t="n">
        <f aca="false">IF(K12=0,0,B12/K12)</f>
        <v>0</v>
      </c>
      <c r="D12" s="26" t="n">
        <f aca="false">IF(B12=0,0,L12/B12)</f>
        <v>0</v>
      </c>
      <c r="E12" s="26" t="n">
        <f aca="false">IF(K12=0,0,L12/K12)</f>
        <v>0</v>
      </c>
      <c r="F12" s="26" t="n">
        <f aca="false">SUMPRODUCT(Bookings!$AA$5:$AA$1004*(($B$4="All properties")+(Bookings!$D$5:$D$1004=$B$4)&gt;0)*(((((Bookings!$C$5:$C$1004+DATE($G$4,7,1)-ABS(Bookings!$C$5:$C$1004-DATE($G$4,7,1)))/2)-((Bookings!$B$5:$B$1004+DATE($G$4,6,1)+ABS(Bookings!$B$5:$B$1004-DATE($G$4,6,1)))/2))+ABS(((Bookings!$C$5:$C$1004+DATE($G$4,7,1)-ABS(Bookings!$C$5:$C$1004-DATE($G$4,7,1)))/2)-((Bookings!$B$5:$B$1004+DATE($G$4,6,1)+ABS(Bookings!$B$5:$B$1004-DATE($G$4,6,1)))/2)))/2)*Bookings!$AC$5:$AC$1004)</f>
        <v>0</v>
      </c>
      <c r="G12" s="26" t="n">
        <f aca="false">SUMPRODUCT(Bookings!$AA$5:$AA$1004*(($B$4="All properties")+(Bookings!$D$5:$D$1004=$B$4)&gt;0)*(((((Bookings!$C$5:$C$1004+DATE($G$4,7,1)-ABS(Bookings!$C$5:$C$1004-DATE($G$4,7,1)))/2)-((Bookings!$B$5:$B$1004+DATE($G$4,6,1)+ABS(Bookings!$B$5:$B$1004-DATE($G$4,6,1)))/2))+ABS(((Bookings!$C$5:$C$1004+DATE($G$4,7,1)-ABS(Bookings!$C$5:$C$1004-DATE($G$4,7,1)))/2)-((Bookings!$B$5:$B$1004+DATE($G$4,6,1)+ABS(Bookings!$B$5:$B$1004-DATE($G$4,6,1)))/2)))/2)*Bookings!$AD$5:$AD$1004)</f>
        <v>0</v>
      </c>
      <c r="H12" s="26" t="n">
        <f aca="false">IF($B$4="All properties",SUMIFS(Expenses!$F$5:$F$1004,Expenses!$A$5:$A$1004,"&gt;="&amp;DATE($G$4,6,1),Expenses!$A$5:$A$1004,"&lt;"&amp;DATE($G$4,7,1)),SUMIFS(Expenses!$F$5:$F$1004,Expenses!$A$5:$A$1004,"&gt;="&amp;DATE($G$4,6,1),Expenses!$A$5:$A$1004,"&lt;"&amp;DATE($G$4,7,1),Expenses!$B$5:$B$1004,$B$4))</f>
        <v>0</v>
      </c>
      <c r="I12" s="26" t="n">
        <f aca="false">F12-G12-H12</f>
        <v>0</v>
      </c>
      <c r="J12" s="34"/>
      <c r="K12" s="21" t="n">
        <f aca="false">SUMPRODUCT((Properties!$A$5:$A$24&lt;&gt;"")*(($B$4="All properties")+(Properties!$A$5:$A$24=$B$4)&gt;0)*(((DATE($G$4,7,1)-((Properties!$K$5:$K$24+DATE($G$4,6,1)+ABS(Properties!$K$5:$K$24-DATE($G$4,6,1)))/2))+ABS(DATE($G$4,7,1)-((Properties!$K$5:$K$24+DATE($G$4,6,1)+ABS(Properties!$K$5:$K$24-DATE($G$4,6,1)))/2)))/2))</f>
        <v>30</v>
      </c>
      <c r="L12" s="22" t="n">
        <f aca="false">SUMPRODUCT(Bookings!$AA$5:$AA$1004*(($B$4="All properties")+(Bookings!$D$5:$D$1004=$B$4)&gt;0)*(((((Bookings!$C$5:$C$1004+DATE($G$4,7,1)-ABS(Bookings!$C$5:$C$1004-DATE($G$4,7,1)))/2)-((Bookings!$B$5:$B$1004+DATE($G$4,6,1)+ABS(Bookings!$B$5:$B$1004-DATE($G$4,6,1)))/2))+ABS(((Bookings!$C$5:$C$1004+DATE($G$4,7,1)-ABS(Bookings!$C$5:$C$1004-DATE($G$4,7,1)))/2)-((Bookings!$B$5:$B$1004+DATE($G$4,6,1)+ABS(Bookings!$B$5:$B$1004-DATE($G$4,6,1)))/2)))/2)*Bookings!$AB$5:$AB$1004)</f>
        <v>0</v>
      </c>
      <c r="M12" s="24" t="n">
        <f aca="false">SUMPRODUCT(Bookings!$AA$5:$AA$1004*(($B$4="All properties")+(Bookings!$D$5:$D$1004=$B$4)&gt;0)*(Bookings!$B$5:$B$1004&gt;=DATE($G$4,6,1))*(Bookings!$B$5:$B$1004&lt;DATE($G$4,7,1)))</f>
        <v>0</v>
      </c>
      <c r="N12" s="35" t="n">
        <f aca="false">IF(M12=0,0,SUMPRODUCT(Bookings!$AA$5:$AA$1004*(($B$4="All properties")+(Bookings!$D$5:$D$1004=$B$4)&gt;0)*(Bookings!$B$5:$B$1004&gt;=DATE($G$4,6,1))*(Bookings!$B$5:$B$1004&lt;DATE($G$4,7,1))*Bookings!$AH$5:$AH$1004)/M12)</f>
        <v>0</v>
      </c>
      <c r="O12" s="26" t="n">
        <f aca="false">SUMPRODUCT(Bookings!$AA$5:$AA$1004*(($B$4="All properties")+(Bookings!$D$5:$D$1004=$B$4)&gt;0)*(((((Bookings!$C$5:$C$1004+DATE($G$4,7,1)-ABS(Bookings!$C$5:$C$1004-DATE($G$4,7,1)))/2)-((Bookings!$B$5:$B$1004+DATE($G$4,6,1)+ABS(Bookings!$B$5:$B$1004-DATE($G$4,6,1)))/2))+ABS(((Bookings!$C$5:$C$1004+DATE($G$4,7,1)-ABS(Bookings!$C$5:$C$1004-DATE($G$4,7,1)))/2)-((Bookings!$B$5:$B$1004+DATE($G$4,6,1)+ABS(Bookings!$B$5:$B$1004-DATE($G$4,6,1)))/2)))/2)*Bookings!$AF$5:$AF$1004)</f>
        <v>0</v>
      </c>
      <c r="P12" s="26" t="n">
        <f aca="false">SUMPRODUCT(Bookings!$AA$5:$AA$1004*(($B$4="All properties")+(Bookings!$D$5:$D$1004=$B$4)&gt;0)*(((((Bookings!$C$5:$C$1004+DATE($G$4,7,1)-ABS(Bookings!$C$5:$C$1004-DATE($G$4,7,1)))/2)-((Bookings!$B$5:$B$1004+DATE($G$4,6,1)+ABS(Bookings!$B$5:$B$1004-DATE($G$4,6,1)))/2))+ABS(((Bookings!$C$5:$C$1004+DATE($G$4,7,1)-ABS(Bookings!$C$5:$C$1004-DATE($G$4,7,1)))/2)-((Bookings!$B$5:$B$1004+DATE($G$4,6,1)+ABS(Bookings!$B$5:$B$1004-DATE($G$4,6,1)))/2)))/2)*Bookings!$AE$5:$AE$1004)</f>
        <v>0</v>
      </c>
    </row>
    <row r="13" customFormat="false" ht="15" hidden="false" customHeight="false" outlineLevel="0" collapsed="false">
      <c r="A13" s="8" t="str">
        <f aca="false">TEXT(DATE($G$4,7,1),"mmm yyyy")</f>
        <v>Jul 2026</v>
      </c>
      <c r="B13" s="18" t="n">
        <f aca="false">SUMPRODUCT(Bookings!$AA$5:$AA$1004*(($B$4="All properties")+(Bookings!$D$5:$D$1004=$B$4)&gt;0)*(((((Bookings!$C$5:$C$1004+DATE($G$4,8,1)-ABS(Bookings!$C$5:$C$1004-DATE($G$4,8,1)))/2)-((Bookings!$B$5:$B$1004+DATE($G$4,7,1)+ABS(Bookings!$B$5:$B$1004-DATE($G$4,7,1)))/2))+ABS(((Bookings!$C$5:$C$1004+DATE($G$4,8,1)-ABS(Bookings!$C$5:$C$1004-DATE($G$4,8,1)))/2)-((Bookings!$B$5:$B$1004+DATE($G$4,7,1)+ABS(Bookings!$B$5:$B$1004-DATE($G$4,7,1)))/2)))/2))</f>
        <v>0</v>
      </c>
      <c r="C13" s="19" t="n">
        <f aca="false">IF(K13=0,0,B13/K13)</f>
        <v>0</v>
      </c>
      <c r="D13" s="20" t="n">
        <f aca="false">IF(B13=0,0,L13/B13)</f>
        <v>0</v>
      </c>
      <c r="E13" s="20" t="n">
        <f aca="false">IF(K13=0,0,L13/K13)</f>
        <v>0</v>
      </c>
      <c r="F13" s="20" t="n">
        <f aca="false">SUMPRODUCT(Bookings!$AA$5:$AA$1004*(($B$4="All properties")+(Bookings!$D$5:$D$1004=$B$4)&gt;0)*(((((Bookings!$C$5:$C$1004+DATE($G$4,8,1)-ABS(Bookings!$C$5:$C$1004-DATE($G$4,8,1)))/2)-((Bookings!$B$5:$B$1004+DATE($G$4,7,1)+ABS(Bookings!$B$5:$B$1004-DATE($G$4,7,1)))/2))+ABS(((Bookings!$C$5:$C$1004+DATE($G$4,8,1)-ABS(Bookings!$C$5:$C$1004-DATE($G$4,8,1)))/2)-((Bookings!$B$5:$B$1004+DATE($G$4,7,1)+ABS(Bookings!$B$5:$B$1004-DATE($G$4,7,1)))/2)))/2)*Bookings!$AC$5:$AC$1004)</f>
        <v>0</v>
      </c>
      <c r="G13" s="20" t="n">
        <f aca="false">SUMPRODUCT(Bookings!$AA$5:$AA$1004*(($B$4="All properties")+(Bookings!$D$5:$D$1004=$B$4)&gt;0)*(((((Bookings!$C$5:$C$1004+DATE($G$4,8,1)-ABS(Bookings!$C$5:$C$1004-DATE($G$4,8,1)))/2)-((Bookings!$B$5:$B$1004+DATE($G$4,7,1)+ABS(Bookings!$B$5:$B$1004-DATE($G$4,7,1)))/2))+ABS(((Bookings!$C$5:$C$1004+DATE($G$4,8,1)-ABS(Bookings!$C$5:$C$1004-DATE($G$4,8,1)))/2)-((Bookings!$B$5:$B$1004+DATE($G$4,7,1)+ABS(Bookings!$B$5:$B$1004-DATE($G$4,7,1)))/2)))/2)*Bookings!$AD$5:$AD$1004)</f>
        <v>0</v>
      </c>
      <c r="H13" s="20" t="n">
        <f aca="false">IF($B$4="All properties",SUMIFS(Expenses!$F$5:$F$1004,Expenses!$A$5:$A$1004,"&gt;="&amp;DATE($G$4,7,1),Expenses!$A$5:$A$1004,"&lt;"&amp;DATE($G$4,8,1)),SUMIFS(Expenses!$F$5:$F$1004,Expenses!$A$5:$A$1004,"&gt;="&amp;DATE($G$4,7,1),Expenses!$A$5:$A$1004,"&lt;"&amp;DATE($G$4,8,1),Expenses!$B$5:$B$1004,$B$4))</f>
        <v>0</v>
      </c>
      <c r="I13" s="20" t="n">
        <f aca="false">F13-G13-H13</f>
        <v>0</v>
      </c>
      <c r="K13" s="21" t="n">
        <f aca="false">SUMPRODUCT((Properties!$A$5:$A$24&lt;&gt;"")*(($B$4="All properties")+(Properties!$A$5:$A$24=$B$4)&gt;0)*(((DATE($G$4,8,1)-((Properties!$K$5:$K$24+DATE($G$4,7,1)+ABS(Properties!$K$5:$K$24-DATE($G$4,7,1)))/2))+ABS(DATE($G$4,8,1)-((Properties!$K$5:$K$24+DATE($G$4,7,1)+ABS(Properties!$K$5:$K$24-DATE($G$4,7,1)))/2)))/2))</f>
        <v>31</v>
      </c>
      <c r="L13" s="22" t="n">
        <f aca="false">SUMPRODUCT(Bookings!$AA$5:$AA$1004*(($B$4="All properties")+(Bookings!$D$5:$D$1004=$B$4)&gt;0)*(((((Bookings!$C$5:$C$1004+DATE($G$4,8,1)-ABS(Bookings!$C$5:$C$1004-DATE($G$4,8,1)))/2)-((Bookings!$B$5:$B$1004+DATE($G$4,7,1)+ABS(Bookings!$B$5:$B$1004-DATE($G$4,7,1)))/2))+ABS(((Bookings!$C$5:$C$1004+DATE($G$4,8,1)-ABS(Bookings!$C$5:$C$1004-DATE($G$4,8,1)))/2)-((Bookings!$B$5:$B$1004+DATE($G$4,7,1)+ABS(Bookings!$B$5:$B$1004-DATE($G$4,7,1)))/2)))/2)*Bookings!$AB$5:$AB$1004)</f>
        <v>0</v>
      </c>
      <c r="M13" s="18" t="n">
        <f aca="false">SUMPRODUCT(Bookings!$AA$5:$AA$1004*(($B$4="All properties")+(Bookings!$D$5:$D$1004=$B$4)&gt;0)*(Bookings!$B$5:$B$1004&gt;=DATE($G$4,7,1))*(Bookings!$B$5:$B$1004&lt;DATE($G$4,8,1)))</f>
        <v>0</v>
      </c>
      <c r="N13" s="33" t="n">
        <f aca="false">IF(M13=0,0,SUMPRODUCT(Bookings!$AA$5:$AA$1004*(($B$4="All properties")+(Bookings!$D$5:$D$1004=$B$4)&gt;0)*(Bookings!$B$5:$B$1004&gt;=DATE($G$4,7,1))*(Bookings!$B$5:$B$1004&lt;DATE($G$4,8,1))*Bookings!$AH$5:$AH$1004)/M13)</f>
        <v>0</v>
      </c>
      <c r="O13" s="20" t="n">
        <f aca="false">SUMPRODUCT(Bookings!$AA$5:$AA$1004*(($B$4="All properties")+(Bookings!$D$5:$D$1004=$B$4)&gt;0)*(((((Bookings!$C$5:$C$1004+DATE($G$4,8,1)-ABS(Bookings!$C$5:$C$1004-DATE($G$4,8,1)))/2)-((Bookings!$B$5:$B$1004+DATE($G$4,7,1)+ABS(Bookings!$B$5:$B$1004-DATE($G$4,7,1)))/2))+ABS(((Bookings!$C$5:$C$1004+DATE($G$4,8,1)-ABS(Bookings!$C$5:$C$1004-DATE($G$4,8,1)))/2)-((Bookings!$B$5:$B$1004+DATE($G$4,7,1)+ABS(Bookings!$B$5:$B$1004-DATE($G$4,7,1)))/2)))/2)*Bookings!$AF$5:$AF$1004)</f>
        <v>0</v>
      </c>
      <c r="P13" s="20" t="n">
        <f aca="false">SUMPRODUCT(Bookings!$AA$5:$AA$1004*(($B$4="All properties")+(Bookings!$D$5:$D$1004=$B$4)&gt;0)*(((((Bookings!$C$5:$C$1004+DATE($G$4,8,1)-ABS(Bookings!$C$5:$C$1004-DATE($G$4,8,1)))/2)-((Bookings!$B$5:$B$1004+DATE($G$4,7,1)+ABS(Bookings!$B$5:$B$1004-DATE($G$4,7,1)))/2))+ABS(((Bookings!$C$5:$C$1004+DATE($G$4,8,1)-ABS(Bookings!$C$5:$C$1004-DATE($G$4,8,1)))/2)-((Bookings!$B$5:$B$1004+DATE($G$4,7,1)+ABS(Bookings!$B$5:$B$1004-DATE($G$4,7,1)))/2)))/2)*Bookings!$AE$5:$AE$1004)</f>
        <v>0</v>
      </c>
    </row>
    <row r="14" customFormat="false" ht="15" hidden="false" customHeight="false" outlineLevel="0" collapsed="false">
      <c r="A14" s="23" t="str">
        <f aca="false">TEXT(DATE($G$4,8,1),"mmm yyyy")</f>
        <v>Aug 2026</v>
      </c>
      <c r="B14" s="24" t="n">
        <f aca="false">SUMPRODUCT(Bookings!$AA$5:$AA$1004*(($B$4="All properties")+(Bookings!$D$5:$D$1004=$B$4)&gt;0)*(((((Bookings!$C$5:$C$1004+DATE($G$4,9,1)-ABS(Bookings!$C$5:$C$1004-DATE($G$4,9,1)))/2)-((Bookings!$B$5:$B$1004+DATE($G$4,8,1)+ABS(Bookings!$B$5:$B$1004-DATE($G$4,8,1)))/2))+ABS(((Bookings!$C$5:$C$1004+DATE($G$4,9,1)-ABS(Bookings!$C$5:$C$1004-DATE($G$4,9,1)))/2)-((Bookings!$B$5:$B$1004+DATE($G$4,8,1)+ABS(Bookings!$B$5:$B$1004-DATE($G$4,8,1)))/2)))/2))</f>
        <v>0</v>
      </c>
      <c r="C14" s="25" t="n">
        <f aca="false">IF(K14=0,0,B14/K14)</f>
        <v>0</v>
      </c>
      <c r="D14" s="26" t="n">
        <f aca="false">IF(B14=0,0,L14/B14)</f>
        <v>0</v>
      </c>
      <c r="E14" s="26" t="n">
        <f aca="false">IF(K14=0,0,L14/K14)</f>
        <v>0</v>
      </c>
      <c r="F14" s="26" t="n">
        <f aca="false">SUMPRODUCT(Bookings!$AA$5:$AA$1004*(($B$4="All properties")+(Bookings!$D$5:$D$1004=$B$4)&gt;0)*(((((Bookings!$C$5:$C$1004+DATE($G$4,9,1)-ABS(Bookings!$C$5:$C$1004-DATE($G$4,9,1)))/2)-((Bookings!$B$5:$B$1004+DATE($G$4,8,1)+ABS(Bookings!$B$5:$B$1004-DATE($G$4,8,1)))/2))+ABS(((Bookings!$C$5:$C$1004+DATE($G$4,9,1)-ABS(Bookings!$C$5:$C$1004-DATE($G$4,9,1)))/2)-((Bookings!$B$5:$B$1004+DATE($G$4,8,1)+ABS(Bookings!$B$5:$B$1004-DATE($G$4,8,1)))/2)))/2)*Bookings!$AC$5:$AC$1004)</f>
        <v>0</v>
      </c>
      <c r="G14" s="26" t="n">
        <f aca="false">SUMPRODUCT(Bookings!$AA$5:$AA$1004*(($B$4="All properties")+(Bookings!$D$5:$D$1004=$B$4)&gt;0)*(((((Bookings!$C$5:$C$1004+DATE($G$4,9,1)-ABS(Bookings!$C$5:$C$1004-DATE($G$4,9,1)))/2)-((Bookings!$B$5:$B$1004+DATE($G$4,8,1)+ABS(Bookings!$B$5:$B$1004-DATE($G$4,8,1)))/2))+ABS(((Bookings!$C$5:$C$1004+DATE($G$4,9,1)-ABS(Bookings!$C$5:$C$1004-DATE($G$4,9,1)))/2)-((Bookings!$B$5:$B$1004+DATE($G$4,8,1)+ABS(Bookings!$B$5:$B$1004-DATE($G$4,8,1)))/2)))/2)*Bookings!$AD$5:$AD$1004)</f>
        <v>0</v>
      </c>
      <c r="H14" s="26" t="n">
        <f aca="false">IF($B$4="All properties",SUMIFS(Expenses!$F$5:$F$1004,Expenses!$A$5:$A$1004,"&gt;="&amp;DATE($G$4,8,1),Expenses!$A$5:$A$1004,"&lt;"&amp;DATE($G$4,9,1)),SUMIFS(Expenses!$F$5:$F$1004,Expenses!$A$5:$A$1004,"&gt;="&amp;DATE($G$4,8,1),Expenses!$A$5:$A$1004,"&lt;"&amp;DATE($G$4,9,1),Expenses!$B$5:$B$1004,$B$4))</f>
        <v>0</v>
      </c>
      <c r="I14" s="26" t="n">
        <f aca="false">F14-G14-H14</f>
        <v>0</v>
      </c>
      <c r="J14" s="34"/>
      <c r="K14" s="21" t="n">
        <f aca="false">SUMPRODUCT((Properties!$A$5:$A$24&lt;&gt;"")*(($B$4="All properties")+(Properties!$A$5:$A$24=$B$4)&gt;0)*(((DATE($G$4,9,1)-((Properties!$K$5:$K$24+DATE($G$4,8,1)+ABS(Properties!$K$5:$K$24-DATE($G$4,8,1)))/2))+ABS(DATE($G$4,9,1)-((Properties!$K$5:$K$24+DATE($G$4,8,1)+ABS(Properties!$K$5:$K$24-DATE($G$4,8,1)))/2)))/2))</f>
        <v>31</v>
      </c>
      <c r="L14" s="22" t="n">
        <f aca="false">SUMPRODUCT(Bookings!$AA$5:$AA$1004*(($B$4="All properties")+(Bookings!$D$5:$D$1004=$B$4)&gt;0)*(((((Bookings!$C$5:$C$1004+DATE($G$4,9,1)-ABS(Bookings!$C$5:$C$1004-DATE($G$4,9,1)))/2)-((Bookings!$B$5:$B$1004+DATE($G$4,8,1)+ABS(Bookings!$B$5:$B$1004-DATE($G$4,8,1)))/2))+ABS(((Bookings!$C$5:$C$1004+DATE($G$4,9,1)-ABS(Bookings!$C$5:$C$1004-DATE($G$4,9,1)))/2)-((Bookings!$B$5:$B$1004+DATE($G$4,8,1)+ABS(Bookings!$B$5:$B$1004-DATE($G$4,8,1)))/2)))/2)*Bookings!$AB$5:$AB$1004)</f>
        <v>0</v>
      </c>
      <c r="M14" s="24" t="n">
        <f aca="false">SUMPRODUCT(Bookings!$AA$5:$AA$1004*(($B$4="All properties")+(Bookings!$D$5:$D$1004=$B$4)&gt;0)*(Bookings!$B$5:$B$1004&gt;=DATE($G$4,8,1))*(Bookings!$B$5:$B$1004&lt;DATE($G$4,9,1)))</f>
        <v>0</v>
      </c>
      <c r="N14" s="35" t="n">
        <f aca="false">IF(M14=0,0,SUMPRODUCT(Bookings!$AA$5:$AA$1004*(($B$4="All properties")+(Bookings!$D$5:$D$1004=$B$4)&gt;0)*(Bookings!$B$5:$B$1004&gt;=DATE($G$4,8,1))*(Bookings!$B$5:$B$1004&lt;DATE($G$4,9,1))*Bookings!$AH$5:$AH$1004)/M14)</f>
        <v>0</v>
      </c>
      <c r="O14" s="26" t="n">
        <f aca="false">SUMPRODUCT(Bookings!$AA$5:$AA$1004*(($B$4="All properties")+(Bookings!$D$5:$D$1004=$B$4)&gt;0)*(((((Bookings!$C$5:$C$1004+DATE($G$4,9,1)-ABS(Bookings!$C$5:$C$1004-DATE($G$4,9,1)))/2)-((Bookings!$B$5:$B$1004+DATE($G$4,8,1)+ABS(Bookings!$B$5:$B$1004-DATE($G$4,8,1)))/2))+ABS(((Bookings!$C$5:$C$1004+DATE($G$4,9,1)-ABS(Bookings!$C$5:$C$1004-DATE($G$4,9,1)))/2)-((Bookings!$B$5:$B$1004+DATE($G$4,8,1)+ABS(Bookings!$B$5:$B$1004-DATE($G$4,8,1)))/2)))/2)*Bookings!$AF$5:$AF$1004)</f>
        <v>0</v>
      </c>
      <c r="P14" s="26" t="n">
        <f aca="false">SUMPRODUCT(Bookings!$AA$5:$AA$1004*(($B$4="All properties")+(Bookings!$D$5:$D$1004=$B$4)&gt;0)*(((((Bookings!$C$5:$C$1004+DATE($G$4,9,1)-ABS(Bookings!$C$5:$C$1004-DATE($G$4,9,1)))/2)-((Bookings!$B$5:$B$1004+DATE($G$4,8,1)+ABS(Bookings!$B$5:$B$1004-DATE($G$4,8,1)))/2))+ABS(((Bookings!$C$5:$C$1004+DATE($G$4,9,1)-ABS(Bookings!$C$5:$C$1004-DATE($G$4,9,1)))/2)-((Bookings!$B$5:$B$1004+DATE($G$4,8,1)+ABS(Bookings!$B$5:$B$1004-DATE($G$4,8,1)))/2)))/2)*Bookings!$AE$5:$AE$1004)</f>
        <v>0</v>
      </c>
    </row>
    <row r="15" customFormat="false" ht="15" hidden="false" customHeight="false" outlineLevel="0" collapsed="false">
      <c r="A15" s="8" t="str">
        <f aca="false">TEXT(DATE($G$4,9,1),"mmm yyyy")</f>
        <v>Sep 2026</v>
      </c>
      <c r="B15" s="18" t="n">
        <f aca="false">SUMPRODUCT(Bookings!$AA$5:$AA$1004*(($B$4="All properties")+(Bookings!$D$5:$D$1004=$B$4)&gt;0)*(((((Bookings!$C$5:$C$1004+DATE($G$4,10,1)-ABS(Bookings!$C$5:$C$1004-DATE($G$4,10,1)))/2)-((Bookings!$B$5:$B$1004+DATE($G$4,9,1)+ABS(Bookings!$B$5:$B$1004-DATE($G$4,9,1)))/2))+ABS(((Bookings!$C$5:$C$1004+DATE($G$4,10,1)-ABS(Bookings!$C$5:$C$1004-DATE($G$4,10,1)))/2)-((Bookings!$B$5:$B$1004+DATE($G$4,9,1)+ABS(Bookings!$B$5:$B$1004-DATE($G$4,9,1)))/2)))/2))</f>
        <v>0</v>
      </c>
      <c r="C15" s="19" t="n">
        <f aca="false">IF(K15=0,0,B15/K15)</f>
        <v>0</v>
      </c>
      <c r="D15" s="20" t="n">
        <f aca="false">IF(B15=0,0,L15/B15)</f>
        <v>0</v>
      </c>
      <c r="E15" s="20" t="n">
        <f aca="false">IF(K15=0,0,L15/K15)</f>
        <v>0</v>
      </c>
      <c r="F15" s="20" t="n">
        <f aca="false">SUMPRODUCT(Bookings!$AA$5:$AA$1004*(($B$4="All properties")+(Bookings!$D$5:$D$1004=$B$4)&gt;0)*(((((Bookings!$C$5:$C$1004+DATE($G$4,10,1)-ABS(Bookings!$C$5:$C$1004-DATE($G$4,10,1)))/2)-((Bookings!$B$5:$B$1004+DATE($G$4,9,1)+ABS(Bookings!$B$5:$B$1004-DATE($G$4,9,1)))/2))+ABS(((Bookings!$C$5:$C$1004+DATE($G$4,10,1)-ABS(Bookings!$C$5:$C$1004-DATE($G$4,10,1)))/2)-((Bookings!$B$5:$B$1004+DATE($G$4,9,1)+ABS(Bookings!$B$5:$B$1004-DATE($G$4,9,1)))/2)))/2)*Bookings!$AC$5:$AC$1004)</f>
        <v>0</v>
      </c>
      <c r="G15" s="20" t="n">
        <f aca="false">SUMPRODUCT(Bookings!$AA$5:$AA$1004*(($B$4="All properties")+(Bookings!$D$5:$D$1004=$B$4)&gt;0)*(((((Bookings!$C$5:$C$1004+DATE($G$4,10,1)-ABS(Bookings!$C$5:$C$1004-DATE($G$4,10,1)))/2)-((Bookings!$B$5:$B$1004+DATE($G$4,9,1)+ABS(Bookings!$B$5:$B$1004-DATE($G$4,9,1)))/2))+ABS(((Bookings!$C$5:$C$1004+DATE($G$4,10,1)-ABS(Bookings!$C$5:$C$1004-DATE($G$4,10,1)))/2)-((Bookings!$B$5:$B$1004+DATE($G$4,9,1)+ABS(Bookings!$B$5:$B$1004-DATE($G$4,9,1)))/2)))/2)*Bookings!$AD$5:$AD$1004)</f>
        <v>0</v>
      </c>
      <c r="H15" s="20" t="n">
        <f aca="false">IF($B$4="All properties",SUMIFS(Expenses!$F$5:$F$1004,Expenses!$A$5:$A$1004,"&gt;="&amp;DATE($G$4,9,1),Expenses!$A$5:$A$1004,"&lt;"&amp;DATE($G$4,10,1)),SUMIFS(Expenses!$F$5:$F$1004,Expenses!$A$5:$A$1004,"&gt;="&amp;DATE($G$4,9,1),Expenses!$A$5:$A$1004,"&lt;"&amp;DATE($G$4,10,1),Expenses!$B$5:$B$1004,$B$4))</f>
        <v>0</v>
      </c>
      <c r="I15" s="20" t="n">
        <f aca="false">F15-G15-H15</f>
        <v>0</v>
      </c>
      <c r="K15" s="21" t="n">
        <f aca="false">SUMPRODUCT((Properties!$A$5:$A$24&lt;&gt;"")*(($B$4="All properties")+(Properties!$A$5:$A$24=$B$4)&gt;0)*(((DATE($G$4,10,1)-((Properties!$K$5:$K$24+DATE($G$4,9,1)+ABS(Properties!$K$5:$K$24-DATE($G$4,9,1)))/2))+ABS(DATE($G$4,10,1)-((Properties!$K$5:$K$24+DATE($G$4,9,1)+ABS(Properties!$K$5:$K$24-DATE($G$4,9,1)))/2)))/2))</f>
        <v>30</v>
      </c>
      <c r="L15" s="22" t="n">
        <f aca="false">SUMPRODUCT(Bookings!$AA$5:$AA$1004*(($B$4="All properties")+(Bookings!$D$5:$D$1004=$B$4)&gt;0)*(((((Bookings!$C$5:$C$1004+DATE($G$4,10,1)-ABS(Bookings!$C$5:$C$1004-DATE($G$4,10,1)))/2)-((Bookings!$B$5:$B$1004+DATE($G$4,9,1)+ABS(Bookings!$B$5:$B$1004-DATE($G$4,9,1)))/2))+ABS(((Bookings!$C$5:$C$1004+DATE($G$4,10,1)-ABS(Bookings!$C$5:$C$1004-DATE($G$4,10,1)))/2)-((Bookings!$B$5:$B$1004+DATE($G$4,9,1)+ABS(Bookings!$B$5:$B$1004-DATE($G$4,9,1)))/2)))/2)*Bookings!$AB$5:$AB$1004)</f>
        <v>0</v>
      </c>
      <c r="M15" s="18" t="n">
        <f aca="false">SUMPRODUCT(Bookings!$AA$5:$AA$1004*(($B$4="All properties")+(Bookings!$D$5:$D$1004=$B$4)&gt;0)*(Bookings!$B$5:$B$1004&gt;=DATE($G$4,9,1))*(Bookings!$B$5:$B$1004&lt;DATE($G$4,10,1)))</f>
        <v>0</v>
      </c>
      <c r="N15" s="33" t="n">
        <f aca="false">IF(M15=0,0,SUMPRODUCT(Bookings!$AA$5:$AA$1004*(($B$4="All properties")+(Bookings!$D$5:$D$1004=$B$4)&gt;0)*(Bookings!$B$5:$B$1004&gt;=DATE($G$4,9,1))*(Bookings!$B$5:$B$1004&lt;DATE($G$4,10,1))*Bookings!$AH$5:$AH$1004)/M15)</f>
        <v>0</v>
      </c>
      <c r="O15" s="20" t="n">
        <f aca="false">SUMPRODUCT(Bookings!$AA$5:$AA$1004*(($B$4="All properties")+(Bookings!$D$5:$D$1004=$B$4)&gt;0)*(((((Bookings!$C$5:$C$1004+DATE($G$4,10,1)-ABS(Bookings!$C$5:$C$1004-DATE($G$4,10,1)))/2)-((Bookings!$B$5:$B$1004+DATE($G$4,9,1)+ABS(Bookings!$B$5:$B$1004-DATE($G$4,9,1)))/2))+ABS(((Bookings!$C$5:$C$1004+DATE($G$4,10,1)-ABS(Bookings!$C$5:$C$1004-DATE($G$4,10,1)))/2)-((Bookings!$B$5:$B$1004+DATE($G$4,9,1)+ABS(Bookings!$B$5:$B$1004-DATE($G$4,9,1)))/2)))/2)*Bookings!$AF$5:$AF$1004)</f>
        <v>0</v>
      </c>
      <c r="P15" s="20" t="n">
        <f aca="false">SUMPRODUCT(Bookings!$AA$5:$AA$1004*(($B$4="All properties")+(Bookings!$D$5:$D$1004=$B$4)&gt;0)*(((((Bookings!$C$5:$C$1004+DATE($G$4,10,1)-ABS(Bookings!$C$5:$C$1004-DATE($G$4,10,1)))/2)-((Bookings!$B$5:$B$1004+DATE($G$4,9,1)+ABS(Bookings!$B$5:$B$1004-DATE($G$4,9,1)))/2))+ABS(((Bookings!$C$5:$C$1004+DATE($G$4,10,1)-ABS(Bookings!$C$5:$C$1004-DATE($G$4,10,1)))/2)-((Bookings!$B$5:$B$1004+DATE($G$4,9,1)+ABS(Bookings!$B$5:$B$1004-DATE($G$4,9,1)))/2)))/2)*Bookings!$AE$5:$AE$1004)</f>
        <v>0</v>
      </c>
    </row>
    <row r="16" customFormat="false" ht="15" hidden="false" customHeight="false" outlineLevel="0" collapsed="false">
      <c r="A16" s="23" t="str">
        <f aca="false">TEXT(DATE($G$4,10,1),"mmm yyyy")</f>
        <v>Oct 2026</v>
      </c>
      <c r="B16" s="24" t="n">
        <f aca="false">SUMPRODUCT(Bookings!$AA$5:$AA$1004*(($B$4="All properties")+(Bookings!$D$5:$D$1004=$B$4)&gt;0)*(((((Bookings!$C$5:$C$1004+DATE($G$4,11,1)-ABS(Bookings!$C$5:$C$1004-DATE($G$4,11,1)))/2)-((Bookings!$B$5:$B$1004+DATE($G$4,10,1)+ABS(Bookings!$B$5:$B$1004-DATE($G$4,10,1)))/2))+ABS(((Bookings!$C$5:$C$1004+DATE($G$4,11,1)-ABS(Bookings!$C$5:$C$1004-DATE($G$4,11,1)))/2)-((Bookings!$B$5:$B$1004+DATE($G$4,10,1)+ABS(Bookings!$B$5:$B$1004-DATE($G$4,10,1)))/2)))/2))</f>
        <v>5</v>
      </c>
      <c r="C16" s="25" t="n">
        <f aca="false">IF(K16=0,0,B16/K16)</f>
        <v>0.161290322580645</v>
      </c>
      <c r="D16" s="26" t="n">
        <f aca="false">IF(B16=0,0,L16/B16)</f>
        <v>201</v>
      </c>
      <c r="E16" s="26" t="n">
        <f aca="false">IF(K16=0,0,L16/K16)</f>
        <v>32.4193548387097</v>
      </c>
      <c r="F16" s="26" t="n">
        <f aca="false">SUMPRODUCT(Bookings!$AA$5:$AA$1004*(($B$4="All properties")+(Bookings!$D$5:$D$1004=$B$4)&gt;0)*(((((Bookings!$C$5:$C$1004+DATE($G$4,11,1)-ABS(Bookings!$C$5:$C$1004-DATE($G$4,11,1)))/2)-((Bookings!$B$5:$B$1004+DATE($G$4,10,1)+ABS(Bookings!$B$5:$B$1004-DATE($G$4,10,1)))/2))+ABS(((Bookings!$C$5:$C$1004+DATE($G$4,11,1)-ABS(Bookings!$C$5:$C$1004-DATE($G$4,11,1)))/2)-((Bookings!$B$5:$B$1004+DATE($G$4,10,1)+ABS(Bookings!$B$5:$B$1004-DATE($G$4,10,1)))/2)))/2)*Bookings!$AC$5:$AC$1004)</f>
        <v>1241.6</v>
      </c>
      <c r="G16" s="26" t="n">
        <f aca="false">SUMPRODUCT(Bookings!$AA$5:$AA$1004*(($B$4="All properties")+(Bookings!$D$5:$D$1004=$B$4)&gt;0)*(((((Bookings!$C$5:$C$1004+DATE($G$4,11,1)-ABS(Bookings!$C$5:$C$1004-DATE($G$4,11,1)))/2)-((Bookings!$B$5:$B$1004+DATE($G$4,10,1)+ABS(Bookings!$B$5:$B$1004-DATE($G$4,10,1)))/2))+ABS(((Bookings!$C$5:$C$1004+DATE($G$4,11,1)-ABS(Bookings!$C$5:$C$1004-DATE($G$4,11,1)))/2)-((Bookings!$B$5:$B$1004+DATE($G$4,10,1)+ABS(Bookings!$B$5:$B$1004-DATE($G$4,10,1)))/2)))/2)*Bookings!$AD$5:$AD$1004)</f>
        <v>130</v>
      </c>
      <c r="H16" s="26" t="n">
        <f aca="false">IF($B$4="All properties",SUMIFS(Expenses!$F$5:$F$1004,Expenses!$A$5:$A$1004,"&gt;="&amp;DATE($G$4,10,1),Expenses!$A$5:$A$1004,"&lt;"&amp;DATE($G$4,11,1)),SUMIFS(Expenses!$F$5:$F$1004,Expenses!$A$5:$A$1004,"&gt;="&amp;DATE($G$4,10,1),Expenses!$A$5:$A$1004,"&lt;"&amp;DATE($G$4,11,1),Expenses!$B$5:$B$1004,$B$4))</f>
        <v>162.17</v>
      </c>
      <c r="I16" s="26" t="n">
        <f aca="false">F16-G16-H16</f>
        <v>949.43</v>
      </c>
      <c r="J16" s="34"/>
      <c r="K16" s="21" t="n">
        <f aca="false">SUMPRODUCT((Properties!$A$5:$A$24&lt;&gt;"")*(($B$4="All properties")+(Properties!$A$5:$A$24=$B$4)&gt;0)*(((DATE($G$4,11,1)-((Properties!$K$5:$K$24+DATE($G$4,10,1)+ABS(Properties!$K$5:$K$24-DATE($G$4,10,1)))/2))+ABS(DATE($G$4,11,1)-((Properties!$K$5:$K$24+DATE($G$4,10,1)+ABS(Properties!$K$5:$K$24-DATE($G$4,10,1)))/2)))/2))</f>
        <v>31</v>
      </c>
      <c r="L16" s="22" t="n">
        <f aca="false">SUMPRODUCT(Bookings!$AA$5:$AA$1004*(($B$4="All properties")+(Bookings!$D$5:$D$1004=$B$4)&gt;0)*(((((Bookings!$C$5:$C$1004+DATE($G$4,11,1)-ABS(Bookings!$C$5:$C$1004-DATE($G$4,11,1)))/2)-((Bookings!$B$5:$B$1004+DATE($G$4,10,1)+ABS(Bookings!$B$5:$B$1004-DATE($G$4,10,1)))/2))+ABS(((Bookings!$C$5:$C$1004+DATE($G$4,11,1)-ABS(Bookings!$C$5:$C$1004-DATE($G$4,11,1)))/2)-((Bookings!$B$5:$B$1004+DATE($G$4,10,1)+ABS(Bookings!$B$5:$B$1004-DATE($G$4,10,1)))/2)))/2)*Bookings!$AB$5:$AB$1004)</f>
        <v>1005</v>
      </c>
      <c r="M16" s="24" t="n">
        <f aca="false">SUMPRODUCT(Bookings!$AA$5:$AA$1004*(($B$4="All properties")+(Bookings!$D$5:$D$1004=$B$4)&gt;0)*(Bookings!$B$5:$B$1004&gt;=DATE($G$4,10,1))*(Bookings!$B$5:$B$1004&lt;DATE($G$4,11,1)))</f>
        <v>2</v>
      </c>
      <c r="N16" s="35" t="n">
        <f aca="false">IF(M16=0,0,SUMPRODUCT(Bookings!$AA$5:$AA$1004*(($B$4="All properties")+(Bookings!$D$5:$D$1004=$B$4)&gt;0)*(Bookings!$B$5:$B$1004&gt;=DATE($G$4,10,1))*(Bookings!$B$5:$B$1004&lt;DATE($G$4,11,1))*Bookings!$AH$5:$AH$1004)/M16)</f>
        <v>2.5</v>
      </c>
      <c r="O16" s="26" t="n">
        <f aca="false">SUMPRODUCT(Bookings!$AA$5:$AA$1004*(($B$4="All properties")+(Bookings!$D$5:$D$1004=$B$4)&gt;0)*(((((Bookings!$C$5:$C$1004+DATE($G$4,11,1)-ABS(Bookings!$C$5:$C$1004-DATE($G$4,11,1)))/2)-((Bookings!$B$5:$B$1004+DATE($G$4,10,1)+ABS(Bookings!$B$5:$B$1004-DATE($G$4,10,1)))/2))+ABS(((Bookings!$C$5:$C$1004+DATE($G$4,11,1)-ABS(Bookings!$C$5:$C$1004-DATE($G$4,11,1)))/2)-((Bookings!$B$5:$B$1004+DATE($G$4,10,1)+ABS(Bookings!$B$5:$B$1004-DATE($G$4,10,1)))/2)))/2)*Bookings!$AF$5:$AF$1004)</f>
        <v>190</v>
      </c>
      <c r="P16" s="26" t="n">
        <f aca="false">SUMPRODUCT(Bookings!$AA$5:$AA$1004*(($B$4="All properties")+(Bookings!$D$5:$D$1004=$B$4)&gt;0)*(((((Bookings!$C$5:$C$1004+DATE($G$4,11,1)-ABS(Bookings!$C$5:$C$1004-DATE($G$4,11,1)))/2)-((Bookings!$B$5:$B$1004+DATE($G$4,10,1)+ABS(Bookings!$B$5:$B$1004-DATE($G$4,10,1)))/2))+ABS(((Bookings!$C$5:$C$1004+DATE($G$4,11,1)-ABS(Bookings!$C$5:$C$1004-DATE($G$4,11,1)))/2)-((Bookings!$B$5:$B$1004+DATE($G$4,10,1)+ABS(Bookings!$B$5:$B$1004-DATE($G$4,10,1)))/2)))/2)*Bookings!$AE$5:$AE$1004)</f>
        <v>38.4</v>
      </c>
    </row>
    <row r="17" customFormat="false" ht="15" hidden="false" customHeight="false" outlineLevel="0" collapsed="false">
      <c r="A17" s="8" t="str">
        <f aca="false">TEXT(DATE($G$4,11,1),"mmm yyyy")</f>
        <v>Nov 2026</v>
      </c>
      <c r="B17" s="18" t="n">
        <f aca="false">SUMPRODUCT(Bookings!$AA$5:$AA$1004*(($B$4="All properties")+(Bookings!$D$5:$D$1004=$B$4)&gt;0)*(((((Bookings!$C$5:$C$1004+DATE($G$4,12,1)-ABS(Bookings!$C$5:$C$1004-DATE($G$4,12,1)))/2)-((Bookings!$B$5:$B$1004+DATE($G$4,11,1)+ABS(Bookings!$B$5:$B$1004-DATE($G$4,11,1)))/2))+ABS(((Bookings!$C$5:$C$1004+DATE($G$4,12,1)-ABS(Bookings!$C$5:$C$1004-DATE($G$4,12,1)))/2)-((Bookings!$B$5:$B$1004+DATE($G$4,11,1)+ABS(Bookings!$B$5:$B$1004-DATE($G$4,11,1)))/2)))/2))</f>
        <v>0</v>
      </c>
      <c r="C17" s="19" t="n">
        <f aca="false">IF(K17=0,0,B17/K17)</f>
        <v>0</v>
      </c>
      <c r="D17" s="20" t="n">
        <f aca="false">IF(B17=0,0,L17/B17)</f>
        <v>0</v>
      </c>
      <c r="E17" s="20" t="n">
        <f aca="false">IF(K17=0,0,L17/K17)</f>
        <v>0</v>
      </c>
      <c r="F17" s="20" t="n">
        <f aca="false">SUMPRODUCT(Bookings!$AA$5:$AA$1004*(($B$4="All properties")+(Bookings!$D$5:$D$1004=$B$4)&gt;0)*(((((Bookings!$C$5:$C$1004+DATE($G$4,12,1)-ABS(Bookings!$C$5:$C$1004-DATE($G$4,12,1)))/2)-((Bookings!$B$5:$B$1004+DATE($G$4,11,1)+ABS(Bookings!$B$5:$B$1004-DATE($G$4,11,1)))/2))+ABS(((Bookings!$C$5:$C$1004+DATE($G$4,12,1)-ABS(Bookings!$C$5:$C$1004-DATE($G$4,12,1)))/2)-((Bookings!$B$5:$B$1004+DATE($G$4,11,1)+ABS(Bookings!$B$5:$B$1004-DATE($G$4,11,1)))/2)))/2)*Bookings!$AC$5:$AC$1004)</f>
        <v>0</v>
      </c>
      <c r="G17" s="20" t="n">
        <f aca="false">SUMPRODUCT(Bookings!$AA$5:$AA$1004*(($B$4="All properties")+(Bookings!$D$5:$D$1004=$B$4)&gt;0)*(((((Bookings!$C$5:$C$1004+DATE($G$4,12,1)-ABS(Bookings!$C$5:$C$1004-DATE($G$4,12,1)))/2)-((Bookings!$B$5:$B$1004+DATE($G$4,11,1)+ABS(Bookings!$B$5:$B$1004-DATE($G$4,11,1)))/2))+ABS(((Bookings!$C$5:$C$1004+DATE($G$4,12,1)-ABS(Bookings!$C$5:$C$1004-DATE($G$4,12,1)))/2)-((Bookings!$B$5:$B$1004+DATE($G$4,11,1)+ABS(Bookings!$B$5:$B$1004-DATE($G$4,11,1)))/2)))/2)*Bookings!$AD$5:$AD$1004)</f>
        <v>0</v>
      </c>
      <c r="H17" s="20" t="n">
        <f aca="false">IF($B$4="All properties",SUMIFS(Expenses!$F$5:$F$1004,Expenses!$A$5:$A$1004,"&gt;="&amp;DATE($G$4,11,1),Expenses!$A$5:$A$1004,"&lt;"&amp;DATE($G$4,12,1)),SUMIFS(Expenses!$F$5:$F$1004,Expenses!$A$5:$A$1004,"&gt;="&amp;DATE($G$4,11,1),Expenses!$A$5:$A$1004,"&lt;"&amp;DATE($G$4,12,1),Expenses!$B$5:$B$1004,$B$4))</f>
        <v>0</v>
      </c>
      <c r="I17" s="20" t="n">
        <f aca="false">F17-G17-H17</f>
        <v>0</v>
      </c>
      <c r="K17" s="21" t="n">
        <f aca="false">SUMPRODUCT((Properties!$A$5:$A$24&lt;&gt;"")*(($B$4="All properties")+(Properties!$A$5:$A$24=$B$4)&gt;0)*(((DATE($G$4,12,1)-((Properties!$K$5:$K$24+DATE($G$4,11,1)+ABS(Properties!$K$5:$K$24-DATE($G$4,11,1)))/2))+ABS(DATE($G$4,12,1)-((Properties!$K$5:$K$24+DATE($G$4,11,1)+ABS(Properties!$K$5:$K$24-DATE($G$4,11,1)))/2)))/2))</f>
        <v>30</v>
      </c>
      <c r="L17" s="22" t="n">
        <f aca="false">SUMPRODUCT(Bookings!$AA$5:$AA$1004*(($B$4="All properties")+(Bookings!$D$5:$D$1004=$B$4)&gt;0)*(((((Bookings!$C$5:$C$1004+DATE($G$4,12,1)-ABS(Bookings!$C$5:$C$1004-DATE($G$4,12,1)))/2)-((Bookings!$B$5:$B$1004+DATE($G$4,11,1)+ABS(Bookings!$B$5:$B$1004-DATE($G$4,11,1)))/2))+ABS(((Bookings!$C$5:$C$1004+DATE($G$4,12,1)-ABS(Bookings!$C$5:$C$1004-DATE($G$4,12,1)))/2)-((Bookings!$B$5:$B$1004+DATE($G$4,11,1)+ABS(Bookings!$B$5:$B$1004-DATE($G$4,11,1)))/2)))/2)*Bookings!$AB$5:$AB$1004)</f>
        <v>0</v>
      </c>
      <c r="M17" s="18" t="n">
        <f aca="false">SUMPRODUCT(Bookings!$AA$5:$AA$1004*(($B$4="All properties")+(Bookings!$D$5:$D$1004=$B$4)&gt;0)*(Bookings!$B$5:$B$1004&gt;=DATE($G$4,11,1))*(Bookings!$B$5:$B$1004&lt;DATE($G$4,12,1)))</f>
        <v>0</v>
      </c>
      <c r="N17" s="33" t="n">
        <f aca="false">IF(M17=0,0,SUMPRODUCT(Bookings!$AA$5:$AA$1004*(($B$4="All properties")+(Bookings!$D$5:$D$1004=$B$4)&gt;0)*(Bookings!$B$5:$B$1004&gt;=DATE($G$4,11,1))*(Bookings!$B$5:$B$1004&lt;DATE($G$4,12,1))*Bookings!$AH$5:$AH$1004)/M17)</f>
        <v>0</v>
      </c>
      <c r="O17" s="20" t="n">
        <f aca="false">SUMPRODUCT(Bookings!$AA$5:$AA$1004*(($B$4="All properties")+(Bookings!$D$5:$D$1004=$B$4)&gt;0)*(((((Bookings!$C$5:$C$1004+DATE($G$4,12,1)-ABS(Bookings!$C$5:$C$1004-DATE($G$4,12,1)))/2)-((Bookings!$B$5:$B$1004+DATE($G$4,11,1)+ABS(Bookings!$B$5:$B$1004-DATE($G$4,11,1)))/2))+ABS(((Bookings!$C$5:$C$1004+DATE($G$4,12,1)-ABS(Bookings!$C$5:$C$1004-DATE($G$4,12,1)))/2)-((Bookings!$B$5:$B$1004+DATE($G$4,11,1)+ABS(Bookings!$B$5:$B$1004-DATE($G$4,11,1)))/2)))/2)*Bookings!$AF$5:$AF$1004)</f>
        <v>0</v>
      </c>
      <c r="P17" s="20" t="n">
        <f aca="false">SUMPRODUCT(Bookings!$AA$5:$AA$1004*(($B$4="All properties")+(Bookings!$D$5:$D$1004=$B$4)&gt;0)*(((((Bookings!$C$5:$C$1004+DATE($G$4,12,1)-ABS(Bookings!$C$5:$C$1004-DATE($G$4,12,1)))/2)-((Bookings!$B$5:$B$1004+DATE($G$4,11,1)+ABS(Bookings!$B$5:$B$1004-DATE($G$4,11,1)))/2))+ABS(((Bookings!$C$5:$C$1004+DATE($G$4,12,1)-ABS(Bookings!$C$5:$C$1004-DATE($G$4,12,1)))/2)-((Bookings!$B$5:$B$1004+DATE($G$4,11,1)+ABS(Bookings!$B$5:$B$1004-DATE($G$4,11,1)))/2)))/2)*Bookings!$AE$5:$AE$1004)</f>
        <v>0</v>
      </c>
    </row>
    <row r="18" customFormat="false" ht="15" hidden="false" customHeight="false" outlineLevel="0" collapsed="false">
      <c r="A18" s="23" t="str">
        <f aca="false">TEXT(DATE($G$4,12,1),"mmm yyyy")</f>
        <v>Dec 2026</v>
      </c>
      <c r="B18" s="24" t="n">
        <f aca="false">SUMPRODUCT(Bookings!$AA$5:$AA$1004*(($B$4="All properties")+(Bookings!$D$5:$D$1004=$B$4)&gt;0)*(((((Bookings!$C$5:$C$1004+DATE($G$4,13,1)-ABS(Bookings!$C$5:$C$1004-DATE($G$4,13,1)))/2)-((Bookings!$B$5:$B$1004+DATE($G$4,12,1)+ABS(Bookings!$B$5:$B$1004-DATE($G$4,12,1)))/2))+ABS(((Bookings!$C$5:$C$1004+DATE($G$4,13,1)-ABS(Bookings!$C$5:$C$1004-DATE($G$4,13,1)))/2)-((Bookings!$B$5:$B$1004+DATE($G$4,12,1)+ABS(Bookings!$B$5:$B$1004-DATE($G$4,12,1)))/2)))/2))</f>
        <v>0</v>
      </c>
      <c r="C18" s="25" t="n">
        <f aca="false">IF(K18=0,0,B18/K18)</f>
        <v>0</v>
      </c>
      <c r="D18" s="26" t="n">
        <f aca="false">IF(B18=0,0,L18/B18)</f>
        <v>0</v>
      </c>
      <c r="E18" s="26" t="n">
        <f aca="false">IF(K18=0,0,L18/K18)</f>
        <v>0</v>
      </c>
      <c r="F18" s="26" t="n">
        <f aca="false">SUMPRODUCT(Bookings!$AA$5:$AA$1004*(($B$4="All properties")+(Bookings!$D$5:$D$1004=$B$4)&gt;0)*(((((Bookings!$C$5:$C$1004+DATE($G$4,13,1)-ABS(Bookings!$C$5:$C$1004-DATE($G$4,13,1)))/2)-((Bookings!$B$5:$B$1004+DATE($G$4,12,1)+ABS(Bookings!$B$5:$B$1004-DATE($G$4,12,1)))/2))+ABS(((Bookings!$C$5:$C$1004+DATE($G$4,13,1)-ABS(Bookings!$C$5:$C$1004-DATE($G$4,13,1)))/2)-((Bookings!$B$5:$B$1004+DATE($G$4,12,1)+ABS(Bookings!$B$5:$B$1004-DATE($G$4,12,1)))/2)))/2)*Bookings!$AC$5:$AC$1004)</f>
        <v>0</v>
      </c>
      <c r="G18" s="26" t="n">
        <f aca="false">SUMPRODUCT(Bookings!$AA$5:$AA$1004*(($B$4="All properties")+(Bookings!$D$5:$D$1004=$B$4)&gt;0)*(((((Bookings!$C$5:$C$1004+DATE($G$4,13,1)-ABS(Bookings!$C$5:$C$1004-DATE($G$4,13,1)))/2)-((Bookings!$B$5:$B$1004+DATE($G$4,12,1)+ABS(Bookings!$B$5:$B$1004-DATE($G$4,12,1)))/2))+ABS(((Bookings!$C$5:$C$1004+DATE($G$4,13,1)-ABS(Bookings!$C$5:$C$1004-DATE($G$4,13,1)))/2)-((Bookings!$B$5:$B$1004+DATE($G$4,12,1)+ABS(Bookings!$B$5:$B$1004-DATE($G$4,12,1)))/2)))/2)*Bookings!$AD$5:$AD$1004)</f>
        <v>0</v>
      </c>
      <c r="H18" s="26" t="n">
        <f aca="false">IF($B$4="All properties",SUMIFS(Expenses!$F$5:$F$1004,Expenses!$A$5:$A$1004,"&gt;="&amp;DATE($G$4,12,1),Expenses!$A$5:$A$1004,"&lt;"&amp;DATE($G$4,13,1)),SUMIFS(Expenses!$F$5:$F$1004,Expenses!$A$5:$A$1004,"&gt;="&amp;DATE($G$4,12,1),Expenses!$A$5:$A$1004,"&lt;"&amp;DATE($G$4,13,1),Expenses!$B$5:$B$1004,$B$4))</f>
        <v>0</v>
      </c>
      <c r="I18" s="26" t="n">
        <f aca="false">F18-G18-H18</f>
        <v>0</v>
      </c>
      <c r="J18" s="34"/>
      <c r="K18" s="21" t="n">
        <f aca="false">SUMPRODUCT((Properties!$A$5:$A$24&lt;&gt;"")*(($B$4="All properties")+(Properties!$A$5:$A$24=$B$4)&gt;0)*(((DATE($G$4,13,1)-((Properties!$K$5:$K$24+DATE($G$4,12,1)+ABS(Properties!$K$5:$K$24-DATE($G$4,12,1)))/2))+ABS(DATE($G$4,13,1)-((Properties!$K$5:$K$24+DATE($G$4,12,1)+ABS(Properties!$K$5:$K$24-DATE($G$4,12,1)))/2)))/2))</f>
        <v>31</v>
      </c>
      <c r="L18" s="22" t="n">
        <f aca="false">SUMPRODUCT(Bookings!$AA$5:$AA$1004*(($B$4="All properties")+(Bookings!$D$5:$D$1004=$B$4)&gt;0)*(((((Bookings!$C$5:$C$1004+DATE($G$4,13,1)-ABS(Bookings!$C$5:$C$1004-DATE($G$4,13,1)))/2)-((Bookings!$B$5:$B$1004+DATE($G$4,12,1)+ABS(Bookings!$B$5:$B$1004-DATE($G$4,12,1)))/2))+ABS(((Bookings!$C$5:$C$1004+DATE($G$4,13,1)-ABS(Bookings!$C$5:$C$1004-DATE($G$4,13,1)))/2)-((Bookings!$B$5:$B$1004+DATE($G$4,12,1)+ABS(Bookings!$B$5:$B$1004-DATE($G$4,12,1)))/2)))/2)*Bookings!$AB$5:$AB$1004)</f>
        <v>0</v>
      </c>
      <c r="M18" s="24" t="n">
        <f aca="false">SUMPRODUCT(Bookings!$AA$5:$AA$1004*(($B$4="All properties")+(Bookings!$D$5:$D$1004=$B$4)&gt;0)*(Bookings!$B$5:$B$1004&gt;=DATE($G$4,12,1))*(Bookings!$B$5:$B$1004&lt;DATE($G$4,13,1)))</f>
        <v>0</v>
      </c>
      <c r="N18" s="35" t="n">
        <f aca="false">IF(M18=0,0,SUMPRODUCT(Bookings!$AA$5:$AA$1004*(($B$4="All properties")+(Bookings!$D$5:$D$1004=$B$4)&gt;0)*(Bookings!$B$5:$B$1004&gt;=DATE($G$4,12,1))*(Bookings!$B$5:$B$1004&lt;DATE($G$4,13,1))*Bookings!$AH$5:$AH$1004)/M18)</f>
        <v>0</v>
      </c>
      <c r="O18" s="26" t="n">
        <f aca="false">SUMPRODUCT(Bookings!$AA$5:$AA$1004*(($B$4="All properties")+(Bookings!$D$5:$D$1004=$B$4)&gt;0)*(((((Bookings!$C$5:$C$1004+DATE($G$4,13,1)-ABS(Bookings!$C$5:$C$1004-DATE($G$4,13,1)))/2)-((Bookings!$B$5:$B$1004+DATE($G$4,12,1)+ABS(Bookings!$B$5:$B$1004-DATE($G$4,12,1)))/2))+ABS(((Bookings!$C$5:$C$1004+DATE($G$4,13,1)-ABS(Bookings!$C$5:$C$1004-DATE($G$4,13,1)))/2)-((Bookings!$B$5:$B$1004+DATE($G$4,12,1)+ABS(Bookings!$B$5:$B$1004-DATE($G$4,12,1)))/2)))/2)*Bookings!$AF$5:$AF$1004)</f>
        <v>0</v>
      </c>
      <c r="P18" s="26" t="n">
        <f aca="false">SUMPRODUCT(Bookings!$AA$5:$AA$1004*(($B$4="All properties")+(Bookings!$D$5:$D$1004=$B$4)&gt;0)*(((((Bookings!$C$5:$C$1004+DATE($G$4,13,1)-ABS(Bookings!$C$5:$C$1004-DATE($G$4,13,1)))/2)-((Bookings!$B$5:$B$1004+DATE($G$4,12,1)+ABS(Bookings!$B$5:$B$1004-DATE($G$4,12,1)))/2))+ABS(((Bookings!$C$5:$C$1004+DATE($G$4,13,1)-ABS(Bookings!$C$5:$C$1004-DATE($G$4,13,1)))/2)-((Bookings!$B$5:$B$1004+DATE($G$4,12,1)+ABS(Bookings!$B$5:$B$1004-DATE($G$4,12,1)))/2)))/2)*Bookings!$AE$5:$AE$1004)</f>
        <v>0</v>
      </c>
    </row>
    <row r="19" customFormat="false" ht="15" hidden="false" customHeight="false" outlineLevel="0" collapsed="false">
      <c r="A19" s="4" t="s">
        <v>53</v>
      </c>
      <c r="B19" s="27" t="n">
        <f aca="false">SUM(B7:B18)</f>
        <v>5</v>
      </c>
      <c r="C19" s="28" t="n">
        <f aca="false">IF(K19=0,0,B19/K19)</f>
        <v>0.0136986301369863</v>
      </c>
      <c r="D19" s="29" t="n">
        <f aca="false">IF(B19=0,0,L19/B19)</f>
        <v>201</v>
      </c>
      <c r="E19" s="29" t="n">
        <f aca="false">IF(K19=0,0,L19/K19)</f>
        <v>2.75342465753425</v>
      </c>
      <c r="F19" s="29" t="n">
        <f aca="false">SUM(F7:F18)</f>
        <v>1241.6</v>
      </c>
      <c r="G19" s="29" t="n">
        <f aca="false">SUM(G7:G18)</f>
        <v>130</v>
      </c>
      <c r="H19" s="29" t="n">
        <f aca="false">SUM(H7:H18)</f>
        <v>162.17</v>
      </c>
      <c r="I19" s="29" t="n">
        <f aca="false">SUM(I7:I18)</f>
        <v>949.43</v>
      </c>
      <c r="K19" s="21" t="n">
        <f aca="false">SUM(K7:K18)</f>
        <v>365</v>
      </c>
      <c r="L19" s="22" t="n">
        <f aca="false">SUM(L7:L18)</f>
        <v>1005</v>
      </c>
      <c r="M19" s="27" t="n">
        <f aca="false">SUM(M7:M18)</f>
        <v>2</v>
      </c>
      <c r="N19" s="36" t="n">
        <f aca="false">IF(M19=0,0,SUMPRODUCT(M7:M18,N7:N18)/M19)</f>
        <v>2.5</v>
      </c>
      <c r="O19" s="29" t="n">
        <f aca="false">SUM(O7:O18)</f>
        <v>190</v>
      </c>
      <c r="P19" s="29" t="n">
        <f aca="false">SUM(P7:P18)</f>
        <v>38.4</v>
      </c>
    </row>
    <row r="21" customFormat="false" ht="15" hidden="false" customHeight="false" outlineLevel="0" collapsed="false">
      <c r="A21" s="32" t="s">
        <v>65</v>
      </c>
    </row>
  </sheetData>
  <mergeCells count="1">
    <mergeCell ref="B4:D4"/>
  </mergeCells>
  <conditionalFormatting sqref="I7:I19">
    <cfRule type="cellIs" priority="2" operator="lessThan" aboveAverage="0" equalAverage="0" bottom="0" percent="0" rank="0" text="" dxfId="0">
      <formula>0</formula>
    </cfRule>
  </conditionalFormatting>
  <dataValidations count="1">
    <dataValidation allowBlank="true" errorStyle="stop" operator="between" showDropDown="false" showErrorMessage="true" showInputMessage="false" sqref="B4" type="list">
      <formula1>Settings!$L$4:$L$24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6B64"/>
    <pageSetUpPr fitToPage="false"/>
  </sheetPr>
  <dimension ref="A1:O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6"/>
    <col collapsed="false" customWidth="true" hidden="false" outlineLevel="0" max="3" min="3" style="0" width="10"/>
    <col collapsed="false" customWidth="true" hidden="false" outlineLevel="0" max="4" min="4" style="0" width="9"/>
    <col collapsed="false" customWidth="true" hidden="false" outlineLevel="0" max="8" min="5" style="0" width="12"/>
    <col collapsed="false" customWidth="true" hidden="false" outlineLevel="0" max="9" min="9" style="0" width="10"/>
    <col collapsed="false" customWidth="true" hidden="false" outlineLevel="0" max="10" min="10" style="0" width="11"/>
    <col collapsed="false" customWidth="true" hidden="false" outlineLevel="0" max="11" min="11" style="0" width="13"/>
    <col collapsed="false" customWidth="true" hidden="false" outlineLevel="0" max="12" min="12" style="0" width="30"/>
    <col collapsed="false" customWidth="true" hidden="false" outlineLevel="0" max="14" min="13" style="0" width="13"/>
    <col collapsed="false" customWidth="true" hidden="false" outlineLevel="0" max="15" min="15" style="0" width="10"/>
  </cols>
  <sheetData>
    <row r="1" customFormat="false" ht="30" hidden="false" customHeight="true" outlineLevel="0" collapsed="false">
      <c r="A1" s="1" t="s">
        <v>66</v>
      </c>
    </row>
    <row r="2" customFormat="false" ht="15" hidden="false" customHeight="false" outlineLevel="0" collapsed="false">
      <c r="A2" s="2" t="s">
        <v>67</v>
      </c>
    </row>
    <row r="4" customFormat="false" ht="31.5" hidden="false" customHeight="true" outlineLevel="0" collapsed="false">
      <c r="A4" s="16" t="s">
        <v>68</v>
      </c>
      <c r="B4" s="16" t="s">
        <v>69</v>
      </c>
      <c r="C4" s="16" t="s">
        <v>70</v>
      </c>
      <c r="D4" s="16" t="s">
        <v>71</v>
      </c>
      <c r="E4" s="16" t="s">
        <v>72</v>
      </c>
      <c r="F4" s="16" t="s">
        <v>73</v>
      </c>
      <c r="G4" s="16" t="s">
        <v>74</v>
      </c>
      <c r="H4" s="16" t="s">
        <v>75</v>
      </c>
      <c r="I4" s="16" t="s">
        <v>76</v>
      </c>
      <c r="J4" s="16" t="s">
        <v>77</v>
      </c>
      <c r="K4" s="16" t="s">
        <v>78</v>
      </c>
      <c r="L4" s="16" t="s">
        <v>79</v>
      </c>
      <c r="M4" s="16" t="s">
        <v>80</v>
      </c>
      <c r="N4" s="16" t="s">
        <v>81</v>
      </c>
      <c r="O4" s="16" t="s">
        <v>82</v>
      </c>
    </row>
    <row r="5" customFormat="false" ht="15" hidden="false" customHeight="false" outlineLevel="0" collapsed="false">
      <c r="A5" s="6" t="s">
        <v>83</v>
      </c>
      <c r="B5" s="6" t="s">
        <v>84</v>
      </c>
      <c r="C5" s="11" t="n">
        <v>2</v>
      </c>
      <c r="D5" s="11" t="n">
        <v>6</v>
      </c>
      <c r="E5" s="37" t="n">
        <v>165</v>
      </c>
      <c r="F5" s="37" t="n">
        <v>210</v>
      </c>
      <c r="G5" s="37" t="n">
        <v>95</v>
      </c>
      <c r="H5" s="37" t="n">
        <v>65</v>
      </c>
      <c r="I5" s="11" t="n">
        <v>4</v>
      </c>
      <c r="J5" s="37" t="n">
        <v>15</v>
      </c>
      <c r="K5" s="38" t="n">
        <v>45809</v>
      </c>
      <c r="L5" s="6" t="s">
        <v>85</v>
      </c>
      <c r="M5" s="8" t="str">
        <f aca="true">IF($A5="","",IF(COUNTIFS(Bookings!$D$5:$D$1004,$A5,Bookings!$B$5:$B$1004,"&lt;="&amp;TODAY(),Bookings!$C$5:$C$1004,"&gt;"&amp;TODAY(),Bookings!$AA$5:$AA$1004,1)&gt;0,"Occupied",IF(COUNTIFS(Bookings!$D$5:$D$1004,$A5,Bookings!$C$5:$C$1004,TODAY(),Bookings!$AA$5:$AA$1004,1)&gt;0,"Turnover today","Vacant")))</f>
        <v>Vacant</v>
      </c>
      <c r="N5" s="39" t="str">
        <f aca="true">IF($A5="","",IF(_xlfn.MINIFS(Bookings!$B$5:$B$1004,Bookings!$D$5:$D$1004,$A5,Bookings!$B$5:$B$1004,"&gt;="&amp;TODAY(),Bookings!$AA$5:$AA$1004,1)=0,"None",_xlfn.MINIFS(Bookings!$B$5:$B$1004,Bookings!$D$5:$D$1004,$A5,Bookings!$B$5:$B$1004,"&gt;="&amp;TODAY(),Bookings!$AA$5:$AA$1004,1)))</f>
        <v>None</v>
      </c>
      <c r="O5" s="18" t="n">
        <f aca="true">IF($A5="","",COUNTIFS(Bookings!$D$5:$D$1004,$A5,Bookings!$B$5:$B$1004,"&gt;="&amp;TODAY(),Bookings!$AA$5:$AA$1004,1))</f>
        <v>0</v>
      </c>
    </row>
    <row r="6" customFormat="false" ht="15" hidden="false" customHeight="false" outlineLevel="0" collapsed="false">
      <c r="A6" s="6"/>
      <c r="B6" s="6"/>
      <c r="C6" s="11"/>
      <c r="D6" s="11"/>
      <c r="E6" s="37"/>
      <c r="F6" s="37"/>
      <c r="G6" s="37"/>
      <c r="H6" s="37"/>
      <c r="I6" s="11"/>
      <c r="J6" s="37"/>
      <c r="K6" s="38"/>
      <c r="L6" s="6"/>
      <c r="M6" s="8" t="str">
        <f aca="true">IF($A6="","",IF(COUNTIFS(Bookings!$D$5:$D$1004,$A6,Bookings!$B$5:$B$1004,"&lt;="&amp;TODAY(),Bookings!$C$5:$C$1004,"&gt;"&amp;TODAY(),Bookings!$AA$5:$AA$1004,1)&gt;0,"Occupied",IF(COUNTIFS(Bookings!$D$5:$D$1004,$A6,Bookings!$C$5:$C$1004,TODAY(),Bookings!$AA$5:$AA$1004,1)&gt;0,"Turnover today","Vacant")))</f>
        <v/>
      </c>
      <c r="N6" s="39" t="str">
        <f aca="true">IF($A6="","",IF(_xlfn.MINIFS(Bookings!$B$5:$B$1004,Bookings!$D$5:$D$1004,$A6,Bookings!$B$5:$B$1004,"&gt;="&amp;TODAY(),Bookings!$AA$5:$AA$1004,1)=0,"None",_xlfn.MINIFS(Bookings!$B$5:$B$1004,Bookings!$D$5:$D$1004,$A6,Bookings!$B$5:$B$1004,"&gt;="&amp;TODAY(),Bookings!$AA$5:$AA$1004,1)))</f>
        <v/>
      </c>
      <c r="O6" s="18" t="str">
        <f aca="true">IF($A6="","",COUNTIFS(Bookings!$D$5:$D$1004,$A6,Bookings!$B$5:$B$1004,"&gt;="&amp;TODAY(),Bookings!$AA$5:$AA$1004,1))</f>
        <v/>
      </c>
    </row>
    <row r="7" customFormat="false" ht="15" hidden="false" customHeight="false" outlineLevel="0" collapsed="false">
      <c r="A7" s="6"/>
      <c r="B7" s="6"/>
      <c r="C7" s="11"/>
      <c r="D7" s="11"/>
      <c r="E7" s="37"/>
      <c r="F7" s="37"/>
      <c r="G7" s="37"/>
      <c r="H7" s="37"/>
      <c r="I7" s="11"/>
      <c r="J7" s="37"/>
      <c r="K7" s="38"/>
      <c r="L7" s="6"/>
      <c r="M7" s="8" t="str">
        <f aca="true">IF($A7="","",IF(COUNTIFS(Bookings!$D$5:$D$1004,$A7,Bookings!$B$5:$B$1004,"&lt;="&amp;TODAY(),Bookings!$C$5:$C$1004,"&gt;"&amp;TODAY(),Bookings!$AA$5:$AA$1004,1)&gt;0,"Occupied",IF(COUNTIFS(Bookings!$D$5:$D$1004,$A7,Bookings!$C$5:$C$1004,TODAY(),Bookings!$AA$5:$AA$1004,1)&gt;0,"Turnover today","Vacant")))</f>
        <v/>
      </c>
      <c r="N7" s="39" t="str">
        <f aca="true">IF($A7="","",IF(_xlfn.MINIFS(Bookings!$B$5:$B$1004,Bookings!$D$5:$D$1004,$A7,Bookings!$B$5:$B$1004,"&gt;="&amp;TODAY(),Bookings!$AA$5:$AA$1004,1)=0,"None",_xlfn.MINIFS(Bookings!$B$5:$B$1004,Bookings!$D$5:$D$1004,$A7,Bookings!$B$5:$B$1004,"&gt;="&amp;TODAY(),Bookings!$AA$5:$AA$1004,1)))</f>
        <v/>
      </c>
      <c r="O7" s="18" t="str">
        <f aca="true">IF($A7="","",COUNTIFS(Bookings!$D$5:$D$1004,$A7,Bookings!$B$5:$B$1004,"&gt;="&amp;TODAY(),Bookings!$AA$5:$AA$1004,1))</f>
        <v/>
      </c>
    </row>
    <row r="8" customFormat="false" ht="15" hidden="false" customHeight="false" outlineLevel="0" collapsed="false">
      <c r="A8" s="6"/>
      <c r="B8" s="6"/>
      <c r="C8" s="11"/>
      <c r="D8" s="11"/>
      <c r="E8" s="37"/>
      <c r="F8" s="37"/>
      <c r="G8" s="37"/>
      <c r="H8" s="37"/>
      <c r="I8" s="11"/>
      <c r="J8" s="37"/>
      <c r="K8" s="38"/>
      <c r="L8" s="6"/>
      <c r="M8" s="8" t="str">
        <f aca="true">IF($A8="","",IF(COUNTIFS(Bookings!$D$5:$D$1004,$A8,Bookings!$B$5:$B$1004,"&lt;="&amp;TODAY(),Bookings!$C$5:$C$1004,"&gt;"&amp;TODAY(),Bookings!$AA$5:$AA$1004,1)&gt;0,"Occupied",IF(COUNTIFS(Bookings!$D$5:$D$1004,$A8,Bookings!$C$5:$C$1004,TODAY(),Bookings!$AA$5:$AA$1004,1)&gt;0,"Turnover today","Vacant")))</f>
        <v/>
      </c>
      <c r="N8" s="39" t="str">
        <f aca="true">IF($A8="","",IF(_xlfn.MINIFS(Bookings!$B$5:$B$1004,Bookings!$D$5:$D$1004,$A8,Bookings!$B$5:$B$1004,"&gt;="&amp;TODAY(),Bookings!$AA$5:$AA$1004,1)=0,"None",_xlfn.MINIFS(Bookings!$B$5:$B$1004,Bookings!$D$5:$D$1004,$A8,Bookings!$B$5:$B$1004,"&gt;="&amp;TODAY(),Bookings!$AA$5:$AA$1004,1)))</f>
        <v/>
      </c>
      <c r="O8" s="18" t="str">
        <f aca="true">IF($A8="","",COUNTIFS(Bookings!$D$5:$D$1004,$A8,Bookings!$B$5:$B$1004,"&gt;="&amp;TODAY(),Bookings!$AA$5:$AA$1004,1))</f>
        <v/>
      </c>
    </row>
    <row r="9" customFormat="false" ht="15" hidden="false" customHeight="false" outlineLevel="0" collapsed="false">
      <c r="A9" s="6"/>
      <c r="B9" s="6"/>
      <c r="C9" s="11"/>
      <c r="D9" s="11"/>
      <c r="E9" s="37"/>
      <c r="F9" s="37"/>
      <c r="G9" s="37"/>
      <c r="H9" s="37"/>
      <c r="I9" s="11"/>
      <c r="J9" s="37"/>
      <c r="K9" s="38"/>
      <c r="L9" s="6"/>
      <c r="M9" s="8" t="str">
        <f aca="true">IF($A9="","",IF(COUNTIFS(Bookings!$D$5:$D$1004,$A9,Bookings!$B$5:$B$1004,"&lt;="&amp;TODAY(),Bookings!$C$5:$C$1004,"&gt;"&amp;TODAY(),Bookings!$AA$5:$AA$1004,1)&gt;0,"Occupied",IF(COUNTIFS(Bookings!$D$5:$D$1004,$A9,Bookings!$C$5:$C$1004,TODAY(),Bookings!$AA$5:$AA$1004,1)&gt;0,"Turnover today","Vacant")))</f>
        <v/>
      </c>
      <c r="N9" s="39" t="str">
        <f aca="true">IF($A9="","",IF(_xlfn.MINIFS(Bookings!$B$5:$B$1004,Bookings!$D$5:$D$1004,$A9,Bookings!$B$5:$B$1004,"&gt;="&amp;TODAY(),Bookings!$AA$5:$AA$1004,1)=0,"None",_xlfn.MINIFS(Bookings!$B$5:$B$1004,Bookings!$D$5:$D$1004,$A9,Bookings!$B$5:$B$1004,"&gt;="&amp;TODAY(),Bookings!$AA$5:$AA$1004,1)))</f>
        <v/>
      </c>
      <c r="O9" s="18" t="str">
        <f aca="true">IF($A9="","",COUNTIFS(Bookings!$D$5:$D$1004,$A9,Bookings!$B$5:$B$1004,"&gt;="&amp;TODAY(),Bookings!$AA$5:$AA$1004,1))</f>
        <v/>
      </c>
    </row>
    <row r="10" customFormat="false" ht="15" hidden="false" customHeight="false" outlineLevel="0" collapsed="false">
      <c r="A10" s="6"/>
      <c r="B10" s="6"/>
      <c r="C10" s="11"/>
      <c r="D10" s="11"/>
      <c r="E10" s="37"/>
      <c r="F10" s="37"/>
      <c r="G10" s="37"/>
      <c r="H10" s="37"/>
      <c r="I10" s="11"/>
      <c r="J10" s="37"/>
      <c r="K10" s="38"/>
      <c r="L10" s="6"/>
      <c r="M10" s="8" t="str">
        <f aca="true">IF($A10="","",IF(COUNTIFS(Bookings!$D$5:$D$1004,$A10,Bookings!$B$5:$B$1004,"&lt;="&amp;TODAY(),Bookings!$C$5:$C$1004,"&gt;"&amp;TODAY(),Bookings!$AA$5:$AA$1004,1)&gt;0,"Occupied",IF(COUNTIFS(Bookings!$D$5:$D$1004,$A10,Bookings!$C$5:$C$1004,TODAY(),Bookings!$AA$5:$AA$1004,1)&gt;0,"Turnover today","Vacant")))</f>
        <v/>
      </c>
      <c r="N10" s="39" t="str">
        <f aca="true">IF($A10="","",IF(_xlfn.MINIFS(Bookings!$B$5:$B$1004,Bookings!$D$5:$D$1004,$A10,Bookings!$B$5:$B$1004,"&gt;="&amp;TODAY(),Bookings!$AA$5:$AA$1004,1)=0,"None",_xlfn.MINIFS(Bookings!$B$5:$B$1004,Bookings!$D$5:$D$1004,$A10,Bookings!$B$5:$B$1004,"&gt;="&amp;TODAY(),Bookings!$AA$5:$AA$1004,1)))</f>
        <v/>
      </c>
      <c r="O10" s="18" t="str">
        <f aca="true">IF($A10="","",COUNTIFS(Bookings!$D$5:$D$1004,$A10,Bookings!$B$5:$B$1004,"&gt;="&amp;TODAY(),Bookings!$AA$5:$AA$1004,1))</f>
        <v/>
      </c>
    </row>
    <row r="11" customFormat="false" ht="15" hidden="false" customHeight="false" outlineLevel="0" collapsed="false">
      <c r="A11" s="6"/>
      <c r="B11" s="6"/>
      <c r="C11" s="11"/>
      <c r="D11" s="11"/>
      <c r="E11" s="37"/>
      <c r="F11" s="37"/>
      <c r="G11" s="37"/>
      <c r="H11" s="37"/>
      <c r="I11" s="11"/>
      <c r="J11" s="37"/>
      <c r="K11" s="38"/>
      <c r="L11" s="6"/>
      <c r="M11" s="8" t="str">
        <f aca="true">IF($A11="","",IF(COUNTIFS(Bookings!$D$5:$D$1004,$A11,Bookings!$B$5:$B$1004,"&lt;="&amp;TODAY(),Bookings!$C$5:$C$1004,"&gt;"&amp;TODAY(),Bookings!$AA$5:$AA$1004,1)&gt;0,"Occupied",IF(COUNTIFS(Bookings!$D$5:$D$1004,$A11,Bookings!$C$5:$C$1004,TODAY(),Bookings!$AA$5:$AA$1004,1)&gt;0,"Turnover today","Vacant")))</f>
        <v/>
      </c>
      <c r="N11" s="39" t="str">
        <f aca="true">IF($A11="","",IF(_xlfn.MINIFS(Bookings!$B$5:$B$1004,Bookings!$D$5:$D$1004,$A11,Bookings!$B$5:$B$1004,"&gt;="&amp;TODAY(),Bookings!$AA$5:$AA$1004,1)=0,"None",_xlfn.MINIFS(Bookings!$B$5:$B$1004,Bookings!$D$5:$D$1004,$A11,Bookings!$B$5:$B$1004,"&gt;="&amp;TODAY(),Bookings!$AA$5:$AA$1004,1)))</f>
        <v/>
      </c>
      <c r="O11" s="18" t="str">
        <f aca="true">IF($A11="","",COUNTIFS(Bookings!$D$5:$D$1004,$A11,Bookings!$B$5:$B$1004,"&gt;="&amp;TODAY(),Bookings!$AA$5:$AA$1004,1))</f>
        <v/>
      </c>
    </row>
    <row r="12" customFormat="false" ht="15" hidden="false" customHeight="false" outlineLevel="0" collapsed="false">
      <c r="A12" s="6"/>
      <c r="B12" s="6"/>
      <c r="C12" s="11"/>
      <c r="D12" s="11"/>
      <c r="E12" s="37"/>
      <c r="F12" s="37"/>
      <c r="G12" s="37"/>
      <c r="H12" s="37"/>
      <c r="I12" s="11"/>
      <c r="J12" s="37"/>
      <c r="K12" s="38"/>
      <c r="L12" s="6"/>
      <c r="M12" s="8" t="str">
        <f aca="true">IF($A12="","",IF(COUNTIFS(Bookings!$D$5:$D$1004,$A12,Bookings!$B$5:$B$1004,"&lt;="&amp;TODAY(),Bookings!$C$5:$C$1004,"&gt;"&amp;TODAY(),Bookings!$AA$5:$AA$1004,1)&gt;0,"Occupied",IF(COUNTIFS(Bookings!$D$5:$D$1004,$A12,Bookings!$C$5:$C$1004,TODAY(),Bookings!$AA$5:$AA$1004,1)&gt;0,"Turnover today","Vacant")))</f>
        <v/>
      </c>
      <c r="N12" s="39" t="str">
        <f aca="true">IF($A12="","",IF(_xlfn.MINIFS(Bookings!$B$5:$B$1004,Bookings!$D$5:$D$1004,$A12,Bookings!$B$5:$B$1004,"&gt;="&amp;TODAY(),Bookings!$AA$5:$AA$1004,1)=0,"None",_xlfn.MINIFS(Bookings!$B$5:$B$1004,Bookings!$D$5:$D$1004,$A12,Bookings!$B$5:$B$1004,"&gt;="&amp;TODAY(),Bookings!$AA$5:$AA$1004,1)))</f>
        <v/>
      </c>
      <c r="O12" s="18" t="str">
        <f aca="true">IF($A12="","",COUNTIFS(Bookings!$D$5:$D$1004,$A12,Bookings!$B$5:$B$1004,"&gt;="&amp;TODAY(),Bookings!$AA$5:$AA$1004,1))</f>
        <v/>
      </c>
    </row>
    <row r="13" customFormat="false" ht="15" hidden="false" customHeight="false" outlineLevel="0" collapsed="false">
      <c r="A13" s="6"/>
      <c r="B13" s="6"/>
      <c r="C13" s="11"/>
      <c r="D13" s="11"/>
      <c r="E13" s="37"/>
      <c r="F13" s="37"/>
      <c r="G13" s="37"/>
      <c r="H13" s="37"/>
      <c r="I13" s="11"/>
      <c r="J13" s="37"/>
      <c r="K13" s="38"/>
      <c r="L13" s="6"/>
      <c r="M13" s="8" t="str">
        <f aca="true">IF($A13="","",IF(COUNTIFS(Bookings!$D$5:$D$1004,$A13,Bookings!$B$5:$B$1004,"&lt;="&amp;TODAY(),Bookings!$C$5:$C$1004,"&gt;"&amp;TODAY(),Bookings!$AA$5:$AA$1004,1)&gt;0,"Occupied",IF(COUNTIFS(Bookings!$D$5:$D$1004,$A13,Bookings!$C$5:$C$1004,TODAY(),Bookings!$AA$5:$AA$1004,1)&gt;0,"Turnover today","Vacant")))</f>
        <v/>
      </c>
      <c r="N13" s="39" t="str">
        <f aca="true">IF($A13="","",IF(_xlfn.MINIFS(Bookings!$B$5:$B$1004,Bookings!$D$5:$D$1004,$A13,Bookings!$B$5:$B$1004,"&gt;="&amp;TODAY(),Bookings!$AA$5:$AA$1004,1)=0,"None",_xlfn.MINIFS(Bookings!$B$5:$B$1004,Bookings!$D$5:$D$1004,$A13,Bookings!$B$5:$B$1004,"&gt;="&amp;TODAY(),Bookings!$AA$5:$AA$1004,1)))</f>
        <v/>
      </c>
      <c r="O13" s="18" t="str">
        <f aca="true">IF($A13="","",COUNTIFS(Bookings!$D$5:$D$1004,$A13,Bookings!$B$5:$B$1004,"&gt;="&amp;TODAY(),Bookings!$AA$5:$AA$1004,1))</f>
        <v/>
      </c>
    </row>
    <row r="14" customFormat="false" ht="15" hidden="false" customHeight="false" outlineLevel="0" collapsed="false">
      <c r="A14" s="6"/>
      <c r="B14" s="6"/>
      <c r="C14" s="11"/>
      <c r="D14" s="11"/>
      <c r="E14" s="37"/>
      <c r="F14" s="37"/>
      <c r="G14" s="37"/>
      <c r="H14" s="37"/>
      <c r="I14" s="11"/>
      <c r="J14" s="37"/>
      <c r="K14" s="38"/>
      <c r="L14" s="6"/>
      <c r="M14" s="8" t="str">
        <f aca="true">IF($A14="","",IF(COUNTIFS(Bookings!$D$5:$D$1004,$A14,Bookings!$B$5:$B$1004,"&lt;="&amp;TODAY(),Bookings!$C$5:$C$1004,"&gt;"&amp;TODAY(),Bookings!$AA$5:$AA$1004,1)&gt;0,"Occupied",IF(COUNTIFS(Bookings!$D$5:$D$1004,$A14,Bookings!$C$5:$C$1004,TODAY(),Bookings!$AA$5:$AA$1004,1)&gt;0,"Turnover today","Vacant")))</f>
        <v/>
      </c>
      <c r="N14" s="39" t="str">
        <f aca="true">IF($A14="","",IF(_xlfn.MINIFS(Bookings!$B$5:$B$1004,Bookings!$D$5:$D$1004,$A14,Bookings!$B$5:$B$1004,"&gt;="&amp;TODAY(),Bookings!$AA$5:$AA$1004,1)=0,"None",_xlfn.MINIFS(Bookings!$B$5:$B$1004,Bookings!$D$5:$D$1004,$A14,Bookings!$B$5:$B$1004,"&gt;="&amp;TODAY(),Bookings!$AA$5:$AA$1004,1)))</f>
        <v/>
      </c>
      <c r="O14" s="18" t="str">
        <f aca="true">IF($A14="","",COUNTIFS(Bookings!$D$5:$D$1004,$A14,Bookings!$B$5:$B$1004,"&gt;="&amp;TODAY(),Bookings!$AA$5:$AA$1004,1))</f>
        <v/>
      </c>
    </row>
    <row r="15" customFormat="false" ht="15" hidden="false" customHeight="false" outlineLevel="0" collapsed="false">
      <c r="A15" s="6"/>
      <c r="B15" s="6"/>
      <c r="C15" s="11"/>
      <c r="D15" s="11"/>
      <c r="E15" s="37"/>
      <c r="F15" s="37"/>
      <c r="G15" s="37"/>
      <c r="H15" s="37"/>
      <c r="I15" s="11"/>
      <c r="J15" s="37"/>
      <c r="K15" s="38"/>
      <c r="L15" s="6"/>
      <c r="M15" s="8" t="str">
        <f aca="true">IF($A15="","",IF(COUNTIFS(Bookings!$D$5:$D$1004,$A15,Bookings!$B$5:$B$1004,"&lt;="&amp;TODAY(),Bookings!$C$5:$C$1004,"&gt;"&amp;TODAY(),Bookings!$AA$5:$AA$1004,1)&gt;0,"Occupied",IF(COUNTIFS(Bookings!$D$5:$D$1004,$A15,Bookings!$C$5:$C$1004,TODAY(),Bookings!$AA$5:$AA$1004,1)&gt;0,"Turnover today","Vacant")))</f>
        <v/>
      </c>
      <c r="N15" s="39" t="str">
        <f aca="true">IF($A15="","",IF(_xlfn.MINIFS(Bookings!$B$5:$B$1004,Bookings!$D$5:$D$1004,$A15,Bookings!$B$5:$B$1004,"&gt;="&amp;TODAY(),Bookings!$AA$5:$AA$1004,1)=0,"None",_xlfn.MINIFS(Bookings!$B$5:$B$1004,Bookings!$D$5:$D$1004,$A15,Bookings!$B$5:$B$1004,"&gt;="&amp;TODAY(),Bookings!$AA$5:$AA$1004,1)))</f>
        <v/>
      </c>
      <c r="O15" s="18" t="str">
        <f aca="true">IF($A15="","",COUNTIFS(Bookings!$D$5:$D$1004,$A15,Bookings!$B$5:$B$1004,"&gt;="&amp;TODAY(),Bookings!$AA$5:$AA$1004,1))</f>
        <v/>
      </c>
    </row>
    <row r="16" customFormat="false" ht="15" hidden="false" customHeight="false" outlineLevel="0" collapsed="false">
      <c r="A16" s="6"/>
      <c r="B16" s="6"/>
      <c r="C16" s="11"/>
      <c r="D16" s="11"/>
      <c r="E16" s="37"/>
      <c r="F16" s="37"/>
      <c r="G16" s="37"/>
      <c r="H16" s="37"/>
      <c r="I16" s="11"/>
      <c r="J16" s="37"/>
      <c r="K16" s="38"/>
      <c r="L16" s="6"/>
      <c r="M16" s="8" t="str">
        <f aca="true">IF($A16="","",IF(COUNTIFS(Bookings!$D$5:$D$1004,$A16,Bookings!$B$5:$B$1004,"&lt;="&amp;TODAY(),Bookings!$C$5:$C$1004,"&gt;"&amp;TODAY(),Bookings!$AA$5:$AA$1004,1)&gt;0,"Occupied",IF(COUNTIFS(Bookings!$D$5:$D$1004,$A16,Bookings!$C$5:$C$1004,TODAY(),Bookings!$AA$5:$AA$1004,1)&gt;0,"Turnover today","Vacant")))</f>
        <v/>
      </c>
      <c r="N16" s="39" t="str">
        <f aca="true">IF($A16="","",IF(_xlfn.MINIFS(Bookings!$B$5:$B$1004,Bookings!$D$5:$D$1004,$A16,Bookings!$B$5:$B$1004,"&gt;="&amp;TODAY(),Bookings!$AA$5:$AA$1004,1)=0,"None",_xlfn.MINIFS(Bookings!$B$5:$B$1004,Bookings!$D$5:$D$1004,$A16,Bookings!$B$5:$B$1004,"&gt;="&amp;TODAY(),Bookings!$AA$5:$AA$1004,1)))</f>
        <v/>
      </c>
      <c r="O16" s="18" t="str">
        <f aca="true">IF($A16="","",COUNTIFS(Bookings!$D$5:$D$1004,$A16,Bookings!$B$5:$B$1004,"&gt;="&amp;TODAY(),Bookings!$AA$5:$AA$1004,1))</f>
        <v/>
      </c>
    </row>
    <row r="17" customFormat="false" ht="15" hidden="false" customHeight="false" outlineLevel="0" collapsed="false">
      <c r="A17" s="6"/>
      <c r="B17" s="6"/>
      <c r="C17" s="11"/>
      <c r="D17" s="11"/>
      <c r="E17" s="37"/>
      <c r="F17" s="37"/>
      <c r="G17" s="37"/>
      <c r="H17" s="37"/>
      <c r="I17" s="11"/>
      <c r="J17" s="37"/>
      <c r="K17" s="38"/>
      <c r="L17" s="6"/>
      <c r="M17" s="8" t="str">
        <f aca="true">IF($A17="","",IF(COUNTIFS(Bookings!$D$5:$D$1004,$A17,Bookings!$B$5:$B$1004,"&lt;="&amp;TODAY(),Bookings!$C$5:$C$1004,"&gt;"&amp;TODAY(),Bookings!$AA$5:$AA$1004,1)&gt;0,"Occupied",IF(COUNTIFS(Bookings!$D$5:$D$1004,$A17,Bookings!$C$5:$C$1004,TODAY(),Bookings!$AA$5:$AA$1004,1)&gt;0,"Turnover today","Vacant")))</f>
        <v/>
      </c>
      <c r="N17" s="39" t="str">
        <f aca="true">IF($A17="","",IF(_xlfn.MINIFS(Bookings!$B$5:$B$1004,Bookings!$D$5:$D$1004,$A17,Bookings!$B$5:$B$1004,"&gt;="&amp;TODAY(),Bookings!$AA$5:$AA$1004,1)=0,"None",_xlfn.MINIFS(Bookings!$B$5:$B$1004,Bookings!$D$5:$D$1004,$A17,Bookings!$B$5:$B$1004,"&gt;="&amp;TODAY(),Bookings!$AA$5:$AA$1004,1)))</f>
        <v/>
      </c>
      <c r="O17" s="18" t="str">
        <f aca="true">IF($A17="","",COUNTIFS(Bookings!$D$5:$D$1004,$A17,Bookings!$B$5:$B$1004,"&gt;="&amp;TODAY(),Bookings!$AA$5:$AA$1004,1))</f>
        <v/>
      </c>
    </row>
    <row r="18" customFormat="false" ht="15" hidden="false" customHeight="false" outlineLevel="0" collapsed="false">
      <c r="A18" s="6"/>
      <c r="B18" s="6"/>
      <c r="C18" s="11"/>
      <c r="D18" s="11"/>
      <c r="E18" s="37"/>
      <c r="F18" s="37"/>
      <c r="G18" s="37"/>
      <c r="H18" s="37"/>
      <c r="I18" s="11"/>
      <c r="J18" s="37"/>
      <c r="K18" s="38"/>
      <c r="L18" s="6"/>
      <c r="M18" s="8" t="str">
        <f aca="true">IF($A18="","",IF(COUNTIFS(Bookings!$D$5:$D$1004,$A18,Bookings!$B$5:$B$1004,"&lt;="&amp;TODAY(),Bookings!$C$5:$C$1004,"&gt;"&amp;TODAY(),Bookings!$AA$5:$AA$1004,1)&gt;0,"Occupied",IF(COUNTIFS(Bookings!$D$5:$D$1004,$A18,Bookings!$C$5:$C$1004,TODAY(),Bookings!$AA$5:$AA$1004,1)&gt;0,"Turnover today","Vacant")))</f>
        <v/>
      </c>
      <c r="N18" s="39" t="str">
        <f aca="true">IF($A18="","",IF(_xlfn.MINIFS(Bookings!$B$5:$B$1004,Bookings!$D$5:$D$1004,$A18,Bookings!$B$5:$B$1004,"&gt;="&amp;TODAY(),Bookings!$AA$5:$AA$1004,1)=0,"None",_xlfn.MINIFS(Bookings!$B$5:$B$1004,Bookings!$D$5:$D$1004,$A18,Bookings!$B$5:$B$1004,"&gt;="&amp;TODAY(),Bookings!$AA$5:$AA$1004,1)))</f>
        <v/>
      </c>
      <c r="O18" s="18" t="str">
        <f aca="true">IF($A18="","",COUNTIFS(Bookings!$D$5:$D$1004,$A18,Bookings!$B$5:$B$1004,"&gt;="&amp;TODAY(),Bookings!$AA$5:$AA$1004,1))</f>
        <v/>
      </c>
    </row>
    <row r="19" customFormat="false" ht="15" hidden="false" customHeight="false" outlineLevel="0" collapsed="false">
      <c r="A19" s="6"/>
      <c r="B19" s="6"/>
      <c r="C19" s="11"/>
      <c r="D19" s="11"/>
      <c r="E19" s="37"/>
      <c r="F19" s="37"/>
      <c r="G19" s="37"/>
      <c r="H19" s="37"/>
      <c r="I19" s="11"/>
      <c r="J19" s="37"/>
      <c r="K19" s="38"/>
      <c r="L19" s="6"/>
      <c r="M19" s="8" t="str">
        <f aca="true">IF($A19="","",IF(COUNTIFS(Bookings!$D$5:$D$1004,$A19,Bookings!$B$5:$B$1004,"&lt;="&amp;TODAY(),Bookings!$C$5:$C$1004,"&gt;"&amp;TODAY(),Bookings!$AA$5:$AA$1004,1)&gt;0,"Occupied",IF(COUNTIFS(Bookings!$D$5:$D$1004,$A19,Bookings!$C$5:$C$1004,TODAY(),Bookings!$AA$5:$AA$1004,1)&gt;0,"Turnover today","Vacant")))</f>
        <v/>
      </c>
      <c r="N19" s="39" t="str">
        <f aca="true">IF($A19="","",IF(_xlfn.MINIFS(Bookings!$B$5:$B$1004,Bookings!$D$5:$D$1004,$A19,Bookings!$B$5:$B$1004,"&gt;="&amp;TODAY(),Bookings!$AA$5:$AA$1004,1)=0,"None",_xlfn.MINIFS(Bookings!$B$5:$B$1004,Bookings!$D$5:$D$1004,$A19,Bookings!$B$5:$B$1004,"&gt;="&amp;TODAY(),Bookings!$AA$5:$AA$1004,1)))</f>
        <v/>
      </c>
      <c r="O19" s="18" t="str">
        <f aca="true">IF($A19="","",COUNTIFS(Bookings!$D$5:$D$1004,$A19,Bookings!$B$5:$B$1004,"&gt;="&amp;TODAY(),Bookings!$AA$5:$AA$1004,1))</f>
        <v/>
      </c>
    </row>
    <row r="20" customFormat="false" ht="15" hidden="false" customHeight="false" outlineLevel="0" collapsed="false">
      <c r="A20" s="6"/>
      <c r="B20" s="6"/>
      <c r="C20" s="11"/>
      <c r="D20" s="11"/>
      <c r="E20" s="37"/>
      <c r="F20" s="37"/>
      <c r="G20" s="37"/>
      <c r="H20" s="37"/>
      <c r="I20" s="11"/>
      <c r="J20" s="37"/>
      <c r="K20" s="38"/>
      <c r="L20" s="6"/>
      <c r="M20" s="8" t="str">
        <f aca="true">IF($A20="","",IF(COUNTIFS(Bookings!$D$5:$D$1004,$A20,Bookings!$B$5:$B$1004,"&lt;="&amp;TODAY(),Bookings!$C$5:$C$1004,"&gt;"&amp;TODAY(),Bookings!$AA$5:$AA$1004,1)&gt;0,"Occupied",IF(COUNTIFS(Bookings!$D$5:$D$1004,$A20,Bookings!$C$5:$C$1004,TODAY(),Bookings!$AA$5:$AA$1004,1)&gt;0,"Turnover today","Vacant")))</f>
        <v/>
      </c>
      <c r="N20" s="39" t="str">
        <f aca="true">IF($A20="","",IF(_xlfn.MINIFS(Bookings!$B$5:$B$1004,Bookings!$D$5:$D$1004,$A20,Bookings!$B$5:$B$1004,"&gt;="&amp;TODAY(),Bookings!$AA$5:$AA$1004,1)=0,"None",_xlfn.MINIFS(Bookings!$B$5:$B$1004,Bookings!$D$5:$D$1004,$A20,Bookings!$B$5:$B$1004,"&gt;="&amp;TODAY(),Bookings!$AA$5:$AA$1004,1)))</f>
        <v/>
      </c>
      <c r="O20" s="18" t="str">
        <f aca="true">IF($A20="","",COUNTIFS(Bookings!$D$5:$D$1004,$A20,Bookings!$B$5:$B$1004,"&gt;="&amp;TODAY(),Bookings!$AA$5:$AA$1004,1))</f>
        <v/>
      </c>
    </row>
    <row r="21" customFormat="false" ht="15" hidden="false" customHeight="false" outlineLevel="0" collapsed="false">
      <c r="A21" s="6"/>
      <c r="B21" s="6"/>
      <c r="C21" s="11"/>
      <c r="D21" s="11"/>
      <c r="E21" s="37"/>
      <c r="F21" s="37"/>
      <c r="G21" s="37"/>
      <c r="H21" s="37"/>
      <c r="I21" s="11"/>
      <c r="J21" s="37"/>
      <c r="K21" s="38"/>
      <c r="L21" s="6"/>
      <c r="M21" s="8" t="str">
        <f aca="true">IF($A21="","",IF(COUNTIFS(Bookings!$D$5:$D$1004,$A21,Bookings!$B$5:$B$1004,"&lt;="&amp;TODAY(),Bookings!$C$5:$C$1004,"&gt;"&amp;TODAY(),Bookings!$AA$5:$AA$1004,1)&gt;0,"Occupied",IF(COUNTIFS(Bookings!$D$5:$D$1004,$A21,Bookings!$C$5:$C$1004,TODAY(),Bookings!$AA$5:$AA$1004,1)&gt;0,"Turnover today","Vacant")))</f>
        <v/>
      </c>
      <c r="N21" s="39" t="str">
        <f aca="true">IF($A21="","",IF(_xlfn.MINIFS(Bookings!$B$5:$B$1004,Bookings!$D$5:$D$1004,$A21,Bookings!$B$5:$B$1004,"&gt;="&amp;TODAY(),Bookings!$AA$5:$AA$1004,1)=0,"None",_xlfn.MINIFS(Bookings!$B$5:$B$1004,Bookings!$D$5:$D$1004,$A21,Bookings!$B$5:$B$1004,"&gt;="&amp;TODAY(),Bookings!$AA$5:$AA$1004,1)))</f>
        <v/>
      </c>
      <c r="O21" s="18" t="str">
        <f aca="true">IF($A21="","",COUNTIFS(Bookings!$D$5:$D$1004,$A21,Bookings!$B$5:$B$1004,"&gt;="&amp;TODAY(),Bookings!$AA$5:$AA$1004,1))</f>
        <v/>
      </c>
    </row>
    <row r="22" customFormat="false" ht="15" hidden="false" customHeight="false" outlineLevel="0" collapsed="false">
      <c r="A22" s="6"/>
      <c r="B22" s="6"/>
      <c r="C22" s="11"/>
      <c r="D22" s="11"/>
      <c r="E22" s="37"/>
      <c r="F22" s="37"/>
      <c r="G22" s="37"/>
      <c r="H22" s="37"/>
      <c r="I22" s="11"/>
      <c r="J22" s="37"/>
      <c r="K22" s="38"/>
      <c r="L22" s="6"/>
      <c r="M22" s="8" t="str">
        <f aca="true">IF($A22="","",IF(COUNTIFS(Bookings!$D$5:$D$1004,$A22,Bookings!$B$5:$B$1004,"&lt;="&amp;TODAY(),Bookings!$C$5:$C$1004,"&gt;"&amp;TODAY(),Bookings!$AA$5:$AA$1004,1)&gt;0,"Occupied",IF(COUNTIFS(Bookings!$D$5:$D$1004,$A22,Bookings!$C$5:$C$1004,TODAY(),Bookings!$AA$5:$AA$1004,1)&gt;0,"Turnover today","Vacant")))</f>
        <v/>
      </c>
      <c r="N22" s="39" t="str">
        <f aca="true">IF($A22="","",IF(_xlfn.MINIFS(Bookings!$B$5:$B$1004,Bookings!$D$5:$D$1004,$A22,Bookings!$B$5:$B$1004,"&gt;="&amp;TODAY(),Bookings!$AA$5:$AA$1004,1)=0,"None",_xlfn.MINIFS(Bookings!$B$5:$B$1004,Bookings!$D$5:$D$1004,$A22,Bookings!$B$5:$B$1004,"&gt;="&amp;TODAY(),Bookings!$AA$5:$AA$1004,1)))</f>
        <v/>
      </c>
      <c r="O22" s="18" t="str">
        <f aca="true">IF($A22="","",COUNTIFS(Bookings!$D$5:$D$1004,$A22,Bookings!$B$5:$B$1004,"&gt;="&amp;TODAY(),Bookings!$AA$5:$AA$1004,1))</f>
        <v/>
      </c>
    </row>
    <row r="23" customFormat="false" ht="15" hidden="false" customHeight="false" outlineLevel="0" collapsed="false">
      <c r="A23" s="6"/>
      <c r="B23" s="6"/>
      <c r="C23" s="11"/>
      <c r="D23" s="11"/>
      <c r="E23" s="37"/>
      <c r="F23" s="37"/>
      <c r="G23" s="37"/>
      <c r="H23" s="37"/>
      <c r="I23" s="11"/>
      <c r="J23" s="37"/>
      <c r="K23" s="38"/>
      <c r="L23" s="6"/>
      <c r="M23" s="8" t="str">
        <f aca="true">IF($A23="","",IF(COUNTIFS(Bookings!$D$5:$D$1004,$A23,Bookings!$B$5:$B$1004,"&lt;="&amp;TODAY(),Bookings!$C$5:$C$1004,"&gt;"&amp;TODAY(),Bookings!$AA$5:$AA$1004,1)&gt;0,"Occupied",IF(COUNTIFS(Bookings!$D$5:$D$1004,$A23,Bookings!$C$5:$C$1004,TODAY(),Bookings!$AA$5:$AA$1004,1)&gt;0,"Turnover today","Vacant")))</f>
        <v/>
      </c>
      <c r="N23" s="39" t="str">
        <f aca="true">IF($A23="","",IF(_xlfn.MINIFS(Bookings!$B$5:$B$1004,Bookings!$D$5:$D$1004,$A23,Bookings!$B$5:$B$1004,"&gt;="&amp;TODAY(),Bookings!$AA$5:$AA$1004,1)=0,"None",_xlfn.MINIFS(Bookings!$B$5:$B$1004,Bookings!$D$5:$D$1004,$A23,Bookings!$B$5:$B$1004,"&gt;="&amp;TODAY(),Bookings!$AA$5:$AA$1004,1)))</f>
        <v/>
      </c>
      <c r="O23" s="18" t="str">
        <f aca="true">IF($A23="","",COUNTIFS(Bookings!$D$5:$D$1004,$A23,Bookings!$B$5:$B$1004,"&gt;="&amp;TODAY(),Bookings!$AA$5:$AA$1004,1))</f>
        <v/>
      </c>
    </row>
    <row r="24" customFormat="false" ht="15" hidden="false" customHeight="false" outlineLevel="0" collapsed="false">
      <c r="A24" s="6"/>
      <c r="B24" s="6"/>
      <c r="C24" s="11"/>
      <c r="D24" s="11"/>
      <c r="E24" s="37"/>
      <c r="F24" s="37"/>
      <c r="G24" s="37"/>
      <c r="H24" s="37"/>
      <c r="I24" s="11"/>
      <c r="J24" s="37"/>
      <c r="K24" s="38"/>
      <c r="L24" s="6"/>
      <c r="M24" s="8" t="str">
        <f aca="true">IF($A24="","",IF(COUNTIFS(Bookings!$D$5:$D$1004,$A24,Bookings!$B$5:$B$1004,"&lt;="&amp;TODAY(),Bookings!$C$5:$C$1004,"&gt;"&amp;TODAY(),Bookings!$AA$5:$AA$1004,1)&gt;0,"Occupied",IF(COUNTIFS(Bookings!$D$5:$D$1004,$A24,Bookings!$C$5:$C$1004,TODAY(),Bookings!$AA$5:$AA$1004,1)&gt;0,"Turnover today","Vacant")))</f>
        <v/>
      </c>
      <c r="N24" s="39" t="str">
        <f aca="true">IF($A24="","",IF(_xlfn.MINIFS(Bookings!$B$5:$B$1004,Bookings!$D$5:$D$1004,$A24,Bookings!$B$5:$B$1004,"&gt;="&amp;TODAY(),Bookings!$AA$5:$AA$1004,1)=0,"None",_xlfn.MINIFS(Bookings!$B$5:$B$1004,Bookings!$D$5:$D$1004,$A24,Bookings!$B$5:$B$1004,"&gt;="&amp;TODAY(),Bookings!$AA$5:$AA$1004,1)))</f>
        <v/>
      </c>
      <c r="O24" s="18" t="str">
        <f aca="true">IF($A24="","",COUNTIFS(Bookings!$D$5:$D$1004,$A24,Bookings!$B$5:$B$1004,"&gt;="&amp;TODAY(),Bookings!$AA$5:$AA$1004,1))</f>
        <v/>
      </c>
    </row>
  </sheetData>
  <conditionalFormatting sqref="M5:M24">
    <cfRule type="cellIs" priority="2" operator="equal" aboveAverage="0" equalAverage="0" bottom="0" percent="0" rank="0" text="" dxfId="1">
      <formula>"Turnover today"</formula>
    </cfRule>
    <cfRule type="cellIs" priority="3" operator="equal" aboveAverage="0" equalAverage="0" bottom="0" percent="0" rank="0" text="" dxfId="2">
      <formula>"Occupied"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6B64"/>
    <pageSetUpPr fitToPage="false"/>
  </sheetPr>
  <dimension ref="A1:AH10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12"/>
    <col collapsed="false" customWidth="true" hidden="false" outlineLevel="0" max="4" min="4" style="0" width="22"/>
    <col collapsed="false" customWidth="true" hidden="false" outlineLevel="0" max="5" min="5" style="0" width="18"/>
    <col collapsed="false" customWidth="true" hidden="false" outlineLevel="0" max="6" min="6" style="0" width="15"/>
    <col collapsed="false" customWidth="true" hidden="false" outlineLevel="0" max="8" min="7" style="0" width="7"/>
    <col collapsed="false" customWidth="true" hidden="false" outlineLevel="0" max="9" min="9" style="0" width="10"/>
    <col collapsed="false" customWidth="true" hidden="false" outlineLevel="0" max="10" min="10" style="0" width="11"/>
    <col collapsed="false" customWidth="true" hidden="false" outlineLevel="0" max="12" min="11" style="0" width="10"/>
    <col collapsed="false" customWidth="true" hidden="false" outlineLevel="0" max="14" min="13" style="0" width="11"/>
    <col collapsed="false" customWidth="true" hidden="false" outlineLevel="0" max="15" min="15" style="0" width="10"/>
    <col collapsed="false" customWidth="true" hidden="false" outlineLevel="0" max="17" min="16" style="0" width="11"/>
    <col collapsed="false" customWidth="true" hidden="false" outlineLevel="0" max="18" min="18" style="0" width="10"/>
    <col collapsed="false" customWidth="true" hidden="false" outlineLevel="0" max="19" min="19" style="0" width="11"/>
    <col collapsed="false" customWidth="true" hidden="false" outlineLevel="0" max="20" min="20" style="0" width="10"/>
    <col collapsed="false" customWidth="true" hidden="false" outlineLevel="0" max="21" min="21" style="0" width="7"/>
    <col collapsed="false" customWidth="true" hidden="false" outlineLevel="0" max="22" min="22" style="0" width="15"/>
    <col collapsed="false" customWidth="true" hidden="false" outlineLevel="0" max="23" min="23" style="0" width="8"/>
    <col collapsed="false" customWidth="true" hidden="false" outlineLevel="0" max="24" min="24" style="0" width="24"/>
    <col collapsed="false" customWidth="true" hidden="false" outlineLevel="0" max="25" min="25" style="0" width="13"/>
    <col collapsed="false" customWidth="true" hidden="false" outlineLevel="0" max="26" min="26" style="0" width="9"/>
    <col collapsed="false" customWidth="true" hidden="false" outlineLevel="0" max="27" min="27" style="0" width="7"/>
    <col collapsed="false" customWidth="true" hidden="false" outlineLevel="0" max="32" min="28" style="0" width="9"/>
    <col collapsed="false" customWidth="true" hidden="false" outlineLevel="0" max="33" min="33" style="0" width="14"/>
    <col collapsed="false" customWidth="true" hidden="false" outlineLevel="0" max="34" min="34" style="0" width="8"/>
  </cols>
  <sheetData>
    <row r="1" customFormat="false" ht="30" hidden="false" customHeight="true" outlineLevel="0" collapsed="false">
      <c r="A1" s="1" t="s">
        <v>86</v>
      </c>
    </row>
    <row r="2" customFormat="false" ht="15" hidden="false" customHeight="false" outlineLevel="0" collapsed="false">
      <c r="A2" s="2" t="s">
        <v>87</v>
      </c>
    </row>
    <row r="3" customFormat="false" ht="15" hidden="false" customHeight="false" outlineLevel="0" collapsed="false">
      <c r="Z3" s="40" t="s">
        <v>88</v>
      </c>
    </row>
    <row r="4" customFormat="false" ht="31.5" hidden="false" customHeight="true" outlineLevel="0" collapsed="false">
      <c r="A4" s="16" t="s">
        <v>89</v>
      </c>
      <c r="B4" s="16" t="s">
        <v>90</v>
      </c>
      <c r="C4" s="16" t="s">
        <v>91</v>
      </c>
      <c r="D4" s="16" t="s">
        <v>55</v>
      </c>
      <c r="E4" s="16" t="s">
        <v>92</v>
      </c>
      <c r="F4" s="16" t="s">
        <v>93</v>
      </c>
      <c r="G4" s="16" t="s">
        <v>94</v>
      </c>
      <c r="H4" s="16" t="s">
        <v>95</v>
      </c>
      <c r="I4" s="16" t="s">
        <v>96</v>
      </c>
      <c r="J4" s="16" t="s">
        <v>52</v>
      </c>
      <c r="K4" s="16" t="s">
        <v>97</v>
      </c>
      <c r="L4" s="16" t="s">
        <v>98</v>
      </c>
      <c r="M4" s="16" t="s">
        <v>99</v>
      </c>
      <c r="N4" s="16" t="s">
        <v>100</v>
      </c>
      <c r="O4" s="16" t="s">
        <v>101</v>
      </c>
      <c r="P4" s="16" t="s">
        <v>102</v>
      </c>
      <c r="Q4" s="16" t="s">
        <v>31</v>
      </c>
      <c r="R4" s="16" t="s">
        <v>103</v>
      </c>
      <c r="S4" s="16" t="s">
        <v>104</v>
      </c>
      <c r="T4" s="16" t="s">
        <v>105</v>
      </c>
      <c r="U4" s="16" t="s">
        <v>106</v>
      </c>
      <c r="V4" s="16" t="s">
        <v>107</v>
      </c>
      <c r="W4" s="16" t="s">
        <v>108</v>
      </c>
      <c r="X4" s="16" t="s">
        <v>109</v>
      </c>
      <c r="Y4" s="16" t="s">
        <v>110</v>
      </c>
      <c r="Z4" s="16" t="s">
        <v>111</v>
      </c>
      <c r="AA4" s="16" t="s">
        <v>112</v>
      </c>
      <c r="AB4" s="16" t="s">
        <v>113</v>
      </c>
      <c r="AC4" s="16" t="s">
        <v>114</v>
      </c>
      <c r="AD4" s="16" t="s">
        <v>115</v>
      </c>
      <c r="AE4" s="16" t="s">
        <v>116</v>
      </c>
      <c r="AF4" s="16" t="s">
        <v>117</v>
      </c>
      <c r="AG4" s="16" t="s">
        <v>118</v>
      </c>
      <c r="AH4" s="16" t="s">
        <v>119</v>
      </c>
    </row>
    <row r="5" customFormat="false" ht="15" hidden="false" customHeight="false" outlineLevel="0" collapsed="false">
      <c r="A5" s="8" t="str">
        <f aca="false">IF(B5="","","B-"&amp;TEXT(ROW()-4,"0000"))</f>
        <v>B-0001</v>
      </c>
      <c r="B5" s="38" t="n">
        <v>46297</v>
      </c>
      <c r="C5" s="38" t="n">
        <v>46300</v>
      </c>
      <c r="D5" s="6" t="s">
        <v>83</v>
      </c>
      <c r="E5" s="6" t="s">
        <v>120</v>
      </c>
      <c r="F5" s="6" t="s">
        <v>121</v>
      </c>
      <c r="G5" s="11" t="n">
        <v>4</v>
      </c>
      <c r="H5" s="18" t="n">
        <f aca="false">IF(AND(ISNUMBER(B5),ISNUMBER(C5)),MAX(0,C5-B5),"")</f>
        <v>3</v>
      </c>
      <c r="I5" s="37"/>
      <c r="J5" s="41" t="n">
        <f aca="false">IF(OR(D5="",N(H5)=0),"",IFERROR(IF(I5&lt;&gt;"",H5*I5,ROUND(((H5-(INT((WEEKDAY(B5-6)+H5-1)/7)+INT((WEEKDAY(B5-7)+H5-1)/7)))*INDEX(Properties!$E$5:$E$24,MATCH(D5,Properties!$A$5:$A$24,0))+(INT((WEEKDAY(B5-6)+H5-1)/7)+INT((WEEKDAY(B5-7)+H5-1)/7))*INDEX(Properties!$F$5:$F$24,MATCH(D5,Properties!$A$5:$A$24,0)))*(1-IF(H5&gt;=28,Settings!$B$10,IF(H5&gt;=7,Settings!$B$9,0))),2)),0))</f>
        <v>585</v>
      </c>
      <c r="K5" s="41" t="n">
        <f aca="false">IF(J5="","",IFERROR(N(INDEX(Properties!$G$5:$G$24,MATCH(D5,Properties!$A$5:$A$24,0))),0))</f>
        <v>95</v>
      </c>
      <c r="L5" s="41" t="n">
        <f aca="false">IF(J5="","",IFERROR(MAX(0,N(G5)-INDEX(Properties!$I$5:$I$24,MATCH(D5,Properties!$A$5:$A$24,0)))*N(INDEX(Properties!$J$5:$J$24,MATCH(D5,Properties!$A$5:$A$24,0)))*H5,0))</f>
        <v>0</v>
      </c>
      <c r="M5" s="37"/>
      <c r="N5" s="41" t="n">
        <f aca="false">IF(J5="","",J5+K5+L5+N(M5))</f>
        <v>680</v>
      </c>
      <c r="O5" s="41" t="n">
        <f aca="false">IF(N5="","",IF(P5&lt;&gt;"",N5-P5,ROUND(N5*IFERROR(INDEX(Settings!$E$5:$E$12,MATCH(F5,Settings!$D$5:$D$12,0)),0),2)))</f>
        <v>20.4</v>
      </c>
      <c r="P5" s="37"/>
      <c r="Q5" s="41" t="n">
        <f aca="false">IF(N5="","",IF(P5&lt;&gt;"",P5,N5-O5))</f>
        <v>659.6</v>
      </c>
      <c r="R5" s="41" t="n">
        <f aca="false">IF(J5="","",IFERROR(N(INDEX(Properties!$H$5:$H$24,MATCH(D5,Properties!$A$5:$A$24,0))),0))</f>
        <v>65</v>
      </c>
      <c r="S5" s="41" t="n">
        <f aca="false">IF(Q5="","",Q5-R5)</f>
        <v>594.6</v>
      </c>
      <c r="T5" s="6" t="s">
        <v>122</v>
      </c>
      <c r="U5" s="6" t="s">
        <v>123</v>
      </c>
      <c r="V5" s="6" t="s">
        <v>124</v>
      </c>
      <c r="W5" s="6" t="s">
        <v>123</v>
      </c>
      <c r="X5" s="6"/>
      <c r="Y5" s="8" t="str">
        <f aca="false">IF(OR(D5="",B5="",C5=""),"",IF(N(C5)&lt;=N(B5),"Check dates",IF(T5="Cancelled","",IF(COUNTIFS($D$5:$D$1004,D5,$B$5:$B$1004,"&lt;"&amp;C5,$C$5:$C$1004,"&gt;"&amp;B5,$T$5:$T$1004,"&lt;&gt;Cancelled")&gt;1,"Double-booked",""))))</f>
        <v/>
      </c>
      <c r="Z5" s="42" t="n">
        <f aca="false">IF(AND(AA5=1,ISNUMBER(C5)),C5+ROW()/100000,"")</f>
        <v>46300.00005</v>
      </c>
      <c r="AA5" s="43" t="n">
        <f aca="false">IF(AND(D5&lt;&gt;"",ISNUMBER(B5),ISNUMBER(C5),N(H5)&gt;0,T5&lt;&gt;"Cancelled",J5&lt;&gt;""),1,0)</f>
        <v>1</v>
      </c>
      <c r="AB5" s="44" t="n">
        <f aca="false">IF(AA5=1,J5/H5,0)</f>
        <v>195</v>
      </c>
      <c r="AC5" s="44" t="n">
        <f aca="false">IF(AA5=1,Q5/H5,0)</f>
        <v>219.866666666667</v>
      </c>
      <c r="AD5" s="44" t="n">
        <f aca="false">IF(AA5=1,R5/H5,0)</f>
        <v>21.6666666666667</v>
      </c>
      <c r="AE5" s="44" t="n">
        <f aca="false">IF(AA5=1,O5/H5,0)</f>
        <v>6.8</v>
      </c>
      <c r="AF5" s="44" t="n">
        <f aca="false">IF(AA5=1,K5/H5,0)</f>
        <v>31.6666666666667</v>
      </c>
      <c r="AG5" s="45" t="str">
        <f aca="false">IF(AA5=1,D5&amp;"|"&amp;TEXT(B5,"0"),"")</f>
        <v>EXAMPLE – Lakeview Cabin|46297</v>
      </c>
      <c r="AH5" s="43" t="n">
        <f aca="false">IF(AA5=1,H5,0)</f>
        <v>3</v>
      </c>
    </row>
    <row r="6" customFormat="false" ht="15" hidden="false" customHeight="false" outlineLevel="0" collapsed="false">
      <c r="A6" s="23" t="str">
        <f aca="false">IF(B6="","","B-"&amp;TEXT(ROW()-4,"0000"))</f>
        <v>B-0002</v>
      </c>
      <c r="B6" s="38" t="n">
        <v>46304</v>
      </c>
      <c r="C6" s="38" t="n">
        <v>46306</v>
      </c>
      <c r="D6" s="6" t="s">
        <v>83</v>
      </c>
      <c r="E6" s="6" t="s">
        <v>125</v>
      </c>
      <c r="F6" s="6" t="s">
        <v>126</v>
      </c>
      <c r="G6" s="11" t="n">
        <v>6</v>
      </c>
      <c r="H6" s="24" t="n">
        <f aca="false">IF(AND(ISNUMBER(B6),ISNUMBER(C6)),MAX(0,C6-B6),"")</f>
        <v>2</v>
      </c>
      <c r="I6" s="37"/>
      <c r="J6" s="46" t="n">
        <f aca="false">IF(OR(D6="",N(H6)=0),"",IFERROR(IF(I6&lt;&gt;"",H6*I6,ROUND(((H6-(INT((WEEKDAY(B6-6)+H6-1)/7)+INT((WEEKDAY(B6-7)+H6-1)/7)))*INDEX(Properties!$E$5:$E$24,MATCH(D6,Properties!$A$5:$A$24,0))+(INT((WEEKDAY(B6-6)+H6-1)/7)+INT((WEEKDAY(B6-7)+H6-1)/7))*INDEX(Properties!$F$5:$F$24,MATCH(D6,Properties!$A$5:$A$24,0)))*(1-IF(H6&gt;=28,Settings!$B$10,IF(H6&gt;=7,Settings!$B$9,0))),2)),0))</f>
        <v>420</v>
      </c>
      <c r="K6" s="46" t="n">
        <f aca="false">IF(J6="","",IFERROR(N(INDEX(Properties!$G$5:$G$24,MATCH(D6,Properties!$A$5:$A$24,0))),0))</f>
        <v>95</v>
      </c>
      <c r="L6" s="46" t="n">
        <f aca="false">IF(J6="","",IFERROR(MAX(0,N(G6)-INDEX(Properties!$I$5:$I$24,MATCH(D6,Properties!$A$5:$A$24,0)))*N(INDEX(Properties!$J$5:$J$24,MATCH(D6,Properties!$A$5:$A$24,0)))*H6,0))</f>
        <v>60</v>
      </c>
      <c r="M6" s="37" t="n">
        <v>25</v>
      </c>
      <c r="N6" s="46" t="n">
        <f aca="false">IF(J6="","",J6+K6+L6+N(M6))</f>
        <v>600</v>
      </c>
      <c r="O6" s="46" t="n">
        <f aca="false">IF(N6="","",IF(P6&lt;&gt;"",N6-P6,ROUND(N6*IFERROR(INDEX(Settings!$E$5:$E$12,MATCH(F6,Settings!$D$5:$D$12,0)),0),2)))</f>
        <v>18</v>
      </c>
      <c r="P6" s="37"/>
      <c r="Q6" s="46" t="n">
        <f aca="false">IF(N6="","",IF(P6&lt;&gt;"",P6,N6-O6))</f>
        <v>582</v>
      </c>
      <c r="R6" s="46" t="n">
        <f aca="false">IF(J6="","",IFERROR(N(INDEX(Properties!$H$5:$H$24,MATCH(D6,Properties!$A$5:$A$24,0))),0))</f>
        <v>65</v>
      </c>
      <c r="S6" s="46" t="n">
        <f aca="false">IF(Q6="","",Q6-R6)</f>
        <v>517</v>
      </c>
      <c r="T6" s="6" t="s">
        <v>122</v>
      </c>
      <c r="U6" s="6" t="s">
        <v>127</v>
      </c>
      <c r="V6" s="6" t="s">
        <v>124</v>
      </c>
      <c r="W6" s="6"/>
      <c r="X6" s="6" t="s">
        <v>128</v>
      </c>
      <c r="Y6" s="8" t="str">
        <f aca="false">IF(OR(D6="",B6="",C6=""),"",IF(N(C6)&lt;=N(B6),"Check dates",IF(T6="Cancelled","",IF(COUNTIFS($D$5:$D$1004,D6,$B$5:$B$1004,"&lt;"&amp;C6,$C$5:$C$1004,"&gt;"&amp;B6,$T$5:$T$1004,"&lt;&gt;Cancelled")&gt;1,"Double-booked",""))))</f>
        <v/>
      </c>
      <c r="Z6" s="42" t="n">
        <f aca="false">IF(AND(AA6=1,ISNUMBER(C6)),C6+ROW()/100000,"")</f>
        <v>46306.00006</v>
      </c>
      <c r="AA6" s="43" t="n">
        <f aca="false">IF(AND(D6&lt;&gt;"",ISNUMBER(B6),ISNUMBER(C6),N(H6)&gt;0,T6&lt;&gt;"Cancelled",J6&lt;&gt;""),1,0)</f>
        <v>1</v>
      </c>
      <c r="AB6" s="44" t="n">
        <f aca="false">IF(AA6=1,J6/H6,0)</f>
        <v>210</v>
      </c>
      <c r="AC6" s="44" t="n">
        <f aca="false">IF(AA6=1,Q6/H6,0)</f>
        <v>291</v>
      </c>
      <c r="AD6" s="44" t="n">
        <f aca="false">IF(AA6=1,R6/H6,0)</f>
        <v>32.5</v>
      </c>
      <c r="AE6" s="44" t="n">
        <f aca="false">IF(AA6=1,O6/H6,0)</f>
        <v>9</v>
      </c>
      <c r="AF6" s="44" t="n">
        <f aca="false">IF(AA6=1,K6/H6,0)</f>
        <v>47.5</v>
      </c>
      <c r="AG6" s="45" t="str">
        <f aca="false">IF(AA6=1,D6&amp;"|"&amp;TEXT(B6,"0"),"")</f>
        <v>EXAMPLE – Lakeview Cabin|46304</v>
      </c>
      <c r="AH6" s="43" t="n">
        <f aca="false">IF(AA6=1,H6,0)</f>
        <v>2</v>
      </c>
    </row>
    <row r="7" customFormat="false" ht="15" hidden="false" customHeight="false" outlineLevel="0" collapsed="false">
      <c r="A7" s="8" t="str">
        <f aca="false">IF(B7="","","B-"&amp;TEXT(ROW()-4,"0000"))</f>
        <v/>
      </c>
      <c r="B7" s="38"/>
      <c r="C7" s="38"/>
      <c r="D7" s="6"/>
      <c r="E7" s="6"/>
      <c r="F7" s="6"/>
      <c r="G7" s="11"/>
      <c r="H7" s="18" t="str">
        <f aca="false">IF(AND(ISNUMBER(B7),ISNUMBER(C7)),MAX(0,C7-B7),"")</f>
        <v/>
      </c>
      <c r="I7" s="37"/>
      <c r="J7" s="41" t="str">
        <f aca="false">IF(OR(D7="",N(H7)=0),"",IFERROR(IF(I7&lt;&gt;"",H7*I7,ROUND(((H7-(INT((WEEKDAY(B7-6)+H7-1)/7)+INT((WEEKDAY(B7-7)+H7-1)/7)))*INDEX(Properties!$E$5:$E$24,MATCH(D7,Properties!$A$5:$A$24,0))+(INT((WEEKDAY(B7-6)+H7-1)/7)+INT((WEEKDAY(B7-7)+H7-1)/7))*INDEX(Properties!$F$5:$F$24,MATCH(D7,Properties!$A$5:$A$24,0)))*(1-IF(H7&gt;=28,Settings!$B$10,IF(H7&gt;=7,Settings!$B$9,0))),2)),0))</f>
        <v/>
      </c>
      <c r="K7" s="41" t="str">
        <f aca="false">IF(J7="","",IFERROR(N(INDEX(Properties!$G$5:$G$24,MATCH(D7,Properties!$A$5:$A$24,0))),0))</f>
        <v/>
      </c>
      <c r="L7" s="41" t="str">
        <f aca="false">IF(J7="","",IFERROR(MAX(0,N(G7)-INDEX(Properties!$I$5:$I$24,MATCH(D7,Properties!$A$5:$A$24,0)))*N(INDEX(Properties!$J$5:$J$24,MATCH(D7,Properties!$A$5:$A$24,0)))*H7,0))</f>
        <v/>
      </c>
      <c r="M7" s="37"/>
      <c r="N7" s="41" t="str">
        <f aca="false">IF(J7="","",J7+K7+L7+N(M7))</f>
        <v/>
      </c>
      <c r="O7" s="41" t="str">
        <f aca="false">IF(N7="","",IF(P7&lt;&gt;"",N7-P7,ROUND(N7*IFERROR(INDEX(Settings!$E$5:$E$12,MATCH(F7,Settings!$D$5:$D$12,0)),0),2)))</f>
        <v/>
      </c>
      <c r="P7" s="37"/>
      <c r="Q7" s="41" t="str">
        <f aca="false">IF(N7="","",IF(P7&lt;&gt;"",P7,N7-O7))</f>
        <v/>
      </c>
      <c r="R7" s="41" t="str">
        <f aca="false">IF(J7="","",IFERROR(N(INDEX(Properties!$H$5:$H$24,MATCH(D7,Properties!$A$5:$A$24,0))),0))</f>
        <v/>
      </c>
      <c r="S7" s="41" t="str">
        <f aca="false">IF(Q7="","",Q7-R7)</f>
        <v/>
      </c>
      <c r="T7" s="6"/>
      <c r="U7" s="6"/>
      <c r="V7" s="6"/>
      <c r="W7" s="6"/>
      <c r="X7" s="6"/>
      <c r="Y7" s="8" t="str">
        <f aca="false">IF(OR(D7="",B7="",C7=""),"",IF(N(C7)&lt;=N(B7),"Check dates",IF(T7="Cancelled","",IF(COUNTIFS($D$5:$D$1004,D7,$B$5:$B$1004,"&lt;"&amp;C7,$C$5:$C$1004,"&gt;"&amp;B7,$T$5:$T$1004,"&lt;&gt;Cancelled")&gt;1,"Double-booked",""))))</f>
        <v/>
      </c>
      <c r="Z7" s="42" t="str">
        <f aca="false">IF(AND(AA7=1,ISNUMBER(C7)),C7+ROW()/100000,"")</f>
        <v/>
      </c>
      <c r="AA7" s="43" t="n">
        <f aca="false">IF(AND(D7&lt;&gt;"",ISNUMBER(B7),ISNUMBER(C7),N(H7)&gt;0,T7&lt;&gt;"Cancelled",J7&lt;&gt;""),1,0)</f>
        <v>0</v>
      </c>
      <c r="AB7" s="44" t="n">
        <f aca="false">IF(AA7=1,J7/H7,0)</f>
        <v>0</v>
      </c>
      <c r="AC7" s="44" t="n">
        <f aca="false">IF(AA7=1,Q7/H7,0)</f>
        <v>0</v>
      </c>
      <c r="AD7" s="44" t="n">
        <f aca="false">IF(AA7=1,R7/H7,0)</f>
        <v>0</v>
      </c>
      <c r="AE7" s="44" t="n">
        <f aca="false">IF(AA7=1,O7/H7,0)</f>
        <v>0</v>
      </c>
      <c r="AF7" s="44" t="n">
        <f aca="false">IF(AA7=1,K7/H7,0)</f>
        <v>0</v>
      </c>
      <c r="AG7" s="45" t="str">
        <f aca="false">IF(AA7=1,D7&amp;"|"&amp;TEXT(B7,"0"),"")</f>
        <v/>
      </c>
      <c r="AH7" s="43" t="n">
        <f aca="false">IF(AA7=1,H7,0)</f>
        <v>0</v>
      </c>
    </row>
    <row r="8" customFormat="false" ht="15" hidden="false" customHeight="false" outlineLevel="0" collapsed="false">
      <c r="A8" s="23" t="str">
        <f aca="false">IF(B8="","","B-"&amp;TEXT(ROW()-4,"0000"))</f>
        <v/>
      </c>
      <c r="B8" s="38"/>
      <c r="C8" s="38"/>
      <c r="D8" s="6"/>
      <c r="E8" s="6"/>
      <c r="F8" s="6"/>
      <c r="G8" s="11"/>
      <c r="H8" s="24" t="str">
        <f aca="false">IF(AND(ISNUMBER(B8),ISNUMBER(C8)),MAX(0,C8-B8),"")</f>
        <v/>
      </c>
      <c r="I8" s="37"/>
      <c r="J8" s="46" t="str">
        <f aca="false">IF(OR(D8="",N(H8)=0),"",IFERROR(IF(I8&lt;&gt;"",H8*I8,ROUND(((H8-(INT((WEEKDAY(B8-6)+H8-1)/7)+INT((WEEKDAY(B8-7)+H8-1)/7)))*INDEX(Properties!$E$5:$E$24,MATCH(D8,Properties!$A$5:$A$24,0))+(INT((WEEKDAY(B8-6)+H8-1)/7)+INT((WEEKDAY(B8-7)+H8-1)/7))*INDEX(Properties!$F$5:$F$24,MATCH(D8,Properties!$A$5:$A$24,0)))*(1-IF(H8&gt;=28,Settings!$B$10,IF(H8&gt;=7,Settings!$B$9,0))),2)),0))</f>
        <v/>
      </c>
      <c r="K8" s="46" t="str">
        <f aca="false">IF(J8="","",IFERROR(N(INDEX(Properties!$G$5:$G$24,MATCH(D8,Properties!$A$5:$A$24,0))),0))</f>
        <v/>
      </c>
      <c r="L8" s="46" t="str">
        <f aca="false">IF(J8="","",IFERROR(MAX(0,N(G8)-INDEX(Properties!$I$5:$I$24,MATCH(D8,Properties!$A$5:$A$24,0)))*N(INDEX(Properties!$J$5:$J$24,MATCH(D8,Properties!$A$5:$A$24,0)))*H8,0))</f>
        <v/>
      </c>
      <c r="M8" s="37"/>
      <c r="N8" s="46" t="str">
        <f aca="false">IF(J8="","",J8+K8+L8+N(M8))</f>
        <v/>
      </c>
      <c r="O8" s="46" t="str">
        <f aca="false">IF(N8="","",IF(P8&lt;&gt;"",N8-P8,ROUND(N8*IFERROR(INDEX(Settings!$E$5:$E$12,MATCH(F8,Settings!$D$5:$D$12,0)),0),2)))</f>
        <v/>
      </c>
      <c r="P8" s="37"/>
      <c r="Q8" s="46" t="str">
        <f aca="false">IF(N8="","",IF(P8&lt;&gt;"",P8,N8-O8))</f>
        <v/>
      </c>
      <c r="R8" s="46" t="str">
        <f aca="false">IF(J8="","",IFERROR(N(INDEX(Properties!$H$5:$H$24,MATCH(D8,Properties!$A$5:$A$24,0))),0))</f>
        <v/>
      </c>
      <c r="S8" s="46" t="str">
        <f aca="false">IF(Q8="","",Q8-R8)</f>
        <v/>
      </c>
      <c r="T8" s="6"/>
      <c r="U8" s="6"/>
      <c r="V8" s="6"/>
      <c r="W8" s="6"/>
      <c r="X8" s="6"/>
      <c r="Y8" s="8" t="str">
        <f aca="false">IF(OR(D8="",B8="",C8=""),"",IF(N(C8)&lt;=N(B8),"Check dates",IF(T8="Cancelled","",IF(COUNTIFS($D$5:$D$1004,D8,$B$5:$B$1004,"&lt;"&amp;C8,$C$5:$C$1004,"&gt;"&amp;B8,$T$5:$T$1004,"&lt;&gt;Cancelled")&gt;1,"Double-booked",""))))</f>
        <v/>
      </c>
      <c r="Z8" s="42" t="str">
        <f aca="false">IF(AND(AA8=1,ISNUMBER(C8)),C8+ROW()/100000,"")</f>
        <v/>
      </c>
      <c r="AA8" s="43" t="n">
        <f aca="false">IF(AND(D8&lt;&gt;"",ISNUMBER(B8),ISNUMBER(C8),N(H8)&gt;0,T8&lt;&gt;"Cancelled",J8&lt;&gt;""),1,0)</f>
        <v>0</v>
      </c>
      <c r="AB8" s="44" t="n">
        <f aca="false">IF(AA8=1,J8/H8,0)</f>
        <v>0</v>
      </c>
      <c r="AC8" s="44" t="n">
        <f aca="false">IF(AA8=1,Q8/H8,0)</f>
        <v>0</v>
      </c>
      <c r="AD8" s="44" t="n">
        <f aca="false">IF(AA8=1,R8/H8,0)</f>
        <v>0</v>
      </c>
      <c r="AE8" s="44" t="n">
        <f aca="false">IF(AA8=1,O8/H8,0)</f>
        <v>0</v>
      </c>
      <c r="AF8" s="44" t="n">
        <f aca="false">IF(AA8=1,K8/H8,0)</f>
        <v>0</v>
      </c>
      <c r="AG8" s="45" t="str">
        <f aca="false">IF(AA8=1,D8&amp;"|"&amp;TEXT(B8,"0"),"")</f>
        <v/>
      </c>
      <c r="AH8" s="43" t="n">
        <f aca="false">IF(AA8=1,H8,0)</f>
        <v>0</v>
      </c>
    </row>
    <row r="9" customFormat="false" ht="15" hidden="false" customHeight="false" outlineLevel="0" collapsed="false">
      <c r="A9" s="8" t="str">
        <f aca="false">IF(B9="","","B-"&amp;TEXT(ROW()-4,"0000"))</f>
        <v/>
      </c>
      <c r="B9" s="38"/>
      <c r="C9" s="38"/>
      <c r="D9" s="6"/>
      <c r="E9" s="6"/>
      <c r="F9" s="6"/>
      <c r="G9" s="11"/>
      <c r="H9" s="18" t="str">
        <f aca="false">IF(AND(ISNUMBER(B9),ISNUMBER(C9)),MAX(0,C9-B9),"")</f>
        <v/>
      </c>
      <c r="I9" s="37"/>
      <c r="J9" s="41" t="str">
        <f aca="false">IF(OR(D9="",N(H9)=0),"",IFERROR(IF(I9&lt;&gt;"",H9*I9,ROUND(((H9-(INT((WEEKDAY(B9-6)+H9-1)/7)+INT((WEEKDAY(B9-7)+H9-1)/7)))*INDEX(Properties!$E$5:$E$24,MATCH(D9,Properties!$A$5:$A$24,0))+(INT((WEEKDAY(B9-6)+H9-1)/7)+INT((WEEKDAY(B9-7)+H9-1)/7))*INDEX(Properties!$F$5:$F$24,MATCH(D9,Properties!$A$5:$A$24,0)))*(1-IF(H9&gt;=28,Settings!$B$10,IF(H9&gt;=7,Settings!$B$9,0))),2)),0))</f>
        <v/>
      </c>
      <c r="K9" s="41" t="str">
        <f aca="false">IF(J9="","",IFERROR(N(INDEX(Properties!$G$5:$G$24,MATCH(D9,Properties!$A$5:$A$24,0))),0))</f>
        <v/>
      </c>
      <c r="L9" s="41" t="str">
        <f aca="false">IF(J9="","",IFERROR(MAX(0,N(G9)-INDEX(Properties!$I$5:$I$24,MATCH(D9,Properties!$A$5:$A$24,0)))*N(INDEX(Properties!$J$5:$J$24,MATCH(D9,Properties!$A$5:$A$24,0)))*H9,0))</f>
        <v/>
      </c>
      <c r="M9" s="37"/>
      <c r="N9" s="41" t="str">
        <f aca="false">IF(J9="","",J9+K9+L9+N(M9))</f>
        <v/>
      </c>
      <c r="O9" s="41" t="str">
        <f aca="false">IF(N9="","",IF(P9&lt;&gt;"",N9-P9,ROUND(N9*IFERROR(INDEX(Settings!$E$5:$E$12,MATCH(F9,Settings!$D$5:$D$12,0)),0),2)))</f>
        <v/>
      </c>
      <c r="P9" s="37"/>
      <c r="Q9" s="41" t="str">
        <f aca="false">IF(N9="","",IF(P9&lt;&gt;"",P9,N9-O9))</f>
        <v/>
      </c>
      <c r="R9" s="41" t="str">
        <f aca="false">IF(J9="","",IFERROR(N(INDEX(Properties!$H$5:$H$24,MATCH(D9,Properties!$A$5:$A$24,0))),0))</f>
        <v/>
      </c>
      <c r="S9" s="41" t="str">
        <f aca="false">IF(Q9="","",Q9-R9)</f>
        <v/>
      </c>
      <c r="T9" s="6"/>
      <c r="U9" s="6"/>
      <c r="V9" s="6"/>
      <c r="W9" s="6"/>
      <c r="X9" s="6"/>
      <c r="Y9" s="8" t="str">
        <f aca="false">IF(OR(D9="",B9="",C9=""),"",IF(N(C9)&lt;=N(B9),"Check dates",IF(T9="Cancelled","",IF(COUNTIFS($D$5:$D$1004,D9,$B$5:$B$1004,"&lt;"&amp;C9,$C$5:$C$1004,"&gt;"&amp;B9,$T$5:$T$1004,"&lt;&gt;Cancelled")&gt;1,"Double-booked",""))))</f>
        <v/>
      </c>
      <c r="Z9" s="42" t="str">
        <f aca="false">IF(AND(AA9=1,ISNUMBER(C9)),C9+ROW()/100000,"")</f>
        <v/>
      </c>
      <c r="AA9" s="43" t="n">
        <f aca="false">IF(AND(D9&lt;&gt;"",ISNUMBER(B9),ISNUMBER(C9),N(H9)&gt;0,T9&lt;&gt;"Cancelled",J9&lt;&gt;""),1,0)</f>
        <v>0</v>
      </c>
      <c r="AB9" s="44" t="n">
        <f aca="false">IF(AA9=1,J9/H9,0)</f>
        <v>0</v>
      </c>
      <c r="AC9" s="44" t="n">
        <f aca="false">IF(AA9=1,Q9/H9,0)</f>
        <v>0</v>
      </c>
      <c r="AD9" s="44" t="n">
        <f aca="false">IF(AA9=1,R9/H9,0)</f>
        <v>0</v>
      </c>
      <c r="AE9" s="44" t="n">
        <f aca="false">IF(AA9=1,O9/H9,0)</f>
        <v>0</v>
      </c>
      <c r="AF9" s="44" t="n">
        <f aca="false">IF(AA9=1,K9/H9,0)</f>
        <v>0</v>
      </c>
      <c r="AG9" s="45" t="str">
        <f aca="false">IF(AA9=1,D9&amp;"|"&amp;TEXT(B9,"0"),"")</f>
        <v/>
      </c>
      <c r="AH9" s="43" t="n">
        <f aca="false">IF(AA9=1,H9,0)</f>
        <v>0</v>
      </c>
    </row>
    <row r="10" customFormat="false" ht="15" hidden="false" customHeight="false" outlineLevel="0" collapsed="false">
      <c r="A10" s="23" t="str">
        <f aca="false">IF(B10="","","B-"&amp;TEXT(ROW()-4,"0000"))</f>
        <v/>
      </c>
      <c r="B10" s="38"/>
      <c r="C10" s="38"/>
      <c r="D10" s="6"/>
      <c r="E10" s="6"/>
      <c r="F10" s="6"/>
      <c r="G10" s="11"/>
      <c r="H10" s="24" t="str">
        <f aca="false">IF(AND(ISNUMBER(B10),ISNUMBER(C10)),MAX(0,C10-B10),"")</f>
        <v/>
      </c>
      <c r="I10" s="37"/>
      <c r="J10" s="46" t="str">
        <f aca="false">IF(OR(D10="",N(H10)=0),"",IFERROR(IF(I10&lt;&gt;"",H10*I10,ROUND(((H10-(INT((WEEKDAY(B10-6)+H10-1)/7)+INT((WEEKDAY(B10-7)+H10-1)/7)))*INDEX(Properties!$E$5:$E$24,MATCH(D10,Properties!$A$5:$A$24,0))+(INT((WEEKDAY(B10-6)+H10-1)/7)+INT((WEEKDAY(B10-7)+H10-1)/7))*INDEX(Properties!$F$5:$F$24,MATCH(D10,Properties!$A$5:$A$24,0)))*(1-IF(H10&gt;=28,Settings!$B$10,IF(H10&gt;=7,Settings!$B$9,0))),2)),0))</f>
        <v/>
      </c>
      <c r="K10" s="46" t="str">
        <f aca="false">IF(J10="","",IFERROR(N(INDEX(Properties!$G$5:$G$24,MATCH(D10,Properties!$A$5:$A$24,0))),0))</f>
        <v/>
      </c>
      <c r="L10" s="46" t="str">
        <f aca="false">IF(J10="","",IFERROR(MAX(0,N(G10)-INDEX(Properties!$I$5:$I$24,MATCH(D10,Properties!$A$5:$A$24,0)))*N(INDEX(Properties!$J$5:$J$24,MATCH(D10,Properties!$A$5:$A$24,0)))*H10,0))</f>
        <v/>
      </c>
      <c r="M10" s="37"/>
      <c r="N10" s="46" t="str">
        <f aca="false">IF(J10="","",J10+K10+L10+N(M10))</f>
        <v/>
      </c>
      <c r="O10" s="46" t="str">
        <f aca="false">IF(N10="","",IF(P10&lt;&gt;"",N10-P10,ROUND(N10*IFERROR(INDEX(Settings!$E$5:$E$12,MATCH(F10,Settings!$D$5:$D$12,0)),0),2)))</f>
        <v/>
      </c>
      <c r="P10" s="37"/>
      <c r="Q10" s="46" t="str">
        <f aca="false">IF(N10="","",IF(P10&lt;&gt;"",P10,N10-O10))</f>
        <v/>
      </c>
      <c r="R10" s="46" t="str">
        <f aca="false">IF(J10="","",IFERROR(N(INDEX(Properties!$H$5:$H$24,MATCH(D10,Properties!$A$5:$A$24,0))),0))</f>
        <v/>
      </c>
      <c r="S10" s="46" t="str">
        <f aca="false">IF(Q10="","",Q10-R10)</f>
        <v/>
      </c>
      <c r="T10" s="6"/>
      <c r="U10" s="6"/>
      <c r="V10" s="6"/>
      <c r="W10" s="6"/>
      <c r="X10" s="6"/>
      <c r="Y10" s="8" t="str">
        <f aca="false">IF(OR(D10="",B10="",C10=""),"",IF(N(C10)&lt;=N(B10),"Check dates",IF(T10="Cancelled","",IF(COUNTIFS($D$5:$D$1004,D10,$B$5:$B$1004,"&lt;"&amp;C10,$C$5:$C$1004,"&gt;"&amp;B10,$T$5:$T$1004,"&lt;&gt;Cancelled")&gt;1,"Double-booked",""))))</f>
        <v/>
      </c>
      <c r="Z10" s="42" t="str">
        <f aca="false">IF(AND(AA10=1,ISNUMBER(C10)),C10+ROW()/100000,"")</f>
        <v/>
      </c>
      <c r="AA10" s="43" t="n">
        <f aca="false">IF(AND(D10&lt;&gt;"",ISNUMBER(B10),ISNUMBER(C10),N(H10)&gt;0,T10&lt;&gt;"Cancelled",J10&lt;&gt;""),1,0)</f>
        <v>0</v>
      </c>
      <c r="AB10" s="44" t="n">
        <f aca="false">IF(AA10=1,J10/H10,0)</f>
        <v>0</v>
      </c>
      <c r="AC10" s="44" t="n">
        <f aca="false">IF(AA10=1,Q10/H10,0)</f>
        <v>0</v>
      </c>
      <c r="AD10" s="44" t="n">
        <f aca="false">IF(AA10=1,R10/H10,0)</f>
        <v>0</v>
      </c>
      <c r="AE10" s="44" t="n">
        <f aca="false">IF(AA10=1,O10/H10,0)</f>
        <v>0</v>
      </c>
      <c r="AF10" s="44" t="n">
        <f aca="false">IF(AA10=1,K10/H10,0)</f>
        <v>0</v>
      </c>
      <c r="AG10" s="45" t="str">
        <f aca="false">IF(AA10=1,D10&amp;"|"&amp;TEXT(B10,"0"),"")</f>
        <v/>
      </c>
      <c r="AH10" s="43" t="n">
        <f aca="false">IF(AA10=1,H10,0)</f>
        <v>0</v>
      </c>
    </row>
    <row r="11" customFormat="false" ht="15" hidden="false" customHeight="false" outlineLevel="0" collapsed="false">
      <c r="A11" s="8" t="str">
        <f aca="false">IF(B11="","","B-"&amp;TEXT(ROW()-4,"0000"))</f>
        <v/>
      </c>
      <c r="B11" s="38"/>
      <c r="C11" s="38"/>
      <c r="D11" s="6"/>
      <c r="E11" s="6"/>
      <c r="F11" s="6"/>
      <c r="G11" s="11"/>
      <c r="H11" s="18" t="str">
        <f aca="false">IF(AND(ISNUMBER(B11),ISNUMBER(C11)),MAX(0,C11-B11),"")</f>
        <v/>
      </c>
      <c r="I11" s="37"/>
      <c r="J11" s="41" t="str">
        <f aca="false">IF(OR(D11="",N(H11)=0),"",IFERROR(IF(I11&lt;&gt;"",H11*I11,ROUND(((H11-(INT((WEEKDAY(B11-6)+H11-1)/7)+INT((WEEKDAY(B11-7)+H11-1)/7)))*INDEX(Properties!$E$5:$E$24,MATCH(D11,Properties!$A$5:$A$24,0))+(INT((WEEKDAY(B11-6)+H11-1)/7)+INT((WEEKDAY(B11-7)+H11-1)/7))*INDEX(Properties!$F$5:$F$24,MATCH(D11,Properties!$A$5:$A$24,0)))*(1-IF(H11&gt;=28,Settings!$B$10,IF(H11&gt;=7,Settings!$B$9,0))),2)),0))</f>
        <v/>
      </c>
      <c r="K11" s="41" t="str">
        <f aca="false">IF(J11="","",IFERROR(N(INDEX(Properties!$G$5:$G$24,MATCH(D11,Properties!$A$5:$A$24,0))),0))</f>
        <v/>
      </c>
      <c r="L11" s="41" t="str">
        <f aca="false">IF(J11="","",IFERROR(MAX(0,N(G11)-INDEX(Properties!$I$5:$I$24,MATCH(D11,Properties!$A$5:$A$24,0)))*N(INDEX(Properties!$J$5:$J$24,MATCH(D11,Properties!$A$5:$A$24,0)))*H11,0))</f>
        <v/>
      </c>
      <c r="M11" s="37"/>
      <c r="N11" s="41" t="str">
        <f aca="false">IF(J11="","",J11+K11+L11+N(M11))</f>
        <v/>
      </c>
      <c r="O11" s="41" t="str">
        <f aca="false">IF(N11="","",IF(P11&lt;&gt;"",N11-P11,ROUND(N11*IFERROR(INDEX(Settings!$E$5:$E$12,MATCH(F11,Settings!$D$5:$D$12,0)),0),2)))</f>
        <v/>
      </c>
      <c r="P11" s="37"/>
      <c r="Q11" s="41" t="str">
        <f aca="false">IF(N11="","",IF(P11&lt;&gt;"",P11,N11-O11))</f>
        <v/>
      </c>
      <c r="R11" s="41" t="str">
        <f aca="false">IF(J11="","",IFERROR(N(INDEX(Properties!$H$5:$H$24,MATCH(D11,Properties!$A$5:$A$24,0))),0))</f>
        <v/>
      </c>
      <c r="S11" s="41" t="str">
        <f aca="false">IF(Q11="","",Q11-R11)</f>
        <v/>
      </c>
      <c r="T11" s="6"/>
      <c r="U11" s="6"/>
      <c r="V11" s="6"/>
      <c r="W11" s="6"/>
      <c r="X11" s="6"/>
      <c r="Y11" s="8" t="str">
        <f aca="false">IF(OR(D11="",B11="",C11=""),"",IF(N(C11)&lt;=N(B11),"Check dates",IF(T11="Cancelled","",IF(COUNTIFS($D$5:$D$1004,D11,$B$5:$B$1004,"&lt;"&amp;C11,$C$5:$C$1004,"&gt;"&amp;B11,$T$5:$T$1004,"&lt;&gt;Cancelled")&gt;1,"Double-booked",""))))</f>
        <v/>
      </c>
      <c r="Z11" s="42" t="str">
        <f aca="false">IF(AND(AA11=1,ISNUMBER(C11)),C11+ROW()/100000,"")</f>
        <v/>
      </c>
      <c r="AA11" s="43" t="n">
        <f aca="false">IF(AND(D11&lt;&gt;"",ISNUMBER(B11),ISNUMBER(C11),N(H11)&gt;0,T11&lt;&gt;"Cancelled",J11&lt;&gt;""),1,0)</f>
        <v>0</v>
      </c>
      <c r="AB11" s="44" t="n">
        <f aca="false">IF(AA11=1,J11/H11,0)</f>
        <v>0</v>
      </c>
      <c r="AC11" s="44" t="n">
        <f aca="false">IF(AA11=1,Q11/H11,0)</f>
        <v>0</v>
      </c>
      <c r="AD11" s="44" t="n">
        <f aca="false">IF(AA11=1,R11/H11,0)</f>
        <v>0</v>
      </c>
      <c r="AE11" s="44" t="n">
        <f aca="false">IF(AA11=1,O11/H11,0)</f>
        <v>0</v>
      </c>
      <c r="AF11" s="44" t="n">
        <f aca="false">IF(AA11=1,K11/H11,0)</f>
        <v>0</v>
      </c>
      <c r="AG11" s="45" t="str">
        <f aca="false">IF(AA11=1,D11&amp;"|"&amp;TEXT(B11,"0"),"")</f>
        <v/>
      </c>
      <c r="AH11" s="43" t="n">
        <f aca="false">IF(AA11=1,H11,0)</f>
        <v>0</v>
      </c>
    </row>
    <row r="12" customFormat="false" ht="15" hidden="false" customHeight="false" outlineLevel="0" collapsed="false">
      <c r="A12" s="23" t="str">
        <f aca="false">IF(B12="","","B-"&amp;TEXT(ROW()-4,"0000"))</f>
        <v/>
      </c>
      <c r="B12" s="38"/>
      <c r="C12" s="38"/>
      <c r="D12" s="6"/>
      <c r="E12" s="6"/>
      <c r="F12" s="6"/>
      <c r="G12" s="11"/>
      <c r="H12" s="24" t="str">
        <f aca="false">IF(AND(ISNUMBER(B12),ISNUMBER(C12)),MAX(0,C12-B12),"")</f>
        <v/>
      </c>
      <c r="I12" s="37"/>
      <c r="J12" s="46" t="str">
        <f aca="false">IF(OR(D12="",N(H12)=0),"",IFERROR(IF(I12&lt;&gt;"",H12*I12,ROUND(((H12-(INT((WEEKDAY(B12-6)+H12-1)/7)+INT((WEEKDAY(B12-7)+H12-1)/7)))*INDEX(Properties!$E$5:$E$24,MATCH(D12,Properties!$A$5:$A$24,0))+(INT((WEEKDAY(B12-6)+H12-1)/7)+INT((WEEKDAY(B12-7)+H12-1)/7))*INDEX(Properties!$F$5:$F$24,MATCH(D12,Properties!$A$5:$A$24,0)))*(1-IF(H12&gt;=28,Settings!$B$10,IF(H12&gt;=7,Settings!$B$9,0))),2)),0))</f>
        <v/>
      </c>
      <c r="K12" s="46" t="str">
        <f aca="false">IF(J12="","",IFERROR(N(INDEX(Properties!$G$5:$G$24,MATCH(D12,Properties!$A$5:$A$24,0))),0))</f>
        <v/>
      </c>
      <c r="L12" s="46" t="str">
        <f aca="false">IF(J12="","",IFERROR(MAX(0,N(G12)-INDEX(Properties!$I$5:$I$24,MATCH(D12,Properties!$A$5:$A$24,0)))*N(INDEX(Properties!$J$5:$J$24,MATCH(D12,Properties!$A$5:$A$24,0)))*H12,0))</f>
        <v/>
      </c>
      <c r="M12" s="37"/>
      <c r="N12" s="46" t="str">
        <f aca="false">IF(J12="","",J12+K12+L12+N(M12))</f>
        <v/>
      </c>
      <c r="O12" s="46" t="str">
        <f aca="false">IF(N12="","",IF(P12&lt;&gt;"",N12-P12,ROUND(N12*IFERROR(INDEX(Settings!$E$5:$E$12,MATCH(F12,Settings!$D$5:$D$12,0)),0),2)))</f>
        <v/>
      </c>
      <c r="P12" s="37"/>
      <c r="Q12" s="46" t="str">
        <f aca="false">IF(N12="","",IF(P12&lt;&gt;"",P12,N12-O12))</f>
        <v/>
      </c>
      <c r="R12" s="46" t="str">
        <f aca="false">IF(J12="","",IFERROR(N(INDEX(Properties!$H$5:$H$24,MATCH(D12,Properties!$A$5:$A$24,0))),0))</f>
        <v/>
      </c>
      <c r="S12" s="46" t="str">
        <f aca="false">IF(Q12="","",Q12-R12)</f>
        <v/>
      </c>
      <c r="T12" s="6"/>
      <c r="U12" s="6"/>
      <c r="V12" s="6"/>
      <c r="W12" s="6"/>
      <c r="X12" s="6"/>
      <c r="Y12" s="8" t="str">
        <f aca="false">IF(OR(D12="",B12="",C12=""),"",IF(N(C12)&lt;=N(B12),"Check dates",IF(T12="Cancelled","",IF(COUNTIFS($D$5:$D$1004,D12,$B$5:$B$1004,"&lt;"&amp;C12,$C$5:$C$1004,"&gt;"&amp;B12,$T$5:$T$1004,"&lt;&gt;Cancelled")&gt;1,"Double-booked",""))))</f>
        <v/>
      </c>
      <c r="Z12" s="42" t="str">
        <f aca="false">IF(AND(AA12=1,ISNUMBER(C12)),C12+ROW()/100000,"")</f>
        <v/>
      </c>
      <c r="AA12" s="43" t="n">
        <f aca="false">IF(AND(D12&lt;&gt;"",ISNUMBER(B12),ISNUMBER(C12),N(H12)&gt;0,T12&lt;&gt;"Cancelled",J12&lt;&gt;""),1,0)</f>
        <v>0</v>
      </c>
      <c r="AB12" s="44" t="n">
        <f aca="false">IF(AA12=1,J12/H12,0)</f>
        <v>0</v>
      </c>
      <c r="AC12" s="44" t="n">
        <f aca="false">IF(AA12=1,Q12/H12,0)</f>
        <v>0</v>
      </c>
      <c r="AD12" s="44" t="n">
        <f aca="false">IF(AA12=1,R12/H12,0)</f>
        <v>0</v>
      </c>
      <c r="AE12" s="44" t="n">
        <f aca="false">IF(AA12=1,O12/H12,0)</f>
        <v>0</v>
      </c>
      <c r="AF12" s="44" t="n">
        <f aca="false">IF(AA12=1,K12/H12,0)</f>
        <v>0</v>
      </c>
      <c r="AG12" s="45" t="str">
        <f aca="false">IF(AA12=1,D12&amp;"|"&amp;TEXT(B12,"0"),"")</f>
        <v/>
      </c>
      <c r="AH12" s="43" t="n">
        <f aca="false">IF(AA12=1,H12,0)</f>
        <v>0</v>
      </c>
    </row>
    <row r="13" customFormat="false" ht="15" hidden="false" customHeight="false" outlineLevel="0" collapsed="false">
      <c r="A13" s="8" t="str">
        <f aca="false">IF(B13="","","B-"&amp;TEXT(ROW()-4,"0000"))</f>
        <v/>
      </c>
      <c r="B13" s="38"/>
      <c r="C13" s="38"/>
      <c r="D13" s="6"/>
      <c r="E13" s="6"/>
      <c r="F13" s="6"/>
      <c r="G13" s="11"/>
      <c r="H13" s="18" t="str">
        <f aca="false">IF(AND(ISNUMBER(B13),ISNUMBER(C13)),MAX(0,C13-B13),"")</f>
        <v/>
      </c>
      <c r="I13" s="37"/>
      <c r="J13" s="41" t="str">
        <f aca="false">IF(OR(D13="",N(H13)=0),"",IFERROR(IF(I13&lt;&gt;"",H13*I13,ROUND(((H13-(INT((WEEKDAY(B13-6)+H13-1)/7)+INT((WEEKDAY(B13-7)+H13-1)/7)))*INDEX(Properties!$E$5:$E$24,MATCH(D13,Properties!$A$5:$A$24,0))+(INT((WEEKDAY(B13-6)+H13-1)/7)+INT((WEEKDAY(B13-7)+H13-1)/7))*INDEX(Properties!$F$5:$F$24,MATCH(D13,Properties!$A$5:$A$24,0)))*(1-IF(H13&gt;=28,Settings!$B$10,IF(H13&gt;=7,Settings!$B$9,0))),2)),0))</f>
        <v/>
      </c>
      <c r="K13" s="41" t="str">
        <f aca="false">IF(J13="","",IFERROR(N(INDEX(Properties!$G$5:$G$24,MATCH(D13,Properties!$A$5:$A$24,0))),0))</f>
        <v/>
      </c>
      <c r="L13" s="41" t="str">
        <f aca="false">IF(J13="","",IFERROR(MAX(0,N(G13)-INDEX(Properties!$I$5:$I$24,MATCH(D13,Properties!$A$5:$A$24,0)))*N(INDEX(Properties!$J$5:$J$24,MATCH(D13,Properties!$A$5:$A$24,0)))*H13,0))</f>
        <v/>
      </c>
      <c r="M13" s="37"/>
      <c r="N13" s="41" t="str">
        <f aca="false">IF(J13="","",J13+K13+L13+N(M13))</f>
        <v/>
      </c>
      <c r="O13" s="41" t="str">
        <f aca="false">IF(N13="","",IF(P13&lt;&gt;"",N13-P13,ROUND(N13*IFERROR(INDEX(Settings!$E$5:$E$12,MATCH(F13,Settings!$D$5:$D$12,0)),0),2)))</f>
        <v/>
      </c>
      <c r="P13" s="37"/>
      <c r="Q13" s="41" t="str">
        <f aca="false">IF(N13="","",IF(P13&lt;&gt;"",P13,N13-O13))</f>
        <v/>
      </c>
      <c r="R13" s="41" t="str">
        <f aca="false">IF(J13="","",IFERROR(N(INDEX(Properties!$H$5:$H$24,MATCH(D13,Properties!$A$5:$A$24,0))),0))</f>
        <v/>
      </c>
      <c r="S13" s="41" t="str">
        <f aca="false">IF(Q13="","",Q13-R13)</f>
        <v/>
      </c>
      <c r="T13" s="6"/>
      <c r="U13" s="6"/>
      <c r="V13" s="6"/>
      <c r="W13" s="6"/>
      <c r="X13" s="6"/>
      <c r="Y13" s="8" t="str">
        <f aca="false">IF(OR(D13="",B13="",C13=""),"",IF(N(C13)&lt;=N(B13),"Check dates",IF(T13="Cancelled","",IF(COUNTIFS($D$5:$D$1004,D13,$B$5:$B$1004,"&lt;"&amp;C13,$C$5:$C$1004,"&gt;"&amp;B13,$T$5:$T$1004,"&lt;&gt;Cancelled")&gt;1,"Double-booked",""))))</f>
        <v/>
      </c>
      <c r="Z13" s="42" t="str">
        <f aca="false">IF(AND(AA13=1,ISNUMBER(C13)),C13+ROW()/100000,"")</f>
        <v/>
      </c>
      <c r="AA13" s="43" t="n">
        <f aca="false">IF(AND(D13&lt;&gt;"",ISNUMBER(B13),ISNUMBER(C13),N(H13)&gt;0,T13&lt;&gt;"Cancelled",J13&lt;&gt;""),1,0)</f>
        <v>0</v>
      </c>
      <c r="AB13" s="44" t="n">
        <f aca="false">IF(AA13=1,J13/H13,0)</f>
        <v>0</v>
      </c>
      <c r="AC13" s="44" t="n">
        <f aca="false">IF(AA13=1,Q13/H13,0)</f>
        <v>0</v>
      </c>
      <c r="AD13" s="44" t="n">
        <f aca="false">IF(AA13=1,R13/H13,0)</f>
        <v>0</v>
      </c>
      <c r="AE13" s="44" t="n">
        <f aca="false">IF(AA13=1,O13/H13,0)</f>
        <v>0</v>
      </c>
      <c r="AF13" s="44" t="n">
        <f aca="false">IF(AA13=1,K13/H13,0)</f>
        <v>0</v>
      </c>
      <c r="AG13" s="45" t="str">
        <f aca="false">IF(AA13=1,D13&amp;"|"&amp;TEXT(B13,"0"),"")</f>
        <v/>
      </c>
      <c r="AH13" s="43" t="n">
        <f aca="false">IF(AA13=1,H13,0)</f>
        <v>0</v>
      </c>
    </row>
    <row r="14" customFormat="false" ht="15" hidden="false" customHeight="false" outlineLevel="0" collapsed="false">
      <c r="A14" s="23" t="str">
        <f aca="false">IF(B14="","","B-"&amp;TEXT(ROW()-4,"0000"))</f>
        <v/>
      </c>
      <c r="B14" s="38"/>
      <c r="C14" s="38"/>
      <c r="D14" s="6"/>
      <c r="E14" s="6"/>
      <c r="F14" s="6"/>
      <c r="G14" s="11"/>
      <c r="H14" s="24" t="str">
        <f aca="false">IF(AND(ISNUMBER(B14),ISNUMBER(C14)),MAX(0,C14-B14),"")</f>
        <v/>
      </c>
      <c r="I14" s="37"/>
      <c r="J14" s="46" t="str">
        <f aca="false">IF(OR(D14="",N(H14)=0),"",IFERROR(IF(I14&lt;&gt;"",H14*I14,ROUND(((H14-(INT((WEEKDAY(B14-6)+H14-1)/7)+INT((WEEKDAY(B14-7)+H14-1)/7)))*INDEX(Properties!$E$5:$E$24,MATCH(D14,Properties!$A$5:$A$24,0))+(INT((WEEKDAY(B14-6)+H14-1)/7)+INT((WEEKDAY(B14-7)+H14-1)/7))*INDEX(Properties!$F$5:$F$24,MATCH(D14,Properties!$A$5:$A$24,0)))*(1-IF(H14&gt;=28,Settings!$B$10,IF(H14&gt;=7,Settings!$B$9,0))),2)),0))</f>
        <v/>
      </c>
      <c r="K14" s="46" t="str">
        <f aca="false">IF(J14="","",IFERROR(N(INDEX(Properties!$G$5:$G$24,MATCH(D14,Properties!$A$5:$A$24,0))),0))</f>
        <v/>
      </c>
      <c r="L14" s="46" t="str">
        <f aca="false">IF(J14="","",IFERROR(MAX(0,N(G14)-INDEX(Properties!$I$5:$I$24,MATCH(D14,Properties!$A$5:$A$24,0)))*N(INDEX(Properties!$J$5:$J$24,MATCH(D14,Properties!$A$5:$A$24,0)))*H14,0))</f>
        <v/>
      </c>
      <c r="M14" s="37"/>
      <c r="N14" s="46" t="str">
        <f aca="false">IF(J14="","",J14+K14+L14+N(M14))</f>
        <v/>
      </c>
      <c r="O14" s="46" t="str">
        <f aca="false">IF(N14="","",IF(P14&lt;&gt;"",N14-P14,ROUND(N14*IFERROR(INDEX(Settings!$E$5:$E$12,MATCH(F14,Settings!$D$5:$D$12,0)),0),2)))</f>
        <v/>
      </c>
      <c r="P14" s="37"/>
      <c r="Q14" s="46" t="str">
        <f aca="false">IF(N14="","",IF(P14&lt;&gt;"",P14,N14-O14))</f>
        <v/>
      </c>
      <c r="R14" s="46" t="str">
        <f aca="false">IF(J14="","",IFERROR(N(INDEX(Properties!$H$5:$H$24,MATCH(D14,Properties!$A$5:$A$24,0))),0))</f>
        <v/>
      </c>
      <c r="S14" s="46" t="str">
        <f aca="false">IF(Q14="","",Q14-R14)</f>
        <v/>
      </c>
      <c r="T14" s="6"/>
      <c r="U14" s="6"/>
      <c r="V14" s="6"/>
      <c r="W14" s="6"/>
      <c r="X14" s="6"/>
      <c r="Y14" s="8" t="str">
        <f aca="false">IF(OR(D14="",B14="",C14=""),"",IF(N(C14)&lt;=N(B14),"Check dates",IF(T14="Cancelled","",IF(COUNTIFS($D$5:$D$1004,D14,$B$5:$B$1004,"&lt;"&amp;C14,$C$5:$C$1004,"&gt;"&amp;B14,$T$5:$T$1004,"&lt;&gt;Cancelled")&gt;1,"Double-booked",""))))</f>
        <v/>
      </c>
      <c r="Z14" s="42" t="str">
        <f aca="false">IF(AND(AA14=1,ISNUMBER(C14)),C14+ROW()/100000,"")</f>
        <v/>
      </c>
      <c r="AA14" s="43" t="n">
        <f aca="false">IF(AND(D14&lt;&gt;"",ISNUMBER(B14),ISNUMBER(C14),N(H14)&gt;0,T14&lt;&gt;"Cancelled",J14&lt;&gt;""),1,0)</f>
        <v>0</v>
      </c>
      <c r="AB14" s="44" t="n">
        <f aca="false">IF(AA14=1,J14/H14,0)</f>
        <v>0</v>
      </c>
      <c r="AC14" s="44" t="n">
        <f aca="false">IF(AA14=1,Q14/H14,0)</f>
        <v>0</v>
      </c>
      <c r="AD14" s="44" t="n">
        <f aca="false">IF(AA14=1,R14/H14,0)</f>
        <v>0</v>
      </c>
      <c r="AE14" s="44" t="n">
        <f aca="false">IF(AA14=1,O14/H14,0)</f>
        <v>0</v>
      </c>
      <c r="AF14" s="44" t="n">
        <f aca="false">IF(AA14=1,K14/H14,0)</f>
        <v>0</v>
      </c>
      <c r="AG14" s="45" t="str">
        <f aca="false">IF(AA14=1,D14&amp;"|"&amp;TEXT(B14,"0"),"")</f>
        <v/>
      </c>
      <c r="AH14" s="43" t="n">
        <f aca="false">IF(AA14=1,H14,0)</f>
        <v>0</v>
      </c>
    </row>
    <row r="15" customFormat="false" ht="15" hidden="false" customHeight="false" outlineLevel="0" collapsed="false">
      <c r="A15" s="8" t="str">
        <f aca="false">IF(B15="","","B-"&amp;TEXT(ROW()-4,"0000"))</f>
        <v/>
      </c>
      <c r="B15" s="38"/>
      <c r="C15" s="38"/>
      <c r="D15" s="6"/>
      <c r="E15" s="6"/>
      <c r="F15" s="6"/>
      <c r="G15" s="11"/>
      <c r="H15" s="18" t="str">
        <f aca="false">IF(AND(ISNUMBER(B15),ISNUMBER(C15)),MAX(0,C15-B15),"")</f>
        <v/>
      </c>
      <c r="I15" s="37"/>
      <c r="J15" s="41" t="str">
        <f aca="false">IF(OR(D15="",N(H15)=0),"",IFERROR(IF(I15&lt;&gt;"",H15*I15,ROUND(((H15-(INT((WEEKDAY(B15-6)+H15-1)/7)+INT((WEEKDAY(B15-7)+H15-1)/7)))*INDEX(Properties!$E$5:$E$24,MATCH(D15,Properties!$A$5:$A$24,0))+(INT((WEEKDAY(B15-6)+H15-1)/7)+INT((WEEKDAY(B15-7)+H15-1)/7))*INDEX(Properties!$F$5:$F$24,MATCH(D15,Properties!$A$5:$A$24,0)))*(1-IF(H15&gt;=28,Settings!$B$10,IF(H15&gt;=7,Settings!$B$9,0))),2)),0))</f>
        <v/>
      </c>
      <c r="K15" s="41" t="str">
        <f aca="false">IF(J15="","",IFERROR(N(INDEX(Properties!$G$5:$G$24,MATCH(D15,Properties!$A$5:$A$24,0))),0))</f>
        <v/>
      </c>
      <c r="L15" s="41" t="str">
        <f aca="false">IF(J15="","",IFERROR(MAX(0,N(G15)-INDEX(Properties!$I$5:$I$24,MATCH(D15,Properties!$A$5:$A$24,0)))*N(INDEX(Properties!$J$5:$J$24,MATCH(D15,Properties!$A$5:$A$24,0)))*H15,0))</f>
        <v/>
      </c>
      <c r="M15" s="37"/>
      <c r="N15" s="41" t="str">
        <f aca="false">IF(J15="","",J15+K15+L15+N(M15))</f>
        <v/>
      </c>
      <c r="O15" s="41" t="str">
        <f aca="false">IF(N15="","",IF(P15&lt;&gt;"",N15-P15,ROUND(N15*IFERROR(INDEX(Settings!$E$5:$E$12,MATCH(F15,Settings!$D$5:$D$12,0)),0),2)))</f>
        <v/>
      </c>
      <c r="P15" s="37"/>
      <c r="Q15" s="41" t="str">
        <f aca="false">IF(N15="","",IF(P15&lt;&gt;"",P15,N15-O15))</f>
        <v/>
      </c>
      <c r="R15" s="41" t="str">
        <f aca="false">IF(J15="","",IFERROR(N(INDEX(Properties!$H$5:$H$24,MATCH(D15,Properties!$A$5:$A$24,0))),0))</f>
        <v/>
      </c>
      <c r="S15" s="41" t="str">
        <f aca="false">IF(Q15="","",Q15-R15)</f>
        <v/>
      </c>
      <c r="T15" s="6"/>
      <c r="U15" s="6"/>
      <c r="V15" s="6"/>
      <c r="W15" s="6"/>
      <c r="X15" s="6"/>
      <c r="Y15" s="8" t="str">
        <f aca="false">IF(OR(D15="",B15="",C15=""),"",IF(N(C15)&lt;=N(B15),"Check dates",IF(T15="Cancelled","",IF(COUNTIFS($D$5:$D$1004,D15,$B$5:$B$1004,"&lt;"&amp;C15,$C$5:$C$1004,"&gt;"&amp;B15,$T$5:$T$1004,"&lt;&gt;Cancelled")&gt;1,"Double-booked",""))))</f>
        <v/>
      </c>
      <c r="Z15" s="42" t="str">
        <f aca="false">IF(AND(AA15=1,ISNUMBER(C15)),C15+ROW()/100000,"")</f>
        <v/>
      </c>
      <c r="AA15" s="43" t="n">
        <f aca="false">IF(AND(D15&lt;&gt;"",ISNUMBER(B15),ISNUMBER(C15),N(H15)&gt;0,T15&lt;&gt;"Cancelled",J15&lt;&gt;""),1,0)</f>
        <v>0</v>
      </c>
      <c r="AB15" s="44" t="n">
        <f aca="false">IF(AA15=1,J15/H15,0)</f>
        <v>0</v>
      </c>
      <c r="AC15" s="44" t="n">
        <f aca="false">IF(AA15=1,Q15/H15,0)</f>
        <v>0</v>
      </c>
      <c r="AD15" s="44" t="n">
        <f aca="false">IF(AA15=1,R15/H15,0)</f>
        <v>0</v>
      </c>
      <c r="AE15" s="44" t="n">
        <f aca="false">IF(AA15=1,O15/H15,0)</f>
        <v>0</v>
      </c>
      <c r="AF15" s="44" t="n">
        <f aca="false">IF(AA15=1,K15/H15,0)</f>
        <v>0</v>
      </c>
      <c r="AG15" s="45" t="str">
        <f aca="false">IF(AA15=1,D15&amp;"|"&amp;TEXT(B15,"0"),"")</f>
        <v/>
      </c>
      <c r="AH15" s="43" t="n">
        <f aca="false">IF(AA15=1,H15,0)</f>
        <v>0</v>
      </c>
    </row>
    <row r="16" customFormat="false" ht="15" hidden="false" customHeight="false" outlineLevel="0" collapsed="false">
      <c r="A16" s="23" t="str">
        <f aca="false">IF(B16="","","B-"&amp;TEXT(ROW()-4,"0000"))</f>
        <v/>
      </c>
      <c r="B16" s="38"/>
      <c r="C16" s="38"/>
      <c r="D16" s="6"/>
      <c r="E16" s="6"/>
      <c r="F16" s="6"/>
      <c r="G16" s="11"/>
      <c r="H16" s="24" t="str">
        <f aca="false">IF(AND(ISNUMBER(B16),ISNUMBER(C16)),MAX(0,C16-B16),"")</f>
        <v/>
      </c>
      <c r="I16" s="37"/>
      <c r="J16" s="46" t="str">
        <f aca="false">IF(OR(D16="",N(H16)=0),"",IFERROR(IF(I16&lt;&gt;"",H16*I16,ROUND(((H16-(INT((WEEKDAY(B16-6)+H16-1)/7)+INT((WEEKDAY(B16-7)+H16-1)/7)))*INDEX(Properties!$E$5:$E$24,MATCH(D16,Properties!$A$5:$A$24,0))+(INT((WEEKDAY(B16-6)+H16-1)/7)+INT((WEEKDAY(B16-7)+H16-1)/7))*INDEX(Properties!$F$5:$F$24,MATCH(D16,Properties!$A$5:$A$24,0)))*(1-IF(H16&gt;=28,Settings!$B$10,IF(H16&gt;=7,Settings!$B$9,0))),2)),0))</f>
        <v/>
      </c>
      <c r="K16" s="46" t="str">
        <f aca="false">IF(J16="","",IFERROR(N(INDEX(Properties!$G$5:$G$24,MATCH(D16,Properties!$A$5:$A$24,0))),0))</f>
        <v/>
      </c>
      <c r="L16" s="46" t="str">
        <f aca="false">IF(J16="","",IFERROR(MAX(0,N(G16)-INDEX(Properties!$I$5:$I$24,MATCH(D16,Properties!$A$5:$A$24,0)))*N(INDEX(Properties!$J$5:$J$24,MATCH(D16,Properties!$A$5:$A$24,0)))*H16,0))</f>
        <v/>
      </c>
      <c r="M16" s="37"/>
      <c r="N16" s="46" t="str">
        <f aca="false">IF(J16="","",J16+K16+L16+N(M16))</f>
        <v/>
      </c>
      <c r="O16" s="46" t="str">
        <f aca="false">IF(N16="","",IF(P16&lt;&gt;"",N16-P16,ROUND(N16*IFERROR(INDEX(Settings!$E$5:$E$12,MATCH(F16,Settings!$D$5:$D$12,0)),0),2)))</f>
        <v/>
      </c>
      <c r="P16" s="37"/>
      <c r="Q16" s="46" t="str">
        <f aca="false">IF(N16="","",IF(P16&lt;&gt;"",P16,N16-O16))</f>
        <v/>
      </c>
      <c r="R16" s="46" t="str">
        <f aca="false">IF(J16="","",IFERROR(N(INDEX(Properties!$H$5:$H$24,MATCH(D16,Properties!$A$5:$A$24,0))),0))</f>
        <v/>
      </c>
      <c r="S16" s="46" t="str">
        <f aca="false">IF(Q16="","",Q16-R16)</f>
        <v/>
      </c>
      <c r="T16" s="6"/>
      <c r="U16" s="6"/>
      <c r="V16" s="6"/>
      <c r="W16" s="6"/>
      <c r="X16" s="6"/>
      <c r="Y16" s="8" t="str">
        <f aca="false">IF(OR(D16="",B16="",C16=""),"",IF(N(C16)&lt;=N(B16),"Check dates",IF(T16="Cancelled","",IF(COUNTIFS($D$5:$D$1004,D16,$B$5:$B$1004,"&lt;"&amp;C16,$C$5:$C$1004,"&gt;"&amp;B16,$T$5:$T$1004,"&lt;&gt;Cancelled")&gt;1,"Double-booked",""))))</f>
        <v/>
      </c>
      <c r="Z16" s="42" t="str">
        <f aca="false">IF(AND(AA16=1,ISNUMBER(C16)),C16+ROW()/100000,"")</f>
        <v/>
      </c>
      <c r="AA16" s="43" t="n">
        <f aca="false">IF(AND(D16&lt;&gt;"",ISNUMBER(B16),ISNUMBER(C16),N(H16)&gt;0,T16&lt;&gt;"Cancelled",J16&lt;&gt;""),1,0)</f>
        <v>0</v>
      </c>
      <c r="AB16" s="44" t="n">
        <f aca="false">IF(AA16=1,J16/H16,0)</f>
        <v>0</v>
      </c>
      <c r="AC16" s="44" t="n">
        <f aca="false">IF(AA16=1,Q16/H16,0)</f>
        <v>0</v>
      </c>
      <c r="AD16" s="44" t="n">
        <f aca="false">IF(AA16=1,R16/H16,0)</f>
        <v>0</v>
      </c>
      <c r="AE16" s="44" t="n">
        <f aca="false">IF(AA16=1,O16/H16,0)</f>
        <v>0</v>
      </c>
      <c r="AF16" s="44" t="n">
        <f aca="false">IF(AA16=1,K16/H16,0)</f>
        <v>0</v>
      </c>
      <c r="AG16" s="45" t="str">
        <f aca="false">IF(AA16=1,D16&amp;"|"&amp;TEXT(B16,"0"),"")</f>
        <v/>
      </c>
      <c r="AH16" s="43" t="n">
        <f aca="false">IF(AA16=1,H16,0)</f>
        <v>0</v>
      </c>
    </row>
    <row r="17" customFormat="false" ht="15" hidden="false" customHeight="false" outlineLevel="0" collapsed="false">
      <c r="A17" s="8" t="str">
        <f aca="false">IF(B17="","","B-"&amp;TEXT(ROW()-4,"0000"))</f>
        <v/>
      </c>
      <c r="B17" s="38"/>
      <c r="C17" s="38"/>
      <c r="D17" s="6"/>
      <c r="E17" s="6"/>
      <c r="F17" s="6"/>
      <c r="G17" s="11"/>
      <c r="H17" s="18" t="str">
        <f aca="false">IF(AND(ISNUMBER(B17),ISNUMBER(C17)),MAX(0,C17-B17),"")</f>
        <v/>
      </c>
      <c r="I17" s="37"/>
      <c r="J17" s="41" t="str">
        <f aca="false">IF(OR(D17="",N(H17)=0),"",IFERROR(IF(I17&lt;&gt;"",H17*I17,ROUND(((H17-(INT((WEEKDAY(B17-6)+H17-1)/7)+INT((WEEKDAY(B17-7)+H17-1)/7)))*INDEX(Properties!$E$5:$E$24,MATCH(D17,Properties!$A$5:$A$24,0))+(INT((WEEKDAY(B17-6)+H17-1)/7)+INT((WEEKDAY(B17-7)+H17-1)/7))*INDEX(Properties!$F$5:$F$24,MATCH(D17,Properties!$A$5:$A$24,0)))*(1-IF(H17&gt;=28,Settings!$B$10,IF(H17&gt;=7,Settings!$B$9,0))),2)),0))</f>
        <v/>
      </c>
      <c r="K17" s="41" t="str">
        <f aca="false">IF(J17="","",IFERROR(N(INDEX(Properties!$G$5:$G$24,MATCH(D17,Properties!$A$5:$A$24,0))),0))</f>
        <v/>
      </c>
      <c r="L17" s="41" t="str">
        <f aca="false">IF(J17="","",IFERROR(MAX(0,N(G17)-INDEX(Properties!$I$5:$I$24,MATCH(D17,Properties!$A$5:$A$24,0)))*N(INDEX(Properties!$J$5:$J$24,MATCH(D17,Properties!$A$5:$A$24,0)))*H17,0))</f>
        <v/>
      </c>
      <c r="M17" s="37"/>
      <c r="N17" s="41" t="str">
        <f aca="false">IF(J17="","",J17+K17+L17+N(M17))</f>
        <v/>
      </c>
      <c r="O17" s="41" t="str">
        <f aca="false">IF(N17="","",IF(P17&lt;&gt;"",N17-P17,ROUND(N17*IFERROR(INDEX(Settings!$E$5:$E$12,MATCH(F17,Settings!$D$5:$D$12,0)),0),2)))</f>
        <v/>
      </c>
      <c r="P17" s="37"/>
      <c r="Q17" s="41" t="str">
        <f aca="false">IF(N17="","",IF(P17&lt;&gt;"",P17,N17-O17))</f>
        <v/>
      </c>
      <c r="R17" s="41" t="str">
        <f aca="false">IF(J17="","",IFERROR(N(INDEX(Properties!$H$5:$H$24,MATCH(D17,Properties!$A$5:$A$24,0))),0))</f>
        <v/>
      </c>
      <c r="S17" s="41" t="str">
        <f aca="false">IF(Q17="","",Q17-R17)</f>
        <v/>
      </c>
      <c r="T17" s="6"/>
      <c r="U17" s="6"/>
      <c r="V17" s="6"/>
      <c r="W17" s="6"/>
      <c r="X17" s="6"/>
      <c r="Y17" s="8" t="str">
        <f aca="false">IF(OR(D17="",B17="",C17=""),"",IF(N(C17)&lt;=N(B17),"Check dates",IF(T17="Cancelled","",IF(COUNTIFS($D$5:$D$1004,D17,$B$5:$B$1004,"&lt;"&amp;C17,$C$5:$C$1004,"&gt;"&amp;B17,$T$5:$T$1004,"&lt;&gt;Cancelled")&gt;1,"Double-booked",""))))</f>
        <v/>
      </c>
      <c r="Z17" s="42" t="str">
        <f aca="false">IF(AND(AA17=1,ISNUMBER(C17)),C17+ROW()/100000,"")</f>
        <v/>
      </c>
      <c r="AA17" s="43" t="n">
        <f aca="false">IF(AND(D17&lt;&gt;"",ISNUMBER(B17),ISNUMBER(C17),N(H17)&gt;0,T17&lt;&gt;"Cancelled",J17&lt;&gt;""),1,0)</f>
        <v>0</v>
      </c>
      <c r="AB17" s="44" t="n">
        <f aca="false">IF(AA17=1,J17/H17,0)</f>
        <v>0</v>
      </c>
      <c r="AC17" s="44" t="n">
        <f aca="false">IF(AA17=1,Q17/H17,0)</f>
        <v>0</v>
      </c>
      <c r="AD17" s="44" t="n">
        <f aca="false">IF(AA17=1,R17/H17,0)</f>
        <v>0</v>
      </c>
      <c r="AE17" s="44" t="n">
        <f aca="false">IF(AA17=1,O17/H17,0)</f>
        <v>0</v>
      </c>
      <c r="AF17" s="44" t="n">
        <f aca="false">IF(AA17=1,K17/H17,0)</f>
        <v>0</v>
      </c>
      <c r="AG17" s="45" t="str">
        <f aca="false">IF(AA17=1,D17&amp;"|"&amp;TEXT(B17,"0"),"")</f>
        <v/>
      </c>
      <c r="AH17" s="43" t="n">
        <f aca="false">IF(AA17=1,H17,0)</f>
        <v>0</v>
      </c>
    </row>
    <row r="18" customFormat="false" ht="15" hidden="false" customHeight="false" outlineLevel="0" collapsed="false">
      <c r="A18" s="23" t="str">
        <f aca="false">IF(B18="","","B-"&amp;TEXT(ROW()-4,"0000"))</f>
        <v/>
      </c>
      <c r="B18" s="38"/>
      <c r="C18" s="38"/>
      <c r="D18" s="6"/>
      <c r="E18" s="6"/>
      <c r="F18" s="6"/>
      <c r="G18" s="11"/>
      <c r="H18" s="24" t="str">
        <f aca="false">IF(AND(ISNUMBER(B18),ISNUMBER(C18)),MAX(0,C18-B18),"")</f>
        <v/>
      </c>
      <c r="I18" s="37"/>
      <c r="J18" s="46" t="str">
        <f aca="false">IF(OR(D18="",N(H18)=0),"",IFERROR(IF(I18&lt;&gt;"",H18*I18,ROUND(((H18-(INT((WEEKDAY(B18-6)+H18-1)/7)+INT((WEEKDAY(B18-7)+H18-1)/7)))*INDEX(Properties!$E$5:$E$24,MATCH(D18,Properties!$A$5:$A$24,0))+(INT((WEEKDAY(B18-6)+H18-1)/7)+INT((WEEKDAY(B18-7)+H18-1)/7))*INDEX(Properties!$F$5:$F$24,MATCH(D18,Properties!$A$5:$A$24,0)))*(1-IF(H18&gt;=28,Settings!$B$10,IF(H18&gt;=7,Settings!$B$9,0))),2)),0))</f>
        <v/>
      </c>
      <c r="K18" s="46" t="str">
        <f aca="false">IF(J18="","",IFERROR(N(INDEX(Properties!$G$5:$G$24,MATCH(D18,Properties!$A$5:$A$24,0))),0))</f>
        <v/>
      </c>
      <c r="L18" s="46" t="str">
        <f aca="false">IF(J18="","",IFERROR(MAX(0,N(G18)-INDEX(Properties!$I$5:$I$24,MATCH(D18,Properties!$A$5:$A$24,0)))*N(INDEX(Properties!$J$5:$J$24,MATCH(D18,Properties!$A$5:$A$24,0)))*H18,0))</f>
        <v/>
      </c>
      <c r="M18" s="37"/>
      <c r="N18" s="46" t="str">
        <f aca="false">IF(J18="","",J18+K18+L18+N(M18))</f>
        <v/>
      </c>
      <c r="O18" s="46" t="str">
        <f aca="false">IF(N18="","",IF(P18&lt;&gt;"",N18-P18,ROUND(N18*IFERROR(INDEX(Settings!$E$5:$E$12,MATCH(F18,Settings!$D$5:$D$12,0)),0),2)))</f>
        <v/>
      </c>
      <c r="P18" s="37"/>
      <c r="Q18" s="46" t="str">
        <f aca="false">IF(N18="","",IF(P18&lt;&gt;"",P18,N18-O18))</f>
        <v/>
      </c>
      <c r="R18" s="46" t="str">
        <f aca="false">IF(J18="","",IFERROR(N(INDEX(Properties!$H$5:$H$24,MATCH(D18,Properties!$A$5:$A$24,0))),0))</f>
        <v/>
      </c>
      <c r="S18" s="46" t="str">
        <f aca="false">IF(Q18="","",Q18-R18)</f>
        <v/>
      </c>
      <c r="T18" s="6"/>
      <c r="U18" s="6"/>
      <c r="V18" s="6"/>
      <c r="W18" s="6"/>
      <c r="X18" s="6"/>
      <c r="Y18" s="8" t="str">
        <f aca="false">IF(OR(D18="",B18="",C18=""),"",IF(N(C18)&lt;=N(B18),"Check dates",IF(T18="Cancelled","",IF(COUNTIFS($D$5:$D$1004,D18,$B$5:$B$1004,"&lt;"&amp;C18,$C$5:$C$1004,"&gt;"&amp;B18,$T$5:$T$1004,"&lt;&gt;Cancelled")&gt;1,"Double-booked",""))))</f>
        <v/>
      </c>
      <c r="Z18" s="42" t="str">
        <f aca="false">IF(AND(AA18=1,ISNUMBER(C18)),C18+ROW()/100000,"")</f>
        <v/>
      </c>
      <c r="AA18" s="43" t="n">
        <f aca="false">IF(AND(D18&lt;&gt;"",ISNUMBER(B18),ISNUMBER(C18),N(H18)&gt;0,T18&lt;&gt;"Cancelled",J18&lt;&gt;""),1,0)</f>
        <v>0</v>
      </c>
      <c r="AB18" s="44" t="n">
        <f aca="false">IF(AA18=1,J18/H18,0)</f>
        <v>0</v>
      </c>
      <c r="AC18" s="44" t="n">
        <f aca="false">IF(AA18=1,Q18/H18,0)</f>
        <v>0</v>
      </c>
      <c r="AD18" s="44" t="n">
        <f aca="false">IF(AA18=1,R18/H18,0)</f>
        <v>0</v>
      </c>
      <c r="AE18" s="44" t="n">
        <f aca="false">IF(AA18=1,O18/H18,0)</f>
        <v>0</v>
      </c>
      <c r="AF18" s="44" t="n">
        <f aca="false">IF(AA18=1,K18/H18,0)</f>
        <v>0</v>
      </c>
      <c r="AG18" s="45" t="str">
        <f aca="false">IF(AA18=1,D18&amp;"|"&amp;TEXT(B18,"0"),"")</f>
        <v/>
      </c>
      <c r="AH18" s="43" t="n">
        <f aca="false">IF(AA18=1,H18,0)</f>
        <v>0</v>
      </c>
    </row>
    <row r="19" customFormat="false" ht="15" hidden="false" customHeight="false" outlineLevel="0" collapsed="false">
      <c r="A19" s="8" t="str">
        <f aca="false">IF(B19="","","B-"&amp;TEXT(ROW()-4,"0000"))</f>
        <v/>
      </c>
      <c r="B19" s="38"/>
      <c r="C19" s="38"/>
      <c r="D19" s="6"/>
      <c r="E19" s="6"/>
      <c r="F19" s="6"/>
      <c r="G19" s="11"/>
      <c r="H19" s="18" t="str">
        <f aca="false">IF(AND(ISNUMBER(B19),ISNUMBER(C19)),MAX(0,C19-B19),"")</f>
        <v/>
      </c>
      <c r="I19" s="37"/>
      <c r="J19" s="41" t="str">
        <f aca="false">IF(OR(D19="",N(H19)=0),"",IFERROR(IF(I19&lt;&gt;"",H19*I19,ROUND(((H19-(INT((WEEKDAY(B19-6)+H19-1)/7)+INT((WEEKDAY(B19-7)+H19-1)/7)))*INDEX(Properties!$E$5:$E$24,MATCH(D19,Properties!$A$5:$A$24,0))+(INT((WEEKDAY(B19-6)+H19-1)/7)+INT((WEEKDAY(B19-7)+H19-1)/7))*INDEX(Properties!$F$5:$F$24,MATCH(D19,Properties!$A$5:$A$24,0)))*(1-IF(H19&gt;=28,Settings!$B$10,IF(H19&gt;=7,Settings!$B$9,0))),2)),0))</f>
        <v/>
      </c>
      <c r="K19" s="41" t="str">
        <f aca="false">IF(J19="","",IFERROR(N(INDEX(Properties!$G$5:$G$24,MATCH(D19,Properties!$A$5:$A$24,0))),0))</f>
        <v/>
      </c>
      <c r="L19" s="41" t="str">
        <f aca="false">IF(J19="","",IFERROR(MAX(0,N(G19)-INDEX(Properties!$I$5:$I$24,MATCH(D19,Properties!$A$5:$A$24,0)))*N(INDEX(Properties!$J$5:$J$24,MATCH(D19,Properties!$A$5:$A$24,0)))*H19,0))</f>
        <v/>
      </c>
      <c r="M19" s="37"/>
      <c r="N19" s="41" t="str">
        <f aca="false">IF(J19="","",J19+K19+L19+N(M19))</f>
        <v/>
      </c>
      <c r="O19" s="41" t="str">
        <f aca="false">IF(N19="","",IF(P19&lt;&gt;"",N19-P19,ROUND(N19*IFERROR(INDEX(Settings!$E$5:$E$12,MATCH(F19,Settings!$D$5:$D$12,0)),0),2)))</f>
        <v/>
      </c>
      <c r="P19" s="37"/>
      <c r="Q19" s="41" t="str">
        <f aca="false">IF(N19="","",IF(P19&lt;&gt;"",P19,N19-O19))</f>
        <v/>
      </c>
      <c r="R19" s="41" t="str">
        <f aca="false">IF(J19="","",IFERROR(N(INDEX(Properties!$H$5:$H$24,MATCH(D19,Properties!$A$5:$A$24,0))),0))</f>
        <v/>
      </c>
      <c r="S19" s="41" t="str">
        <f aca="false">IF(Q19="","",Q19-R19)</f>
        <v/>
      </c>
      <c r="T19" s="6"/>
      <c r="U19" s="6"/>
      <c r="V19" s="6"/>
      <c r="W19" s="6"/>
      <c r="X19" s="6"/>
      <c r="Y19" s="8" t="str">
        <f aca="false">IF(OR(D19="",B19="",C19=""),"",IF(N(C19)&lt;=N(B19),"Check dates",IF(T19="Cancelled","",IF(COUNTIFS($D$5:$D$1004,D19,$B$5:$B$1004,"&lt;"&amp;C19,$C$5:$C$1004,"&gt;"&amp;B19,$T$5:$T$1004,"&lt;&gt;Cancelled")&gt;1,"Double-booked",""))))</f>
        <v/>
      </c>
      <c r="Z19" s="42" t="str">
        <f aca="false">IF(AND(AA19=1,ISNUMBER(C19)),C19+ROW()/100000,"")</f>
        <v/>
      </c>
      <c r="AA19" s="43" t="n">
        <f aca="false">IF(AND(D19&lt;&gt;"",ISNUMBER(B19),ISNUMBER(C19),N(H19)&gt;0,T19&lt;&gt;"Cancelled",J19&lt;&gt;""),1,0)</f>
        <v>0</v>
      </c>
      <c r="AB19" s="44" t="n">
        <f aca="false">IF(AA19=1,J19/H19,0)</f>
        <v>0</v>
      </c>
      <c r="AC19" s="44" t="n">
        <f aca="false">IF(AA19=1,Q19/H19,0)</f>
        <v>0</v>
      </c>
      <c r="AD19" s="44" t="n">
        <f aca="false">IF(AA19=1,R19/H19,0)</f>
        <v>0</v>
      </c>
      <c r="AE19" s="44" t="n">
        <f aca="false">IF(AA19=1,O19/H19,0)</f>
        <v>0</v>
      </c>
      <c r="AF19" s="44" t="n">
        <f aca="false">IF(AA19=1,K19/H19,0)</f>
        <v>0</v>
      </c>
      <c r="AG19" s="45" t="str">
        <f aca="false">IF(AA19=1,D19&amp;"|"&amp;TEXT(B19,"0"),"")</f>
        <v/>
      </c>
      <c r="AH19" s="43" t="n">
        <f aca="false">IF(AA19=1,H19,0)</f>
        <v>0</v>
      </c>
    </row>
    <row r="20" customFormat="false" ht="15" hidden="false" customHeight="false" outlineLevel="0" collapsed="false">
      <c r="A20" s="23" t="str">
        <f aca="false">IF(B20="","","B-"&amp;TEXT(ROW()-4,"0000"))</f>
        <v/>
      </c>
      <c r="B20" s="38"/>
      <c r="C20" s="38"/>
      <c r="D20" s="6"/>
      <c r="E20" s="6"/>
      <c r="F20" s="6"/>
      <c r="G20" s="11"/>
      <c r="H20" s="24" t="str">
        <f aca="false">IF(AND(ISNUMBER(B20),ISNUMBER(C20)),MAX(0,C20-B20),"")</f>
        <v/>
      </c>
      <c r="I20" s="37"/>
      <c r="J20" s="46" t="str">
        <f aca="false">IF(OR(D20="",N(H20)=0),"",IFERROR(IF(I20&lt;&gt;"",H20*I20,ROUND(((H20-(INT((WEEKDAY(B20-6)+H20-1)/7)+INT((WEEKDAY(B20-7)+H20-1)/7)))*INDEX(Properties!$E$5:$E$24,MATCH(D20,Properties!$A$5:$A$24,0))+(INT((WEEKDAY(B20-6)+H20-1)/7)+INT((WEEKDAY(B20-7)+H20-1)/7))*INDEX(Properties!$F$5:$F$24,MATCH(D20,Properties!$A$5:$A$24,0)))*(1-IF(H20&gt;=28,Settings!$B$10,IF(H20&gt;=7,Settings!$B$9,0))),2)),0))</f>
        <v/>
      </c>
      <c r="K20" s="46" t="str">
        <f aca="false">IF(J20="","",IFERROR(N(INDEX(Properties!$G$5:$G$24,MATCH(D20,Properties!$A$5:$A$24,0))),0))</f>
        <v/>
      </c>
      <c r="L20" s="46" t="str">
        <f aca="false">IF(J20="","",IFERROR(MAX(0,N(G20)-INDEX(Properties!$I$5:$I$24,MATCH(D20,Properties!$A$5:$A$24,0)))*N(INDEX(Properties!$J$5:$J$24,MATCH(D20,Properties!$A$5:$A$24,0)))*H20,0))</f>
        <v/>
      </c>
      <c r="M20" s="37"/>
      <c r="N20" s="46" t="str">
        <f aca="false">IF(J20="","",J20+K20+L20+N(M20))</f>
        <v/>
      </c>
      <c r="O20" s="46" t="str">
        <f aca="false">IF(N20="","",IF(P20&lt;&gt;"",N20-P20,ROUND(N20*IFERROR(INDEX(Settings!$E$5:$E$12,MATCH(F20,Settings!$D$5:$D$12,0)),0),2)))</f>
        <v/>
      </c>
      <c r="P20" s="37"/>
      <c r="Q20" s="46" t="str">
        <f aca="false">IF(N20="","",IF(P20&lt;&gt;"",P20,N20-O20))</f>
        <v/>
      </c>
      <c r="R20" s="46" t="str">
        <f aca="false">IF(J20="","",IFERROR(N(INDEX(Properties!$H$5:$H$24,MATCH(D20,Properties!$A$5:$A$24,0))),0))</f>
        <v/>
      </c>
      <c r="S20" s="46" t="str">
        <f aca="false">IF(Q20="","",Q20-R20)</f>
        <v/>
      </c>
      <c r="T20" s="6"/>
      <c r="U20" s="6"/>
      <c r="V20" s="6"/>
      <c r="W20" s="6"/>
      <c r="X20" s="6"/>
      <c r="Y20" s="8" t="str">
        <f aca="false">IF(OR(D20="",B20="",C20=""),"",IF(N(C20)&lt;=N(B20),"Check dates",IF(T20="Cancelled","",IF(COUNTIFS($D$5:$D$1004,D20,$B$5:$B$1004,"&lt;"&amp;C20,$C$5:$C$1004,"&gt;"&amp;B20,$T$5:$T$1004,"&lt;&gt;Cancelled")&gt;1,"Double-booked",""))))</f>
        <v/>
      </c>
      <c r="Z20" s="42" t="str">
        <f aca="false">IF(AND(AA20=1,ISNUMBER(C20)),C20+ROW()/100000,"")</f>
        <v/>
      </c>
      <c r="AA20" s="43" t="n">
        <f aca="false">IF(AND(D20&lt;&gt;"",ISNUMBER(B20),ISNUMBER(C20),N(H20)&gt;0,T20&lt;&gt;"Cancelled",J20&lt;&gt;""),1,0)</f>
        <v>0</v>
      </c>
      <c r="AB20" s="44" t="n">
        <f aca="false">IF(AA20=1,J20/H20,0)</f>
        <v>0</v>
      </c>
      <c r="AC20" s="44" t="n">
        <f aca="false">IF(AA20=1,Q20/H20,0)</f>
        <v>0</v>
      </c>
      <c r="AD20" s="44" t="n">
        <f aca="false">IF(AA20=1,R20/H20,0)</f>
        <v>0</v>
      </c>
      <c r="AE20" s="44" t="n">
        <f aca="false">IF(AA20=1,O20/H20,0)</f>
        <v>0</v>
      </c>
      <c r="AF20" s="44" t="n">
        <f aca="false">IF(AA20=1,K20/H20,0)</f>
        <v>0</v>
      </c>
      <c r="AG20" s="45" t="str">
        <f aca="false">IF(AA20=1,D20&amp;"|"&amp;TEXT(B20,"0"),"")</f>
        <v/>
      </c>
      <c r="AH20" s="43" t="n">
        <f aca="false">IF(AA20=1,H20,0)</f>
        <v>0</v>
      </c>
    </row>
    <row r="21" customFormat="false" ht="15" hidden="false" customHeight="false" outlineLevel="0" collapsed="false">
      <c r="A21" s="8" t="str">
        <f aca="false">IF(B21="","","B-"&amp;TEXT(ROW()-4,"0000"))</f>
        <v/>
      </c>
      <c r="B21" s="38"/>
      <c r="C21" s="38"/>
      <c r="D21" s="6"/>
      <c r="E21" s="6"/>
      <c r="F21" s="6"/>
      <c r="G21" s="11"/>
      <c r="H21" s="18" t="str">
        <f aca="false">IF(AND(ISNUMBER(B21),ISNUMBER(C21)),MAX(0,C21-B21),"")</f>
        <v/>
      </c>
      <c r="I21" s="37"/>
      <c r="J21" s="41" t="str">
        <f aca="false">IF(OR(D21="",N(H21)=0),"",IFERROR(IF(I21&lt;&gt;"",H21*I21,ROUND(((H21-(INT((WEEKDAY(B21-6)+H21-1)/7)+INT((WEEKDAY(B21-7)+H21-1)/7)))*INDEX(Properties!$E$5:$E$24,MATCH(D21,Properties!$A$5:$A$24,0))+(INT((WEEKDAY(B21-6)+H21-1)/7)+INT((WEEKDAY(B21-7)+H21-1)/7))*INDEX(Properties!$F$5:$F$24,MATCH(D21,Properties!$A$5:$A$24,0)))*(1-IF(H21&gt;=28,Settings!$B$10,IF(H21&gt;=7,Settings!$B$9,0))),2)),0))</f>
        <v/>
      </c>
      <c r="K21" s="41" t="str">
        <f aca="false">IF(J21="","",IFERROR(N(INDEX(Properties!$G$5:$G$24,MATCH(D21,Properties!$A$5:$A$24,0))),0))</f>
        <v/>
      </c>
      <c r="L21" s="41" t="str">
        <f aca="false">IF(J21="","",IFERROR(MAX(0,N(G21)-INDEX(Properties!$I$5:$I$24,MATCH(D21,Properties!$A$5:$A$24,0)))*N(INDEX(Properties!$J$5:$J$24,MATCH(D21,Properties!$A$5:$A$24,0)))*H21,0))</f>
        <v/>
      </c>
      <c r="M21" s="37"/>
      <c r="N21" s="41" t="str">
        <f aca="false">IF(J21="","",J21+K21+L21+N(M21))</f>
        <v/>
      </c>
      <c r="O21" s="41" t="str">
        <f aca="false">IF(N21="","",IF(P21&lt;&gt;"",N21-P21,ROUND(N21*IFERROR(INDEX(Settings!$E$5:$E$12,MATCH(F21,Settings!$D$5:$D$12,0)),0),2)))</f>
        <v/>
      </c>
      <c r="P21" s="37"/>
      <c r="Q21" s="41" t="str">
        <f aca="false">IF(N21="","",IF(P21&lt;&gt;"",P21,N21-O21))</f>
        <v/>
      </c>
      <c r="R21" s="41" t="str">
        <f aca="false">IF(J21="","",IFERROR(N(INDEX(Properties!$H$5:$H$24,MATCH(D21,Properties!$A$5:$A$24,0))),0))</f>
        <v/>
      </c>
      <c r="S21" s="41" t="str">
        <f aca="false">IF(Q21="","",Q21-R21)</f>
        <v/>
      </c>
      <c r="T21" s="6"/>
      <c r="U21" s="6"/>
      <c r="V21" s="6"/>
      <c r="W21" s="6"/>
      <c r="X21" s="6"/>
      <c r="Y21" s="8" t="str">
        <f aca="false">IF(OR(D21="",B21="",C21=""),"",IF(N(C21)&lt;=N(B21),"Check dates",IF(T21="Cancelled","",IF(COUNTIFS($D$5:$D$1004,D21,$B$5:$B$1004,"&lt;"&amp;C21,$C$5:$C$1004,"&gt;"&amp;B21,$T$5:$T$1004,"&lt;&gt;Cancelled")&gt;1,"Double-booked",""))))</f>
        <v/>
      </c>
      <c r="Z21" s="42" t="str">
        <f aca="false">IF(AND(AA21=1,ISNUMBER(C21)),C21+ROW()/100000,"")</f>
        <v/>
      </c>
      <c r="AA21" s="43" t="n">
        <f aca="false">IF(AND(D21&lt;&gt;"",ISNUMBER(B21),ISNUMBER(C21),N(H21)&gt;0,T21&lt;&gt;"Cancelled",J21&lt;&gt;""),1,0)</f>
        <v>0</v>
      </c>
      <c r="AB21" s="44" t="n">
        <f aca="false">IF(AA21=1,J21/H21,0)</f>
        <v>0</v>
      </c>
      <c r="AC21" s="44" t="n">
        <f aca="false">IF(AA21=1,Q21/H21,0)</f>
        <v>0</v>
      </c>
      <c r="AD21" s="44" t="n">
        <f aca="false">IF(AA21=1,R21/H21,0)</f>
        <v>0</v>
      </c>
      <c r="AE21" s="44" t="n">
        <f aca="false">IF(AA21=1,O21/H21,0)</f>
        <v>0</v>
      </c>
      <c r="AF21" s="44" t="n">
        <f aca="false">IF(AA21=1,K21/H21,0)</f>
        <v>0</v>
      </c>
      <c r="AG21" s="45" t="str">
        <f aca="false">IF(AA21=1,D21&amp;"|"&amp;TEXT(B21,"0"),"")</f>
        <v/>
      </c>
      <c r="AH21" s="43" t="n">
        <f aca="false">IF(AA21=1,H21,0)</f>
        <v>0</v>
      </c>
    </row>
    <row r="22" customFormat="false" ht="15" hidden="false" customHeight="false" outlineLevel="0" collapsed="false">
      <c r="A22" s="23" t="str">
        <f aca="false">IF(B22="","","B-"&amp;TEXT(ROW()-4,"0000"))</f>
        <v/>
      </c>
      <c r="B22" s="38"/>
      <c r="C22" s="38"/>
      <c r="D22" s="6"/>
      <c r="E22" s="6"/>
      <c r="F22" s="6"/>
      <c r="G22" s="11"/>
      <c r="H22" s="24" t="str">
        <f aca="false">IF(AND(ISNUMBER(B22),ISNUMBER(C22)),MAX(0,C22-B22),"")</f>
        <v/>
      </c>
      <c r="I22" s="37"/>
      <c r="J22" s="46" t="str">
        <f aca="false">IF(OR(D22="",N(H22)=0),"",IFERROR(IF(I22&lt;&gt;"",H22*I22,ROUND(((H22-(INT((WEEKDAY(B22-6)+H22-1)/7)+INT((WEEKDAY(B22-7)+H22-1)/7)))*INDEX(Properties!$E$5:$E$24,MATCH(D22,Properties!$A$5:$A$24,0))+(INT((WEEKDAY(B22-6)+H22-1)/7)+INT((WEEKDAY(B22-7)+H22-1)/7))*INDEX(Properties!$F$5:$F$24,MATCH(D22,Properties!$A$5:$A$24,0)))*(1-IF(H22&gt;=28,Settings!$B$10,IF(H22&gt;=7,Settings!$B$9,0))),2)),0))</f>
        <v/>
      </c>
      <c r="K22" s="46" t="str">
        <f aca="false">IF(J22="","",IFERROR(N(INDEX(Properties!$G$5:$G$24,MATCH(D22,Properties!$A$5:$A$24,0))),0))</f>
        <v/>
      </c>
      <c r="L22" s="46" t="str">
        <f aca="false">IF(J22="","",IFERROR(MAX(0,N(G22)-INDEX(Properties!$I$5:$I$24,MATCH(D22,Properties!$A$5:$A$24,0)))*N(INDEX(Properties!$J$5:$J$24,MATCH(D22,Properties!$A$5:$A$24,0)))*H22,0))</f>
        <v/>
      </c>
      <c r="M22" s="37"/>
      <c r="N22" s="46" t="str">
        <f aca="false">IF(J22="","",J22+K22+L22+N(M22))</f>
        <v/>
      </c>
      <c r="O22" s="46" t="str">
        <f aca="false">IF(N22="","",IF(P22&lt;&gt;"",N22-P22,ROUND(N22*IFERROR(INDEX(Settings!$E$5:$E$12,MATCH(F22,Settings!$D$5:$D$12,0)),0),2)))</f>
        <v/>
      </c>
      <c r="P22" s="37"/>
      <c r="Q22" s="46" t="str">
        <f aca="false">IF(N22="","",IF(P22&lt;&gt;"",P22,N22-O22))</f>
        <v/>
      </c>
      <c r="R22" s="46" t="str">
        <f aca="false">IF(J22="","",IFERROR(N(INDEX(Properties!$H$5:$H$24,MATCH(D22,Properties!$A$5:$A$24,0))),0))</f>
        <v/>
      </c>
      <c r="S22" s="46" t="str">
        <f aca="false">IF(Q22="","",Q22-R22)</f>
        <v/>
      </c>
      <c r="T22" s="6"/>
      <c r="U22" s="6"/>
      <c r="V22" s="6"/>
      <c r="W22" s="6"/>
      <c r="X22" s="6"/>
      <c r="Y22" s="8" t="str">
        <f aca="false">IF(OR(D22="",B22="",C22=""),"",IF(N(C22)&lt;=N(B22),"Check dates",IF(T22="Cancelled","",IF(COUNTIFS($D$5:$D$1004,D22,$B$5:$B$1004,"&lt;"&amp;C22,$C$5:$C$1004,"&gt;"&amp;B22,$T$5:$T$1004,"&lt;&gt;Cancelled")&gt;1,"Double-booked",""))))</f>
        <v/>
      </c>
      <c r="Z22" s="42" t="str">
        <f aca="false">IF(AND(AA22=1,ISNUMBER(C22)),C22+ROW()/100000,"")</f>
        <v/>
      </c>
      <c r="AA22" s="43" t="n">
        <f aca="false">IF(AND(D22&lt;&gt;"",ISNUMBER(B22),ISNUMBER(C22),N(H22)&gt;0,T22&lt;&gt;"Cancelled",J22&lt;&gt;""),1,0)</f>
        <v>0</v>
      </c>
      <c r="AB22" s="44" t="n">
        <f aca="false">IF(AA22=1,J22/H22,0)</f>
        <v>0</v>
      </c>
      <c r="AC22" s="44" t="n">
        <f aca="false">IF(AA22=1,Q22/H22,0)</f>
        <v>0</v>
      </c>
      <c r="AD22" s="44" t="n">
        <f aca="false">IF(AA22=1,R22/H22,0)</f>
        <v>0</v>
      </c>
      <c r="AE22" s="44" t="n">
        <f aca="false">IF(AA22=1,O22/H22,0)</f>
        <v>0</v>
      </c>
      <c r="AF22" s="44" t="n">
        <f aca="false">IF(AA22=1,K22/H22,0)</f>
        <v>0</v>
      </c>
      <c r="AG22" s="45" t="str">
        <f aca="false">IF(AA22=1,D22&amp;"|"&amp;TEXT(B22,"0"),"")</f>
        <v/>
      </c>
      <c r="AH22" s="43" t="n">
        <f aca="false">IF(AA22=1,H22,0)</f>
        <v>0</v>
      </c>
    </row>
    <row r="23" customFormat="false" ht="15" hidden="false" customHeight="false" outlineLevel="0" collapsed="false">
      <c r="A23" s="8" t="str">
        <f aca="false">IF(B23="","","B-"&amp;TEXT(ROW()-4,"0000"))</f>
        <v/>
      </c>
      <c r="B23" s="38"/>
      <c r="C23" s="38"/>
      <c r="D23" s="6"/>
      <c r="E23" s="6"/>
      <c r="F23" s="6"/>
      <c r="G23" s="11"/>
      <c r="H23" s="18" t="str">
        <f aca="false">IF(AND(ISNUMBER(B23),ISNUMBER(C23)),MAX(0,C23-B23),"")</f>
        <v/>
      </c>
      <c r="I23" s="37"/>
      <c r="J23" s="41" t="str">
        <f aca="false">IF(OR(D23="",N(H23)=0),"",IFERROR(IF(I23&lt;&gt;"",H23*I23,ROUND(((H23-(INT((WEEKDAY(B23-6)+H23-1)/7)+INT((WEEKDAY(B23-7)+H23-1)/7)))*INDEX(Properties!$E$5:$E$24,MATCH(D23,Properties!$A$5:$A$24,0))+(INT((WEEKDAY(B23-6)+H23-1)/7)+INT((WEEKDAY(B23-7)+H23-1)/7))*INDEX(Properties!$F$5:$F$24,MATCH(D23,Properties!$A$5:$A$24,0)))*(1-IF(H23&gt;=28,Settings!$B$10,IF(H23&gt;=7,Settings!$B$9,0))),2)),0))</f>
        <v/>
      </c>
      <c r="K23" s="41" t="str">
        <f aca="false">IF(J23="","",IFERROR(N(INDEX(Properties!$G$5:$G$24,MATCH(D23,Properties!$A$5:$A$24,0))),0))</f>
        <v/>
      </c>
      <c r="L23" s="41" t="str">
        <f aca="false">IF(J23="","",IFERROR(MAX(0,N(G23)-INDEX(Properties!$I$5:$I$24,MATCH(D23,Properties!$A$5:$A$24,0)))*N(INDEX(Properties!$J$5:$J$24,MATCH(D23,Properties!$A$5:$A$24,0)))*H23,0))</f>
        <v/>
      </c>
      <c r="M23" s="37"/>
      <c r="N23" s="41" t="str">
        <f aca="false">IF(J23="","",J23+K23+L23+N(M23))</f>
        <v/>
      </c>
      <c r="O23" s="41" t="str">
        <f aca="false">IF(N23="","",IF(P23&lt;&gt;"",N23-P23,ROUND(N23*IFERROR(INDEX(Settings!$E$5:$E$12,MATCH(F23,Settings!$D$5:$D$12,0)),0),2)))</f>
        <v/>
      </c>
      <c r="P23" s="37"/>
      <c r="Q23" s="41" t="str">
        <f aca="false">IF(N23="","",IF(P23&lt;&gt;"",P23,N23-O23))</f>
        <v/>
      </c>
      <c r="R23" s="41" t="str">
        <f aca="false">IF(J23="","",IFERROR(N(INDEX(Properties!$H$5:$H$24,MATCH(D23,Properties!$A$5:$A$24,0))),0))</f>
        <v/>
      </c>
      <c r="S23" s="41" t="str">
        <f aca="false">IF(Q23="","",Q23-R23)</f>
        <v/>
      </c>
      <c r="T23" s="6"/>
      <c r="U23" s="6"/>
      <c r="V23" s="6"/>
      <c r="W23" s="6"/>
      <c r="X23" s="6"/>
      <c r="Y23" s="8" t="str">
        <f aca="false">IF(OR(D23="",B23="",C23=""),"",IF(N(C23)&lt;=N(B23),"Check dates",IF(T23="Cancelled","",IF(COUNTIFS($D$5:$D$1004,D23,$B$5:$B$1004,"&lt;"&amp;C23,$C$5:$C$1004,"&gt;"&amp;B23,$T$5:$T$1004,"&lt;&gt;Cancelled")&gt;1,"Double-booked",""))))</f>
        <v/>
      </c>
      <c r="Z23" s="42" t="str">
        <f aca="false">IF(AND(AA23=1,ISNUMBER(C23)),C23+ROW()/100000,"")</f>
        <v/>
      </c>
      <c r="AA23" s="43" t="n">
        <f aca="false">IF(AND(D23&lt;&gt;"",ISNUMBER(B23),ISNUMBER(C23),N(H23)&gt;0,T23&lt;&gt;"Cancelled",J23&lt;&gt;""),1,0)</f>
        <v>0</v>
      </c>
      <c r="AB23" s="44" t="n">
        <f aca="false">IF(AA23=1,J23/H23,0)</f>
        <v>0</v>
      </c>
      <c r="AC23" s="44" t="n">
        <f aca="false">IF(AA23=1,Q23/H23,0)</f>
        <v>0</v>
      </c>
      <c r="AD23" s="44" t="n">
        <f aca="false">IF(AA23=1,R23/H23,0)</f>
        <v>0</v>
      </c>
      <c r="AE23" s="44" t="n">
        <f aca="false">IF(AA23=1,O23/H23,0)</f>
        <v>0</v>
      </c>
      <c r="AF23" s="44" t="n">
        <f aca="false">IF(AA23=1,K23/H23,0)</f>
        <v>0</v>
      </c>
      <c r="AG23" s="45" t="str">
        <f aca="false">IF(AA23=1,D23&amp;"|"&amp;TEXT(B23,"0"),"")</f>
        <v/>
      </c>
      <c r="AH23" s="43" t="n">
        <f aca="false">IF(AA23=1,H23,0)</f>
        <v>0</v>
      </c>
    </row>
    <row r="24" customFormat="false" ht="15" hidden="false" customHeight="false" outlineLevel="0" collapsed="false">
      <c r="A24" s="23" t="str">
        <f aca="false">IF(B24="","","B-"&amp;TEXT(ROW()-4,"0000"))</f>
        <v/>
      </c>
      <c r="B24" s="38"/>
      <c r="C24" s="38"/>
      <c r="D24" s="6"/>
      <c r="E24" s="6"/>
      <c r="F24" s="6"/>
      <c r="G24" s="11"/>
      <c r="H24" s="24" t="str">
        <f aca="false">IF(AND(ISNUMBER(B24),ISNUMBER(C24)),MAX(0,C24-B24),"")</f>
        <v/>
      </c>
      <c r="I24" s="37"/>
      <c r="J24" s="46" t="str">
        <f aca="false">IF(OR(D24="",N(H24)=0),"",IFERROR(IF(I24&lt;&gt;"",H24*I24,ROUND(((H24-(INT((WEEKDAY(B24-6)+H24-1)/7)+INT((WEEKDAY(B24-7)+H24-1)/7)))*INDEX(Properties!$E$5:$E$24,MATCH(D24,Properties!$A$5:$A$24,0))+(INT((WEEKDAY(B24-6)+H24-1)/7)+INT((WEEKDAY(B24-7)+H24-1)/7))*INDEX(Properties!$F$5:$F$24,MATCH(D24,Properties!$A$5:$A$24,0)))*(1-IF(H24&gt;=28,Settings!$B$10,IF(H24&gt;=7,Settings!$B$9,0))),2)),0))</f>
        <v/>
      </c>
      <c r="K24" s="46" t="str">
        <f aca="false">IF(J24="","",IFERROR(N(INDEX(Properties!$G$5:$G$24,MATCH(D24,Properties!$A$5:$A$24,0))),0))</f>
        <v/>
      </c>
      <c r="L24" s="46" t="str">
        <f aca="false">IF(J24="","",IFERROR(MAX(0,N(G24)-INDEX(Properties!$I$5:$I$24,MATCH(D24,Properties!$A$5:$A$24,0)))*N(INDEX(Properties!$J$5:$J$24,MATCH(D24,Properties!$A$5:$A$24,0)))*H24,0))</f>
        <v/>
      </c>
      <c r="M24" s="37"/>
      <c r="N24" s="46" t="str">
        <f aca="false">IF(J24="","",J24+K24+L24+N(M24))</f>
        <v/>
      </c>
      <c r="O24" s="46" t="str">
        <f aca="false">IF(N24="","",IF(P24&lt;&gt;"",N24-P24,ROUND(N24*IFERROR(INDEX(Settings!$E$5:$E$12,MATCH(F24,Settings!$D$5:$D$12,0)),0),2)))</f>
        <v/>
      </c>
      <c r="P24" s="37"/>
      <c r="Q24" s="46" t="str">
        <f aca="false">IF(N24="","",IF(P24&lt;&gt;"",P24,N24-O24))</f>
        <v/>
      </c>
      <c r="R24" s="46" t="str">
        <f aca="false">IF(J24="","",IFERROR(N(INDEX(Properties!$H$5:$H$24,MATCH(D24,Properties!$A$5:$A$24,0))),0))</f>
        <v/>
      </c>
      <c r="S24" s="46" t="str">
        <f aca="false">IF(Q24="","",Q24-R24)</f>
        <v/>
      </c>
      <c r="T24" s="6"/>
      <c r="U24" s="6"/>
      <c r="V24" s="6"/>
      <c r="W24" s="6"/>
      <c r="X24" s="6"/>
      <c r="Y24" s="8" t="str">
        <f aca="false">IF(OR(D24="",B24="",C24=""),"",IF(N(C24)&lt;=N(B24),"Check dates",IF(T24="Cancelled","",IF(COUNTIFS($D$5:$D$1004,D24,$B$5:$B$1004,"&lt;"&amp;C24,$C$5:$C$1004,"&gt;"&amp;B24,$T$5:$T$1004,"&lt;&gt;Cancelled")&gt;1,"Double-booked",""))))</f>
        <v/>
      </c>
      <c r="Z24" s="42" t="str">
        <f aca="false">IF(AND(AA24=1,ISNUMBER(C24)),C24+ROW()/100000,"")</f>
        <v/>
      </c>
      <c r="AA24" s="43" t="n">
        <f aca="false">IF(AND(D24&lt;&gt;"",ISNUMBER(B24),ISNUMBER(C24),N(H24)&gt;0,T24&lt;&gt;"Cancelled",J24&lt;&gt;""),1,0)</f>
        <v>0</v>
      </c>
      <c r="AB24" s="44" t="n">
        <f aca="false">IF(AA24=1,J24/H24,0)</f>
        <v>0</v>
      </c>
      <c r="AC24" s="44" t="n">
        <f aca="false">IF(AA24=1,Q24/H24,0)</f>
        <v>0</v>
      </c>
      <c r="AD24" s="44" t="n">
        <f aca="false">IF(AA24=1,R24/H24,0)</f>
        <v>0</v>
      </c>
      <c r="AE24" s="44" t="n">
        <f aca="false">IF(AA24=1,O24/H24,0)</f>
        <v>0</v>
      </c>
      <c r="AF24" s="44" t="n">
        <f aca="false">IF(AA24=1,K24/H24,0)</f>
        <v>0</v>
      </c>
      <c r="AG24" s="45" t="str">
        <f aca="false">IF(AA24=1,D24&amp;"|"&amp;TEXT(B24,"0"),"")</f>
        <v/>
      </c>
      <c r="AH24" s="43" t="n">
        <f aca="false">IF(AA24=1,H24,0)</f>
        <v>0</v>
      </c>
    </row>
    <row r="25" customFormat="false" ht="15" hidden="false" customHeight="false" outlineLevel="0" collapsed="false">
      <c r="A25" s="8" t="str">
        <f aca="false">IF(B25="","","B-"&amp;TEXT(ROW()-4,"0000"))</f>
        <v/>
      </c>
      <c r="B25" s="38"/>
      <c r="C25" s="38"/>
      <c r="D25" s="6"/>
      <c r="E25" s="6"/>
      <c r="F25" s="6"/>
      <c r="G25" s="11"/>
      <c r="H25" s="18" t="str">
        <f aca="false">IF(AND(ISNUMBER(B25),ISNUMBER(C25)),MAX(0,C25-B25),"")</f>
        <v/>
      </c>
      <c r="I25" s="37"/>
      <c r="J25" s="41" t="str">
        <f aca="false">IF(OR(D25="",N(H25)=0),"",IFERROR(IF(I25&lt;&gt;"",H25*I25,ROUND(((H25-(INT((WEEKDAY(B25-6)+H25-1)/7)+INT((WEEKDAY(B25-7)+H25-1)/7)))*INDEX(Properties!$E$5:$E$24,MATCH(D25,Properties!$A$5:$A$24,0))+(INT((WEEKDAY(B25-6)+H25-1)/7)+INT((WEEKDAY(B25-7)+H25-1)/7))*INDEX(Properties!$F$5:$F$24,MATCH(D25,Properties!$A$5:$A$24,0)))*(1-IF(H25&gt;=28,Settings!$B$10,IF(H25&gt;=7,Settings!$B$9,0))),2)),0))</f>
        <v/>
      </c>
      <c r="K25" s="41" t="str">
        <f aca="false">IF(J25="","",IFERROR(N(INDEX(Properties!$G$5:$G$24,MATCH(D25,Properties!$A$5:$A$24,0))),0))</f>
        <v/>
      </c>
      <c r="L25" s="41" t="str">
        <f aca="false">IF(J25="","",IFERROR(MAX(0,N(G25)-INDEX(Properties!$I$5:$I$24,MATCH(D25,Properties!$A$5:$A$24,0)))*N(INDEX(Properties!$J$5:$J$24,MATCH(D25,Properties!$A$5:$A$24,0)))*H25,0))</f>
        <v/>
      </c>
      <c r="M25" s="37"/>
      <c r="N25" s="41" t="str">
        <f aca="false">IF(J25="","",J25+K25+L25+N(M25))</f>
        <v/>
      </c>
      <c r="O25" s="41" t="str">
        <f aca="false">IF(N25="","",IF(P25&lt;&gt;"",N25-P25,ROUND(N25*IFERROR(INDEX(Settings!$E$5:$E$12,MATCH(F25,Settings!$D$5:$D$12,0)),0),2)))</f>
        <v/>
      </c>
      <c r="P25" s="37"/>
      <c r="Q25" s="41" t="str">
        <f aca="false">IF(N25="","",IF(P25&lt;&gt;"",P25,N25-O25))</f>
        <v/>
      </c>
      <c r="R25" s="41" t="str">
        <f aca="false">IF(J25="","",IFERROR(N(INDEX(Properties!$H$5:$H$24,MATCH(D25,Properties!$A$5:$A$24,0))),0))</f>
        <v/>
      </c>
      <c r="S25" s="41" t="str">
        <f aca="false">IF(Q25="","",Q25-R25)</f>
        <v/>
      </c>
      <c r="T25" s="6"/>
      <c r="U25" s="6"/>
      <c r="V25" s="6"/>
      <c r="W25" s="6"/>
      <c r="X25" s="6"/>
      <c r="Y25" s="8" t="str">
        <f aca="false">IF(OR(D25="",B25="",C25=""),"",IF(N(C25)&lt;=N(B25),"Check dates",IF(T25="Cancelled","",IF(COUNTIFS($D$5:$D$1004,D25,$B$5:$B$1004,"&lt;"&amp;C25,$C$5:$C$1004,"&gt;"&amp;B25,$T$5:$T$1004,"&lt;&gt;Cancelled")&gt;1,"Double-booked",""))))</f>
        <v/>
      </c>
      <c r="Z25" s="42" t="str">
        <f aca="false">IF(AND(AA25=1,ISNUMBER(C25)),C25+ROW()/100000,"")</f>
        <v/>
      </c>
      <c r="AA25" s="43" t="n">
        <f aca="false">IF(AND(D25&lt;&gt;"",ISNUMBER(B25),ISNUMBER(C25),N(H25)&gt;0,T25&lt;&gt;"Cancelled",J25&lt;&gt;""),1,0)</f>
        <v>0</v>
      </c>
      <c r="AB25" s="44" t="n">
        <f aca="false">IF(AA25=1,J25/H25,0)</f>
        <v>0</v>
      </c>
      <c r="AC25" s="44" t="n">
        <f aca="false">IF(AA25=1,Q25/H25,0)</f>
        <v>0</v>
      </c>
      <c r="AD25" s="44" t="n">
        <f aca="false">IF(AA25=1,R25/H25,0)</f>
        <v>0</v>
      </c>
      <c r="AE25" s="44" t="n">
        <f aca="false">IF(AA25=1,O25/H25,0)</f>
        <v>0</v>
      </c>
      <c r="AF25" s="44" t="n">
        <f aca="false">IF(AA25=1,K25/H25,0)</f>
        <v>0</v>
      </c>
      <c r="AG25" s="45" t="str">
        <f aca="false">IF(AA25=1,D25&amp;"|"&amp;TEXT(B25,"0"),"")</f>
        <v/>
      </c>
      <c r="AH25" s="43" t="n">
        <f aca="false">IF(AA25=1,H25,0)</f>
        <v>0</v>
      </c>
    </row>
    <row r="26" customFormat="false" ht="15" hidden="false" customHeight="false" outlineLevel="0" collapsed="false">
      <c r="A26" s="23" t="str">
        <f aca="false">IF(B26="","","B-"&amp;TEXT(ROW()-4,"0000"))</f>
        <v/>
      </c>
      <c r="B26" s="38"/>
      <c r="C26" s="38"/>
      <c r="D26" s="6"/>
      <c r="E26" s="6"/>
      <c r="F26" s="6"/>
      <c r="G26" s="11"/>
      <c r="H26" s="24" t="str">
        <f aca="false">IF(AND(ISNUMBER(B26),ISNUMBER(C26)),MAX(0,C26-B26),"")</f>
        <v/>
      </c>
      <c r="I26" s="37"/>
      <c r="J26" s="46" t="str">
        <f aca="false">IF(OR(D26="",N(H26)=0),"",IFERROR(IF(I26&lt;&gt;"",H26*I26,ROUND(((H26-(INT((WEEKDAY(B26-6)+H26-1)/7)+INT((WEEKDAY(B26-7)+H26-1)/7)))*INDEX(Properties!$E$5:$E$24,MATCH(D26,Properties!$A$5:$A$24,0))+(INT((WEEKDAY(B26-6)+H26-1)/7)+INT((WEEKDAY(B26-7)+H26-1)/7))*INDEX(Properties!$F$5:$F$24,MATCH(D26,Properties!$A$5:$A$24,0)))*(1-IF(H26&gt;=28,Settings!$B$10,IF(H26&gt;=7,Settings!$B$9,0))),2)),0))</f>
        <v/>
      </c>
      <c r="K26" s="46" t="str">
        <f aca="false">IF(J26="","",IFERROR(N(INDEX(Properties!$G$5:$G$24,MATCH(D26,Properties!$A$5:$A$24,0))),0))</f>
        <v/>
      </c>
      <c r="L26" s="46" t="str">
        <f aca="false">IF(J26="","",IFERROR(MAX(0,N(G26)-INDEX(Properties!$I$5:$I$24,MATCH(D26,Properties!$A$5:$A$24,0)))*N(INDEX(Properties!$J$5:$J$24,MATCH(D26,Properties!$A$5:$A$24,0)))*H26,0))</f>
        <v/>
      </c>
      <c r="M26" s="37"/>
      <c r="N26" s="46" t="str">
        <f aca="false">IF(J26="","",J26+K26+L26+N(M26))</f>
        <v/>
      </c>
      <c r="O26" s="46" t="str">
        <f aca="false">IF(N26="","",IF(P26&lt;&gt;"",N26-P26,ROUND(N26*IFERROR(INDEX(Settings!$E$5:$E$12,MATCH(F26,Settings!$D$5:$D$12,0)),0),2)))</f>
        <v/>
      </c>
      <c r="P26" s="37"/>
      <c r="Q26" s="46" t="str">
        <f aca="false">IF(N26="","",IF(P26&lt;&gt;"",P26,N26-O26))</f>
        <v/>
      </c>
      <c r="R26" s="46" t="str">
        <f aca="false">IF(J26="","",IFERROR(N(INDEX(Properties!$H$5:$H$24,MATCH(D26,Properties!$A$5:$A$24,0))),0))</f>
        <v/>
      </c>
      <c r="S26" s="46" t="str">
        <f aca="false">IF(Q26="","",Q26-R26)</f>
        <v/>
      </c>
      <c r="T26" s="6"/>
      <c r="U26" s="6"/>
      <c r="V26" s="6"/>
      <c r="W26" s="6"/>
      <c r="X26" s="6"/>
      <c r="Y26" s="8" t="str">
        <f aca="false">IF(OR(D26="",B26="",C26=""),"",IF(N(C26)&lt;=N(B26),"Check dates",IF(T26="Cancelled","",IF(COUNTIFS($D$5:$D$1004,D26,$B$5:$B$1004,"&lt;"&amp;C26,$C$5:$C$1004,"&gt;"&amp;B26,$T$5:$T$1004,"&lt;&gt;Cancelled")&gt;1,"Double-booked",""))))</f>
        <v/>
      </c>
      <c r="Z26" s="42" t="str">
        <f aca="false">IF(AND(AA26=1,ISNUMBER(C26)),C26+ROW()/100000,"")</f>
        <v/>
      </c>
      <c r="AA26" s="43" t="n">
        <f aca="false">IF(AND(D26&lt;&gt;"",ISNUMBER(B26),ISNUMBER(C26),N(H26)&gt;0,T26&lt;&gt;"Cancelled",J26&lt;&gt;""),1,0)</f>
        <v>0</v>
      </c>
      <c r="AB26" s="44" t="n">
        <f aca="false">IF(AA26=1,J26/H26,0)</f>
        <v>0</v>
      </c>
      <c r="AC26" s="44" t="n">
        <f aca="false">IF(AA26=1,Q26/H26,0)</f>
        <v>0</v>
      </c>
      <c r="AD26" s="44" t="n">
        <f aca="false">IF(AA26=1,R26/H26,0)</f>
        <v>0</v>
      </c>
      <c r="AE26" s="44" t="n">
        <f aca="false">IF(AA26=1,O26/H26,0)</f>
        <v>0</v>
      </c>
      <c r="AF26" s="44" t="n">
        <f aca="false">IF(AA26=1,K26/H26,0)</f>
        <v>0</v>
      </c>
      <c r="AG26" s="45" t="str">
        <f aca="false">IF(AA26=1,D26&amp;"|"&amp;TEXT(B26,"0"),"")</f>
        <v/>
      </c>
      <c r="AH26" s="43" t="n">
        <f aca="false">IF(AA26=1,H26,0)</f>
        <v>0</v>
      </c>
    </row>
    <row r="27" customFormat="false" ht="15" hidden="false" customHeight="false" outlineLevel="0" collapsed="false">
      <c r="A27" s="8" t="str">
        <f aca="false">IF(B27="","","B-"&amp;TEXT(ROW()-4,"0000"))</f>
        <v/>
      </c>
      <c r="B27" s="38"/>
      <c r="C27" s="38"/>
      <c r="D27" s="6"/>
      <c r="E27" s="6"/>
      <c r="F27" s="6"/>
      <c r="G27" s="11"/>
      <c r="H27" s="18" t="str">
        <f aca="false">IF(AND(ISNUMBER(B27),ISNUMBER(C27)),MAX(0,C27-B27),"")</f>
        <v/>
      </c>
      <c r="I27" s="37"/>
      <c r="J27" s="41" t="str">
        <f aca="false">IF(OR(D27="",N(H27)=0),"",IFERROR(IF(I27&lt;&gt;"",H27*I27,ROUND(((H27-(INT((WEEKDAY(B27-6)+H27-1)/7)+INT((WEEKDAY(B27-7)+H27-1)/7)))*INDEX(Properties!$E$5:$E$24,MATCH(D27,Properties!$A$5:$A$24,0))+(INT((WEEKDAY(B27-6)+H27-1)/7)+INT((WEEKDAY(B27-7)+H27-1)/7))*INDEX(Properties!$F$5:$F$24,MATCH(D27,Properties!$A$5:$A$24,0)))*(1-IF(H27&gt;=28,Settings!$B$10,IF(H27&gt;=7,Settings!$B$9,0))),2)),0))</f>
        <v/>
      </c>
      <c r="K27" s="41" t="str">
        <f aca="false">IF(J27="","",IFERROR(N(INDEX(Properties!$G$5:$G$24,MATCH(D27,Properties!$A$5:$A$24,0))),0))</f>
        <v/>
      </c>
      <c r="L27" s="41" t="str">
        <f aca="false">IF(J27="","",IFERROR(MAX(0,N(G27)-INDEX(Properties!$I$5:$I$24,MATCH(D27,Properties!$A$5:$A$24,0)))*N(INDEX(Properties!$J$5:$J$24,MATCH(D27,Properties!$A$5:$A$24,0)))*H27,0))</f>
        <v/>
      </c>
      <c r="M27" s="37"/>
      <c r="N27" s="41" t="str">
        <f aca="false">IF(J27="","",J27+K27+L27+N(M27))</f>
        <v/>
      </c>
      <c r="O27" s="41" t="str">
        <f aca="false">IF(N27="","",IF(P27&lt;&gt;"",N27-P27,ROUND(N27*IFERROR(INDEX(Settings!$E$5:$E$12,MATCH(F27,Settings!$D$5:$D$12,0)),0),2)))</f>
        <v/>
      </c>
      <c r="P27" s="37"/>
      <c r="Q27" s="41" t="str">
        <f aca="false">IF(N27="","",IF(P27&lt;&gt;"",P27,N27-O27))</f>
        <v/>
      </c>
      <c r="R27" s="41" t="str">
        <f aca="false">IF(J27="","",IFERROR(N(INDEX(Properties!$H$5:$H$24,MATCH(D27,Properties!$A$5:$A$24,0))),0))</f>
        <v/>
      </c>
      <c r="S27" s="41" t="str">
        <f aca="false">IF(Q27="","",Q27-R27)</f>
        <v/>
      </c>
      <c r="T27" s="6"/>
      <c r="U27" s="6"/>
      <c r="V27" s="6"/>
      <c r="W27" s="6"/>
      <c r="X27" s="6"/>
      <c r="Y27" s="8" t="str">
        <f aca="false">IF(OR(D27="",B27="",C27=""),"",IF(N(C27)&lt;=N(B27),"Check dates",IF(T27="Cancelled","",IF(COUNTIFS($D$5:$D$1004,D27,$B$5:$B$1004,"&lt;"&amp;C27,$C$5:$C$1004,"&gt;"&amp;B27,$T$5:$T$1004,"&lt;&gt;Cancelled")&gt;1,"Double-booked",""))))</f>
        <v/>
      </c>
      <c r="Z27" s="42" t="str">
        <f aca="false">IF(AND(AA27=1,ISNUMBER(C27)),C27+ROW()/100000,"")</f>
        <v/>
      </c>
      <c r="AA27" s="43" t="n">
        <f aca="false">IF(AND(D27&lt;&gt;"",ISNUMBER(B27),ISNUMBER(C27),N(H27)&gt;0,T27&lt;&gt;"Cancelled",J27&lt;&gt;""),1,0)</f>
        <v>0</v>
      </c>
      <c r="AB27" s="44" t="n">
        <f aca="false">IF(AA27=1,J27/H27,0)</f>
        <v>0</v>
      </c>
      <c r="AC27" s="44" t="n">
        <f aca="false">IF(AA27=1,Q27/H27,0)</f>
        <v>0</v>
      </c>
      <c r="AD27" s="44" t="n">
        <f aca="false">IF(AA27=1,R27/H27,0)</f>
        <v>0</v>
      </c>
      <c r="AE27" s="44" t="n">
        <f aca="false">IF(AA27=1,O27/H27,0)</f>
        <v>0</v>
      </c>
      <c r="AF27" s="44" t="n">
        <f aca="false">IF(AA27=1,K27/H27,0)</f>
        <v>0</v>
      </c>
      <c r="AG27" s="45" t="str">
        <f aca="false">IF(AA27=1,D27&amp;"|"&amp;TEXT(B27,"0"),"")</f>
        <v/>
      </c>
      <c r="AH27" s="43" t="n">
        <f aca="false">IF(AA27=1,H27,0)</f>
        <v>0</v>
      </c>
    </row>
    <row r="28" customFormat="false" ht="15" hidden="false" customHeight="false" outlineLevel="0" collapsed="false">
      <c r="A28" s="23" t="str">
        <f aca="false">IF(B28="","","B-"&amp;TEXT(ROW()-4,"0000"))</f>
        <v/>
      </c>
      <c r="B28" s="38"/>
      <c r="C28" s="38"/>
      <c r="D28" s="6"/>
      <c r="E28" s="6"/>
      <c r="F28" s="6"/>
      <c r="G28" s="11"/>
      <c r="H28" s="24" t="str">
        <f aca="false">IF(AND(ISNUMBER(B28),ISNUMBER(C28)),MAX(0,C28-B28),"")</f>
        <v/>
      </c>
      <c r="I28" s="37"/>
      <c r="J28" s="46" t="str">
        <f aca="false">IF(OR(D28="",N(H28)=0),"",IFERROR(IF(I28&lt;&gt;"",H28*I28,ROUND(((H28-(INT((WEEKDAY(B28-6)+H28-1)/7)+INT((WEEKDAY(B28-7)+H28-1)/7)))*INDEX(Properties!$E$5:$E$24,MATCH(D28,Properties!$A$5:$A$24,0))+(INT((WEEKDAY(B28-6)+H28-1)/7)+INT((WEEKDAY(B28-7)+H28-1)/7))*INDEX(Properties!$F$5:$F$24,MATCH(D28,Properties!$A$5:$A$24,0)))*(1-IF(H28&gt;=28,Settings!$B$10,IF(H28&gt;=7,Settings!$B$9,0))),2)),0))</f>
        <v/>
      </c>
      <c r="K28" s="46" t="str">
        <f aca="false">IF(J28="","",IFERROR(N(INDEX(Properties!$G$5:$G$24,MATCH(D28,Properties!$A$5:$A$24,0))),0))</f>
        <v/>
      </c>
      <c r="L28" s="46" t="str">
        <f aca="false">IF(J28="","",IFERROR(MAX(0,N(G28)-INDEX(Properties!$I$5:$I$24,MATCH(D28,Properties!$A$5:$A$24,0)))*N(INDEX(Properties!$J$5:$J$24,MATCH(D28,Properties!$A$5:$A$24,0)))*H28,0))</f>
        <v/>
      </c>
      <c r="M28" s="37"/>
      <c r="N28" s="46" t="str">
        <f aca="false">IF(J28="","",J28+K28+L28+N(M28))</f>
        <v/>
      </c>
      <c r="O28" s="46" t="str">
        <f aca="false">IF(N28="","",IF(P28&lt;&gt;"",N28-P28,ROUND(N28*IFERROR(INDEX(Settings!$E$5:$E$12,MATCH(F28,Settings!$D$5:$D$12,0)),0),2)))</f>
        <v/>
      </c>
      <c r="P28" s="37"/>
      <c r="Q28" s="46" t="str">
        <f aca="false">IF(N28="","",IF(P28&lt;&gt;"",P28,N28-O28))</f>
        <v/>
      </c>
      <c r="R28" s="46" t="str">
        <f aca="false">IF(J28="","",IFERROR(N(INDEX(Properties!$H$5:$H$24,MATCH(D28,Properties!$A$5:$A$24,0))),0))</f>
        <v/>
      </c>
      <c r="S28" s="46" t="str">
        <f aca="false">IF(Q28="","",Q28-R28)</f>
        <v/>
      </c>
      <c r="T28" s="6"/>
      <c r="U28" s="6"/>
      <c r="V28" s="6"/>
      <c r="W28" s="6"/>
      <c r="X28" s="6"/>
      <c r="Y28" s="8" t="str">
        <f aca="false">IF(OR(D28="",B28="",C28=""),"",IF(N(C28)&lt;=N(B28),"Check dates",IF(T28="Cancelled","",IF(COUNTIFS($D$5:$D$1004,D28,$B$5:$B$1004,"&lt;"&amp;C28,$C$5:$C$1004,"&gt;"&amp;B28,$T$5:$T$1004,"&lt;&gt;Cancelled")&gt;1,"Double-booked",""))))</f>
        <v/>
      </c>
      <c r="Z28" s="42" t="str">
        <f aca="false">IF(AND(AA28=1,ISNUMBER(C28)),C28+ROW()/100000,"")</f>
        <v/>
      </c>
      <c r="AA28" s="43" t="n">
        <f aca="false">IF(AND(D28&lt;&gt;"",ISNUMBER(B28),ISNUMBER(C28),N(H28)&gt;0,T28&lt;&gt;"Cancelled",J28&lt;&gt;""),1,0)</f>
        <v>0</v>
      </c>
      <c r="AB28" s="44" t="n">
        <f aca="false">IF(AA28=1,J28/H28,0)</f>
        <v>0</v>
      </c>
      <c r="AC28" s="44" t="n">
        <f aca="false">IF(AA28=1,Q28/H28,0)</f>
        <v>0</v>
      </c>
      <c r="AD28" s="44" t="n">
        <f aca="false">IF(AA28=1,R28/H28,0)</f>
        <v>0</v>
      </c>
      <c r="AE28" s="44" t="n">
        <f aca="false">IF(AA28=1,O28/H28,0)</f>
        <v>0</v>
      </c>
      <c r="AF28" s="44" t="n">
        <f aca="false">IF(AA28=1,K28/H28,0)</f>
        <v>0</v>
      </c>
      <c r="AG28" s="45" t="str">
        <f aca="false">IF(AA28=1,D28&amp;"|"&amp;TEXT(B28,"0"),"")</f>
        <v/>
      </c>
      <c r="AH28" s="43" t="n">
        <f aca="false">IF(AA28=1,H28,0)</f>
        <v>0</v>
      </c>
    </row>
    <row r="29" customFormat="false" ht="15" hidden="false" customHeight="false" outlineLevel="0" collapsed="false">
      <c r="A29" s="8" t="str">
        <f aca="false">IF(B29="","","B-"&amp;TEXT(ROW()-4,"0000"))</f>
        <v/>
      </c>
      <c r="B29" s="38"/>
      <c r="C29" s="38"/>
      <c r="D29" s="6"/>
      <c r="E29" s="6"/>
      <c r="F29" s="6"/>
      <c r="G29" s="11"/>
      <c r="H29" s="18" t="str">
        <f aca="false">IF(AND(ISNUMBER(B29),ISNUMBER(C29)),MAX(0,C29-B29),"")</f>
        <v/>
      </c>
      <c r="I29" s="37"/>
      <c r="J29" s="41" t="str">
        <f aca="false">IF(OR(D29="",N(H29)=0),"",IFERROR(IF(I29&lt;&gt;"",H29*I29,ROUND(((H29-(INT((WEEKDAY(B29-6)+H29-1)/7)+INT((WEEKDAY(B29-7)+H29-1)/7)))*INDEX(Properties!$E$5:$E$24,MATCH(D29,Properties!$A$5:$A$24,0))+(INT((WEEKDAY(B29-6)+H29-1)/7)+INT((WEEKDAY(B29-7)+H29-1)/7))*INDEX(Properties!$F$5:$F$24,MATCH(D29,Properties!$A$5:$A$24,0)))*(1-IF(H29&gt;=28,Settings!$B$10,IF(H29&gt;=7,Settings!$B$9,0))),2)),0))</f>
        <v/>
      </c>
      <c r="K29" s="41" t="str">
        <f aca="false">IF(J29="","",IFERROR(N(INDEX(Properties!$G$5:$G$24,MATCH(D29,Properties!$A$5:$A$24,0))),0))</f>
        <v/>
      </c>
      <c r="L29" s="41" t="str">
        <f aca="false">IF(J29="","",IFERROR(MAX(0,N(G29)-INDEX(Properties!$I$5:$I$24,MATCH(D29,Properties!$A$5:$A$24,0)))*N(INDEX(Properties!$J$5:$J$24,MATCH(D29,Properties!$A$5:$A$24,0)))*H29,0))</f>
        <v/>
      </c>
      <c r="M29" s="37"/>
      <c r="N29" s="41" t="str">
        <f aca="false">IF(J29="","",J29+K29+L29+N(M29))</f>
        <v/>
      </c>
      <c r="O29" s="41" t="str">
        <f aca="false">IF(N29="","",IF(P29&lt;&gt;"",N29-P29,ROUND(N29*IFERROR(INDEX(Settings!$E$5:$E$12,MATCH(F29,Settings!$D$5:$D$12,0)),0),2)))</f>
        <v/>
      </c>
      <c r="P29" s="37"/>
      <c r="Q29" s="41" t="str">
        <f aca="false">IF(N29="","",IF(P29&lt;&gt;"",P29,N29-O29))</f>
        <v/>
      </c>
      <c r="R29" s="41" t="str">
        <f aca="false">IF(J29="","",IFERROR(N(INDEX(Properties!$H$5:$H$24,MATCH(D29,Properties!$A$5:$A$24,0))),0))</f>
        <v/>
      </c>
      <c r="S29" s="41" t="str">
        <f aca="false">IF(Q29="","",Q29-R29)</f>
        <v/>
      </c>
      <c r="T29" s="6"/>
      <c r="U29" s="6"/>
      <c r="V29" s="6"/>
      <c r="W29" s="6"/>
      <c r="X29" s="6"/>
      <c r="Y29" s="8" t="str">
        <f aca="false">IF(OR(D29="",B29="",C29=""),"",IF(N(C29)&lt;=N(B29),"Check dates",IF(T29="Cancelled","",IF(COUNTIFS($D$5:$D$1004,D29,$B$5:$B$1004,"&lt;"&amp;C29,$C$5:$C$1004,"&gt;"&amp;B29,$T$5:$T$1004,"&lt;&gt;Cancelled")&gt;1,"Double-booked",""))))</f>
        <v/>
      </c>
      <c r="Z29" s="42" t="str">
        <f aca="false">IF(AND(AA29=1,ISNUMBER(C29)),C29+ROW()/100000,"")</f>
        <v/>
      </c>
      <c r="AA29" s="43" t="n">
        <f aca="false">IF(AND(D29&lt;&gt;"",ISNUMBER(B29),ISNUMBER(C29),N(H29)&gt;0,T29&lt;&gt;"Cancelled",J29&lt;&gt;""),1,0)</f>
        <v>0</v>
      </c>
      <c r="AB29" s="44" t="n">
        <f aca="false">IF(AA29=1,J29/H29,0)</f>
        <v>0</v>
      </c>
      <c r="AC29" s="44" t="n">
        <f aca="false">IF(AA29=1,Q29/H29,0)</f>
        <v>0</v>
      </c>
      <c r="AD29" s="44" t="n">
        <f aca="false">IF(AA29=1,R29/H29,0)</f>
        <v>0</v>
      </c>
      <c r="AE29" s="44" t="n">
        <f aca="false">IF(AA29=1,O29/H29,0)</f>
        <v>0</v>
      </c>
      <c r="AF29" s="44" t="n">
        <f aca="false">IF(AA29=1,K29/H29,0)</f>
        <v>0</v>
      </c>
      <c r="AG29" s="45" t="str">
        <f aca="false">IF(AA29=1,D29&amp;"|"&amp;TEXT(B29,"0"),"")</f>
        <v/>
      </c>
      <c r="AH29" s="43" t="n">
        <f aca="false">IF(AA29=1,H29,0)</f>
        <v>0</v>
      </c>
    </row>
    <row r="30" customFormat="false" ht="15" hidden="false" customHeight="false" outlineLevel="0" collapsed="false">
      <c r="A30" s="23" t="str">
        <f aca="false">IF(B30="","","B-"&amp;TEXT(ROW()-4,"0000"))</f>
        <v/>
      </c>
      <c r="B30" s="38"/>
      <c r="C30" s="38"/>
      <c r="D30" s="6"/>
      <c r="E30" s="6"/>
      <c r="F30" s="6"/>
      <c r="G30" s="11"/>
      <c r="H30" s="24" t="str">
        <f aca="false">IF(AND(ISNUMBER(B30),ISNUMBER(C30)),MAX(0,C30-B30),"")</f>
        <v/>
      </c>
      <c r="I30" s="37"/>
      <c r="J30" s="46" t="str">
        <f aca="false">IF(OR(D30="",N(H30)=0),"",IFERROR(IF(I30&lt;&gt;"",H30*I30,ROUND(((H30-(INT((WEEKDAY(B30-6)+H30-1)/7)+INT((WEEKDAY(B30-7)+H30-1)/7)))*INDEX(Properties!$E$5:$E$24,MATCH(D30,Properties!$A$5:$A$24,0))+(INT((WEEKDAY(B30-6)+H30-1)/7)+INT((WEEKDAY(B30-7)+H30-1)/7))*INDEX(Properties!$F$5:$F$24,MATCH(D30,Properties!$A$5:$A$24,0)))*(1-IF(H30&gt;=28,Settings!$B$10,IF(H30&gt;=7,Settings!$B$9,0))),2)),0))</f>
        <v/>
      </c>
      <c r="K30" s="46" t="str">
        <f aca="false">IF(J30="","",IFERROR(N(INDEX(Properties!$G$5:$G$24,MATCH(D30,Properties!$A$5:$A$24,0))),0))</f>
        <v/>
      </c>
      <c r="L30" s="46" t="str">
        <f aca="false">IF(J30="","",IFERROR(MAX(0,N(G30)-INDEX(Properties!$I$5:$I$24,MATCH(D30,Properties!$A$5:$A$24,0)))*N(INDEX(Properties!$J$5:$J$24,MATCH(D30,Properties!$A$5:$A$24,0)))*H30,0))</f>
        <v/>
      </c>
      <c r="M30" s="37"/>
      <c r="N30" s="46" t="str">
        <f aca="false">IF(J30="","",J30+K30+L30+N(M30))</f>
        <v/>
      </c>
      <c r="O30" s="46" t="str">
        <f aca="false">IF(N30="","",IF(P30&lt;&gt;"",N30-P30,ROUND(N30*IFERROR(INDEX(Settings!$E$5:$E$12,MATCH(F30,Settings!$D$5:$D$12,0)),0),2)))</f>
        <v/>
      </c>
      <c r="P30" s="37"/>
      <c r="Q30" s="46" t="str">
        <f aca="false">IF(N30="","",IF(P30&lt;&gt;"",P30,N30-O30))</f>
        <v/>
      </c>
      <c r="R30" s="46" t="str">
        <f aca="false">IF(J30="","",IFERROR(N(INDEX(Properties!$H$5:$H$24,MATCH(D30,Properties!$A$5:$A$24,0))),0))</f>
        <v/>
      </c>
      <c r="S30" s="46" t="str">
        <f aca="false">IF(Q30="","",Q30-R30)</f>
        <v/>
      </c>
      <c r="T30" s="6"/>
      <c r="U30" s="6"/>
      <c r="V30" s="6"/>
      <c r="W30" s="6"/>
      <c r="X30" s="6"/>
      <c r="Y30" s="8" t="str">
        <f aca="false">IF(OR(D30="",B30="",C30=""),"",IF(N(C30)&lt;=N(B30),"Check dates",IF(T30="Cancelled","",IF(COUNTIFS($D$5:$D$1004,D30,$B$5:$B$1004,"&lt;"&amp;C30,$C$5:$C$1004,"&gt;"&amp;B30,$T$5:$T$1004,"&lt;&gt;Cancelled")&gt;1,"Double-booked",""))))</f>
        <v/>
      </c>
      <c r="Z30" s="42" t="str">
        <f aca="false">IF(AND(AA30=1,ISNUMBER(C30)),C30+ROW()/100000,"")</f>
        <v/>
      </c>
      <c r="AA30" s="43" t="n">
        <f aca="false">IF(AND(D30&lt;&gt;"",ISNUMBER(B30),ISNUMBER(C30),N(H30)&gt;0,T30&lt;&gt;"Cancelled",J30&lt;&gt;""),1,0)</f>
        <v>0</v>
      </c>
      <c r="AB30" s="44" t="n">
        <f aca="false">IF(AA30=1,J30/H30,0)</f>
        <v>0</v>
      </c>
      <c r="AC30" s="44" t="n">
        <f aca="false">IF(AA30=1,Q30/H30,0)</f>
        <v>0</v>
      </c>
      <c r="AD30" s="44" t="n">
        <f aca="false">IF(AA30=1,R30/H30,0)</f>
        <v>0</v>
      </c>
      <c r="AE30" s="44" t="n">
        <f aca="false">IF(AA30=1,O30/H30,0)</f>
        <v>0</v>
      </c>
      <c r="AF30" s="44" t="n">
        <f aca="false">IF(AA30=1,K30/H30,0)</f>
        <v>0</v>
      </c>
      <c r="AG30" s="45" t="str">
        <f aca="false">IF(AA30=1,D30&amp;"|"&amp;TEXT(B30,"0"),"")</f>
        <v/>
      </c>
      <c r="AH30" s="43" t="n">
        <f aca="false">IF(AA30=1,H30,0)</f>
        <v>0</v>
      </c>
    </row>
    <row r="31" customFormat="false" ht="15" hidden="false" customHeight="false" outlineLevel="0" collapsed="false">
      <c r="A31" s="8" t="str">
        <f aca="false">IF(B31="","","B-"&amp;TEXT(ROW()-4,"0000"))</f>
        <v/>
      </c>
      <c r="B31" s="38"/>
      <c r="C31" s="38"/>
      <c r="D31" s="6"/>
      <c r="E31" s="6"/>
      <c r="F31" s="6"/>
      <c r="G31" s="11"/>
      <c r="H31" s="18" t="str">
        <f aca="false">IF(AND(ISNUMBER(B31),ISNUMBER(C31)),MAX(0,C31-B31),"")</f>
        <v/>
      </c>
      <c r="I31" s="37"/>
      <c r="J31" s="41" t="str">
        <f aca="false">IF(OR(D31="",N(H31)=0),"",IFERROR(IF(I31&lt;&gt;"",H31*I31,ROUND(((H31-(INT((WEEKDAY(B31-6)+H31-1)/7)+INT((WEEKDAY(B31-7)+H31-1)/7)))*INDEX(Properties!$E$5:$E$24,MATCH(D31,Properties!$A$5:$A$24,0))+(INT((WEEKDAY(B31-6)+H31-1)/7)+INT((WEEKDAY(B31-7)+H31-1)/7))*INDEX(Properties!$F$5:$F$24,MATCH(D31,Properties!$A$5:$A$24,0)))*(1-IF(H31&gt;=28,Settings!$B$10,IF(H31&gt;=7,Settings!$B$9,0))),2)),0))</f>
        <v/>
      </c>
      <c r="K31" s="41" t="str">
        <f aca="false">IF(J31="","",IFERROR(N(INDEX(Properties!$G$5:$G$24,MATCH(D31,Properties!$A$5:$A$24,0))),0))</f>
        <v/>
      </c>
      <c r="L31" s="41" t="str">
        <f aca="false">IF(J31="","",IFERROR(MAX(0,N(G31)-INDEX(Properties!$I$5:$I$24,MATCH(D31,Properties!$A$5:$A$24,0)))*N(INDEX(Properties!$J$5:$J$24,MATCH(D31,Properties!$A$5:$A$24,0)))*H31,0))</f>
        <v/>
      </c>
      <c r="M31" s="37"/>
      <c r="N31" s="41" t="str">
        <f aca="false">IF(J31="","",J31+K31+L31+N(M31))</f>
        <v/>
      </c>
      <c r="O31" s="41" t="str">
        <f aca="false">IF(N31="","",IF(P31&lt;&gt;"",N31-P31,ROUND(N31*IFERROR(INDEX(Settings!$E$5:$E$12,MATCH(F31,Settings!$D$5:$D$12,0)),0),2)))</f>
        <v/>
      </c>
      <c r="P31" s="37"/>
      <c r="Q31" s="41" t="str">
        <f aca="false">IF(N31="","",IF(P31&lt;&gt;"",P31,N31-O31))</f>
        <v/>
      </c>
      <c r="R31" s="41" t="str">
        <f aca="false">IF(J31="","",IFERROR(N(INDEX(Properties!$H$5:$H$24,MATCH(D31,Properties!$A$5:$A$24,0))),0))</f>
        <v/>
      </c>
      <c r="S31" s="41" t="str">
        <f aca="false">IF(Q31="","",Q31-R31)</f>
        <v/>
      </c>
      <c r="T31" s="6"/>
      <c r="U31" s="6"/>
      <c r="V31" s="6"/>
      <c r="W31" s="6"/>
      <c r="X31" s="6"/>
      <c r="Y31" s="8" t="str">
        <f aca="false">IF(OR(D31="",B31="",C31=""),"",IF(N(C31)&lt;=N(B31),"Check dates",IF(T31="Cancelled","",IF(COUNTIFS($D$5:$D$1004,D31,$B$5:$B$1004,"&lt;"&amp;C31,$C$5:$C$1004,"&gt;"&amp;B31,$T$5:$T$1004,"&lt;&gt;Cancelled")&gt;1,"Double-booked",""))))</f>
        <v/>
      </c>
      <c r="Z31" s="42" t="str">
        <f aca="false">IF(AND(AA31=1,ISNUMBER(C31)),C31+ROW()/100000,"")</f>
        <v/>
      </c>
      <c r="AA31" s="43" t="n">
        <f aca="false">IF(AND(D31&lt;&gt;"",ISNUMBER(B31),ISNUMBER(C31),N(H31)&gt;0,T31&lt;&gt;"Cancelled",J31&lt;&gt;""),1,0)</f>
        <v>0</v>
      </c>
      <c r="AB31" s="44" t="n">
        <f aca="false">IF(AA31=1,J31/H31,0)</f>
        <v>0</v>
      </c>
      <c r="AC31" s="44" t="n">
        <f aca="false">IF(AA31=1,Q31/H31,0)</f>
        <v>0</v>
      </c>
      <c r="AD31" s="44" t="n">
        <f aca="false">IF(AA31=1,R31/H31,0)</f>
        <v>0</v>
      </c>
      <c r="AE31" s="44" t="n">
        <f aca="false">IF(AA31=1,O31/H31,0)</f>
        <v>0</v>
      </c>
      <c r="AF31" s="44" t="n">
        <f aca="false">IF(AA31=1,K31/H31,0)</f>
        <v>0</v>
      </c>
      <c r="AG31" s="45" t="str">
        <f aca="false">IF(AA31=1,D31&amp;"|"&amp;TEXT(B31,"0"),"")</f>
        <v/>
      </c>
      <c r="AH31" s="43" t="n">
        <f aca="false">IF(AA31=1,H31,0)</f>
        <v>0</v>
      </c>
    </row>
    <row r="32" customFormat="false" ht="15" hidden="false" customHeight="false" outlineLevel="0" collapsed="false">
      <c r="A32" s="23" t="str">
        <f aca="false">IF(B32="","","B-"&amp;TEXT(ROW()-4,"0000"))</f>
        <v/>
      </c>
      <c r="B32" s="38"/>
      <c r="C32" s="38"/>
      <c r="D32" s="6"/>
      <c r="E32" s="6"/>
      <c r="F32" s="6"/>
      <c r="G32" s="11"/>
      <c r="H32" s="24" t="str">
        <f aca="false">IF(AND(ISNUMBER(B32),ISNUMBER(C32)),MAX(0,C32-B32),"")</f>
        <v/>
      </c>
      <c r="I32" s="37"/>
      <c r="J32" s="46" t="str">
        <f aca="false">IF(OR(D32="",N(H32)=0),"",IFERROR(IF(I32&lt;&gt;"",H32*I32,ROUND(((H32-(INT((WEEKDAY(B32-6)+H32-1)/7)+INT((WEEKDAY(B32-7)+H32-1)/7)))*INDEX(Properties!$E$5:$E$24,MATCH(D32,Properties!$A$5:$A$24,0))+(INT((WEEKDAY(B32-6)+H32-1)/7)+INT((WEEKDAY(B32-7)+H32-1)/7))*INDEX(Properties!$F$5:$F$24,MATCH(D32,Properties!$A$5:$A$24,0)))*(1-IF(H32&gt;=28,Settings!$B$10,IF(H32&gt;=7,Settings!$B$9,0))),2)),0))</f>
        <v/>
      </c>
      <c r="K32" s="46" t="str">
        <f aca="false">IF(J32="","",IFERROR(N(INDEX(Properties!$G$5:$G$24,MATCH(D32,Properties!$A$5:$A$24,0))),0))</f>
        <v/>
      </c>
      <c r="L32" s="46" t="str">
        <f aca="false">IF(J32="","",IFERROR(MAX(0,N(G32)-INDEX(Properties!$I$5:$I$24,MATCH(D32,Properties!$A$5:$A$24,0)))*N(INDEX(Properties!$J$5:$J$24,MATCH(D32,Properties!$A$5:$A$24,0)))*H32,0))</f>
        <v/>
      </c>
      <c r="M32" s="37"/>
      <c r="N32" s="46" t="str">
        <f aca="false">IF(J32="","",J32+K32+L32+N(M32))</f>
        <v/>
      </c>
      <c r="O32" s="46" t="str">
        <f aca="false">IF(N32="","",IF(P32&lt;&gt;"",N32-P32,ROUND(N32*IFERROR(INDEX(Settings!$E$5:$E$12,MATCH(F32,Settings!$D$5:$D$12,0)),0),2)))</f>
        <v/>
      </c>
      <c r="P32" s="37"/>
      <c r="Q32" s="46" t="str">
        <f aca="false">IF(N32="","",IF(P32&lt;&gt;"",P32,N32-O32))</f>
        <v/>
      </c>
      <c r="R32" s="46" t="str">
        <f aca="false">IF(J32="","",IFERROR(N(INDEX(Properties!$H$5:$H$24,MATCH(D32,Properties!$A$5:$A$24,0))),0))</f>
        <v/>
      </c>
      <c r="S32" s="46" t="str">
        <f aca="false">IF(Q32="","",Q32-R32)</f>
        <v/>
      </c>
      <c r="T32" s="6"/>
      <c r="U32" s="6"/>
      <c r="V32" s="6"/>
      <c r="W32" s="6"/>
      <c r="X32" s="6"/>
      <c r="Y32" s="8" t="str">
        <f aca="false">IF(OR(D32="",B32="",C32=""),"",IF(N(C32)&lt;=N(B32),"Check dates",IF(T32="Cancelled","",IF(COUNTIFS($D$5:$D$1004,D32,$B$5:$B$1004,"&lt;"&amp;C32,$C$5:$C$1004,"&gt;"&amp;B32,$T$5:$T$1004,"&lt;&gt;Cancelled")&gt;1,"Double-booked",""))))</f>
        <v/>
      </c>
      <c r="Z32" s="42" t="str">
        <f aca="false">IF(AND(AA32=1,ISNUMBER(C32)),C32+ROW()/100000,"")</f>
        <v/>
      </c>
      <c r="AA32" s="43" t="n">
        <f aca="false">IF(AND(D32&lt;&gt;"",ISNUMBER(B32),ISNUMBER(C32),N(H32)&gt;0,T32&lt;&gt;"Cancelled",J32&lt;&gt;""),1,0)</f>
        <v>0</v>
      </c>
      <c r="AB32" s="44" t="n">
        <f aca="false">IF(AA32=1,J32/H32,0)</f>
        <v>0</v>
      </c>
      <c r="AC32" s="44" t="n">
        <f aca="false">IF(AA32=1,Q32/H32,0)</f>
        <v>0</v>
      </c>
      <c r="AD32" s="44" t="n">
        <f aca="false">IF(AA32=1,R32/H32,0)</f>
        <v>0</v>
      </c>
      <c r="AE32" s="44" t="n">
        <f aca="false">IF(AA32=1,O32/H32,0)</f>
        <v>0</v>
      </c>
      <c r="AF32" s="44" t="n">
        <f aca="false">IF(AA32=1,K32/H32,0)</f>
        <v>0</v>
      </c>
      <c r="AG32" s="45" t="str">
        <f aca="false">IF(AA32=1,D32&amp;"|"&amp;TEXT(B32,"0"),"")</f>
        <v/>
      </c>
      <c r="AH32" s="43" t="n">
        <f aca="false">IF(AA32=1,H32,0)</f>
        <v>0</v>
      </c>
    </row>
    <row r="33" customFormat="false" ht="15" hidden="false" customHeight="false" outlineLevel="0" collapsed="false">
      <c r="A33" s="8" t="str">
        <f aca="false">IF(B33="","","B-"&amp;TEXT(ROW()-4,"0000"))</f>
        <v/>
      </c>
      <c r="B33" s="38"/>
      <c r="C33" s="38"/>
      <c r="D33" s="6"/>
      <c r="E33" s="6"/>
      <c r="F33" s="6"/>
      <c r="G33" s="11"/>
      <c r="H33" s="18" t="str">
        <f aca="false">IF(AND(ISNUMBER(B33),ISNUMBER(C33)),MAX(0,C33-B33),"")</f>
        <v/>
      </c>
      <c r="I33" s="37"/>
      <c r="J33" s="41" t="str">
        <f aca="false">IF(OR(D33="",N(H33)=0),"",IFERROR(IF(I33&lt;&gt;"",H33*I33,ROUND(((H33-(INT((WEEKDAY(B33-6)+H33-1)/7)+INT((WEEKDAY(B33-7)+H33-1)/7)))*INDEX(Properties!$E$5:$E$24,MATCH(D33,Properties!$A$5:$A$24,0))+(INT((WEEKDAY(B33-6)+H33-1)/7)+INT((WEEKDAY(B33-7)+H33-1)/7))*INDEX(Properties!$F$5:$F$24,MATCH(D33,Properties!$A$5:$A$24,0)))*(1-IF(H33&gt;=28,Settings!$B$10,IF(H33&gt;=7,Settings!$B$9,0))),2)),0))</f>
        <v/>
      </c>
      <c r="K33" s="41" t="str">
        <f aca="false">IF(J33="","",IFERROR(N(INDEX(Properties!$G$5:$G$24,MATCH(D33,Properties!$A$5:$A$24,0))),0))</f>
        <v/>
      </c>
      <c r="L33" s="41" t="str">
        <f aca="false">IF(J33="","",IFERROR(MAX(0,N(G33)-INDEX(Properties!$I$5:$I$24,MATCH(D33,Properties!$A$5:$A$24,0)))*N(INDEX(Properties!$J$5:$J$24,MATCH(D33,Properties!$A$5:$A$24,0)))*H33,0))</f>
        <v/>
      </c>
      <c r="M33" s="37"/>
      <c r="N33" s="41" t="str">
        <f aca="false">IF(J33="","",J33+K33+L33+N(M33))</f>
        <v/>
      </c>
      <c r="O33" s="41" t="str">
        <f aca="false">IF(N33="","",IF(P33&lt;&gt;"",N33-P33,ROUND(N33*IFERROR(INDEX(Settings!$E$5:$E$12,MATCH(F33,Settings!$D$5:$D$12,0)),0),2)))</f>
        <v/>
      </c>
      <c r="P33" s="37"/>
      <c r="Q33" s="41" t="str">
        <f aca="false">IF(N33="","",IF(P33&lt;&gt;"",P33,N33-O33))</f>
        <v/>
      </c>
      <c r="R33" s="41" t="str">
        <f aca="false">IF(J33="","",IFERROR(N(INDEX(Properties!$H$5:$H$24,MATCH(D33,Properties!$A$5:$A$24,0))),0))</f>
        <v/>
      </c>
      <c r="S33" s="41" t="str">
        <f aca="false">IF(Q33="","",Q33-R33)</f>
        <v/>
      </c>
      <c r="T33" s="6"/>
      <c r="U33" s="6"/>
      <c r="V33" s="6"/>
      <c r="W33" s="6"/>
      <c r="X33" s="6"/>
      <c r="Y33" s="8" t="str">
        <f aca="false">IF(OR(D33="",B33="",C33=""),"",IF(N(C33)&lt;=N(B33),"Check dates",IF(T33="Cancelled","",IF(COUNTIFS($D$5:$D$1004,D33,$B$5:$B$1004,"&lt;"&amp;C33,$C$5:$C$1004,"&gt;"&amp;B33,$T$5:$T$1004,"&lt;&gt;Cancelled")&gt;1,"Double-booked",""))))</f>
        <v/>
      </c>
      <c r="Z33" s="42" t="str">
        <f aca="false">IF(AND(AA33=1,ISNUMBER(C33)),C33+ROW()/100000,"")</f>
        <v/>
      </c>
      <c r="AA33" s="43" t="n">
        <f aca="false">IF(AND(D33&lt;&gt;"",ISNUMBER(B33),ISNUMBER(C33),N(H33)&gt;0,T33&lt;&gt;"Cancelled",J33&lt;&gt;""),1,0)</f>
        <v>0</v>
      </c>
      <c r="AB33" s="44" t="n">
        <f aca="false">IF(AA33=1,J33/H33,0)</f>
        <v>0</v>
      </c>
      <c r="AC33" s="44" t="n">
        <f aca="false">IF(AA33=1,Q33/H33,0)</f>
        <v>0</v>
      </c>
      <c r="AD33" s="44" t="n">
        <f aca="false">IF(AA33=1,R33/H33,0)</f>
        <v>0</v>
      </c>
      <c r="AE33" s="44" t="n">
        <f aca="false">IF(AA33=1,O33/H33,0)</f>
        <v>0</v>
      </c>
      <c r="AF33" s="44" t="n">
        <f aca="false">IF(AA33=1,K33/H33,0)</f>
        <v>0</v>
      </c>
      <c r="AG33" s="45" t="str">
        <f aca="false">IF(AA33=1,D33&amp;"|"&amp;TEXT(B33,"0"),"")</f>
        <v/>
      </c>
      <c r="AH33" s="43" t="n">
        <f aca="false">IF(AA33=1,H33,0)</f>
        <v>0</v>
      </c>
    </row>
    <row r="34" customFormat="false" ht="15" hidden="false" customHeight="false" outlineLevel="0" collapsed="false">
      <c r="A34" s="23" t="str">
        <f aca="false">IF(B34="","","B-"&amp;TEXT(ROW()-4,"0000"))</f>
        <v/>
      </c>
      <c r="B34" s="38"/>
      <c r="C34" s="38"/>
      <c r="D34" s="6"/>
      <c r="E34" s="6"/>
      <c r="F34" s="6"/>
      <c r="G34" s="11"/>
      <c r="H34" s="24" t="str">
        <f aca="false">IF(AND(ISNUMBER(B34),ISNUMBER(C34)),MAX(0,C34-B34),"")</f>
        <v/>
      </c>
      <c r="I34" s="37"/>
      <c r="J34" s="46" t="str">
        <f aca="false">IF(OR(D34="",N(H34)=0),"",IFERROR(IF(I34&lt;&gt;"",H34*I34,ROUND(((H34-(INT((WEEKDAY(B34-6)+H34-1)/7)+INT((WEEKDAY(B34-7)+H34-1)/7)))*INDEX(Properties!$E$5:$E$24,MATCH(D34,Properties!$A$5:$A$24,0))+(INT((WEEKDAY(B34-6)+H34-1)/7)+INT((WEEKDAY(B34-7)+H34-1)/7))*INDEX(Properties!$F$5:$F$24,MATCH(D34,Properties!$A$5:$A$24,0)))*(1-IF(H34&gt;=28,Settings!$B$10,IF(H34&gt;=7,Settings!$B$9,0))),2)),0))</f>
        <v/>
      </c>
      <c r="K34" s="46" t="str">
        <f aca="false">IF(J34="","",IFERROR(N(INDEX(Properties!$G$5:$G$24,MATCH(D34,Properties!$A$5:$A$24,0))),0))</f>
        <v/>
      </c>
      <c r="L34" s="46" t="str">
        <f aca="false">IF(J34="","",IFERROR(MAX(0,N(G34)-INDEX(Properties!$I$5:$I$24,MATCH(D34,Properties!$A$5:$A$24,0)))*N(INDEX(Properties!$J$5:$J$24,MATCH(D34,Properties!$A$5:$A$24,0)))*H34,0))</f>
        <v/>
      </c>
      <c r="M34" s="37"/>
      <c r="N34" s="46" t="str">
        <f aca="false">IF(J34="","",J34+K34+L34+N(M34))</f>
        <v/>
      </c>
      <c r="O34" s="46" t="str">
        <f aca="false">IF(N34="","",IF(P34&lt;&gt;"",N34-P34,ROUND(N34*IFERROR(INDEX(Settings!$E$5:$E$12,MATCH(F34,Settings!$D$5:$D$12,0)),0),2)))</f>
        <v/>
      </c>
      <c r="P34" s="37"/>
      <c r="Q34" s="46" t="str">
        <f aca="false">IF(N34="","",IF(P34&lt;&gt;"",P34,N34-O34))</f>
        <v/>
      </c>
      <c r="R34" s="46" t="str">
        <f aca="false">IF(J34="","",IFERROR(N(INDEX(Properties!$H$5:$H$24,MATCH(D34,Properties!$A$5:$A$24,0))),0))</f>
        <v/>
      </c>
      <c r="S34" s="46" t="str">
        <f aca="false">IF(Q34="","",Q34-R34)</f>
        <v/>
      </c>
      <c r="T34" s="6"/>
      <c r="U34" s="6"/>
      <c r="V34" s="6"/>
      <c r="W34" s="6"/>
      <c r="X34" s="6"/>
      <c r="Y34" s="8" t="str">
        <f aca="false">IF(OR(D34="",B34="",C34=""),"",IF(N(C34)&lt;=N(B34),"Check dates",IF(T34="Cancelled","",IF(COUNTIFS($D$5:$D$1004,D34,$B$5:$B$1004,"&lt;"&amp;C34,$C$5:$C$1004,"&gt;"&amp;B34,$T$5:$T$1004,"&lt;&gt;Cancelled")&gt;1,"Double-booked",""))))</f>
        <v/>
      </c>
      <c r="Z34" s="42" t="str">
        <f aca="false">IF(AND(AA34=1,ISNUMBER(C34)),C34+ROW()/100000,"")</f>
        <v/>
      </c>
      <c r="AA34" s="43" t="n">
        <f aca="false">IF(AND(D34&lt;&gt;"",ISNUMBER(B34),ISNUMBER(C34),N(H34)&gt;0,T34&lt;&gt;"Cancelled",J34&lt;&gt;""),1,0)</f>
        <v>0</v>
      </c>
      <c r="AB34" s="44" t="n">
        <f aca="false">IF(AA34=1,J34/H34,0)</f>
        <v>0</v>
      </c>
      <c r="AC34" s="44" t="n">
        <f aca="false">IF(AA34=1,Q34/H34,0)</f>
        <v>0</v>
      </c>
      <c r="AD34" s="44" t="n">
        <f aca="false">IF(AA34=1,R34/H34,0)</f>
        <v>0</v>
      </c>
      <c r="AE34" s="44" t="n">
        <f aca="false">IF(AA34=1,O34/H34,0)</f>
        <v>0</v>
      </c>
      <c r="AF34" s="44" t="n">
        <f aca="false">IF(AA34=1,K34/H34,0)</f>
        <v>0</v>
      </c>
      <c r="AG34" s="45" t="str">
        <f aca="false">IF(AA34=1,D34&amp;"|"&amp;TEXT(B34,"0"),"")</f>
        <v/>
      </c>
      <c r="AH34" s="43" t="n">
        <f aca="false">IF(AA34=1,H34,0)</f>
        <v>0</v>
      </c>
    </row>
    <row r="35" customFormat="false" ht="15" hidden="false" customHeight="false" outlineLevel="0" collapsed="false">
      <c r="A35" s="8" t="str">
        <f aca="false">IF(B35="","","B-"&amp;TEXT(ROW()-4,"0000"))</f>
        <v/>
      </c>
      <c r="B35" s="38"/>
      <c r="C35" s="38"/>
      <c r="D35" s="6"/>
      <c r="E35" s="6"/>
      <c r="F35" s="6"/>
      <c r="G35" s="11"/>
      <c r="H35" s="18" t="str">
        <f aca="false">IF(AND(ISNUMBER(B35),ISNUMBER(C35)),MAX(0,C35-B35),"")</f>
        <v/>
      </c>
      <c r="I35" s="37"/>
      <c r="J35" s="41" t="str">
        <f aca="false">IF(OR(D35="",N(H35)=0),"",IFERROR(IF(I35&lt;&gt;"",H35*I35,ROUND(((H35-(INT((WEEKDAY(B35-6)+H35-1)/7)+INT((WEEKDAY(B35-7)+H35-1)/7)))*INDEX(Properties!$E$5:$E$24,MATCH(D35,Properties!$A$5:$A$24,0))+(INT((WEEKDAY(B35-6)+H35-1)/7)+INT((WEEKDAY(B35-7)+H35-1)/7))*INDEX(Properties!$F$5:$F$24,MATCH(D35,Properties!$A$5:$A$24,0)))*(1-IF(H35&gt;=28,Settings!$B$10,IF(H35&gt;=7,Settings!$B$9,0))),2)),0))</f>
        <v/>
      </c>
      <c r="K35" s="41" t="str">
        <f aca="false">IF(J35="","",IFERROR(N(INDEX(Properties!$G$5:$G$24,MATCH(D35,Properties!$A$5:$A$24,0))),0))</f>
        <v/>
      </c>
      <c r="L35" s="41" t="str">
        <f aca="false">IF(J35="","",IFERROR(MAX(0,N(G35)-INDEX(Properties!$I$5:$I$24,MATCH(D35,Properties!$A$5:$A$24,0)))*N(INDEX(Properties!$J$5:$J$24,MATCH(D35,Properties!$A$5:$A$24,0)))*H35,0))</f>
        <v/>
      </c>
      <c r="M35" s="37"/>
      <c r="N35" s="41" t="str">
        <f aca="false">IF(J35="","",J35+K35+L35+N(M35))</f>
        <v/>
      </c>
      <c r="O35" s="41" t="str">
        <f aca="false">IF(N35="","",IF(P35&lt;&gt;"",N35-P35,ROUND(N35*IFERROR(INDEX(Settings!$E$5:$E$12,MATCH(F35,Settings!$D$5:$D$12,0)),0),2)))</f>
        <v/>
      </c>
      <c r="P35" s="37"/>
      <c r="Q35" s="41" t="str">
        <f aca="false">IF(N35="","",IF(P35&lt;&gt;"",P35,N35-O35))</f>
        <v/>
      </c>
      <c r="R35" s="41" t="str">
        <f aca="false">IF(J35="","",IFERROR(N(INDEX(Properties!$H$5:$H$24,MATCH(D35,Properties!$A$5:$A$24,0))),0))</f>
        <v/>
      </c>
      <c r="S35" s="41" t="str">
        <f aca="false">IF(Q35="","",Q35-R35)</f>
        <v/>
      </c>
      <c r="T35" s="6"/>
      <c r="U35" s="6"/>
      <c r="V35" s="6"/>
      <c r="W35" s="6"/>
      <c r="X35" s="6"/>
      <c r="Y35" s="8" t="str">
        <f aca="false">IF(OR(D35="",B35="",C35=""),"",IF(N(C35)&lt;=N(B35),"Check dates",IF(T35="Cancelled","",IF(COUNTIFS($D$5:$D$1004,D35,$B$5:$B$1004,"&lt;"&amp;C35,$C$5:$C$1004,"&gt;"&amp;B35,$T$5:$T$1004,"&lt;&gt;Cancelled")&gt;1,"Double-booked",""))))</f>
        <v/>
      </c>
      <c r="Z35" s="42" t="str">
        <f aca="false">IF(AND(AA35=1,ISNUMBER(C35)),C35+ROW()/100000,"")</f>
        <v/>
      </c>
      <c r="AA35" s="43" t="n">
        <f aca="false">IF(AND(D35&lt;&gt;"",ISNUMBER(B35),ISNUMBER(C35),N(H35)&gt;0,T35&lt;&gt;"Cancelled",J35&lt;&gt;""),1,0)</f>
        <v>0</v>
      </c>
      <c r="AB35" s="44" t="n">
        <f aca="false">IF(AA35=1,J35/H35,0)</f>
        <v>0</v>
      </c>
      <c r="AC35" s="44" t="n">
        <f aca="false">IF(AA35=1,Q35/H35,0)</f>
        <v>0</v>
      </c>
      <c r="AD35" s="44" t="n">
        <f aca="false">IF(AA35=1,R35/H35,0)</f>
        <v>0</v>
      </c>
      <c r="AE35" s="44" t="n">
        <f aca="false">IF(AA35=1,O35/H35,0)</f>
        <v>0</v>
      </c>
      <c r="AF35" s="44" t="n">
        <f aca="false">IF(AA35=1,K35/H35,0)</f>
        <v>0</v>
      </c>
      <c r="AG35" s="45" t="str">
        <f aca="false">IF(AA35=1,D35&amp;"|"&amp;TEXT(B35,"0"),"")</f>
        <v/>
      </c>
      <c r="AH35" s="43" t="n">
        <f aca="false">IF(AA35=1,H35,0)</f>
        <v>0</v>
      </c>
    </row>
    <row r="36" customFormat="false" ht="15" hidden="false" customHeight="false" outlineLevel="0" collapsed="false">
      <c r="A36" s="23" t="str">
        <f aca="false">IF(B36="","","B-"&amp;TEXT(ROW()-4,"0000"))</f>
        <v/>
      </c>
      <c r="B36" s="38"/>
      <c r="C36" s="38"/>
      <c r="D36" s="6"/>
      <c r="E36" s="6"/>
      <c r="F36" s="6"/>
      <c r="G36" s="11"/>
      <c r="H36" s="24" t="str">
        <f aca="false">IF(AND(ISNUMBER(B36),ISNUMBER(C36)),MAX(0,C36-B36),"")</f>
        <v/>
      </c>
      <c r="I36" s="37"/>
      <c r="J36" s="46" t="str">
        <f aca="false">IF(OR(D36="",N(H36)=0),"",IFERROR(IF(I36&lt;&gt;"",H36*I36,ROUND(((H36-(INT((WEEKDAY(B36-6)+H36-1)/7)+INT((WEEKDAY(B36-7)+H36-1)/7)))*INDEX(Properties!$E$5:$E$24,MATCH(D36,Properties!$A$5:$A$24,0))+(INT((WEEKDAY(B36-6)+H36-1)/7)+INT((WEEKDAY(B36-7)+H36-1)/7))*INDEX(Properties!$F$5:$F$24,MATCH(D36,Properties!$A$5:$A$24,0)))*(1-IF(H36&gt;=28,Settings!$B$10,IF(H36&gt;=7,Settings!$B$9,0))),2)),0))</f>
        <v/>
      </c>
      <c r="K36" s="46" t="str">
        <f aca="false">IF(J36="","",IFERROR(N(INDEX(Properties!$G$5:$G$24,MATCH(D36,Properties!$A$5:$A$24,0))),0))</f>
        <v/>
      </c>
      <c r="L36" s="46" t="str">
        <f aca="false">IF(J36="","",IFERROR(MAX(0,N(G36)-INDEX(Properties!$I$5:$I$24,MATCH(D36,Properties!$A$5:$A$24,0)))*N(INDEX(Properties!$J$5:$J$24,MATCH(D36,Properties!$A$5:$A$24,0)))*H36,0))</f>
        <v/>
      </c>
      <c r="M36" s="37"/>
      <c r="N36" s="46" t="str">
        <f aca="false">IF(J36="","",J36+K36+L36+N(M36))</f>
        <v/>
      </c>
      <c r="O36" s="46" t="str">
        <f aca="false">IF(N36="","",IF(P36&lt;&gt;"",N36-P36,ROUND(N36*IFERROR(INDEX(Settings!$E$5:$E$12,MATCH(F36,Settings!$D$5:$D$12,0)),0),2)))</f>
        <v/>
      </c>
      <c r="P36" s="37"/>
      <c r="Q36" s="46" t="str">
        <f aca="false">IF(N36="","",IF(P36&lt;&gt;"",P36,N36-O36))</f>
        <v/>
      </c>
      <c r="R36" s="46" t="str">
        <f aca="false">IF(J36="","",IFERROR(N(INDEX(Properties!$H$5:$H$24,MATCH(D36,Properties!$A$5:$A$24,0))),0))</f>
        <v/>
      </c>
      <c r="S36" s="46" t="str">
        <f aca="false">IF(Q36="","",Q36-R36)</f>
        <v/>
      </c>
      <c r="T36" s="6"/>
      <c r="U36" s="6"/>
      <c r="V36" s="6"/>
      <c r="W36" s="6"/>
      <c r="X36" s="6"/>
      <c r="Y36" s="8" t="str">
        <f aca="false">IF(OR(D36="",B36="",C36=""),"",IF(N(C36)&lt;=N(B36),"Check dates",IF(T36="Cancelled","",IF(COUNTIFS($D$5:$D$1004,D36,$B$5:$B$1004,"&lt;"&amp;C36,$C$5:$C$1004,"&gt;"&amp;B36,$T$5:$T$1004,"&lt;&gt;Cancelled")&gt;1,"Double-booked",""))))</f>
        <v/>
      </c>
      <c r="Z36" s="42" t="str">
        <f aca="false">IF(AND(AA36=1,ISNUMBER(C36)),C36+ROW()/100000,"")</f>
        <v/>
      </c>
      <c r="AA36" s="43" t="n">
        <f aca="false">IF(AND(D36&lt;&gt;"",ISNUMBER(B36),ISNUMBER(C36),N(H36)&gt;0,T36&lt;&gt;"Cancelled",J36&lt;&gt;""),1,0)</f>
        <v>0</v>
      </c>
      <c r="AB36" s="44" t="n">
        <f aca="false">IF(AA36=1,J36/H36,0)</f>
        <v>0</v>
      </c>
      <c r="AC36" s="44" t="n">
        <f aca="false">IF(AA36=1,Q36/H36,0)</f>
        <v>0</v>
      </c>
      <c r="AD36" s="44" t="n">
        <f aca="false">IF(AA36=1,R36/H36,0)</f>
        <v>0</v>
      </c>
      <c r="AE36" s="44" t="n">
        <f aca="false">IF(AA36=1,O36/H36,0)</f>
        <v>0</v>
      </c>
      <c r="AF36" s="44" t="n">
        <f aca="false">IF(AA36=1,K36/H36,0)</f>
        <v>0</v>
      </c>
      <c r="AG36" s="45" t="str">
        <f aca="false">IF(AA36=1,D36&amp;"|"&amp;TEXT(B36,"0"),"")</f>
        <v/>
      </c>
      <c r="AH36" s="43" t="n">
        <f aca="false">IF(AA36=1,H36,0)</f>
        <v>0</v>
      </c>
    </row>
    <row r="37" customFormat="false" ht="15" hidden="false" customHeight="false" outlineLevel="0" collapsed="false">
      <c r="A37" s="8" t="str">
        <f aca="false">IF(B37="","","B-"&amp;TEXT(ROW()-4,"0000"))</f>
        <v/>
      </c>
      <c r="B37" s="38"/>
      <c r="C37" s="38"/>
      <c r="D37" s="6"/>
      <c r="E37" s="6"/>
      <c r="F37" s="6"/>
      <c r="G37" s="11"/>
      <c r="H37" s="18" t="str">
        <f aca="false">IF(AND(ISNUMBER(B37),ISNUMBER(C37)),MAX(0,C37-B37),"")</f>
        <v/>
      </c>
      <c r="I37" s="37"/>
      <c r="J37" s="41" t="str">
        <f aca="false">IF(OR(D37="",N(H37)=0),"",IFERROR(IF(I37&lt;&gt;"",H37*I37,ROUND(((H37-(INT((WEEKDAY(B37-6)+H37-1)/7)+INT((WEEKDAY(B37-7)+H37-1)/7)))*INDEX(Properties!$E$5:$E$24,MATCH(D37,Properties!$A$5:$A$24,0))+(INT((WEEKDAY(B37-6)+H37-1)/7)+INT((WEEKDAY(B37-7)+H37-1)/7))*INDEX(Properties!$F$5:$F$24,MATCH(D37,Properties!$A$5:$A$24,0)))*(1-IF(H37&gt;=28,Settings!$B$10,IF(H37&gt;=7,Settings!$B$9,0))),2)),0))</f>
        <v/>
      </c>
      <c r="K37" s="41" t="str">
        <f aca="false">IF(J37="","",IFERROR(N(INDEX(Properties!$G$5:$G$24,MATCH(D37,Properties!$A$5:$A$24,0))),0))</f>
        <v/>
      </c>
      <c r="L37" s="41" t="str">
        <f aca="false">IF(J37="","",IFERROR(MAX(0,N(G37)-INDEX(Properties!$I$5:$I$24,MATCH(D37,Properties!$A$5:$A$24,0)))*N(INDEX(Properties!$J$5:$J$24,MATCH(D37,Properties!$A$5:$A$24,0)))*H37,0))</f>
        <v/>
      </c>
      <c r="M37" s="37"/>
      <c r="N37" s="41" t="str">
        <f aca="false">IF(J37="","",J37+K37+L37+N(M37))</f>
        <v/>
      </c>
      <c r="O37" s="41" t="str">
        <f aca="false">IF(N37="","",IF(P37&lt;&gt;"",N37-P37,ROUND(N37*IFERROR(INDEX(Settings!$E$5:$E$12,MATCH(F37,Settings!$D$5:$D$12,0)),0),2)))</f>
        <v/>
      </c>
      <c r="P37" s="37"/>
      <c r="Q37" s="41" t="str">
        <f aca="false">IF(N37="","",IF(P37&lt;&gt;"",P37,N37-O37))</f>
        <v/>
      </c>
      <c r="R37" s="41" t="str">
        <f aca="false">IF(J37="","",IFERROR(N(INDEX(Properties!$H$5:$H$24,MATCH(D37,Properties!$A$5:$A$24,0))),0))</f>
        <v/>
      </c>
      <c r="S37" s="41" t="str">
        <f aca="false">IF(Q37="","",Q37-R37)</f>
        <v/>
      </c>
      <c r="T37" s="6"/>
      <c r="U37" s="6"/>
      <c r="V37" s="6"/>
      <c r="W37" s="6"/>
      <c r="X37" s="6"/>
      <c r="Y37" s="8" t="str">
        <f aca="false">IF(OR(D37="",B37="",C37=""),"",IF(N(C37)&lt;=N(B37),"Check dates",IF(T37="Cancelled","",IF(COUNTIFS($D$5:$D$1004,D37,$B$5:$B$1004,"&lt;"&amp;C37,$C$5:$C$1004,"&gt;"&amp;B37,$T$5:$T$1004,"&lt;&gt;Cancelled")&gt;1,"Double-booked",""))))</f>
        <v/>
      </c>
      <c r="Z37" s="42" t="str">
        <f aca="false">IF(AND(AA37=1,ISNUMBER(C37)),C37+ROW()/100000,"")</f>
        <v/>
      </c>
      <c r="AA37" s="43" t="n">
        <f aca="false">IF(AND(D37&lt;&gt;"",ISNUMBER(B37),ISNUMBER(C37),N(H37)&gt;0,T37&lt;&gt;"Cancelled",J37&lt;&gt;""),1,0)</f>
        <v>0</v>
      </c>
      <c r="AB37" s="44" t="n">
        <f aca="false">IF(AA37=1,J37/H37,0)</f>
        <v>0</v>
      </c>
      <c r="AC37" s="44" t="n">
        <f aca="false">IF(AA37=1,Q37/H37,0)</f>
        <v>0</v>
      </c>
      <c r="AD37" s="44" t="n">
        <f aca="false">IF(AA37=1,R37/H37,0)</f>
        <v>0</v>
      </c>
      <c r="AE37" s="44" t="n">
        <f aca="false">IF(AA37=1,O37/H37,0)</f>
        <v>0</v>
      </c>
      <c r="AF37" s="44" t="n">
        <f aca="false">IF(AA37=1,K37/H37,0)</f>
        <v>0</v>
      </c>
      <c r="AG37" s="45" t="str">
        <f aca="false">IF(AA37=1,D37&amp;"|"&amp;TEXT(B37,"0"),"")</f>
        <v/>
      </c>
      <c r="AH37" s="43" t="n">
        <f aca="false">IF(AA37=1,H37,0)</f>
        <v>0</v>
      </c>
    </row>
    <row r="38" customFormat="false" ht="15" hidden="false" customHeight="false" outlineLevel="0" collapsed="false">
      <c r="A38" s="23" t="str">
        <f aca="false">IF(B38="","","B-"&amp;TEXT(ROW()-4,"0000"))</f>
        <v/>
      </c>
      <c r="B38" s="38"/>
      <c r="C38" s="38"/>
      <c r="D38" s="6"/>
      <c r="E38" s="6"/>
      <c r="F38" s="6"/>
      <c r="G38" s="11"/>
      <c r="H38" s="24" t="str">
        <f aca="false">IF(AND(ISNUMBER(B38),ISNUMBER(C38)),MAX(0,C38-B38),"")</f>
        <v/>
      </c>
      <c r="I38" s="37"/>
      <c r="J38" s="46" t="str">
        <f aca="false">IF(OR(D38="",N(H38)=0),"",IFERROR(IF(I38&lt;&gt;"",H38*I38,ROUND(((H38-(INT((WEEKDAY(B38-6)+H38-1)/7)+INT((WEEKDAY(B38-7)+H38-1)/7)))*INDEX(Properties!$E$5:$E$24,MATCH(D38,Properties!$A$5:$A$24,0))+(INT((WEEKDAY(B38-6)+H38-1)/7)+INT((WEEKDAY(B38-7)+H38-1)/7))*INDEX(Properties!$F$5:$F$24,MATCH(D38,Properties!$A$5:$A$24,0)))*(1-IF(H38&gt;=28,Settings!$B$10,IF(H38&gt;=7,Settings!$B$9,0))),2)),0))</f>
        <v/>
      </c>
      <c r="K38" s="46" t="str">
        <f aca="false">IF(J38="","",IFERROR(N(INDEX(Properties!$G$5:$G$24,MATCH(D38,Properties!$A$5:$A$24,0))),0))</f>
        <v/>
      </c>
      <c r="L38" s="46" t="str">
        <f aca="false">IF(J38="","",IFERROR(MAX(0,N(G38)-INDEX(Properties!$I$5:$I$24,MATCH(D38,Properties!$A$5:$A$24,0)))*N(INDEX(Properties!$J$5:$J$24,MATCH(D38,Properties!$A$5:$A$24,0)))*H38,0))</f>
        <v/>
      </c>
      <c r="M38" s="37"/>
      <c r="N38" s="46" t="str">
        <f aca="false">IF(J38="","",J38+K38+L38+N(M38))</f>
        <v/>
      </c>
      <c r="O38" s="46" t="str">
        <f aca="false">IF(N38="","",IF(P38&lt;&gt;"",N38-P38,ROUND(N38*IFERROR(INDEX(Settings!$E$5:$E$12,MATCH(F38,Settings!$D$5:$D$12,0)),0),2)))</f>
        <v/>
      </c>
      <c r="P38" s="37"/>
      <c r="Q38" s="46" t="str">
        <f aca="false">IF(N38="","",IF(P38&lt;&gt;"",P38,N38-O38))</f>
        <v/>
      </c>
      <c r="R38" s="46" t="str">
        <f aca="false">IF(J38="","",IFERROR(N(INDEX(Properties!$H$5:$H$24,MATCH(D38,Properties!$A$5:$A$24,0))),0))</f>
        <v/>
      </c>
      <c r="S38" s="46" t="str">
        <f aca="false">IF(Q38="","",Q38-R38)</f>
        <v/>
      </c>
      <c r="T38" s="6"/>
      <c r="U38" s="6"/>
      <c r="V38" s="6"/>
      <c r="W38" s="6"/>
      <c r="X38" s="6"/>
      <c r="Y38" s="8" t="str">
        <f aca="false">IF(OR(D38="",B38="",C38=""),"",IF(N(C38)&lt;=N(B38),"Check dates",IF(T38="Cancelled","",IF(COUNTIFS($D$5:$D$1004,D38,$B$5:$B$1004,"&lt;"&amp;C38,$C$5:$C$1004,"&gt;"&amp;B38,$T$5:$T$1004,"&lt;&gt;Cancelled")&gt;1,"Double-booked",""))))</f>
        <v/>
      </c>
      <c r="Z38" s="42" t="str">
        <f aca="false">IF(AND(AA38=1,ISNUMBER(C38)),C38+ROW()/100000,"")</f>
        <v/>
      </c>
      <c r="AA38" s="43" t="n">
        <f aca="false">IF(AND(D38&lt;&gt;"",ISNUMBER(B38),ISNUMBER(C38),N(H38)&gt;0,T38&lt;&gt;"Cancelled",J38&lt;&gt;""),1,0)</f>
        <v>0</v>
      </c>
      <c r="AB38" s="44" t="n">
        <f aca="false">IF(AA38=1,J38/H38,0)</f>
        <v>0</v>
      </c>
      <c r="AC38" s="44" t="n">
        <f aca="false">IF(AA38=1,Q38/H38,0)</f>
        <v>0</v>
      </c>
      <c r="AD38" s="44" t="n">
        <f aca="false">IF(AA38=1,R38/H38,0)</f>
        <v>0</v>
      </c>
      <c r="AE38" s="44" t="n">
        <f aca="false">IF(AA38=1,O38/H38,0)</f>
        <v>0</v>
      </c>
      <c r="AF38" s="44" t="n">
        <f aca="false">IF(AA38=1,K38/H38,0)</f>
        <v>0</v>
      </c>
      <c r="AG38" s="45" t="str">
        <f aca="false">IF(AA38=1,D38&amp;"|"&amp;TEXT(B38,"0"),"")</f>
        <v/>
      </c>
      <c r="AH38" s="43" t="n">
        <f aca="false">IF(AA38=1,H38,0)</f>
        <v>0</v>
      </c>
    </row>
    <row r="39" customFormat="false" ht="15" hidden="false" customHeight="false" outlineLevel="0" collapsed="false">
      <c r="A39" s="8" t="str">
        <f aca="false">IF(B39="","","B-"&amp;TEXT(ROW()-4,"0000"))</f>
        <v/>
      </c>
      <c r="B39" s="38"/>
      <c r="C39" s="38"/>
      <c r="D39" s="6"/>
      <c r="E39" s="6"/>
      <c r="F39" s="6"/>
      <c r="G39" s="11"/>
      <c r="H39" s="18" t="str">
        <f aca="false">IF(AND(ISNUMBER(B39),ISNUMBER(C39)),MAX(0,C39-B39),"")</f>
        <v/>
      </c>
      <c r="I39" s="37"/>
      <c r="J39" s="41" t="str">
        <f aca="false">IF(OR(D39="",N(H39)=0),"",IFERROR(IF(I39&lt;&gt;"",H39*I39,ROUND(((H39-(INT((WEEKDAY(B39-6)+H39-1)/7)+INT((WEEKDAY(B39-7)+H39-1)/7)))*INDEX(Properties!$E$5:$E$24,MATCH(D39,Properties!$A$5:$A$24,0))+(INT((WEEKDAY(B39-6)+H39-1)/7)+INT((WEEKDAY(B39-7)+H39-1)/7))*INDEX(Properties!$F$5:$F$24,MATCH(D39,Properties!$A$5:$A$24,0)))*(1-IF(H39&gt;=28,Settings!$B$10,IF(H39&gt;=7,Settings!$B$9,0))),2)),0))</f>
        <v/>
      </c>
      <c r="K39" s="41" t="str">
        <f aca="false">IF(J39="","",IFERROR(N(INDEX(Properties!$G$5:$G$24,MATCH(D39,Properties!$A$5:$A$24,0))),0))</f>
        <v/>
      </c>
      <c r="L39" s="41" t="str">
        <f aca="false">IF(J39="","",IFERROR(MAX(0,N(G39)-INDEX(Properties!$I$5:$I$24,MATCH(D39,Properties!$A$5:$A$24,0)))*N(INDEX(Properties!$J$5:$J$24,MATCH(D39,Properties!$A$5:$A$24,0)))*H39,0))</f>
        <v/>
      </c>
      <c r="M39" s="37"/>
      <c r="N39" s="41" t="str">
        <f aca="false">IF(J39="","",J39+K39+L39+N(M39))</f>
        <v/>
      </c>
      <c r="O39" s="41" t="str">
        <f aca="false">IF(N39="","",IF(P39&lt;&gt;"",N39-P39,ROUND(N39*IFERROR(INDEX(Settings!$E$5:$E$12,MATCH(F39,Settings!$D$5:$D$12,0)),0),2)))</f>
        <v/>
      </c>
      <c r="P39" s="37"/>
      <c r="Q39" s="41" t="str">
        <f aca="false">IF(N39="","",IF(P39&lt;&gt;"",P39,N39-O39))</f>
        <v/>
      </c>
      <c r="R39" s="41" t="str">
        <f aca="false">IF(J39="","",IFERROR(N(INDEX(Properties!$H$5:$H$24,MATCH(D39,Properties!$A$5:$A$24,0))),0))</f>
        <v/>
      </c>
      <c r="S39" s="41" t="str">
        <f aca="false">IF(Q39="","",Q39-R39)</f>
        <v/>
      </c>
      <c r="T39" s="6"/>
      <c r="U39" s="6"/>
      <c r="V39" s="6"/>
      <c r="W39" s="6"/>
      <c r="X39" s="6"/>
      <c r="Y39" s="8" t="str">
        <f aca="false">IF(OR(D39="",B39="",C39=""),"",IF(N(C39)&lt;=N(B39),"Check dates",IF(T39="Cancelled","",IF(COUNTIFS($D$5:$D$1004,D39,$B$5:$B$1004,"&lt;"&amp;C39,$C$5:$C$1004,"&gt;"&amp;B39,$T$5:$T$1004,"&lt;&gt;Cancelled")&gt;1,"Double-booked",""))))</f>
        <v/>
      </c>
      <c r="Z39" s="42" t="str">
        <f aca="false">IF(AND(AA39=1,ISNUMBER(C39)),C39+ROW()/100000,"")</f>
        <v/>
      </c>
      <c r="AA39" s="43" t="n">
        <f aca="false">IF(AND(D39&lt;&gt;"",ISNUMBER(B39),ISNUMBER(C39),N(H39)&gt;0,T39&lt;&gt;"Cancelled",J39&lt;&gt;""),1,0)</f>
        <v>0</v>
      </c>
      <c r="AB39" s="44" t="n">
        <f aca="false">IF(AA39=1,J39/H39,0)</f>
        <v>0</v>
      </c>
      <c r="AC39" s="44" t="n">
        <f aca="false">IF(AA39=1,Q39/H39,0)</f>
        <v>0</v>
      </c>
      <c r="AD39" s="44" t="n">
        <f aca="false">IF(AA39=1,R39/H39,0)</f>
        <v>0</v>
      </c>
      <c r="AE39" s="44" t="n">
        <f aca="false">IF(AA39=1,O39/H39,0)</f>
        <v>0</v>
      </c>
      <c r="AF39" s="44" t="n">
        <f aca="false">IF(AA39=1,K39/H39,0)</f>
        <v>0</v>
      </c>
      <c r="AG39" s="45" t="str">
        <f aca="false">IF(AA39=1,D39&amp;"|"&amp;TEXT(B39,"0"),"")</f>
        <v/>
      </c>
      <c r="AH39" s="43" t="n">
        <f aca="false">IF(AA39=1,H39,0)</f>
        <v>0</v>
      </c>
    </row>
    <row r="40" customFormat="false" ht="15" hidden="false" customHeight="false" outlineLevel="0" collapsed="false">
      <c r="A40" s="23" t="str">
        <f aca="false">IF(B40="","","B-"&amp;TEXT(ROW()-4,"0000"))</f>
        <v/>
      </c>
      <c r="B40" s="38"/>
      <c r="C40" s="38"/>
      <c r="D40" s="6"/>
      <c r="E40" s="6"/>
      <c r="F40" s="6"/>
      <c r="G40" s="11"/>
      <c r="H40" s="24" t="str">
        <f aca="false">IF(AND(ISNUMBER(B40),ISNUMBER(C40)),MAX(0,C40-B40),"")</f>
        <v/>
      </c>
      <c r="I40" s="37"/>
      <c r="J40" s="46" t="str">
        <f aca="false">IF(OR(D40="",N(H40)=0),"",IFERROR(IF(I40&lt;&gt;"",H40*I40,ROUND(((H40-(INT((WEEKDAY(B40-6)+H40-1)/7)+INT((WEEKDAY(B40-7)+H40-1)/7)))*INDEX(Properties!$E$5:$E$24,MATCH(D40,Properties!$A$5:$A$24,0))+(INT((WEEKDAY(B40-6)+H40-1)/7)+INT((WEEKDAY(B40-7)+H40-1)/7))*INDEX(Properties!$F$5:$F$24,MATCH(D40,Properties!$A$5:$A$24,0)))*(1-IF(H40&gt;=28,Settings!$B$10,IF(H40&gt;=7,Settings!$B$9,0))),2)),0))</f>
        <v/>
      </c>
      <c r="K40" s="46" t="str">
        <f aca="false">IF(J40="","",IFERROR(N(INDEX(Properties!$G$5:$G$24,MATCH(D40,Properties!$A$5:$A$24,0))),0))</f>
        <v/>
      </c>
      <c r="L40" s="46" t="str">
        <f aca="false">IF(J40="","",IFERROR(MAX(0,N(G40)-INDEX(Properties!$I$5:$I$24,MATCH(D40,Properties!$A$5:$A$24,0)))*N(INDEX(Properties!$J$5:$J$24,MATCH(D40,Properties!$A$5:$A$24,0)))*H40,0))</f>
        <v/>
      </c>
      <c r="M40" s="37"/>
      <c r="N40" s="46" t="str">
        <f aca="false">IF(J40="","",J40+K40+L40+N(M40))</f>
        <v/>
      </c>
      <c r="O40" s="46" t="str">
        <f aca="false">IF(N40="","",IF(P40&lt;&gt;"",N40-P40,ROUND(N40*IFERROR(INDEX(Settings!$E$5:$E$12,MATCH(F40,Settings!$D$5:$D$12,0)),0),2)))</f>
        <v/>
      </c>
      <c r="P40" s="37"/>
      <c r="Q40" s="46" t="str">
        <f aca="false">IF(N40="","",IF(P40&lt;&gt;"",P40,N40-O40))</f>
        <v/>
      </c>
      <c r="R40" s="46" t="str">
        <f aca="false">IF(J40="","",IFERROR(N(INDEX(Properties!$H$5:$H$24,MATCH(D40,Properties!$A$5:$A$24,0))),0))</f>
        <v/>
      </c>
      <c r="S40" s="46" t="str">
        <f aca="false">IF(Q40="","",Q40-R40)</f>
        <v/>
      </c>
      <c r="T40" s="6"/>
      <c r="U40" s="6"/>
      <c r="V40" s="6"/>
      <c r="W40" s="6"/>
      <c r="X40" s="6"/>
      <c r="Y40" s="8" t="str">
        <f aca="false">IF(OR(D40="",B40="",C40=""),"",IF(N(C40)&lt;=N(B40),"Check dates",IF(T40="Cancelled","",IF(COUNTIFS($D$5:$D$1004,D40,$B$5:$B$1004,"&lt;"&amp;C40,$C$5:$C$1004,"&gt;"&amp;B40,$T$5:$T$1004,"&lt;&gt;Cancelled")&gt;1,"Double-booked",""))))</f>
        <v/>
      </c>
      <c r="Z40" s="42" t="str">
        <f aca="false">IF(AND(AA40=1,ISNUMBER(C40)),C40+ROW()/100000,"")</f>
        <v/>
      </c>
      <c r="AA40" s="43" t="n">
        <f aca="false">IF(AND(D40&lt;&gt;"",ISNUMBER(B40),ISNUMBER(C40),N(H40)&gt;0,T40&lt;&gt;"Cancelled",J40&lt;&gt;""),1,0)</f>
        <v>0</v>
      </c>
      <c r="AB40" s="44" t="n">
        <f aca="false">IF(AA40=1,J40/H40,0)</f>
        <v>0</v>
      </c>
      <c r="AC40" s="44" t="n">
        <f aca="false">IF(AA40=1,Q40/H40,0)</f>
        <v>0</v>
      </c>
      <c r="AD40" s="44" t="n">
        <f aca="false">IF(AA40=1,R40/H40,0)</f>
        <v>0</v>
      </c>
      <c r="AE40" s="44" t="n">
        <f aca="false">IF(AA40=1,O40/H40,0)</f>
        <v>0</v>
      </c>
      <c r="AF40" s="44" t="n">
        <f aca="false">IF(AA40=1,K40/H40,0)</f>
        <v>0</v>
      </c>
      <c r="AG40" s="45" t="str">
        <f aca="false">IF(AA40=1,D40&amp;"|"&amp;TEXT(B40,"0"),"")</f>
        <v/>
      </c>
      <c r="AH40" s="43" t="n">
        <f aca="false">IF(AA40=1,H40,0)</f>
        <v>0</v>
      </c>
    </row>
    <row r="41" customFormat="false" ht="15" hidden="false" customHeight="false" outlineLevel="0" collapsed="false">
      <c r="A41" s="8" t="str">
        <f aca="false">IF(B41="","","B-"&amp;TEXT(ROW()-4,"0000"))</f>
        <v/>
      </c>
      <c r="B41" s="38"/>
      <c r="C41" s="38"/>
      <c r="D41" s="6"/>
      <c r="E41" s="6"/>
      <c r="F41" s="6"/>
      <c r="G41" s="11"/>
      <c r="H41" s="18" t="str">
        <f aca="false">IF(AND(ISNUMBER(B41),ISNUMBER(C41)),MAX(0,C41-B41),"")</f>
        <v/>
      </c>
      <c r="I41" s="37"/>
      <c r="J41" s="41" t="str">
        <f aca="false">IF(OR(D41="",N(H41)=0),"",IFERROR(IF(I41&lt;&gt;"",H41*I41,ROUND(((H41-(INT((WEEKDAY(B41-6)+H41-1)/7)+INT((WEEKDAY(B41-7)+H41-1)/7)))*INDEX(Properties!$E$5:$E$24,MATCH(D41,Properties!$A$5:$A$24,0))+(INT((WEEKDAY(B41-6)+H41-1)/7)+INT((WEEKDAY(B41-7)+H41-1)/7))*INDEX(Properties!$F$5:$F$24,MATCH(D41,Properties!$A$5:$A$24,0)))*(1-IF(H41&gt;=28,Settings!$B$10,IF(H41&gt;=7,Settings!$B$9,0))),2)),0))</f>
        <v/>
      </c>
      <c r="K41" s="41" t="str">
        <f aca="false">IF(J41="","",IFERROR(N(INDEX(Properties!$G$5:$G$24,MATCH(D41,Properties!$A$5:$A$24,0))),0))</f>
        <v/>
      </c>
      <c r="L41" s="41" t="str">
        <f aca="false">IF(J41="","",IFERROR(MAX(0,N(G41)-INDEX(Properties!$I$5:$I$24,MATCH(D41,Properties!$A$5:$A$24,0)))*N(INDEX(Properties!$J$5:$J$24,MATCH(D41,Properties!$A$5:$A$24,0)))*H41,0))</f>
        <v/>
      </c>
      <c r="M41" s="37"/>
      <c r="N41" s="41" t="str">
        <f aca="false">IF(J41="","",J41+K41+L41+N(M41))</f>
        <v/>
      </c>
      <c r="O41" s="41" t="str">
        <f aca="false">IF(N41="","",IF(P41&lt;&gt;"",N41-P41,ROUND(N41*IFERROR(INDEX(Settings!$E$5:$E$12,MATCH(F41,Settings!$D$5:$D$12,0)),0),2)))</f>
        <v/>
      </c>
      <c r="P41" s="37"/>
      <c r="Q41" s="41" t="str">
        <f aca="false">IF(N41="","",IF(P41&lt;&gt;"",P41,N41-O41))</f>
        <v/>
      </c>
      <c r="R41" s="41" t="str">
        <f aca="false">IF(J41="","",IFERROR(N(INDEX(Properties!$H$5:$H$24,MATCH(D41,Properties!$A$5:$A$24,0))),0))</f>
        <v/>
      </c>
      <c r="S41" s="41" t="str">
        <f aca="false">IF(Q41="","",Q41-R41)</f>
        <v/>
      </c>
      <c r="T41" s="6"/>
      <c r="U41" s="6"/>
      <c r="V41" s="6"/>
      <c r="W41" s="6"/>
      <c r="X41" s="6"/>
      <c r="Y41" s="8" t="str">
        <f aca="false">IF(OR(D41="",B41="",C41=""),"",IF(N(C41)&lt;=N(B41),"Check dates",IF(T41="Cancelled","",IF(COUNTIFS($D$5:$D$1004,D41,$B$5:$B$1004,"&lt;"&amp;C41,$C$5:$C$1004,"&gt;"&amp;B41,$T$5:$T$1004,"&lt;&gt;Cancelled")&gt;1,"Double-booked",""))))</f>
        <v/>
      </c>
      <c r="Z41" s="42" t="str">
        <f aca="false">IF(AND(AA41=1,ISNUMBER(C41)),C41+ROW()/100000,"")</f>
        <v/>
      </c>
      <c r="AA41" s="43" t="n">
        <f aca="false">IF(AND(D41&lt;&gt;"",ISNUMBER(B41),ISNUMBER(C41),N(H41)&gt;0,T41&lt;&gt;"Cancelled",J41&lt;&gt;""),1,0)</f>
        <v>0</v>
      </c>
      <c r="AB41" s="44" t="n">
        <f aca="false">IF(AA41=1,J41/H41,0)</f>
        <v>0</v>
      </c>
      <c r="AC41" s="44" t="n">
        <f aca="false">IF(AA41=1,Q41/H41,0)</f>
        <v>0</v>
      </c>
      <c r="AD41" s="44" t="n">
        <f aca="false">IF(AA41=1,R41/H41,0)</f>
        <v>0</v>
      </c>
      <c r="AE41" s="44" t="n">
        <f aca="false">IF(AA41=1,O41/H41,0)</f>
        <v>0</v>
      </c>
      <c r="AF41" s="44" t="n">
        <f aca="false">IF(AA41=1,K41/H41,0)</f>
        <v>0</v>
      </c>
      <c r="AG41" s="45" t="str">
        <f aca="false">IF(AA41=1,D41&amp;"|"&amp;TEXT(B41,"0"),"")</f>
        <v/>
      </c>
      <c r="AH41" s="43" t="n">
        <f aca="false">IF(AA41=1,H41,0)</f>
        <v>0</v>
      </c>
    </row>
    <row r="42" customFormat="false" ht="15" hidden="false" customHeight="false" outlineLevel="0" collapsed="false">
      <c r="A42" s="23" t="str">
        <f aca="false">IF(B42="","","B-"&amp;TEXT(ROW()-4,"0000"))</f>
        <v/>
      </c>
      <c r="B42" s="38"/>
      <c r="C42" s="38"/>
      <c r="D42" s="6"/>
      <c r="E42" s="6"/>
      <c r="F42" s="6"/>
      <c r="G42" s="11"/>
      <c r="H42" s="24" t="str">
        <f aca="false">IF(AND(ISNUMBER(B42),ISNUMBER(C42)),MAX(0,C42-B42),"")</f>
        <v/>
      </c>
      <c r="I42" s="37"/>
      <c r="J42" s="46" t="str">
        <f aca="false">IF(OR(D42="",N(H42)=0),"",IFERROR(IF(I42&lt;&gt;"",H42*I42,ROUND(((H42-(INT((WEEKDAY(B42-6)+H42-1)/7)+INT((WEEKDAY(B42-7)+H42-1)/7)))*INDEX(Properties!$E$5:$E$24,MATCH(D42,Properties!$A$5:$A$24,0))+(INT((WEEKDAY(B42-6)+H42-1)/7)+INT((WEEKDAY(B42-7)+H42-1)/7))*INDEX(Properties!$F$5:$F$24,MATCH(D42,Properties!$A$5:$A$24,0)))*(1-IF(H42&gt;=28,Settings!$B$10,IF(H42&gt;=7,Settings!$B$9,0))),2)),0))</f>
        <v/>
      </c>
      <c r="K42" s="46" t="str">
        <f aca="false">IF(J42="","",IFERROR(N(INDEX(Properties!$G$5:$G$24,MATCH(D42,Properties!$A$5:$A$24,0))),0))</f>
        <v/>
      </c>
      <c r="L42" s="46" t="str">
        <f aca="false">IF(J42="","",IFERROR(MAX(0,N(G42)-INDEX(Properties!$I$5:$I$24,MATCH(D42,Properties!$A$5:$A$24,0)))*N(INDEX(Properties!$J$5:$J$24,MATCH(D42,Properties!$A$5:$A$24,0)))*H42,0))</f>
        <v/>
      </c>
      <c r="M42" s="37"/>
      <c r="N42" s="46" t="str">
        <f aca="false">IF(J42="","",J42+K42+L42+N(M42))</f>
        <v/>
      </c>
      <c r="O42" s="46" t="str">
        <f aca="false">IF(N42="","",IF(P42&lt;&gt;"",N42-P42,ROUND(N42*IFERROR(INDEX(Settings!$E$5:$E$12,MATCH(F42,Settings!$D$5:$D$12,0)),0),2)))</f>
        <v/>
      </c>
      <c r="P42" s="37"/>
      <c r="Q42" s="46" t="str">
        <f aca="false">IF(N42="","",IF(P42&lt;&gt;"",P42,N42-O42))</f>
        <v/>
      </c>
      <c r="R42" s="46" t="str">
        <f aca="false">IF(J42="","",IFERROR(N(INDEX(Properties!$H$5:$H$24,MATCH(D42,Properties!$A$5:$A$24,0))),0))</f>
        <v/>
      </c>
      <c r="S42" s="46" t="str">
        <f aca="false">IF(Q42="","",Q42-R42)</f>
        <v/>
      </c>
      <c r="T42" s="6"/>
      <c r="U42" s="6"/>
      <c r="V42" s="6"/>
      <c r="W42" s="6"/>
      <c r="X42" s="6"/>
      <c r="Y42" s="8" t="str">
        <f aca="false">IF(OR(D42="",B42="",C42=""),"",IF(N(C42)&lt;=N(B42),"Check dates",IF(T42="Cancelled","",IF(COUNTIFS($D$5:$D$1004,D42,$B$5:$B$1004,"&lt;"&amp;C42,$C$5:$C$1004,"&gt;"&amp;B42,$T$5:$T$1004,"&lt;&gt;Cancelled")&gt;1,"Double-booked",""))))</f>
        <v/>
      </c>
      <c r="Z42" s="42" t="str">
        <f aca="false">IF(AND(AA42=1,ISNUMBER(C42)),C42+ROW()/100000,"")</f>
        <v/>
      </c>
      <c r="AA42" s="43" t="n">
        <f aca="false">IF(AND(D42&lt;&gt;"",ISNUMBER(B42),ISNUMBER(C42),N(H42)&gt;0,T42&lt;&gt;"Cancelled",J42&lt;&gt;""),1,0)</f>
        <v>0</v>
      </c>
      <c r="AB42" s="44" t="n">
        <f aca="false">IF(AA42=1,J42/H42,0)</f>
        <v>0</v>
      </c>
      <c r="AC42" s="44" t="n">
        <f aca="false">IF(AA42=1,Q42/H42,0)</f>
        <v>0</v>
      </c>
      <c r="AD42" s="44" t="n">
        <f aca="false">IF(AA42=1,R42/H42,0)</f>
        <v>0</v>
      </c>
      <c r="AE42" s="44" t="n">
        <f aca="false">IF(AA42=1,O42/H42,0)</f>
        <v>0</v>
      </c>
      <c r="AF42" s="44" t="n">
        <f aca="false">IF(AA42=1,K42/H42,0)</f>
        <v>0</v>
      </c>
      <c r="AG42" s="45" t="str">
        <f aca="false">IF(AA42=1,D42&amp;"|"&amp;TEXT(B42,"0"),"")</f>
        <v/>
      </c>
      <c r="AH42" s="43" t="n">
        <f aca="false">IF(AA42=1,H42,0)</f>
        <v>0</v>
      </c>
    </row>
    <row r="43" customFormat="false" ht="15" hidden="false" customHeight="false" outlineLevel="0" collapsed="false">
      <c r="A43" s="8" t="str">
        <f aca="false">IF(B43="","","B-"&amp;TEXT(ROW()-4,"0000"))</f>
        <v/>
      </c>
      <c r="B43" s="38"/>
      <c r="C43" s="38"/>
      <c r="D43" s="6"/>
      <c r="E43" s="6"/>
      <c r="F43" s="6"/>
      <c r="G43" s="11"/>
      <c r="H43" s="18" t="str">
        <f aca="false">IF(AND(ISNUMBER(B43),ISNUMBER(C43)),MAX(0,C43-B43),"")</f>
        <v/>
      </c>
      <c r="I43" s="37"/>
      <c r="J43" s="41" t="str">
        <f aca="false">IF(OR(D43="",N(H43)=0),"",IFERROR(IF(I43&lt;&gt;"",H43*I43,ROUND(((H43-(INT((WEEKDAY(B43-6)+H43-1)/7)+INT((WEEKDAY(B43-7)+H43-1)/7)))*INDEX(Properties!$E$5:$E$24,MATCH(D43,Properties!$A$5:$A$24,0))+(INT((WEEKDAY(B43-6)+H43-1)/7)+INT((WEEKDAY(B43-7)+H43-1)/7))*INDEX(Properties!$F$5:$F$24,MATCH(D43,Properties!$A$5:$A$24,0)))*(1-IF(H43&gt;=28,Settings!$B$10,IF(H43&gt;=7,Settings!$B$9,0))),2)),0))</f>
        <v/>
      </c>
      <c r="K43" s="41" t="str">
        <f aca="false">IF(J43="","",IFERROR(N(INDEX(Properties!$G$5:$G$24,MATCH(D43,Properties!$A$5:$A$24,0))),0))</f>
        <v/>
      </c>
      <c r="L43" s="41" t="str">
        <f aca="false">IF(J43="","",IFERROR(MAX(0,N(G43)-INDEX(Properties!$I$5:$I$24,MATCH(D43,Properties!$A$5:$A$24,0)))*N(INDEX(Properties!$J$5:$J$24,MATCH(D43,Properties!$A$5:$A$24,0)))*H43,0))</f>
        <v/>
      </c>
      <c r="M43" s="37"/>
      <c r="N43" s="41" t="str">
        <f aca="false">IF(J43="","",J43+K43+L43+N(M43))</f>
        <v/>
      </c>
      <c r="O43" s="41" t="str">
        <f aca="false">IF(N43="","",IF(P43&lt;&gt;"",N43-P43,ROUND(N43*IFERROR(INDEX(Settings!$E$5:$E$12,MATCH(F43,Settings!$D$5:$D$12,0)),0),2)))</f>
        <v/>
      </c>
      <c r="P43" s="37"/>
      <c r="Q43" s="41" t="str">
        <f aca="false">IF(N43="","",IF(P43&lt;&gt;"",P43,N43-O43))</f>
        <v/>
      </c>
      <c r="R43" s="41" t="str">
        <f aca="false">IF(J43="","",IFERROR(N(INDEX(Properties!$H$5:$H$24,MATCH(D43,Properties!$A$5:$A$24,0))),0))</f>
        <v/>
      </c>
      <c r="S43" s="41" t="str">
        <f aca="false">IF(Q43="","",Q43-R43)</f>
        <v/>
      </c>
      <c r="T43" s="6"/>
      <c r="U43" s="6"/>
      <c r="V43" s="6"/>
      <c r="W43" s="6"/>
      <c r="X43" s="6"/>
      <c r="Y43" s="8" t="str">
        <f aca="false">IF(OR(D43="",B43="",C43=""),"",IF(N(C43)&lt;=N(B43),"Check dates",IF(T43="Cancelled","",IF(COUNTIFS($D$5:$D$1004,D43,$B$5:$B$1004,"&lt;"&amp;C43,$C$5:$C$1004,"&gt;"&amp;B43,$T$5:$T$1004,"&lt;&gt;Cancelled")&gt;1,"Double-booked",""))))</f>
        <v/>
      </c>
      <c r="Z43" s="42" t="str">
        <f aca="false">IF(AND(AA43=1,ISNUMBER(C43)),C43+ROW()/100000,"")</f>
        <v/>
      </c>
      <c r="AA43" s="43" t="n">
        <f aca="false">IF(AND(D43&lt;&gt;"",ISNUMBER(B43),ISNUMBER(C43),N(H43)&gt;0,T43&lt;&gt;"Cancelled",J43&lt;&gt;""),1,0)</f>
        <v>0</v>
      </c>
      <c r="AB43" s="44" t="n">
        <f aca="false">IF(AA43=1,J43/H43,0)</f>
        <v>0</v>
      </c>
      <c r="AC43" s="44" t="n">
        <f aca="false">IF(AA43=1,Q43/H43,0)</f>
        <v>0</v>
      </c>
      <c r="AD43" s="44" t="n">
        <f aca="false">IF(AA43=1,R43/H43,0)</f>
        <v>0</v>
      </c>
      <c r="AE43" s="44" t="n">
        <f aca="false">IF(AA43=1,O43/H43,0)</f>
        <v>0</v>
      </c>
      <c r="AF43" s="44" t="n">
        <f aca="false">IF(AA43=1,K43/H43,0)</f>
        <v>0</v>
      </c>
      <c r="AG43" s="45" t="str">
        <f aca="false">IF(AA43=1,D43&amp;"|"&amp;TEXT(B43,"0"),"")</f>
        <v/>
      </c>
      <c r="AH43" s="43" t="n">
        <f aca="false">IF(AA43=1,H43,0)</f>
        <v>0</v>
      </c>
    </row>
    <row r="44" customFormat="false" ht="15" hidden="false" customHeight="false" outlineLevel="0" collapsed="false">
      <c r="A44" s="23" t="str">
        <f aca="false">IF(B44="","","B-"&amp;TEXT(ROW()-4,"0000"))</f>
        <v/>
      </c>
      <c r="B44" s="38"/>
      <c r="C44" s="38"/>
      <c r="D44" s="6"/>
      <c r="E44" s="6"/>
      <c r="F44" s="6"/>
      <c r="G44" s="11"/>
      <c r="H44" s="24" t="str">
        <f aca="false">IF(AND(ISNUMBER(B44),ISNUMBER(C44)),MAX(0,C44-B44),"")</f>
        <v/>
      </c>
      <c r="I44" s="37"/>
      <c r="J44" s="46" t="str">
        <f aca="false">IF(OR(D44="",N(H44)=0),"",IFERROR(IF(I44&lt;&gt;"",H44*I44,ROUND(((H44-(INT((WEEKDAY(B44-6)+H44-1)/7)+INT((WEEKDAY(B44-7)+H44-1)/7)))*INDEX(Properties!$E$5:$E$24,MATCH(D44,Properties!$A$5:$A$24,0))+(INT((WEEKDAY(B44-6)+H44-1)/7)+INT((WEEKDAY(B44-7)+H44-1)/7))*INDEX(Properties!$F$5:$F$24,MATCH(D44,Properties!$A$5:$A$24,0)))*(1-IF(H44&gt;=28,Settings!$B$10,IF(H44&gt;=7,Settings!$B$9,0))),2)),0))</f>
        <v/>
      </c>
      <c r="K44" s="46" t="str">
        <f aca="false">IF(J44="","",IFERROR(N(INDEX(Properties!$G$5:$G$24,MATCH(D44,Properties!$A$5:$A$24,0))),0))</f>
        <v/>
      </c>
      <c r="L44" s="46" t="str">
        <f aca="false">IF(J44="","",IFERROR(MAX(0,N(G44)-INDEX(Properties!$I$5:$I$24,MATCH(D44,Properties!$A$5:$A$24,0)))*N(INDEX(Properties!$J$5:$J$24,MATCH(D44,Properties!$A$5:$A$24,0)))*H44,0))</f>
        <v/>
      </c>
      <c r="M44" s="37"/>
      <c r="N44" s="46" t="str">
        <f aca="false">IF(J44="","",J44+K44+L44+N(M44))</f>
        <v/>
      </c>
      <c r="O44" s="46" t="str">
        <f aca="false">IF(N44="","",IF(P44&lt;&gt;"",N44-P44,ROUND(N44*IFERROR(INDEX(Settings!$E$5:$E$12,MATCH(F44,Settings!$D$5:$D$12,0)),0),2)))</f>
        <v/>
      </c>
      <c r="P44" s="37"/>
      <c r="Q44" s="46" t="str">
        <f aca="false">IF(N44="","",IF(P44&lt;&gt;"",P44,N44-O44))</f>
        <v/>
      </c>
      <c r="R44" s="46" t="str">
        <f aca="false">IF(J44="","",IFERROR(N(INDEX(Properties!$H$5:$H$24,MATCH(D44,Properties!$A$5:$A$24,0))),0))</f>
        <v/>
      </c>
      <c r="S44" s="46" t="str">
        <f aca="false">IF(Q44="","",Q44-R44)</f>
        <v/>
      </c>
      <c r="T44" s="6"/>
      <c r="U44" s="6"/>
      <c r="V44" s="6"/>
      <c r="W44" s="6"/>
      <c r="X44" s="6"/>
      <c r="Y44" s="8" t="str">
        <f aca="false">IF(OR(D44="",B44="",C44=""),"",IF(N(C44)&lt;=N(B44),"Check dates",IF(T44="Cancelled","",IF(COUNTIFS($D$5:$D$1004,D44,$B$5:$B$1004,"&lt;"&amp;C44,$C$5:$C$1004,"&gt;"&amp;B44,$T$5:$T$1004,"&lt;&gt;Cancelled")&gt;1,"Double-booked",""))))</f>
        <v/>
      </c>
      <c r="Z44" s="42" t="str">
        <f aca="false">IF(AND(AA44=1,ISNUMBER(C44)),C44+ROW()/100000,"")</f>
        <v/>
      </c>
      <c r="AA44" s="43" t="n">
        <f aca="false">IF(AND(D44&lt;&gt;"",ISNUMBER(B44),ISNUMBER(C44),N(H44)&gt;0,T44&lt;&gt;"Cancelled",J44&lt;&gt;""),1,0)</f>
        <v>0</v>
      </c>
      <c r="AB44" s="44" t="n">
        <f aca="false">IF(AA44=1,J44/H44,0)</f>
        <v>0</v>
      </c>
      <c r="AC44" s="44" t="n">
        <f aca="false">IF(AA44=1,Q44/H44,0)</f>
        <v>0</v>
      </c>
      <c r="AD44" s="44" t="n">
        <f aca="false">IF(AA44=1,R44/H44,0)</f>
        <v>0</v>
      </c>
      <c r="AE44" s="44" t="n">
        <f aca="false">IF(AA44=1,O44/H44,0)</f>
        <v>0</v>
      </c>
      <c r="AF44" s="44" t="n">
        <f aca="false">IF(AA44=1,K44/H44,0)</f>
        <v>0</v>
      </c>
      <c r="AG44" s="45" t="str">
        <f aca="false">IF(AA44=1,D44&amp;"|"&amp;TEXT(B44,"0"),"")</f>
        <v/>
      </c>
      <c r="AH44" s="43" t="n">
        <f aca="false">IF(AA44=1,H44,0)</f>
        <v>0</v>
      </c>
    </row>
    <row r="45" customFormat="false" ht="15" hidden="false" customHeight="false" outlineLevel="0" collapsed="false">
      <c r="A45" s="8" t="str">
        <f aca="false">IF(B45="","","B-"&amp;TEXT(ROW()-4,"0000"))</f>
        <v/>
      </c>
      <c r="B45" s="38"/>
      <c r="C45" s="38"/>
      <c r="D45" s="6"/>
      <c r="E45" s="6"/>
      <c r="F45" s="6"/>
      <c r="G45" s="11"/>
      <c r="H45" s="18" t="str">
        <f aca="false">IF(AND(ISNUMBER(B45),ISNUMBER(C45)),MAX(0,C45-B45),"")</f>
        <v/>
      </c>
      <c r="I45" s="37"/>
      <c r="J45" s="41" t="str">
        <f aca="false">IF(OR(D45="",N(H45)=0),"",IFERROR(IF(I45&lt;&gt;"",H45*I45,ROUND(((H45-(INT((WEEKDAY(B45-6)+H45-1)/7)+INT((WEEKDAY(B45-7)+H45-1)/7)))*INDEX(Properties!$E$5:$E$24,MATCH(D45,Properties!$A$5:$A$24,0))+(INT((WEEKDAY(B45-6)+H45-1)/7)+INT((WEEKDAY(B45-7)+H45-1)/7))*INDEX(Properties!$F$5:$F$24,MATCH(D45,Properties!$A$5:$A$24,0)))*(1-IF(H45&gt;=28,Settings!$B$10,IF(H45&gt;=7,Settings!$B$9,0))),2)),0))</f>
        <v/>
      </c>
      <c r="K45" s="41" t="str">
        <f aca="false">IF(J45="","",IFERROR(N(INDEX(Properties!$G$5:$G$24,MATCH(D45,Properties!$A$5:$A$24,0))),0))</f>
        <v/>
      </c>
      <c r="L45" s="41" t="str">
        <f aca="false">IF(J45="","",IFERROR(MAX(0,N(G45)-INDEX(Properties!$I$5:$I$24,MATCH(D45,Properties!$A$5:$A$24,0)))*N(INDEX(Properties!$J$5:$J$24,MATCH(D45,Properties!$A$5:$A$24,0)))*H45,0))</f>
        <v/>
      </c>
      <c r="M45" s="37"/>
      <c r="N45" s="41" t="str">
        <f aca="false">IF(J45="","",J45+K45+L45+N(M45))</f>
        <v/>
      </c>
      <c r="O45" s="41" t="str">
        <f aca="false">IF(N45="","",IF(P45&lt;&gt;"",N45-P45,ROUND(N45*IFERROR(INDEX(Settings!$E$5:$E$12,MATCH(F45,Settings!$D$5:$D$12,0)),0),2)))</f>
        <v/>
      </c>
      <c r="P45" s="37"/>
      <c r="Q45" s="41" t="str">
        <f aca="false">IF(N45="","",IF(P45&lt;&gt;"",P45,N45-O45))</f>
        <v/>
      </c>
      <c r="R45" s="41" t="str">
        <f aca="false">IF(J45="","",IFERROR(N(INDEX(Properties!$H$5:$H$24,MATCH(D45,Properties!$A$5:$A$24,0))),0))</f>
        <v/>
      </c>
      <c r="S45" s="41" t="str">
        <f aca="false">IF(Q45="","",Q45-R45)</f>
        <v/>
      </c>
      <c r="T45" s="6"/>
      <c r="U45" s="6"/>
      <c r="V45" s="6"/>
      <c r="W45" s="6"/>
      <c r="X45" s="6"/>
      <c r="Y45" s="8" t="str">
        <f aca="false">IF(OR(D45="",B45="",C45=""),"",IF(N(C45)&lt;=N(B45),"Check dates",IF(T45="Cancelled","",IF(COUNTIFS($D$5:$D$1004,D45,$B$5:$B$1004,"&lt;"&amp;C45,$C$5:$C$1004,"&gt;"&amp;B45,$T$5:$T$1004,"&lt;&gt;Cancelled")&gt;1,"Double-booked",""))))</f>
        <v/>
      </c>
      <c r="Z45" s="42" t="str">
        <f aca="false">IF(AND(AA45=1,ISNUMBER(C45)),C45+ROW()/100000,"")</f>
        <v/>
      </c>
      <c r="AA45" s="43" t="n">
        <f aca="false">IF(AND(D45&lt;&gt;"",ISNUMBER(B45),ISNUMBER(C45),N(H45)&gt;0,T45&lt;&gt;"Cancelled",J45&lt;&gt;""),1,0)</f>
        <v>0</v>
      </c>
      <c r="AB45" s="44" t="n">
        <f aca="false">IF(AA45=1,J45/H45,0)</f>
        <v>0</v>
      </c>
      <c r="AC45" s="44" t="n">
        <f aca="false">IF(AA45=1,Q45/H45,0)</f>
        <v>0</v>
      </c>
      <c r="AD45" s="44" t="n">
        <f aca="false">IF(AA45=1,R45/H45,0)</f>
        <v>0</v>
      </c>
      <c r="AE45" s="44" t="n">
        <f aca="false">IF(AA45=1,O45/H45,0)</f>
        <v>0</v>
      </c>
      <c r="AF45" s="44" t="n">
        <f aca="false">IF(AA45=1,K45/H45,0)</f>
        <v>0</v>
      </c>
      <c r="AG45" s="45" t="str">
        <f aca="false">IF(AA45=1,D45&amp;"|"&amp;TEXT(B45,"0"),"")</f>
        <v/>
      </c>
      <c r="AH45" s="43" t="n">
        <f aca="false">IF(AA45=1,H45,0)</f>
        <v>0</v>
      </c>
    </row>
    <row r="46" customFormat="false" ht="15" hidden="false" customHeight="false" outlineLevel="0" collapsed="false">
      <c r="A46" s="23" t="str">
        <f aca="false">IF(B46="","","B-"&amp;TEXT(ROW()-4,"0000"))</f>
        <v/>
      </c>
      <c r="B46" s="38"/>
      <c r="C46" s="38"/>
      <c r="D46" s="6"/>
      <c r="E46" s="6"/>
      <c r="F46" s="6"/>
      <c r="G46" s="11"/>
      <c r="H46" s="24" t="str">
        <f aca="false">IF(AND(ISNUMBER(B46),ISNUMBER(C46)),MAX(0,C46-B46),"")</f>
        <v/>
      </c>
      <c r="I46" s="37"/>
      <c r="J46" s="46" t="str">
        <f aca="false">IF(OR(D46="",N(H46)=0),"",IFERROR(IF(I46&lt;&gt;"",H46*I46,ROUND(((H46-(INT((WEEKDAY(B46-6)+H46-1)/7)+INT((WEEKDAY(B46-7)+H46-1)/7)))*INDEX(Properties!$E$5:$E$24,MATCH(D46,Properties!$A$5:$A$24,0))+(INT((WEEKDAY(B46-6)+H46-1)/7)+INT((WEEKDAY(B46-7)+H46-1)/7))*INDEX(Properties!$F$5:$F$24,MATCH(D46,Properties!$A$5:$A$24,0)))*(1-IF(H46&gt;=28,Settings!$B$10,IF(H46&gt;=7,Settings!$B$9,0))),2)),0))</f>
        <v/>
      </c>
      <c r="K46" s="46" t="str">
        <f aca="false">IF(J46="","",IFERROR(N(INDEX(Properties!$G$5:$G$24,MATCH(D46,Properties!$A$5:$A$24,0))),0))</f>
        <v/>
      </c>
      <c r="L46" s="46" t="str">
        <f aca="false">IF(J46="","",IFERROR(MAX(0,N(G46)-INDEX(Properties!$I$5:$I$24,MATCH(D46,Properties!$A$5:$A$24,0)))*N(INDEX(Properties!$J$5:$J$24,MATCH(D46,Properties!$A$5:$A$24,0)))*H46,0))</f>
        <v/>
      </c>
      <c r="M46" s="37"/>
      <c r="N46" s="46" t="str">
        <f aca="false">IF(J46="","",J46+K46+L46+N(M46))</f>
        <v/>
      </c>
      <c r="O46" s="46" t="str">
        <f aca="false">IF(N46="","",IF(P46&lt;&gt;"",N46-P46,ROUND(N46*IFERROR(INDEX(Settings!$E$5:$E$12,MATCH(F46,Settings!$D$5:$D$12,0)),0),2)))</f>
        <v/>
      </c>
      <c r="P46" s="37"/>
      <c r="Q46" s="46" t="str">
        <f aca="false">IF(N46="","",IF(P46&lt;&gt;"",P46,N46-O46))</f>
        <v/>
      </c>
      <c r="R46" s="46" t="str">
        <f aca="false">IF(J46="","",IFERROR(N(INDEX(Properties!$H$5:$H$24,MATCH(D46,Properties!$A$5:$A$24,0))),0))</f>
        <v/>
      </c>
      <c r="S46" s="46" t="str">
        <f aca="false">IF(Q46="","",Q46-R46)</f>
        <v/>
      </c>
      <c r="T46" s="6"/>
      <c r="U46" s="6"/>
      <c r="V46" s="6"/>
      <c r="W46" s="6"/>
      <c r="X46" s="6"/>
      <c r="Y46" s="8" t="str">
        <f aca="false">IF(OR(D46="",B46="",C46=""),"",IF(N(C46)&lt;=N(B46),"Check dates",IF(T46="Cancelled","",IF(COUNTIFS($D$5:$D$1004,D46,$B$5:$B$1004,"&lt;"&amp;C46,$C$5:$C$1004,"&gt;"&amp;B46,$T$5:$T$1004,"&lt;&gt;Cancelled")&gt;1,"Double-booked",""))))</f>
        <v/>
      </c>
      <c r="Z46" s="42" t="str">
        <f aca="false">IF(AND(AA46=1,ISNUMBER(C46)),C46+ROW()/100000,"")</f>
        <v/>
      </c>
      <c r="AA46" s="43" t="n">
        <f aca="false">IF(AND(D46&lt;&gt;"",ISNUMBER(B46),ISNUMBER(C46),N(H46)&gt;0,T46&lt;&gt;"Cancelled",J46&lt;&gt;""),1,0)</f>
        <v>0</v>
      </c>
      <c r="AB46" s="44" t="n">
        <f aca="false">IF(AA46=1,J46/H46,0)</f>
        <v>0</v>
      </c>
      <c r="AC46" s="44" t="n">
        <f aca="false">IF(AA46=1,Q46/H46,0)</f>
        <v>0</v>
      </c>
      <c r="AD46" s="44" t="n">
        <f aca="false">IF(AA46=1,R46/H46,0)</f>
        <v>0</v>
      </c>
      <c r="AE46" s="44" t="n">
        <f aca="false">IF(AA46=1,O46/H46,0)</f>
        <v>0</v>
      </c>
      <c r="AF46" s="44" t="n">
        <f aca="false">IF(AA46=1,K46/H46,0)</f>
        <v>0</v>
      </c>
      <c r="AG46" s="45" t="str">
        <f aca="false">IF(AA46=1,D46&amp;"|"&amp;TEXT(B46,"0"),"")</f>
        <v/>
      </c>
      <c r="AH46" s="43" t="n">
        <f aca="false">IF(AA46=1,H46,0)</f>
        <v>0</v>
      </c>
    </row>
    <row r="47" customFormat="false" ht="15" hidden="false" customHeight="false" outlineLevel="0" collapsed="false">
      <c r="A47" s="8" t="str">
        <f aca="false">IF(B47="","","B-"&amp;TEXT(ROW()-4,"0000"))</f>
        <v/>
      </c>
      <c r="B47" s="38"/>
      <c r="C47" s="38"/>
      <c r="D47" s="6"/>
      <c r="E47" s="6"/>
      <c r="F47" s="6"/>
      <c r="G47" s="11"/>
      <c r="H47" s="18" t="str">
        <f aca="false">IF(AND(ISNUMBER(B47),ISNUMBER(C47)),MAX(0,C47-B47),"")</f>
        <v/>
      </c>
      <c r="I47" s="37"/>
      <c r="J47" s="41" t="str">
        <f aca="false">IF(OR(D47="",N(H47)=0),"",IFERROR(IF(I47&lt;&gt;"",H47*I47,ROUND(((H47-(INT((WEEKDAY(B47-6)+H47-1)/7)+INT((WEEKDAY(B47-7)+H47-1)/7)))*INDEX(Properties!$E$5:$E$24,MATCH(D47,Properties!$A$5:$A$24,0))+(INT((WEEKDAY(B47-6)+H47-1)/7)+INT((WEEKDAY(B47-7)+H47-1)/7))*INDEX(Properties!$F$5:$F$24,MATCH(D47,Properties!$A$5:$A$24,0)))*(1-IF(H47&gt;=28,Settings!$B$10,IF(H47&gt;=7,Settings!$B$9,0))),2)),0))</f>
        <v/>
      </c>
      <c r="K47" s="41" t="str">
        <f aca="false">IF(J47="","",IFERROR(N(INDEX(Properties!$G$5:$G$24,MATCH(D47,Properties!$A$5:$A$24,0))),0))</f>
        <v/>
      </c>
      <c r="L47" s="41" t="str">
        <f aca="false">IF(J47="","",IFERROR(MAX(0,N(G47)-INDEX(Properties!$I$5:$I$24,MATCH(D47,Properties!$A$5:$A$24,0)))*N(INDEX(Properties!$J$5:$J$24,MATCH(D47,Properties!$A$5:$A$24,0)))*H47,0))</f>
        <v/>
      </c>
      <c r="M47" s="37"/>
      <c r="N47" s="41" t="str">
        <f aca="false">IF(J47="","",J47+K47+L47+N(M47))</f>
        <v/>
      </c>
      <c r="O47" s="41" t="str">
        <f aca="false">IF(N47="","",IF(P47&lt;&gt;"",N47-P47,ROUND(N47*IFERROR(INDEX(Settings!$E$5:$E$12,MATCH(F47,Settings!$D$5:$D$12,0)),0),2)))</f>
        <v/>
      </c>
      <c r="P47" s="37"/>
      <c r="Q47" s="41" t="str">
        <f aca="false">IF(N47="","",IF(P47&lt;&gt;"",P47,N47-O47))</f>
        <v/>
      </c>
      <c r="R47" s="41" t="str">
        <f aca="false">IF(J47="","",IFERROR(N(INDEX(Properties!$H$5:$H$24,MATCH(D47,Properties!$A$5:$A$24,0))),0))</f>
        <v/>
      </c>
      <c r="S47" s="41" t="str">
        <f aca="false">IF(Q47="","",Q47-R47)</f>
        <v/>
      </c>
      <c r="T47" s="6"/>
      <c r="U47" s="6"/>
      <c r="V47" s="6"/>
      <c r="W47" s="6"/>
      <c r="X47" s="6"/>
      <c r="Y47" s="8" t="str">
        <f aca="false">IF(OR(D47="",B47="",C47=""),"",IF(N(C47)&lt;=N(B47),"Check dates",IF(T47="Cancelled","",IF(COUNTIFS($D$5:$D$1004,D47,$B$5:$B$1004,"&lt;"&amp;C47,$C$5:$C$1004,"&gt;"&amp;B47,$T$5:$T$1004,"&lt;&gt;Cancelled")&gt;1,"Double-booked",""))))</f>
        <v/>
      </c>
      <c r="Z47" s="42" t="str">
        <f aca="false">IF(AND(AA47=1,ISNUMBER(C47)),C47+ROW()/100000,"")</f>
        <v/>
      </c>
      <c r="AA47" s="43" t="n">
        <f aca="false">IF(AND(D47&lt;&gt;"",ISNUMBER(B47),ISNUMBER(C47),N(H47)&gt;0,T47&lt;&gt;"Cancelled",J47&lt;&gt;""),1,0)</f>
        <v>0</v>
      </c>
      <c r="AB47" s="44" t="n">
        <f aca="false">IF(AA47=1,J47/H47,0)</f>
        <v>0</v>
      </c>
      <c r="AC47" s="44" t="n">
        <f aca="false">IF(AA47=1,Q47/H47,0)</f>
        <v>0</v>
      </c>
      <c r="AD47" s="44" t="n">
        <f aca="false">IF(AA47=1,R47/H47,0)</f>
        <v>0</v>
      </c>
      <c r="AE47" s="44" t="n">
        <f aca="false">IF(AA47=1,O47/H47,0)</f>
        <v>0</v>
      </c>
      <c r="AF47" s="44" t="n">
        <f aca="false">IF(AA47=1,K47/H47,0)</f>
        <v>0</v>
      </c>
      <c r="AG47" s="45" t="str">
        <f aca="false">IF(AA47=1,D47&amp;"|"&amp;TEXT(B47,"0"),"")</f>
        <v/>
      </c>
      <c r="AH47" s="43" t="n">
        <f aca="false">IF(AA47=1,H47,0)</f>
        <v>0</v>
      </c>
    </row>
    <row r="48" customFormat="false" ht="15" hidden="false" customHeight="false" outlineLevel="0" collapsed="false">
      <c r="A48" s="23" t="str">
        <f aca="false">IF(B48="","","B-"&amp;TEXT(ROW()-4,"0000"))</f>
        <v/>
      </c>
      <c r="B48" s="38"/>
      <c r="C48" s="38"/>
      <c r="D48" s="6"/>
      <c r="E48" s="6"/>
      <c r="F48" s="6"/>
      <c r="G48" s="11"/>
      <c r="H48" s="24" t="str">
        <f aca="false">IF(AND(ISNUMBER(B48),ISNUMBER(C48)),MAX(0,C48-B48),"")</f>
        <v/>
      </c>
      <c r="I48" s="37"/>
      <c r="J48" s="46" t="str">
        <f aca="false">IF(OR(D48="",N(H48)=0),"",IFERROR(IF(I48&lt;&gt;"",H48*I48,ROUND(((H48-(INT((WEEKDAY(B48-6)+H48-1)/7)+INT((WEEKDAY(B48-7)+H48-1)/7)))*INDEX(Properties!$E$5:$E$24,MATCH(D48,Properties!$A$5:$A$24,0))+(INT((WEEKDAY(B48-6)+H48-1)/7)+INT((WEEKDAY(B48-7)+H48-1)/7))*INDEX(Properties!$F$5:$F$24,MATCH(D48,Properties!$A$5:$A$24,0)))*(1-IF(H48&gt;=28,Settings!$B$10,IF(H48&gt;=7,Settings!$B$9,0))),2)),0))</f>
        <v/>
      </c>
      <c r="K48" s="46" t="str">
        <f aca="false">IF(J48="","",IFERROR(N(INDEX(Properties!$G$5:$G$24,MATCH(D48,Properties!$A$5:$A$24,0))),0))</f>
        <v/>
      </c>
      <c r="L48" s="46" t="str">
        <f aca="false">IF(J48="","",IFERROR(MAX(0,N(G48)-INDEX(Properties!$I$5:$I$24,MATCH(D48,Properties!$A$5:$A$24,0)))*N(INDEX(Properties!$J$5:$J$24,MATCH(D48,Properties!$A$5:$A$24,0)))*H48,0))</f>
        <v/>
      </c>
      <c r="M48" s="37"/>
      <c r="N48" s="46" t="str">
        <f aca="false">IF(J48="","",J48+K48+L48+N(M48))</f>
        <v/>
      </c>
      <c r="O48" s="46" t="str">
        <f aca="false">IF(N48="","",IF(P48&lt;&gt;"",N48-P48,ROUND(N48*IFERROR(INDEX(Settings!$E$5:$E$12,MATCH(F48,Settings!$D$5:$D$12,0)),0),2)))</f>
        <v/>
      </c>
      <c r="P48" s="37"/>
      <c r="Q48" s="46" t="str">
        <f aca="false">IF(N48="","",IF(P48&lt;&gt;"",P48,N48-O48))</f>
        <v/>
      </c>
      <c r="R48" s="46" t="str">
        <f aca="false">IF(J48="","",IFERROR(N(INDEX(Properties!$H$5:$H$24,MATCH(D48,Properties!$A$5:$A$24,0))),0))</f>
        <v/>
      </c>
      <c r="S48" s="46" t="str">
        <f aca="false">IF(Q48="","",Q48-R48)</f>
        <v/>
      </c>
      <c r="T48" s="6"/>
      <c r="U48" s="6"/>
      <c r="V48" s="6"/>
      <c r="W48" s="6"/>
      <c r="X48" s="6"/>
      <c r="Y48" s="8" t="str">
        <f aca="false">IF(OR(D48="",B48="",C48=""),"",IF(N(C48)&lt;=N(B48),"Check dates",IF(T48="Cancelled","",IF(COUNTIFS($D$5:$D$1004,D48,$B$5:$B$1004,"&lt;"&amp;C48,$C$5:$C$1004,"&gt;"&amp;B48,$T$5:$T$1004,"&lt;&gt;Cancelled")&gt;1,"Double-booked",""))))</f>
        <v/>
      </c>
      <c r="Z48" s="42" t="str">
        <f aca="false">IF(AND(AA48=1,ISNUMBER(C48)),C48+ROW()/100000,"")</f>
        <v/>
      </c>
      <c r="AA48" s="43" t="n">
        <f aca="false">IF(AND(D48&lt;&gt;"",ISNUMBER(B48),ISNUMBER(C48),N(H48)&gt;0,T48&lt;&gt;"Cancelled",J48&lt;&gt;""),1,0)</f>
        <v>0</v>
      </c>
      <c r="AB48" s="44" t="n">
        <f aca="false">IF(AA48=1,J48/H48,0)</f>
        <v>0</v>
      </c>
      <c r="AC48" s="44" t="n">
        <f aca="false">IF(AA48=1,Q48/H48,0)</f>
        <v>0</v>
      </c>
      <c r="AD48" s="44" t="n">
        <f aca="false">IF(AA48=1,R48/H48,0)</f>
        <v>0</v>
      </c>
      <c r="AE48" s="44" t="n">
        <f aca="false">IF(AA48=1,O48/H48,0)</f>
        <v>0</v>
      </c>
      <c r="AF48" s="44" t="n">
        <f aca="false">IF(AA48=1,K48/H48,0)</f>
        <v>0</v>
      </c>
      <c r="AG48" s="45" t="str">
        <f aca="false">IF(AA48=1,D48&amp;"|"&amp;TEXT(B48,"0"),"")</f>
        <v/>
      </c>
      <c r="AH48" s="43" t="n">
        <f aca="false">IF(AA48=1,H48,0)</f>
        <v>0</v>
      </c>
    </row>
    <row r="49" customFormat="false" ht="15" hidden="false" customHeight="false" outlineLevel="0" collapsed="false">
      <c r="A49" s="8" t="str">
        <f aca="false">IF(B49="","","B-"&amp;TEXT(ROW()-4,"0000"))</f>
        <v/>
      </c>
      <c r="B49" s="38"/>
      <c r="C49" s="38"/>
      <c r="D49" s="6"/>
      <c r="E49" s="6"/>
      <c r="F49" s="6"/>
      <c r="G49" s="11"/>
      <c r="H49" s="18" t="str">
        <f aca="false">IF(AND(ISNUMBER(B49),ISNUMBER(C49)),MAX(0,C49-B49),"")</f>
        <v/>
      </c>
      <c r="I49" s="37"/>
      <c r="J49" s="41" t="str">
        <f aca="false">IF(OR(D49="",N(H49)=0),"",IFERROR(IF(I49&lt;&gt;"",H49*I49,ROUND(((H49-(INT((WEEKDAY(B49-6)+H49-1)/7)+INT((WEEKDAY(B49-7)+H49-1)/7)))*INDEX(Properties!$E$5:$E$24,MATCH(D49,Properties!$A$5:$A$24,0))+(INT((WEEKDAY(B49-6)+H49-1)/7)+INT((WEEKDAY(B49-7)+H49-1)/7))*INDEX(Properties!$F$5:$F$24,MATCH(D49,Properties!$A$5:$A$24,0)))*(1-IF(H49&gt;=28,Settings!$B$10,IF(H49&gt;=7,Settings!$B$9,0))),2)),0))</f>
        <v/>
      </c>
      <c r="K49" s="41" t="str">
        <f aca="false">IF(J49="","",IFERROR(N(INDEX(Properties!$G$5:$G$24,MATCH(D49,Properties!$A$5:$A$24,0))),0))</f>
        <v/>
      </c>
      <c r="L49" s="41" t="str">
        <f aca="false">IF(J49="","",IFERROR(MAX(0,N(G49)-INDEX(Properties!$I$5:$I$24,MATCH(D49,Properties!$A$5:$A$24,0)))*N(INDEX(Properties!$J$5:$J$24,MATCH(D49,Properties!$A$5:$A$24,0)))*H49,0))</f>
        <v/>
      </c>
      <c r="M49" s="37"/>
      <c r="N49" s="41" t="str">
        <f aca="false">IF(J49="","",J49+K49+L49+N(M49))</f>
        <v/>
      </c>
      <c r="O49" s="41" t="str">
        <f aca="false">IF(N49="","",IF(P49&lt;&gt;"",N49-P49,ROUND(N49*IFERROR(INDEX(Settings!$E$5:$E$12,MATCH(F49,Settings!$D$5:$D$12,0)),0),2)))</f>
        <v/>
      </c>
      <c r="P49" s="37"/>
      <c r="Q49" s="41" t="str">
        <f aca="false">IF(N49="","",IF(P49&lt;&gt;"",P49,N49-O49))</f>
        <v/>
      </c>
      <c r="R49" s="41" t="str">
        <f aca="false">IF(J49="","",IFERROR(N(INDEX(Properties!$H$5:$H$24,MATCH(D49,Properties!$A$5:$A$24,0))),0))</f>
        <v/>
      </c>
      <c r="S49" s="41" t="str">
        <f aca="false">IF(Q49="","",Q49-R49)</f>
        <v/>
      </c>
      <c r="T49" s="6"/>
      <c r="U49" s="6"/>
      <c r="V49" s="6"/>
      <c r="W49" s="6"/>
      <c r="X49" s="6"/>
      <c r="Y49" s="8" t="str">
        <f aca="false">IF(OR(D49="",B49="",C49=""),"",IF(N(C49)&lt;=N(B49),"Check dates",IF(T49="Cancelled","",IF(COUNTIFS($D$5:$D$1004,D49,$B$5:$B$1004,"&lt;"&amp;C49,$C$5:$C$1004,"&gt;"&amp;B49,$T$5:$T$1004,"&lt;&gt;Cancelled")&gt;1,"Double-booked",""))))</f>
        <v/>
      </c>
      <c r="Z49" s="42" t="str">
        <f aca="false">IF(AND(AA49=1,ISNUMBER(C49)),C49+ROW()/100000,"")</f>
        <v/>
      </c>
      <c r="AA49" s="43" t="n">
        <f aca="false">IF(AND(D49&lt;&gt;"",ISNUMBER(B49),ISNUMBER(C49),N(H49)&gt;0,T49&lt;&gt;"Cancelled",J49&lt;&gt;""),1,0)</f>
        <v>0</v>
      </c>
      <c r="AB49" s="44" t="n">
        <f aca="false">IF(AA49=1,J49/H49,0)</f>
        <v>0</v>
      </c>
      <c r="AC49" s="44" t="n">
        <f aca="false">IF(AA49=1,Q49/H49,0)</f>
        <v>0</v>
      </c>
      <c r="AD49" s="44" t="n">
        <f aca="false">IF(AA49=1,R49/H49,0)</f>
        <v>0</v>
      </c>
      <c r="AE49" s="44" t="n">
        <f aca="false">IF(AA49=1,O49/H49,0)</f>
        <v>0</v>
      </c>
      <c r="AF49" s="44" t="n">
        <f aca="false">IF(AA49=1,K49/H49,0)</f>
        <v>0</v>
      </c>
      <c r="AG49" s="45" t="str">
        <f aca="false">IF(AA49=1,D49&amp;"|"&amp;TEXT(B49,"0"),"")</f>
        <v/>
      </c>
      <c r="AH49" s="43" t="n">
        <f aca="false">IF(AA49=1,H49,0)</f>
        <v>0</v>
      </c>
    </row>
    <row r="50" customFormat="false" ht="15" hidden="false" customHeight="false" outlineLevel="0" collapsed="false">
      <c r="A50" s="23" t="str">
        <f aca="false">IF(B50="","","B-"&amp;TEXT(ROW()-4,"0000"))</f>
        <v/>
      </c>
      <c r="B50" s="38"/>
      <c r="C50" s="38"/>
      <c r="D50" s="6"/>
      <c r="E50" s="6"/>
      <c r="F50" s="6"/>
      <c r="G50" s="11"/>
      <c r="H50" s="24" t="str">
        <f aca="false">IF(AND(ISNUMBER(B50),ISNUMBER(C50)),MAX(0,C50-B50),"")</f>
        <v/>
      </c>
      <c r="I50" s="37"/>
      <c r="J50" s="46" t="str">
        <f aca="false">IF(OR(D50="",N(H50)=0),"",IFERROR(IF(I50&lt;&gt;"",H50*I50,ROUND(((H50-(INT((WEEKDAY(B50-6)+H50-1)/7)+INT((WEEKDAY(B50-7)+H50-1)/7)))*INDEX(Properties!$E$5:$E$24,MATCH(D50,Properties!$A$5:$A$24,0))+(INT((WEEKDAY(B50-6)+H50-1)/7)+INT((WEEKDAY(B50-7)+H50-1)/7))*INDEX(Properties!$F$5:$F$24,MATCH(D50,Properties!$A$5:$A$24,0)))*(1-IF(H50&gt;=28,Settings!$B$10,IF(H50&gt;=7,Settings!$B$9,0))),2)),0))</f>
        <v/>
      </c>
      <c r="K50" s="46" t="str">
        <f aca="false">IF(J50="","",IFERROR(N(INDEX(Properties!$G$5:$G$24,MATCH(D50,Properties!$A$5:$A$24,0))),0))</f>
        <v/>
      </c>
      <c r="L50" s="46" t="str">
        <f aca="false">IF(J50="","",IFERROR(MAX(0,N(G50)-INDEX(Properties!$I$5:$I$24,MATCH(D50,Properties!$A$5:$A$24,0)))*N(INDEX(Properties!$J$5:$J$24,MATCH(D50,Properties!$A$5:$A$24,0)))*H50,0))</f>
        <v/>
      </c>
      <c r="M50" s="37"/>
      <c r="N50" s="46" t="str">
        <f aca="false">IF(J50="","",J50+K50+L50+N(M50))</f>
        <v/>
      </c>
      <c r="O50" s="46" t="str">
        <f aca="false">IF(N50="","",IF(P50&lt;&gt;"",N50-P50,ROUND(N50*IFERROR(INDEX(Settings!$E$5:$E$12,MATCH(F50,Settings!$D$5:$D$12,0)),0),2)))</f>
        <v/>
      </c>
      <c r="P50" s="37"/>
      <c r="Q50" s="46" t="str">
        <f aca="false">IF(N50="","",IF(P50&lt;&gt;"",P50,N50-O50))</f>
        <v/>
      </c>
      <c r="R50" s="46" t="str">
        <f aca="false">IF(J50="","",IFERROR(N(INDEX(Properties!$H$5:$H$24,MATCH(D50,Properties!$A$5:$A$24,0))),0))</f>
        <v/>
      </c>
      <c r="S50" s="46" t="str">
        <f aca="false">IF(Q50="","",Q50-R50)</f>
        <v/>
      </c>
      <c r="T50" s="6"/>
      <c r="U50" s="6"/>
      <c r="V50" s="6"/>
      <c r="W50" s="6"/>
      <c r="X50" s="6"/>
      <c r="Y50" s="8" t="str">
        <f aca="false">IF(OR(D50="",B50="",C50=""),"",IF(N(C50)&lt;=N(B50),"Check dates",IF(T50="Cancelled","",IF(COUNTIFS($D$5:$D$1004,D50,$B$5:$B$1004,"&lt;"&amp;C50,$C$5:$C$1004,"&gt;"&amp;B50,$T$5:$T$1004,"&lt;&gt;Cancelled")&gt;1,"Double-booked",""))))</f>
        <v/>
      </c>
      <c r="Z50" s="42" t="str">
        <f aca="false">IF(AND(AA50=1,ISNUMBER(C50)),C50+ROW()/100000,"")</f>
        <v/>
      </c>
      <c r="AA50" s="43" t="n">
        <f aca="false">IF(AND(D50&lt;&gt;"",ISNUMBER(B50),ISNUMBER(C50),N(H50)&gt;0,T50&lt;&gt;"Cancelled",J50&lt;&gt;""),1,0)</f>
        <v>0</v>
      </c>
      <c r="AB50" s="44" t="n">
        <f aca="false">IF(AA50=1,J50/H50,0)</f>
        <v>0</v>
      </c>
      <c r="AC50" s="44" t="n">
        <f aca="false">IF(AA50=1,Q50/H50,0)</f>
        <v>0</v>
      </c>
      <c r="AD50" s="44" t="n">
        <f aca="false">IF(AA50=1,R50/H50,0)</f>
        <v>0</v>
      </c>
      <c r="AE50" s="44" t="n">
        <f aca="false">IF(AA50=1,O50/H50,0)</f>
        <v>0</v>
      </c>
      <c r="AF50" s="44" t="n">
        <f aca="false">IF(AA50=1,K50/H50,0)</f>
        <v>0</v>
      </c>
      <c r="AG50" s="45" t="str">
        <f aca="false">IF(AA50=1,D50&amp;"|"&amp;TEXT(B50,"0"),"")</f>
        <v/>
      </c>
      <c r="AH50" s="43" t="n">
        <f aca="false">IF(AA50=1,H50,0)</f>
        <v>0</v>
      </c>
    </row>
    <row r="51" customFormat="false" ht="15" hidden="false" customHeight="false" outlineLevel="0" collapsed="false">
      <c r="A51" s="8" t="str">
        <f aca="false">IF(B51="","","B-"&amp;TEXT(ROW()-4,"0000"))</f>
        <v/>
      </c>
      <c r="B51" s="38"/>
      <c r="C51" s="38"/>
      <c r="D51" s="6"/>
      <c r="E51" s="6"/>
      <c r="F51" s="6"/>
      <c r="G51" s="11"/>
      <c r="H51" s="18" t="str">
        <f aca="false">IF(AND(ISNUMBER(B51),ISNUMBER(C51)),MAX(0,C51-B51),"")</f>
        <v/>
      </c>
      <c r="I51" s="37"/>
      <c r="J51" s="41" t="str">
        <f aca="false">IF(OR(D51="",N(H51)=0),"",IFERROR(IF(I51&lt;&gt;"",H51*I51,ROUND(((H51-(INT((WEEKDAY(B51-6)+H51-1)/7)+INT((WEEKDAY(B51-7)+H51-1)/7)))*INDEX(Properties!$E$5:$E$24,MATCH(D51,Properties!$A$5:$A$24,0))+(INT((WEEKDAY(B51-6)+H51-1)/7)+INT((WEEKDAY(B51-7)+H51-1)/7))*INDEX(Properties!$F$5:$F$24,MATCH(D51,Properties!$A$5:$A$24,0)))*(1-IF(H51&gt;=28,Settings!$B$10,IF(H51&gt;=7,Settings!$B$9,0))),2)),0))</f>
        <v/>
      </c>
      <c r="K51" s="41" t="str">
        <f aca="false">IF(J51="","",IFERROR(N(INDEX(Properties!$G$5:$G$24,MATCH(D51,Properties!$A$5:$A$24,0))),0))</f>
        <v/>
      </c>
      <c r="L51" s="41" t="str">
        <f aca="false">IF(J51="","",IFERROR(MAX(0,N(G51)-INDEX(Properties!$I$5:$I$24,MATCH(D51,Properties!$A$5:$A$24,0)))*N(INDEX(Properties!$J$5:$J$24,MATCH(D51,Properties!$A$5:$A$24,0)))*H51,0))</f>
        <v/>
      </c>
      <c r="M51" s="37"/>
      <c r="N51" s="41" t="str">
        <f aca="false">IF(J51="","",J51+K51+L51+N(M51))</f>
        <v/>
      </c>
      <c r="O51" s="41" t="str">
        <f aca="false">IF(N51="","",IF(P51&lt;&gt;"",N51-P51,ROUND(N51*IFERROR(INDEX(Settings!$E$5:$E$12,MATCH(F51,Settings!$D$5:$D$12,0)),0),2)))</f>
        <v/>
      </c>
      <c r="P51" s="37"/>
      <c r="Q51" s="41" t="str">
        <f aca="false">IF(N51="","",IF(P51&lt;&gt;"",P51,N51-O51))</f>
        <v/>
      </c>
      <c r="R51" s="41" t="str">
        <f aca="false">IF(J51="","",IFERROR(N(INDEX(Properties!$H$5:$H$24,MATCH(D51,Properties!$A$5:$A$24,0))),0))</f>
        <v/>
      </c>
      <c r="S51" s="41" t="str">
        <f aca="false">IF(Q51="","",Q51-R51)</f>
        <v/>
      </c>
      <c r="T51" s="6"/>
      <c r="U51" s="6"/>
      <c r="V51" s="6"/>
      <c r="W51" s="6"/>
      <c r="X51" s="6"/>
      <c r="Y51" s="8" t="str">
        <f aca="false">IF(OR(D51="",B51="",C51=""),"",IF(N(C51)&lt;=N(B51),"Check dates",IF(T51="Cancelled","",IF(COUNTIFS($D$5:$D$1004,D51,$B$5:$B$1004,"&lt;"&amp;C51,$C$5:$C$1004,"&gt;"&amp;B51,$T$5:$T$1004,"&lt;&gt;Cancelled")&gt;1,"Double-booked",""))))</f>
        <v/>
      </c>
      <c r="Z51" s="42" t="str">
        <f aca="false">IF(AND(AA51=1,ISNUMBER(C51)),C51+ROW()/100000,"")</f>
        <v/>
      </c>
      <c r="AA51" s="43" t="n">
        <f aca="false">IF(AND(D51&lt;&gt;"",ISNUMBER(B51),ISNUMBER(C51),N(H51)&gt;0,T51&lt;&gt;"Cancelled",J51&lt;&gt;""),1,0)</f>
        <v>0</v>
      </c>
      <c r="AB51" s="44" t="n">
        <f aca="false">IF(AA51=1,J51/H51,0)</f>
        <v>0</v>
      </c>
      <c r="AC51" s="44" t="n">
        <f aca="false">IF(AA51=1,Q51/H51,0)</f>
        <v>0</v>
      </c>
      <c r="AD51" s="44" t="n">
        <f aca="false">IF(AA51=1,R51/H51,0)</f>
        <v>0</v>
      </c>
      <c r="AE51" s="44" t="n">
        <f aca="false">IF(AA51=1,O51/H51,0)</f>
        <v>0</v>
      </c>
      <c r="AF51" s="44" t="n">
        <f aca="false">IF(AA51=1,K51/H51,0)</f>
        <v>0</v>
      </c>
      <c r="AG51" s="45" t="str">
        <f aca="false">IF(AA51=1,D51&amp;"|"&amp;TEXT(B51,"0"),"")</f>
        <v/>
      </c>
      <c r="AH51" s="43" t="n">
        <f aca="false">IF(AA51=1,H51,0)</f>
        <v>0</v>
      </c>
    </row>
    <row r="52" customFormat="false" ht="15" hidden="false" customHeight="false" outlineLevel="0" collapsed="false">
      <c r="A52" s="23" t="str">
        <f aca="false">IF(B52="","","B-"&amp;TEXT(ROW()-4,"0000"))</f>
        <v/>
      </c>
      <c r="B52" s="38"/>
      <c r="C52" s="38"/>
      <c r="D52" s="6"/>
      <c r="E52" s="6"/>
      <c r="F52" s="6"/>
      <c r="G52" s="11"/>
      <c r="H52" s="24" t="str">
        <f aca="false">IF(AND(ISNUMBER(B52),ISNUMBER(C52)),MAX(0,C52-B52),"")</f>
        <v/>
      </c>
      <c r="I52" s="37"/>
      <c r="J52" s="46" t="str">
        <f aca="false">IF(OR(D52="",N(H52)=0),"",IFERROR(IF(I52&lt;&gt;"",H52*I52,ROUND(((H52-(INT((WEEKDAY(B52-6)+H52-1)/7)+INT((WEEKDAY(B52-7)+H52-1)/7)))*INDEX(Properties!$E$5:$E$24,MATCH(D52,Properties!$A$5:$A$24,0))+(INT((WEEKDAY(B52-6)+H52-1)/7)+INT((WEEKDAY(B52-7)+H52-1)/7))*INDEX(Properties!$F$5:$F$24,MATCH(D52,Properties!$A$5:$A$24,0)))*(1-IF(H52&gt;=28,Settings!$B$10,IF(H52&gt;=7,Settings!$B$9,0))),2)),0))</f>
        <v/>
      </c>
      <c r="K52" s="46" t="str">
        <f aca="false">IF(J52="","",IFERROR(N(INDEX(Properties!$G$5:$G$24,MATCH(D52,Properties!$A$5:$A$24,0))),0))</f>
        <v/>
      </c>
      <c r="L52" s="46" t="str">
        <f aca="false">IF(J52="","",IFERROR(MAX(0,N(G52)-INDEX(Properties!$I$5:$I$24,MATCH(D52,Properties!$A$5:$A$24,0)))*N(INDEX(Properties!$J$5:$J$24,MATCH(D52,Properties!$A$5:$A$24,0)))*H52,0))</f>
        <v/>
      </c>
      <c r="M52" s="37"/>
      <c r="N52" s="46" t="str">
        <f aca="false">IF(J52="","",J52+K52+L52+N(M52))</f>
        <v/>
      </c>
      <c r="O52" s="46" t="str">
        <f aca="false">IF(N52="","",IF(P52&lt;&gt;"",N52-P52,ROUND(N52*IFERROR(INDEX(Settings!$E$5:$E$12,MATCH(F52,Settings!$D$5:$D$12,0)),0),2)))</f>
        <v/>
      </c>
      <c r="P52" s="37"/>
      <c r="Q52" s="46" t="str">
        <f aca="false">IF(N52="","",IF(P52&lt;&gt;"",P52,N52-O52))</f>
        <v/>
      </c>
      <c r="R52" s="46" t="str">
        <f aca="false">IF(J52="","",IFERROR(N(INDEX(Properties!$H$5:$H$24,MATCH(D52,Properties!$A$5:$A$24,0))),0))</f>
        <v/>
      </c>
      <c r="S52" s="46" t="str">
        <f aca="false">IF(Q52="","",Q52-R52)</f>
        <v/>
      </c>
      <c r="T52" s="6"/>
      <c r="U52" s="6"/>
      <c r="V52" s="6"/>
      <c r="W52" s="6"/>
      <c r="X52" s="6"/>
      <c r="Y52" s="8" t="str">
        <f aca="false">IF(OR(D52="",B52="",C52=""),"",IF(N(C52)&lt;=N(B52),"Check dates",IF(T52="Cancelled","",IF(COUNTIFS($D$5:$D$1004,D52,$B$5:$B$1004,"&lt;"&amp;C52,$C$5:$C$1004,"&gt;"&amp;B52,$T$5:$T$1004,"&lt;&gt;Cancelled")&gt;1,"Double-booked",""))))</f>
        <v/>
      </c>
      <c r="Z52" s="42" t="str">
        <f aca="false">IF(AND(AA52=1,ISNUMBER(C52)),C52+ROW()/100000,"")</f>
        <v/>
      </c>
      <c r="AA52" s="43" t="n">
        <f aca="false">IF(AND(D52&lt;&gt;"",ISNUMBER(B52),ISNUMBER(C52),N(H52)&gt;0,T52&lt;&gt;"Cancelled",J52&lt;&gt;""),1,0)</f>
        <v>0</v>
      </c>
      <c r="AB52" s="44" t="n">
        <f aca="false">IF(AA52=1,J52/H52,0)</f>
        <v>0</v>
      </c>
      <c r="AC52" s="44" t="n">
        <f aca="false">IF(AA52=1,Q52/H52,0)</f>
        <v>0</v>
      </c>
      <c r="AD52" s="44" t="n">
        <f aca="false">IF(AA52=1,R52/H52,0)</f>
        <v>0</v>
      </c>
      <c r="AE52" s="44" t="n">
        <f aca="false">IF(AA52=1,O52/H52,0)</f>
        <v>0</v>
      </c>
      <c r="AF52" s="44" t="n">
        <f aca="false">IF(AA52=1,K52/H52,0)</f>
        <v>0</v>
      </c>
      <c r="AG52" s="45" t="str">
        <f aca="false">IF(AA52=1,D52&amp;"|"&amp;TEXT(B52,"0"),"")</f>
        <v/>
      </c>
      <c r="AH52" s="43" t="n">
        <f aca="false">IF(AA52=1,H52,0)</f>
        <v>0</v>
      </c>
    </row>
    <row r="53" customFormat="false" ht="15" hidden="false" customHeight="false" outlineLevel="0" collapsed="false">
      <c r="A53" s="8" t="str">
        <f aca="false">IF(B53="","","B-"&amp;TEXT(ROW()-4,"0000"))</f>
        <v/>
      </c>
      <c r="B53" s="38"/>
      <c r="C53" s="38"/>
      <c r="D53" s="6"/>
      <c r="E53" s="6"/>
      <c r="F53" s="6"/>
      <c r="G53" s="11"/>
      <c r="H53" s="18" t="str">
        <f aca="false">IF(AND(ISNUMBER(B53),ISNUMBER(C53)),MAX(0,C53-B53),"")</f>
        <v/>
      </c>
      <c r="I53" s="37"/>
      <c r="J53" s="41" t="str">
        <f aca="false">IF(OR(D53="",N(H53)=0),"",IFERROR(IF(I53&lt;&gt;"",H53*I53,ROUND(((H53-(INT((WEEKDAY(B53-6)+H53-1)/7)+INT((WEEKDAY(B53-7)+H53-1)/7)))*INDEX(Properties!$E$5:$E$24,MATCH(D53,Properties!$A$5:$A$24,0))+(INT((WEEKDAY(B53-6)+H53-1)/7)+INT((WEEKDAY(B53-7)+H53-1)/7))*INDEX(Properties!$F$5:$F$24,MATCH(D53,Properties!$A$5:$A$24,0)))*(1-IF(H53&gt;=28,Settings!$B$10,IF(H53&gt;=7,Settings!$B$9,0))),2)),0))</f>
        <v/>
      </c>
      <c r="K53" s="41" t="str">
        <f aca="false">IF(J53="","",IFERROR(N(INDEX(Properties!$G$5:$G$24,MATCH(D53,Properties!$A$5:$A$24,0))),0))</f>
        <v/>
      </c>
      <c r="L53" s="41" t="str">
        <f aca="false">IF(J53="","",IFERROR(MAX(0,N(G53)-INDEX(Properties!$I$5:$I$24,MATCH(D53,Properties!$A$5:$A$24,0)))*N(INDEX(Properties!$J$5:$J$24,MATCH(D53,Properties!$A$5:$A$24,0)))*H53,0))</f>
        <v/>
      </c>
      <c r="M53" s="37"/>
      <c r="N53" s="41" t="str">
        <f aca="false">IF(J53="","",J53+K53+L53+N(M53))</f>
        <v/>
      </c>
      <c r="O53" s="41" t="str">
        <f aca="false">IF(N53="","",IF(P53&lt;&gt;"",N53-P53,ROUND(N53*IFERROR(INDEX(Settings!$E$5:$E$12,MATCH(F53,Settings!$D$5:$D$12,0)),0),2)))</f>
        <v/>
      </c>
      <c r="P53" s="37"/>
      <c r="Q53" s="41" t="str">
        <f aca="false">IF(N53="","",IF(P53&lt;&gt;"",P53,N53-O53))</f>
        <v/>
      </c>
      <c r="R53" s="41" t="str">
        <f aca="false">IF(J53="","",IFERROR(N(INDEX(Properties!$H$5:$H$24,MATCH(D53,Properties!$A$5:$A$24,0))),0))</f>
        <v/>
      </c>
      <c r="S53" s="41" t="str">
        <f aca="false">IF(Q53="","",Q53-R53)</f>
        <v/>
      </c>
      <c r="T53" s="6"/>
      <c r="U53" s="6"/>
      <c r="V53" s="6"/>
      <c r="W53" s="6"/>
      <c r="X53" s="6"/>
      <c r="Y53" s="8" t="str">
        <f aca="false">IF(OR(D53="",B53="",C53=""),"",IF(N(C53)&lt;=N(B53),"Check dates",IF(T53="Cancelled","",IF(COUNTIFS($D$5:$D$1004,D53,$B$5:$B$1004,"&lt;"&amp;C53,$C$5:$C$1004,"&gt;"&amp;B53,$T$5:$T$1004,"&lt;&gt;Cancelled")&gt;1,"Double-booked",""))))</f>
        <v/>
      </c>
      <c r="Z53" s="42" t="str">
        <f aca="false">IF(AND(AA53=1,ISNUMBER(C53)),C53+ROW()/100000,"")</f>
        <v/>
      </c>
      <c r="AA53" s="43" t="n">
        <f aca="false">IF(AND(D53&lt;&gt;"",ISNUMBER(B53),ISNUMBER(C53),N(H53)&gt;0,T53&lt;&gt;"Cancelled",J53&lt;&gt;""),1,0)</f>
        <v>0</v>
      </c>
      <c r="AB53" s="44" t="n">
        <f aca="false">IF(AA53=1,J53/H53,0)</f>
        <v>0</v>
      </c>
      <c r="AC53" s="44" t="n">
        <f aca="false">IF(AA53=1,Q53/H53,0)</f>
        <v>0</v>
      </c>
      <c r="AD53" s="44" t="n">
        <f aca="false">IF(AA53=1,R53/H53,0)</f>
        <v>0</v>
      </c>
      <c r="AE53" s="44" t="n">
        <f aca="false">IF(AA53=1,O53/H53,0)</f>
        <v>0</v>
      </c>
      <c r="AF53" s="44" t="n">
        <f aca="false">IF(AA53=1,K53/H53,0)</f>
        <v>0</v>
      </c>
      <c r="AG53" s="45" t="str">
        <f aca="false">IF(AA53=1,D53&amp;"|"&amp;TEXT(B53,"0"),"")</f>
        <v/>
      </c>
      <c r="AH53" s="43" t="n">
        <f aca="false">IF(AA53=1,H53,0)</f>
        <v>0</v>
      </c>
    </row>
    <row r="54" customFormat="false" ht="15" hidden="false" customHeight="false" outlineLevel="0" collapsed="false">
      <c r="A54" s="23" t="str">
        <f aca="false">IF(B54="","","B-"&amp;TEXT(ROW()-4,"0000"))</f>
        <v/>
      </c>
      <c r="B54" s="38"/>
      <c r="C54" s="38"/>
      <c r="D54" s="6"/>
      <c r="E54" s="6"/>
      <c r="F54" s="6"/>
      <c r="G54" s="11"/>
      <c r="H54" s="24" t="str">
        <f aca="false">IF(AND(ISNUMBER(B54),ISNUMBER(C54)),MAX(0,C54-B54),"")</f>
        <v/>
      </c>
      <c r="I54" s="37"/>
      <c r="J54" s="46" t="str">
        <f aca="false">IF(OR(D54="",N(H54)=0),"",IFERROR(IF(I54&lt;&gt;"",H54*I54,ROUND(((H54-(INT((WEEKDAY(B54-6)+H54-1)/7)+INT((WEEKDAY(B54-7)+H54-1)/7)))*INDEX(Properties!$E$5:$E$24,MATCH(D54,Properties!$A$5:$A$24,0))+(INT((WEEKDAY(B54-6)+H54-1)/7)+INT((WEEKDAY(B54-7)+H54-1)/7))*INDEX(Properties!$F$5:$F$24,MATCH(D54,Properties!$A$5:$A$24,0)))*(1-IF(H54&gt;=28,Settings!$B$10,IF(H54&gt;=7,Settings!$B$9,0))),2)),0))</f>
        <v/>
      </c>
      <c r="K54" s="46" t="str">
        <f aca="false">IF(J54="","",IFERROR(N(INDEX(Properties!$G$5:$G$24,MATCH(D54,Properties!$A$5:$A$24,0))),0))</f>
        <v/>
      </c>
      <c r="L54" s="46" t="str">
        <f aca="false">IF(J54="","",IFERROR(MAX(0,N(G54)-INDEX(Properties!$I$5:$I$24,MATCH(D54,Properties!$A$5:$A$24,0)))*N(INDEX(Properties!$J$5:$J$24,MATCH(D54,Properties!$A$5:$A$24,0)))*H54,0))</f>
        <v/>
      </c>
      <c r="M54" s="37"/>
      <c r="N54" s="46" t="str">
        <f aca="false">IF(J54="","",J54+K54+L54+N(M54))</f>
        <v/>
      </c>
      <c r="O54" s="46" t="str">
        <f aca="false">IF(N54="","",IF(P54&lt;&gt;"",N54-P54,ROUND(N54*IFERROR(INDEX(Settings!$E$5:$E$12,MATCH(F54,Settings!$D$5:$D$12,0)),0),2)))</f>
        <v/>
      </c>
      <c r="P54" s="37"/>
      <c r="Q54" s="46" t="str">
        <f aca="false">IF(N54="","",IF(P54&lt;&gt;"",P54,N54-O54))</f>
        <v/>
      </c>
      <c r="R54" s="46" t="str">
        <f aca="false">IF(J54="","",IFERROR(N(INDEX(Properties!$H$5:$H$24,MATCH(D54,Properties!$A$5:$A$24,0))),0))</f>
        <v/>
      </c>
      <c r="S54" s="46" t="str">
        <f aca="false">IF(Q54="","",Q54-R54)</f>
        <v/>
      </c>
      <c r="T54" s="6"/>
      <c r="U54" s="6"/>
      <c r="V54" s="6"/>
      <c r="W54" s="6"/>
      <c r="X54" s="6"/>
      <c r="Y54" s="8" t="str">
        <f aca="false">IF(OR(D54="",B54="",C54=""),"",IF(N(C54)&lt;=N(B54),"Check dates",IF(T54="Cancelled","",IF(COUNTIFS($D$5:$D$1004,D54,$B$5:$B$1004,"&lt;"&amp;C54,$C$5:$C$1004,"&gt;"&amp;B54,$T$5:$T$1004,"&lt;&gt;Cancelled")&gt;1,"Double-booked",""))))</f>
        <v/>
      </c>
      <c r="Z54" s="42" t="str">
        <f aca="false">IF(AND(AA54=1,ISNUMBER(C54)),C54+ROW()/100000,"")</f>
        <v/>
      </c>
      <c r="AA54" s="43" t="n">
        <f aca="false">IF(AND(D54&lt;&gt;"",ISNUMBER(B54),ISNUMBER(C54),N(H54)&gt;0,T54&lt;&gt;"Cancelled",J54&lt;&gt;""),1,0)</f>
        <v>0</v>
      </c>
      <c r="AB54" s="44" t="n">
        <f aca="false">IF(AA54=1,J54/H54,0)</f>
        <v>0</v>
      </c>
      <c r="AC54" s="44" t="n">
        <f aca="false">IF(AA54=1,Q54/H54,0)</f>
        <v>0</v>
      </c>
      <c r="AD54" s="44" t="n">
        <f aca="false">IF(AA54=1,R54/H54,0)</f>
        <v>0</v>
      </c>
      <c r="AE54" s="44" t="n">
        <f aca="false">IF(AA54=1,O54/H54,0)</f>
        <v>0</v>
      </c>
      <c r="AF54" s="44" t="n">
        <f aca="false">IF(AA54=1,K54/H54,0)</f>
        <v>0</v>
      </c>
      <c r="AG54" s="45" t="str">
        <f aca="false">IF(AA54=1,D54&amp;"|"&amp;TEXT(B54,"0"),"")</f>
        <v/>
      </c>
      <c r="AH54" s="43" t="n">
        <f aca="false">IF(AA54=1,H54,0)</f>
        <v>0</v>
      </c>
    </row>
    <row r="55" customFormat="false" ht="15" hidden="false" customHeight="false" outlineLevel="0" collapsed="false">
      <c r="A55" s="8" t="str">
        <f aca="false">IF(B55="","","B-"&amp;TEXT(ROW()-4,"0000"))</f>
        <v/>
      </c>
      <c r="B55" s="38"/>
      <c r="C55" s="38"/>
      <c r="D55" s="6"/>
      <c r="E55" s="6"/>
      <c r="F55" s="6"/>
      <c r="G55" s="11"/>
      <c r="H55" s="18" t="str">
        <f aca="false">IF(AND(ISNUMBER(B55),ISNUMBER(C55)),MAX(0,C55-B55),"")</f>
        <v/>
      </c>
      <c r="I55" s="37"/>
      <c r="J55" s="41" t="str">
        <f aca="false">IF(OR(D55="",N(H55)=0),"",IFERROR(IF(I55&lt;&gt;"",H55*I55,ROUND(((H55-(INT((WEEKDAY(B55-6)+H55-1)/7)+INT((WEEKDAY(B55-7)+H55-1)/7)))*INDEX(Properties!$E$5:$E$24,MATCH(D55,Properties!$A$5:$A$24,0))+(INT((WEEKDAY(B55-6)+H55-1)/7)+INT((WEEKDAY(B55-7)+H55-1)/7))*INDEX(Properties!$F$5:$F$24,MATCH(D55,Properties!$A$5:$A$24,0)))*(1-IF(H55&gt;=28,Settings!$B$10,IF(H55&gt;=7,Settings!$B$9,0))),2)),0))</f>
        <v/>
      </c>
      <c r="K55" s="41" t="str">
        <f aca="false">IF(J55="","",IFERROR(N(INDEX(Properties!$G$5:$G$24,MATCH(D55,Properties!$A$5:$A$24,0))),0))</f>
        <v/>
      </c>
      <c r="L55" s="41" t="str">
        <f aca="false">IF(J55="","",IFERROR(MAX(0,N(G55)-INDEX(Properties!$I$5:$I$24,MATCH(D55,Properties!$A$5:$A$24,0)))*N(INDEX(Properties!$J$5:$J$24,MATCH(D55,Properties!$A$5:$A$24,0)))*H55,0))</f>
        <v/>
      </c>
      <c r="M55" s="37"/>
      <c r="N55" s="41" t="str">
        <f aca="false">IF(J55="","",J55+K55+L55+N(M55))</f>
        <v/>
      </c>
      <c r="O55" s="41" t="str">
        <f aca="false">IF(N55="","",IF(P55&lt;&gt;"",N55-P55,ROUND(N55*IFERROR(INDEX(Settings!$E$5:$E$12,MATCH(F55,Settings!$D$5:$D$12,0)),0),2)))</f>
        <v/>
      </c>
      <c r="P55" s="37"/>
      <c r="Q55" s="41" t="str">
        <f aca="false">IF(N55="","",IF(P55&lt;&gt;"",P55,N55-O55))</f>
        <v/>
      </c>
      <c r="R55" s="41" t="str">
        <f aca="false">IF(J55="","",IFERROR(N(INDEX(Properties!$H$5:$H$24,MATCH(D55,Properties!$A$5:$A$24,0))),0))</f>
        <v/>
      </c>
      <c r="S55" s="41" t="str">
        <f aca="false">IF(Q55="","",Q55-R55)</f>
        <v/>
      </c>
      <c r="T55" s="6"/>
      <c r="U55" s="6"/>
      <c r="V55" s="6"/>
      <c r="W55" s="6"/>
      <c r="X55" s="6"/>
      <c r="Y55" s="8" t="str">
        <f aca="false">IF(OR(D55="",B55="",C55=""),"",IF(N(C55)&lt;=N(B55),"Check dates",IF(T55="Cancelled","",IF(COUNTIFS($D$5:$D$1004,D55,$B$5:$B$1004,"&lt;"&amp;C55,$C$5:$C$1004,"&gt;"&amp;B55,$T$5:$T$1004,"&lt;&gt;Cancelled")&gt;1,"Double-booked",""))))</f>
        <v/>
      </c>
      <c r="Z55" s="42" t="str">
        <f aca="false">IF(AND(AA55=1,ISNUMBER(C55)),C55+ROW()/100000,"")</f>
        <v/>
      </c>
      <c r="AA55" s="43" t="n">
        <f aca="false">IF(AND(D55&lt;&gt;"",ISNUMBER(B55),ISNUMBER(C55),N(H55)&gt;0,T55&lt;&gt;"Cancelled",J55&lt;&gt;""),1,0)</f>
        <v>0</v>
      </c>
      <c r="AB55" s="44" t="n">
        <f aca="false">IF(AA55=1,J55/H55,0)</f>
        <v>0</v>
      </c>
      <c r="AC55" s="44" t="n">
        <f aca="false">IF(AA55=1,Q55/H55,0)</f>
        <v>0</v>
      </c>
      <c r="AD55" s="44" t="n">
        <f aca="false">IF(AA55=1,R55/H55,0)</f>
        <v>0</v>
      </c>
      <c r="AE55" s="44" t="n">
        <f aca="false">IF(AA55=1,O55/H55,0)</f>
        <v>0</v>
      </c>
      <c r="AF55" s="44" t="n">
        <f aca="false">IF(AA55=1,K55/H55,0)</f>
        <v>0</v>
      </c>
      <c r="AG55" s="45" t="str">
        <f aca="false">IF(AA55=1,D55&amp;"|"&amp;TEXT(B55,"0"),"")</f>
        <v/>
      </c>
      <c r="AH55" s="43" t="n">
        <f aca="false">IF(AA55=1,H55,0)</f>
        <v>0</v>
      </c>
    </row>
    <row r="56" customFormat="false" ht="15" hidden="false" customHeight="false" outlineLevel="0" collapsed="false">
      <c r="A56" s="23" t="str">
        <f aca="false">IF(B56="","","B-"&amp;TEXT(ROW()-4,"0000"))</f>
        <v/>
      </c>
      <c r="B56" s="38"/>
      <c r="C56" s="38"/>
      <c r="D56" s="6"/>
      <c r="E56" s="6"/>
      <c r="F56" s="6"/>
      <c r="G56" s="11"/>
      <c r="H56" s="24" t="str">
        <f aca="false">IF(AND(ISNUMBER(B56),ISNUMBER(C56)),MAX(0,C56-B56),"")</f>
        <v/>
      </c>
      <c r="I56" s="37"/>
      <c r="J56" s="46" t="str">
        <f aca="false">IF(OR(D56="",N(H56)=0),"",IFERROR(IF(I56&lt;&gt;"",H56*I56,ROUND(((H56-(INT((WEEKDAY(B56-6)+H56-1)/7)+INT((WEEKDAY(B56-7)+H56-1)/7)))*INDEX(Properties!$E$5:$E$24,MATCH(D56,Properties!$A$5:$A$24,0))+(INT((WEEKDAY(B56-6)+H56-1)/7)+INT((WEEKDAY(B56-7)+H56-1)/7))*INDEX(Properties!$F$5:$F$24,MATCH(D56,Properties!$A$5:$A$24,0)))*(1-IF(H56&gt;=28,Settings!$B$10,IF(H56&gt;=7,Settings!$B$9,0))),2)),0))</f>
        <v/>
      </c>
      <c r="K56" s="46" t="str">
        <f aca="false">IF(J56="","",IFERROR(N(INDEX(Properties!$G$5:$G$24,MATCH(D56,Properties!$A$5:$A$24,0))),0))</f>
        <v/>
      </c>
      <c r="L56" s="46" t="str">
        <f aca="false">IF(J56="","",IFERROR(MAX(0,N(G56)-INDEX(Properties!$I$5:$I$24,MATCH(D56,Properties!$A$5:$A$24,0)))*N(INDEX(Properties!$J$5:$J$24,MATCH(D56,Properties!$A$5:$A$24,0)))*H56,0))</f>
        <v/>
      </c>
      <c r="M56" s="37"/>
      <c r="N56" s="46" t="str">
        <f aca="false">IF(J56="","",J56+K56+L56+N(M56))</f>
        <v/>
      </c>
      <c r="O56" s="46" t="str">
        <f aca="false">IF(N56="","",IF(P56&lt;&gt;"",N56-P56,ROUND(N56*IFERROR(INDEX(Settings!$E$5:$E$12,MATCH(F56,Settings!$D$5:$D$12,0)),0),2)))</f>
        <v/>
      </c>
      <c r="P56" s="37"/>
      <c r="Q56" s="46" t="str">
        <f aca="false">IF(N56="","",IF(P56&lt;&gt;"",P56,N56-O56))</f>
        <v/>
      </c>
      <c r="R56" s="46" t="str">
        <f aca="false">IF(J56="","",IFERROR(N(INDEX(Properties!$H$5:$H$24,MATCH(D56,Properties!$A$5:$A$24,0))),0))</f>
        <v/>
      </c>
      <c r="S56" s="46" t="str">
        <f aca="false">IF(Q56="","",Q56-R56)</f>
        <v/>
      </c>
      <c r="T56" s="6"/>
      <c r="U56" s="6"/>
      <c r="V56" s="6"/>
      <c r="W56" s="6"/>
      <c r="X56" s="6"/>
      <c r="Y56" s="8" t="str">
        <f aca="false">IF(OR(D56="",B56="",C56=""),"",IF(N(C56)&lt;=N(B56),"Check dates",IF(T56="Cancelled","",IF(COUNTIFS($D$5:$D$1004,D56,$B$5:$B$1004,"&lt;"&amp;C56,$C$5:$C$1004,"&gt;"&amp;B56,$T$5:$T$1004,"&lt;&gt;Cancelled")&gt;1,"Double-booked",""))))</f>
        <v/>
      </c>
      <c r="Z56" s="42" t="str">
        <f aca="false">IF(AND(AA56=1,ISNUMBER(C56)),C56+ROW()/100000,"")</f>
        <v/>
      </c>
      <c r="AA56" s="43" t="n">
        <f aca="false">IF(AND(D56&lt;&gt;"",ISNUMBER(B56),ISNUMBER(C56),N(H56)&gt;0,T56&lt;&gt;"Cancelled",J56&lt;&gt;""),1,0)</f>
        <v>0</v>
      </c>
      <c r="AB56" s="44" t="n">
        <f aca="false">IF(AA56=1,J56/H56,0)</f>
        <v>0</v>
      </c>
      <c r="AC56" s="44" t="n">
        <f aca="false">IF(AA56=1,Q56/H56,0)</f>
        <v>0</v>
      </c>
      <c r="AD56" s="44" t="n">
        <f aca="false">IF(AA56=1,R56/H56,0)</f>
        <v>0</v>
      </c>
      <c r="AE56" s="44" t="n">
        <f aca="false">IF(AA56=1,O56/H56,0)</f>
        <v>0</v>
      </c>
      <c r="AF56" s="44" t="n">
        <f aca="false">IF(AA56=1,K56/H56,0)</f>
        <v>0</v>
      </c>
      <c r="AG56" s="45" t="str">
        <f aca="false">IF(AA56=1,D56&amp;"|"&amp;TEXT(B56,"0"),"")</f>
        <v/>
      </c>
      <c r="AH56" s="43" t="n">
        <f aca="false">IF(AA56=1,H56,0)</f>
        <v>0</v>
      </c>
    </row>
    <row r="57" customFormat="false" ht="15" hidden="false" customHeight="false" outlineLevel="0" collapsed="false">
      <c r="A57" s="8" t="str">
        <f aca="false">IF(B57="","","B-"&amp;TEXT(ROW()-4,"0000"))</f>
        <v/>
      </c>
      <c r="B57" s="38"/>
      <c r="C57" s="38"/>
      <c r="D57" s="6"/>
      <c r="E57" s="6"/>
      <c r="F57" s="6"/>
      <c r="G57" s="11"/>
      <c r="H57" s="18" t="str">
        <f aca="false">IF(AND(ISNUMBER(B57),ISNUMBER(C57)),MAX(0,C57-B57),"")</f>
        <v/>
      </c>
      <c r="I57" s="37"/>
      <c r="J57" s="41" t="str">
        <f aca="false">IF(OR(D57="",N(H57)=0),"",IFERROR(IF(I57&lt;&gt;"",H57*I57,ROUND(((H57-(INT((WEEKDAY(B57-6)+H57-1)/7)+INT((WEEKDAY(B57-7)+H57-1)/7)))*INDEX(Properties!$E$5:$E$24,MATCH(D57,Properties!$A$5:$A$24,0))+(INT((WEEKDAY(B57-6)+H57-1)/7)+INT((WEEKDAY(B57-7)+H57-1)/7))*INDEX(Properties!$F$5:$F$24,MATCH(D57,Properties!$A$5:$A$24,0)))*(1-IF(H57&gt;=28,Settings!$B$10,IF(H57&gt;=7,Settings!$B$9,0))),2)),0))</f>
        <v/>
      </c>
      <c r="K57" s="41" t="str">
        <f aca="false">IF(J57="","",IFERROR(N(INDEX(Properties!$G$5:$G$24,MATCH(D57,Properties!$A$5:$A$24,0))),0))</f>
        <v/>
      </c>
      <c r="L57" s="41" t="str">
        <f aca="false">IF(J57="","",IFERROR(MAX(0,N(G57)-INDEX(Properties!$I$5:$I$24,MATCH(D57,Properties!$A$5:$A$24,0)))*N(INDEX(Properties!$J$5:$J$24,MATCH(D57,Properties!$A$5:$A$24,0)))*H57,0))</f>
        <v/>
      </c>
      <c r="M57" s="37"/>
      <c r="N57" s="41" t="str">
        <f aca="false">IF(J57="","",J57+K57+L57+N(M57))</f>
        <v/>
      </c>
      <c r="O57" s="41" t="str">
        <f aca="false">IF(N57="","",IF(P57&lt;&gt;"",N57-P57,ROUND(N57*IFERROR(INDEX(Settings!$E$5:$E$12,MATCH(F57,Settings!$D$5:$D$12,0)),0),2)))</f>
        <v/>
      </c>
      <c r="P57" s="37"/>
      <c r="Q57" s="41" t="str">
        <f aca="false">IF(N57="","",IF(P57&lt;&gt;"",P57,N57-O57))</f>
        <v/>
      </c>
      <c r="R57" s="41" t="str">
        <f aca="false">IF(J57="","",IFERROR(N(INDEX(Properties!$H$5:$H$24,MATCH(D57,Properties!$A$5:$A$24,0))),0))</f>
        <v/>
      </c>
      <c r="S57" s="41" t="str">
        <f aca="false">IF(Q57="","",Q57-R57)</f>
        <v/>
      </c>
      <c r="T57" s="6"/>
      <c r="U57" s="6"/>
      <c r="V57" s="6"/>
      <c r="W57" s="6"/>
      <c r="X57" s="6"/>
      <c r="Y57" s="8" t="str">
        <f aca="false">IF(OR(D57="",B57="",C57=""),"",IF(N(C57)&lt;=N(B57),"Check dates",IF(T57="Cancelled","",IF(COUNTIFS($D$5:$D$1004,D57,$B$5:$B$1004,"&lt;"&amp;C57,$C$5:$C$1004,"&gt;"&amp;B57,$T$5:$T$1004,"&lt;&gt;Cancelled")&gt;1,"Double-booked",""))))</f>
        <v/>
      </c>
      <c r="Z57" s="42" t="str">
        <f aca="false">IF(AND(AA57=1,ISNUMBER(C57)),C57+ROW()/100000,"")</f>
        <v/>
      </c>
      <c r="AA57" s="43" t="n">
        <f aca="false">IF(AND(D57&lt;&gt;"",ISNUMBER(B57),ISNUMBER(C57),N(H57)&gt;0,T57&lt;&gt;"Cancelled",J57&lt;&gt;""),1,0)</f>
        <v>0</v>
      </c>
      <c r="AB57" s="44" t="n">
        <f aca="false">IF(AA57=1,J57/H57,0)</f>
        <v>0</v>
      </c>
      <c r="AC57" s="44" t="n">
        <f aca="false">IF(AA57=1,Q57/H57,0)</f>
        <v>0</v>
      </c>
      <c r="AD57" s="44" t="n">
        <f aca="false">IF(AA57=1,R57/H57,0)</f>
        <v>0</v>
      </c>
      <c r="AE57" s="44" t="n">
        <f aca="false">IF(AA57=1,O57/H57,0)</f>
        <v>0</v>
      </c>
      <c r="AF57" s="44" t="n">
        <f aca="false">IF(AA57=1,K57/H57,0)</f>
        <v>0</v>
      </c>
      <c r="AG57" s="45" t="str">
        <f aca="false">IF(AA57=1,D57&amp;"|"&amp;TEXT(B57,"0"),"")</f>
        <v/>
      </c>
      <c r="AH57" s="43" t="n">
        <f aca="false">IF(AA57=1,H57,0)</f>
        <v>0</v>
      </c>
    </row>
    <row r="58" customFormat="false" ht="15" hidden="false" customHeight="false" outlineLevel="0" collapsed="false">
      <c r="A58" s="23" t="str">
        <f aca="false">IF(B58="","","B-"&amp;TEXT(ROW()-4,"0000"))</f>
        <v/>
      </c>
      <c r="B58" s="38"/>
      <c r="C58" s="38"/>
      <c r="D58" s="6"/>
      <c r="E58" s="6"/>
      <c r="F58" s="6"/>
      <c r="G58" s="11"/>
      <c r="H58" s="24" t="str">
        <f aca="false">IF(AND(ISNUMBER(B58),ISNUMBER(C58)),MAX(0,C58-B58),"")</f>
        <v/>
      </c>
      <c r="I58" s="37"/>
      <c r="J58" s="46" t="str">
        <f aca="false">IF(OR(D58="",N(H58)=0),"",IFERROR(IF(I58&lt;&gt;"",H58*I58,ROUND(((H58-(INT((WEEKDAY(B58-6)+H58-1)/7)+INT((WEEKDAY(B58-7)+H58-1)/7)))*INDEX(Properties!$E$5:$E$24,MATCH(D58,Properties!$A$5:$A$24,0))+(INT((WEEKDAY(B58-6)+H58-1)/7)+INT((WEEKDAY(B58-7)+H58-1)/7))*INDEX(Properties!$F$5:$F$24,MATCH(D58,Properties!$A$5:$A$24,0)))*(1-IF(H58&gt;=28,Settings!$B$10,IF(H58&gt;=7,Settings!$B$9,0))),2)),0))</f>
        <v/>
      </c>
      <c r="K58" s="46" t="str">
        <f aca="false">IF(J58="","",IFERROR(N(INDEX(Properties!$G$5:$G$24,MATCH(D58,Properties!$A$5:$A$24,0))),0))</f>
        <v/>
      </c>
      <c r="L58" s="46" t="str">
        <f aca="false">IF(J58="","",IFERROR(MAX(0,N(G58)-INDEX(Properties!$I$5:$I$24,MATCH(D58,Properties!$A$5:$A$24,0)))*N(INDEX(Properties!$J$5:$J$24,MATCH(D58,Properties!$A$5:$A$24,0)))*H58,0))</f>
        <v/>
      </c>
      <c r="M58" s="37"/>
      <c r="N58" s="46" t="str">
        <f aca="false">IF(J58="","",J58+K58+L58+N(M58))</f>
        <v/>
      </c>
      <c r="O58" s="46" t="str">
        <f aca="false">IF(N58="","",IF(P58&lt;&gt;"",N58-P58,ROUND(N58*IFERROR(INDEX(Settings!$E$5:$E$12,MATCH(F58,Settings!$D$5:$D$12,0)),0),2)))</f>
        <v/>
      </c>
      <c r="P58" s="37"/>
      <c r="Q58" s="46" t="str">
        <f aca="false">IF(N58="","",IF(P58&lt;&gt;"",P58,N58-O58))</f>
        <v/>
      </c>
      <c r="R58" s="46" t="str">
        <f aca="false">IF(J58="","",IFERROR(N(INDEX(Properties!$H$5:$H$24,MATCH(D58,Properties!$A$5:$A$24,0))),0))</f>
        <v/>
      </c>
      <c r="S58" s="46" t="str">
        <f aca="false">IF(Q58="","",Q58-R58)</f>
        <v/>
      </c>
      <c r="T58" s="6"/>
      <c r="U58" s="6"/>
      <c r="V58" s="6"/>
      <c r="W58" s="6"/>
      <c r="X58" s="6"/>
      <c r="Y58" s="8" t="str">
        <f aca="false">IF(OR(D58="",B58="",C58=""),"",IF(N(C58)&lt;=N(B58),"Check dates",IF(T58="Cancelled","",IF(COUNTIFS($D$5:$D$1004,D58,$B$5:$B$1004,"&lt;"&amp;C58,$C$5:$C$1004,"&gt;"&amp;B58,$T$5:$T$1004,"&lt;&gt;Cancelled")&gt;1,"Double-booked",""))))</f>
        <v/>
      </c>
      <c r="Z58" s="42" t="str">
        <f aca="false">IF(AND(AA58=1,ISNUMBER(C58)),C58+ROW()/100000,"")</f>
        <v/>
      </c>
      <c r="AA58" s="43" t="n">
        <f aca="false">IF(AND(D58&lt;&gt;"",ISNUMBER(B58),ISNUMBER(C58),N(H58)&gt;0,T58&lt;&gt;"Cancelled",J58&lt;&gt;""),1,0)</f>
        <v>0</v>
      </c>
      <c r="AB58" s="44" t="n">
        <f aca="false">IF(AA58=1,J58/H58,0)</f>
        <v>0</v>
      </c>
      <c r="AC58" s="44" t="n">
        <f aca="false">IF(AA58=1,Q58/H58,0)</f>
        <v>0</v>
      </c>
      <c r="AD58" s="44" t="n">
        <f aca="false">IF(AA58=1,R58/H58,0)</f>
        <v>0</v>
      </c>
      <c r="AE58" s="44" t="n">
        <f aca="false">IF(AA58=1,O58/H58,0)</f>
        <v>0</v>
      </c>
      <c r="AF58" s="44" t="n">
        <f aca="false">IF(AA58=1,K58/H58,0)</f>
        <v>0</v>
      </c>
      <c r="AG58" s="45" t="str">
        <f aca="false">IF(AA58=1,D58&amp;"|"&amp;TEXT(B58,"0"),"")</f>
        <v/>
      </c>
      <c r="AH58" s="43" t="n">
        <f aca="false">IF(AA58=1,H58,0)</f>
        <v>0</v>
      </c>
    </row>
    <row r="59" customFormat="false" ht="15" hidden="false" customHeight="false" outlineLevel="0" collapsed="false">
      <c r="A59" s="8" t="str">
        <f aca="false">IF(B59="","","B-"&amp;TEXT(ROW()-4,"0000"))</f>
        <v/>
      </c>
      <c r="B59" s="38"/>
      <c r="C59" s="38"/>
      <c r="D59" s="6"/>
      <c r="E59" s="6"/>
      <c r="F59" s="6"/>
      <c r="G59" s="11"/>
      <c r="H59" s="18" t="str">
        <f aca="false">IF(AND(ISNUMBER(B59),ISNUMBER(C59)),MAX(0,C59-B59),"")</f>
        <v/>
      </c>
      <c r="I59" s="37"/>
      <c r="J59" s="41" t="str">
        <f aca="false">IF(OR(D59="",N(H59)=0),"",IFERROR(IF(I59&lt;&gt;"",H59*I59,ROUND(((H59-(INT((WEEKDAY(B59-6)+H59-1)/7)+INT((WEEKDAY(B59-7)+H59-1)/7)))*INDEX(Properties!$E$5:$E$24,MATCH(D59,Properties!$A$5:$A$24,0))+(INT((WEEKDAY(B59-6)+H59-1)/7)+INT((WEEKDAY(B59-7)+H59-1)/7))*INDEX(Properties!$F$5:$F$24,MATCH(D59,Properties!$A$5:$A$24,0)))*(1-IF(H59&gt;=28,Settings!$B$10,IF(H59&gt;=7,Settings!$B$9,0))),2)),0))</f>
        <v/>
      </c>
      <c r="K59" s="41" t="str">
        <f aca="false">IF(J59="","",IFERROR(N(INDEX(Properties!$G$5:$G$24,MATCH(D59,Properties!$A$5:$A$24,0))),0))</f>
        <v/>
      </c>
      <c r="L59" s="41" t="str">
        <f aca="false">IF(J59="","",IFERROR(MAX(0,N(G59)-INDEX(Properties!$I$5:$I$24,MATCH(D59,Properties!$A$5:$A$24,0)))*N(INDEX(Properties!$J$5:$J$24,MATCH(D59,Properties!$A$5:$A$24,0)))*H59,0))</f>
        <v/>
      </c>
      <c r="M59" s="37"/>
      <c r="N59" s="41" t="str">
        <f aca="false">IF(J59="","",J59+K59+L59+N(M59))</f>
        <v/>
      </c>
      <c r="O59" s="41" t="str">
        <f aca="false">IF(N59="","",IF(P59&lt;&gt;"",N59-P59,ROUND(N59*IFERROR(INDEX(Settings!$E$5:$E$12,MATCH(F59,Settings!$D$5:$D$12,0)),0),2)))</f>
        <v/>
      </c>
      <c r="P59" s="37"/>
      <c r="Q59" s="41" t="str">
        <f aca="false">IF(N59="","",IF(P59&lt;&gt;"",P59,N59-O59))</f>
        <v/>
      </c>
      <c r="R59" s="41" t="str">
        <f aca="false">IF(J59="","",IFERROR(N(INDEX(Properties!$H$5:$H$24,MATCH(D59,Properties!$A$5:$A$24,0))),0))</f>
        <v/>
      </c>
      <c r="S59" s="41" t="str">
        <f aca="false">IF(Q59="","",Q59-R59)</f>
        <v/>
      </c>
      <c r="T59" s="6"/>
      <c r="U59" s="6"/>
      <c r="V59" s="6"/>
      <c r="W59" s="6"/>
      <c r="X59" s="6"/>
      <c r="Y59" s="8" t="str">
        <f aca="false">IF(OR(D59="",B59="",C59=""),"",IF(N(C59)&lt;=N(B59),"Check dates",IF(T59="Cancelled","",IF(COUNTIFS($D$5:$D$1004,D59,$B$5:$B$1004,"&lt;"&amp;C59,$C$5:$C$1004,"&gt;"&amp;B59,$T$5:$T$1004,"&lt;&gt;Cancelled")&gt;1,"Double-booked",""))))</f>
        <v/>
      </c>
      <c r="Z59" s="42" t="str">
        <f aca="false">IF(AND(AA59=1,ISNUMBER(C59)),C59+ROW()/100000,"")</f>
        <v/>
      </c>
      <c r="AA59" s="43" t="n">
        <f aca="false">IF(AND(D59&lt;&gt;"",ISNUMBER(B59),ISNUMBER(C59),N(H59)&gt;0,T59&lt;&gt;"Cancelled",J59&lt;&gt;""),1,0)</f>
        <v>0</v>
      </c>
      <c r="AB59" s="44" t="n">
        <f aca="false">IF(AA59=1,J59/H59,0)</f>
        <v>0</v>
      </c>
      <c r="AC59" s="44" t="n">
        <f aca="false">IF(AA59=1,Q59/H59,0)</f>
        <v>0</v>
      </c>
      <c r="AD59" s="44" t="n">
        <f aca="false">IF(AA59=1,R59/H59,0)</f>
        <v>0</v>
      </c>
      <c r="AE59" s="44" t="n">
        <f aca="false">IF(AA59=1,O59/H59,0)</f>
        <v>0</v>
      </c>
      <c r="AF59" s="44" t="n">
        <f aca="false">IF(AA59=1,K59/H59,0)</f>
        <v>0</v>
      </c>
      <c r="AG59" s="45" t="str">
        <f aca="false">IF(AA59=1,D59&amp;"|"&amp;TEXT(B59,"0"),"")</f>
        <v/>
      </c>
      <c r="AH59" s="43" t="n">
        <f aca="false">IF(AA59=1,H59,0)</f>
        <v>0</v>
      </c>
    </row>
    <row r="60" customFormat="false" ht="15" hidden="false" customHeight="false" outlineLevel="0" collapsed="false">
      <c r="A60" s="23" t="str">
        <f aca="false">IF(B60="","","B-"&amp;TEXT(ROW()-4,"0000"))</f>
        <v/>
      </c>
      <c r="B60" s="38"/>
      <c r="C60" s="38"/>
      <c r="D60" s="6"/>
      <c r="E60" s="6"/>
      <c r="F60" s="6"/>
      <c r="G60" s="11"/>
      <c r="H60" s="24" t="str">
        <f aca="false">IF(AND(ISNUMBER(B60),ISNUMBER(C60)),MAX(0,C60-B60),"")</f>
        <v/>
      </c>
      <c r="I60" s="37"/>
      <c r="J60" s="46" t="str">
        <f aca="false">IF(OR(D60="",N(H60)=0),"",IFERROR(IF(I60&lt;&gt;"",H60*I60,ROUND(((H60-(INT((WEEKDAY(B60-6)+H60-1)/7)+INT((WEEKDAY(B60-7)+H60-1)/7)))*INDEX(Properties!$E$5:$E$24,MATCH(D60,Properties!$A$5:$A$24,0))+(INT((WEEKDAY(B60-6)+H60-1)/7)+INT((WEEKDAY(B60-7)+H60-1)/7))*INDEX(Properties!$F$5:$F$24,MATCH(D60,Properties!$A$5:$A$24,0)))*(1-IF(H60&gt;=28,Settings!$B$10,IF(H60&gt;=7,Settings!$B$9,0))),2)),0))</f>
        <v/>
      </c>
      <c r="K60" s="46" t="str">
        <f aca="false">IF(J60="","",IFERROR(N(INDEX(Properties!$G$5:$G$24,MATCH(D60,Properties!$A$5:$A$24,0))),0))</f>
        <v/>
      </c>
      <c r="L60" s="46" t="str">
        <f aca="false">IF(J60="","",IFERROR(MAX(0,N(G60)-INDEX(Properties!$I$5:$I$24,MATCH(D60,Properties!$A$5:$A$24,0)))*N(INDEX(Properties!$J$5:$J$24,MATCH(D60,Properties!$A$5:$A$24,0)))*H60,0))</f>
        <v/>
      </c>
      <c r="M60" s="37"/>
      <c r="N60" s="46" t="str">
        <f aca="false">IF(J60="","",J60+K60+L60+N(M60))</f>
        <v/>
      </c>
      <c r="O60" s="46" t="str">
        <f aca="false">IF(N60="","",IF(P60&lt;&gt;"",N60-P60,ROUND(N60*IFERROR(INDEX(Settings!$E$5:$E$12,MATCH(F60,Settings!$D$5:$D$12,0)),0),2)))</f>
        <v/>
      </c>
      <c r="P60" s="37"/>
      <c r="Q60" s="46" t="str">
        <f aca="false">IF(N60="","",IF(P60&lt;&gt;"",P60,N60-O60))</f>
        <v/>
      </c>
      <c r="R60" s="46" t="str">
        <f aca="false">IF(J60="","",IFERROR(N(INDEX(Properties!$H$5:$H$24,MATCH(D60,Properties!$A$5:$A$24,0))),0))</f>
        <v/>
      </c>
      <c r="S60" s="46" t="str">
        <f aca="false">IF(Q60="","",Q60-R60)</f>
        <v/>
      </c>
      <c r="T60" s="6"/>
      <c r="U60" s="6"/>
      <c r="V60" s="6"/>
      <c r="W60" s="6"/>
      <c r="X60" s="6"/>
      <c r="Y60" s="8" t="str">
        <f aca="false">IF(OR(D60="",B60="",C60=""),"",IF(N(C60)&lt;=N(B60),"Check dates",IF(T60="Cancelled","",IF(COUNTIFS($D$5:$D$1004,D60,$B$5:$B$1004,"&lt;"&amp;C60,$C$5:$C$1004,"&gt;"&amp;B60,$T$5:$T$1004,"&lt;&gt;Cancelled")&gt;1,"Double-booked",""))))</f>
        <v/>
      </c>
      <c r="Z60" s="42" t="str">
        <f aca="false">IF(AND(AA60=1,ISNUMBER(C60)),C60+ROW()/100000,"")</f>
        <v/>
      </c>
      <c r="AA60" s="43" t="n">
        <f aca="false">IF(AND(D60&lt;&gt;"",ISNUMBER(B60),ISNUMBER(C60),N(H60)&gt;0,T60&lt;&gt;"Cancelled",J60&lt;&gt;""),1,0)</f>
        <v>0</v>
      </c>
      <c r="AB60" s="44" t="n">
        <f aca="false">IF(AA60=1,J60/H60,0)</f>
        <v>0</v>
      </c>
      <c r="AC60" s="44" t="n">
        <f aca="false">IF(AA60=1,Q60/H60,0)</f>
        <v>0</v>
      </c>
      <c r="AD60" s="44" t="n">
        <f aca="false">IF(AA60=1,R60/H60,0)</f>
        <v>0</v>
      </c>
      <c r="AE60" s="44" t="n">
        <f aca="false">IF(AA60=1,O60/H60,0)</f>
        <v>0</v>
      </c>
      <c r="AF60" s="44" t="n">
        <f aca="false">IF(AA60=1,K60/H60,0)</f>
        <v>0</v>
      </c>
      <c r="AG60" s="45" t="str">
        <f aca="false">IF(AA60=1,D60&amp;"|"&amp;TEXT(B60,"0"),"")</f>
        <v/>
      </c>
      <c r="AH60" s="43" t="n">
        <f aca="false">IF(AA60=1,H60,0)</f>
        <v>0</v>
      </c>
    </row>
    <row r="61" customFormat="false" ht="15" hidden="false" customHeight="false" outlineLevel="0" collapsed="false">
      <c r="A61" s="8" t="str">
        <f aca="false">IF(B61="","","B-"&amp;TEXT(ROW()-4,"0000"))</f>
        <v/>
      </c>
      <c r="B61" s="38"/>
      <c r="C61" s="38"/>
      <c r="D61" s="6"/>
      <c r="E61" s="6"/>
      <c r="F61" s="6"/>
      <c r="G61" s="11"/>
      <c r="H61" s="18" t="str">
        <f aca="false">IF(AND(ISNUMBER(B61),ISNUMBER(C61)),MAX(0,C61-B61),"")</f>
        <v/>
      </c>
      <c r="I61" s="37"/>
      <c r="J61" s="41" t="str">
        <f aca="false">IF(OR(D61="",N(H61)=0),"",IFERROR(IF(I61&lt;&gt;"",H61*I61,ROUND(((H61-(INT((WEEKDAY(B61-6)+H61-1)/7)+INT((WEEKDAY(B61-7)+H61-1)/7)))*INDEX(Properties!$E$5:$E$24,MATCH(D61,Properties!$A$5:$A$24,0))+(INT((WEEKDAY(B61-6)+H61-1)/7)+INT((WEEKDAY(B61-7)+H61-1)/7))*INDEX(Properties!$F$5:$F$24,MATCH(D61,Properties!$A$5:$A$24,0)))*(1-IF(H61&gt;=28,Settings!$B$10,IF(H61&gt;=7,Settings!$B$9,0))),2)),0))</f>
        <v/>
      </c>
      <c r="K61" s="41" t="str">
        <f aca="false">IF(J61="","",IFERROR(N(INDEX(Properties!$G$5:$G$24,MATCH(D61,Properties!$A$5:$A$24,0))),0))</f>
        <v/>
      </c>
      <c r="L61" s="41" t="str">
        <f aca="false">IF(J61="","",IFERROR(MAX(0,N(G61)-INDEX(Properties!$I$5:$I$24,MATCH(D61,Properties!$A$5:$A$24,0)))*N(INDEX(Properties!$J$5:$J$24,MATCH(D61,Properties!$A$5:$A$24,0)))*H61,0))</f>
        <v/>
      </c>
      <c r="M61" s="37"/>
      <c r="N61" s="41" t="str">
        <f aca="false">IF(J61="","",J61+K61+L61+N(M61))</f>
        <v/>
      </c>
      <c r="O61" s="41" t="str">
        <f aca="false">IF(N61="","",IF(P61&lt;&gt;"",N61-P61,ROUND(N61*IFERROR(INDEX(Settings!$E$5:$E$12,MATCH(F61,Settings!$D$5:$D$12,0)),0),2)))</f>
        <v/>
      </c>
      <c r="P61" s="37"/>
      <c r="Q61" s="41" t="str">
        <f aca="false">IF(N61="","",IF(P61&lt;&gt;"",P61,N61-O61))</f>
        <v/>
      </c>
      <c r="R61" s="41" t="str">
        <f aca="false">IF(J61="","",IFERROR(N(INDEX(Properties!$H$5:$H$24,MATCH(D61,Properties!$A$5:$A$24,0))),0))</f>
        <v/>
      </c>
      <c r="S61" s="41" t="str">
        <f aca="false">IF(Q61="","",Q61-R61)</f>
        <v/>
      </c>
      <c r="T61" s="6"/>
      <c r="U61" s="6"/>
      <c r="V61" s="6"/>
      <c r="W61" s="6"/>
      <c r="X61" s="6"/>
      <c r="Y61" s="8" t="str">
        <f aca="false">IF(OR(D61="",B61="",C61=""),"",IF(N(C61)&lt;=N(B61),"Check dates",IF(T61="Cancelled","",IF(COUNTIFS($D$5:$D$1004,D61,$B$5:$B$1004,"&lt;"&amp;C61,$C$5:$C$1004,"&gt;"&amp;B61,$T$5:$T$1004,"&lt;&gt;Cancelled")&gt;1,"Double-booked",""))))</f>
        <v/>
      </c>
      <c r="Z61" s="42" t="str">
        <f aca="false">IF(AND(AA61=1,ISNUMBER(C61)),C61+ROW()/100000,"")</f>
        <v/>
      </c>
      <c r="AA61" s="43" t="n">
        <f aca="false">IF(AND(D61&lt;&gt;"",ISNUMBER(B61),ISNUMBER(C61),N(H61)&gt;0,T61&lt;&gt;"Cancelled",J61&lt;&gt;""),1,0)</f>
        <v>0</v>
      </c>
      <c r="AB61" s="44" t="n">
        <f aca="false">IF(AA61=1,J61/H61,0)</f>
        <v>0</v>
      </c>
      <c r="AC61" s="44" t="n">
        <f aca="false">IF(AA61=1,Q61/H61,0)</f>
        <v>0</v>
      </c>
      <c r="AD61" s="44" t="n">
        <f aca="false">IF(AA61=1,R61/H61,0)</f>
        <v>0</v>
      </c>
      <c r="AE61" s="44" t="n">
        <f aca="false">IF(AA61=1,O61/H61,0)</f>
        <v>0</v>
      </c>
      <c r="AF61" s="44" t="n">
        <f aca="false">IF(AA61=1,K61/H61,0)</f>
        <v>0</v>
      </c>
      <c r="AG61" s="45" t="str">
        <f aca="false">IF(AA61=1,D61&amp;"|"&amp;TEXT(B61,"0"),"")</f>
        <v/>
      </c>
      <c r="AH61" s="43" t="n">
        <f aca="false">IF(AA61=1,H61,0)</f>
        <v>0</v>
      </c>
    </row>
    <row r="62" customFormat="false" ht="15" hidden="false" customHeight="false" outlineLevel="0" collapsed="false">
      <c r="A62" s="23" t="str">
        <f aca="false">IF(B62="","","B-"&amp;TEXT(ROW()-4,"0000"))</f>
        <v/>
      </c>
      <c r="B62" s="38"/>
      <c r="C62" s="38"/>
      <c r="D62" s="6"/>
      <c r="E62" s="6"/>
      <c r="F62" s="6"/>
      <c r="G62" s="11"/>
      <c r="H62" s="24" t="str">
        <f aca="false">IF(AND(ISNUMBER(B62),ISNUMBER(C62)),MAX(0,C62-B62),"")</f>
        <v/>
      </c>
      <c r="I62" s="37"/>
      <c r="J62" s="46" t="str">
        <f aca="false">IF(OR(D62="",N(H62)=0),"",IFERROR(IF(I62&lt;&gt;"",H62*I62,ROUND(((H62-(INT((WEEKDAY(B62-6)+H62-1)/7)+INT((WEEKDAY(B62-7)+H62-1)/7)))*INDEX(Properties!$E$5:$E$24,MATCH(D62,Properties!$A$5:$A$24,0))+(INT((WEEKDAY(B62-6)+H62-1)/7)+INT((WEEKDAY(B62-7)+H62-1)/7))*INDEX(Properties!$F$5:$F$24,MATCH(D62,Properties!$A$5:$A$24,0)))*(1-IF(H62&gt;=28,Settings!$B$10,IF(H62&gt;=7,Settings!$B$9,0))),2)),0))</f>
        <v/>
      </c>
      <c r="K62" s="46" t="str">
        <f aca="false">IF(J62="","",IFERROR(N(INDEX(Properties!$G$5:$G$24,MATCH(D62,Properties!$A$5:$A$24,0))),0))</f>
        <v/>
      </c>
      <c r="L62" s="46" t="str">
        <f aca="false">IF(J62="","",IFERROR(MAX(0,N(G62)-INDEX(Properties!$I$5:$I$24,MATCH(D62,Properties!$A$5:$A$24,0)))*N(INDEX(Properties!$J$5:$J$24,MATCH(D62,Properties!$A$5:$A$24,0)))*H62,0))</f>
        <v/>
      </c>
      <c r="M62" s="37"/>
      <c r="N62" s="46" t="str">
        <f aca="false">IF(J62="","",J62+K62+L62+N(M62))</f>
        <v/>
      </c>
      <c r="O62" s="46" t="str">
        <f aca="false">IF(N62="","",IF(P62&lt;&gt;"",N62-P62,ROUND(N62*IFERROR(INDEX(Settings!$E$5:$E$12,MATCH(F62,Settings!$D$5:$D$12,0)),0),2)))</f>
        <v/>
      </c>
      <c r="P62" s="37"/>
      <c r="Q62" s="46" t="str">
        <f aca="false">IF(N62="","",IF(P62&lt;&gt;"",P62,N62-O62))</f>
        <v/>
      </c>
      <c r="R62" s="46" t="str">
        <f aca="false">IF(J62="","",IFERROR(N(INDEX(Properties!$H$5:$H$24,MATCH(D62,Properties!$A$5:$A$24,0))),0))</f>
        <v/>
      </c>
      <c r="S62" s="46" t="str">
        <f aca="false">IF(Q62="","",Q62-R62)</f>
        <v/>
      </c>
      <c r="T62" s="6"/>
      <c r="U62" s="6"/>
      <c r="V62" s="6"/>
      <c r="W62" s="6"/>
      <c r="X62" s="6"/>
      <c r="Y62" s="8" t="str">
        <f aca="false">IF(OR(D62="",B62="",C62=""),"",IF(N(C62)&lt;=N(B62),"Check dates",IF(T62="Cancelled","",IF(COUNTIFS($D$5:$D$1004,D62,$B$5:$B$1004,"&lt;"&amp;C62,$C$5:$C$1004,"&gt;"&amp;B62,$T$5:$T$1004,"&lt;&gt;Cancelled")&gt;1,"Double-booked",""))))</f>
        <v/>
      </c>
      <c r="Z62" s="42" t="str">
        <f aca="false">IF(AND(AA62=1,ISNUMBER(C62)),C62+ROW()/100000,"")</f>
        <v/>
      </c>
      <c r="AA62" s="43" t="n">
        <f aca="false">IF(AND(D62&lt;&gt;"",ISNUMBER(B62),ISNUMBER(C62),N(H62)&gt;0,T62&lt;&gt;"Cancelled",J62&lt;&gt;""),1,0)</f>
        <v>0</v>
      </c>
      <c r="AB62" s="44" t="n">
        <f aca="false">IF(AA62=1,J62/H62,0)</f>
        <v>0</v>
      </c>
      <c r="AC62" s="44" t="n">
        <f aca="false">IF(AA62=1,Q62/H62,0)</f>
        <v>0</v>
      </c>
      <c r="AD62" s="44" t="n">
        <f aca="false">IF(AA62=1,R62/H62,0)</f>
        <v>0</v>
      </c>
      <c r="AE62" s="44" t="n">
        <f aca="false">IF(AA62=1,O62/H62,0)</f>
        <v>0</v>
      </c>
      <c r="AF62" s="44" t="n">
        <f aca="false">IF(AA62=1,K62/H62,0)</f>
        <v>0</v>
      </c>
      <c r="AG62" s="45" t="str">
        <f aca="false">IF(AA62=1,D62&amp;"|"&amp;TEXT(B62,"0"),"")</f>
        <v/>
      </c>
      <c r="AH62" s="43" t="n">
        <f aca="false">IF(AA62=1,H62,0)</f>
        <v>0</v>
      </c>
    </row>
    <row r="63" customFormat="false" ht="15" hidden="false" customHeight="false" outlineLevel="0" collapsed="false">
      <c r="A63" s="8" t="str">
        <f aca="false">IF(B63="","","B-"&amp;TEXT(ROW()-4,"0000"))</f>
        <v/>
      </c>
      <c r="B63" s="38"/>
      <c r="C63" s="38"/>
      <c r="D63" s="6"/>
      <c r="E63" s="6"/>
      <c r="F63" s="6"/>
      <c r="G63" s="11"/>
      <c r="H63" s="18" t="str">
        <f aca="false">IF(AND(ISNUMBER(B63),ISNUMBER(C63)),MAX(0,C63-B63),"")</f>
        <v/>
      </c>
      <c r="I63" s="37"/>
      <c r="J63" s="41" t="str">
        <f aca="false">IF(OR(D63="",N(H63)=0),"",IFERROR(IF(I63&lt;&gt;"",H63*I63,ROUND(((H63-(INT((WEEKDAY(B63-6)+H63-1)/7)+INT((WEEKDAY(B63-7)+H63-1)/7)))*INDEX(Properties!$E$5:$E$24,MATCH(D63,Properties!$A$5:$A$24,0))+(INT((WEEKDAY(B63-6)+H63-1)/7)+INT((WEEKDAY(B63-7)+H63-1)/7))*INDEX(Properties!$F$5:$F$24,MATCH(D63,Properties!$A$5:$A$24,0)))*(1-IF(H63&gt;=28,Settings!$B$10,IF(H63&gt;=7,Settings!$B$9,0))),2)),0))</f>
        <v/>
      </c>
      <c r="K63" s="41" t="str">
        <f aca="false">IF(J63="","",IFERROR(N(INDEX(Properties!$G$5:$G$24,MATCH(D63,Properties!$A$5:$A$24,0))),0))</f>
        <v/>
      </c>
      <c r="L63" s="41" t="str">
        <f aca="false">IF(J63="","",IFERROR(MAX(0,N(G63)-INDEX(Properties!$I$5:$I$24,MATCH(D63,Properties!$A$5:$A$24,0)))*N(INDEX(Properties!$J$5:$J$24,MATCH(D63,Properties!$A$5:$A$24,0)))*H63,0))</f>
        <v/>
      </c>
      <c r="M63" s="37"/>
      <c r="N63" s="41" t="str">
        <f aca="false">IF(J63="","",J63+K63+L63+N(M63))</f>
        <v/>
      </c>
      <c r="O63" s="41" t="str">
        <f aca="false">IF(N63="","",IF(P63&lt;&gt;"",N63-P63,ROUND(N63*IFERROR(INDEX(Settings!$E$5:$E$12,MATCH(F63,Settings!$D$5:$D$12,0)),0),2)))</f>
        <v/>
      </c>
      <c r="P63" s="37"/>
      <c r="Q63" s="41" t="str">
        <f aca="false">IF(N63="","",IF(P63&lt;&gt;"",P63,N63-O63))</f>
        <v/>
      </c>
      <c r="R63" s="41" t="str">
        <f aca="false">IF(J63="","",IFERROR(N(INDEX(Properties!$H$5:$H$24,MATCH(D63,Properties!$A$5:$A$24,0))),0))</f>
        <v/>
      </c>
      <c r="S63" s="41" t="str">
        <f aca="false">IF(Q63="","",Q63-R63)</f>
        <v/>
      </c>
      <c r="T63" s="6"/>
      <c r="U63" s="6"/>
      <c r="V63" s="6"/>
      <c r="W63" s="6"/>
      <c r="X63" s="6"/>
      <c r="Y63" s="8" t="str">
        <f aca="false">IF(OR(D63="",B63="",C63=""),"",IF(N(C63)&lt;=N(B63),"Check dates",IF(T63="Cancelled","",IF(COUNTIFS($D$5:$D$1004,D63,$B$5:$B$1004,"&lt;"&amp;C63,$C$5:$C$1004,"&gt;"&amp;B63,$T$5:$T$1004,"&lt;&gt;Cancelled")&gt;1,"Double-booked",""))))</f>
        <v/>
      </c>
      <c r="Z63" s="42" t="str">
        <f aca="false">IF(AND(AA63=1,ISNUMBER(C63)),C63+ROW()/100000,"")</f>
        <v/>
      </c>
      <c r="AA63" s="43" t="n">
        <f aca="false">IF(AND(D63&lt;&gt;"",ISNUMBER(B63),ISNUMBER(C63),N(H63)&gt;0,T63&lt;&gt;"Cancelled",J63&lt;&gt;""),1,0)</f>
        <v>0</v>
      </c>
      <c r="AB63" s="44" t="n">
        <f aca="false">IF(AA63=1,J63/H63,0)</f>
        <v>0</v>
      </c>
      <c r="AC63" s="44" t="n">
        <f aca="false">IF(AA63=1,Q63/H63,0)</f>
        <v>0</v>
      </c>
      <c r="AD63" s="44" t="n">
        <f aca="false">IF(AA63=1,R63/H63,0)</f>
        <v>0</v>
      </c>
      <c r="AE63" s="44" t="n">
        <f aca="false">IF(AA63=1,O63/H63,0)</f>
        <v>0</v>
      </c>
      <c r="AF63" s="44" t="n">
        <f aca="false">IF(AA63=1,K63/H63,0)</f>
        <v>0</v>
      </c>
      <c r="AG63" s="45" t="str">
        <f aca="false">IF(AA63=1,D63&amp;"|"&amp;TEXT(B63,"0"),"")</f>
        <v/>
      </c>
      <c r="AH63" s="43" t="n">
        <f aca="false">IF(AA63=1,H63,0)</f>
        <v>0</v>
      </c>
    </row>
    <row r="64" customFormat="false" ht="15" hidden="false" customHeight="false" outlineLevel="0" collapsed="false">
      <c r="A64" s="23" t="str">
        <f aca="false">IF(B64="","","B-"&amp;TEXT(ROW()-4,"0000"))</f>
        <v/>
      </c>
      <c r="B64" s="38"/>
      <c r="C64" s="38"/>
      <c r="D64" s="6"/>
      <c r="E64" s="6"/>
      <c r="F64" s="6"/>
      <c r="G64" s="11"/>
      <c r="H64" s="24" t="str">
        <f aca="false">IF(AND(ISNUMBER(B64),ISNUMBER(C64)),MAX(0,C64-B64),"")</f>
        <v/>
      </c>
      <c r="I64" s="37"/>
      <c r="J64" s="46" t="str">
        <f aca="false">IF(OR(D64="",N(H64)=0),"",IFERROR(IF(I64&lt;&gt;"",H64*I64,ROUND(((H64-(INT((WEEKDAY(B64-6)+H64-1)/7)+INT((WEEKDAY(B64-7)+H64-1)/7)))*INDEX(Properties!$E$5:$E$24,MATCH(D64,Properties!$A$5:$A$24,0))+(INT((WEEKDAY(B64-6)+H64-1)/7)+INT((WEEKDAY(B64-7)+H64-1)/7))*INDEX(Properties!$F$5:$F$24,MATCH(D64,Properties!$A$5:$A$24,0)))*(1-IF(H64&gt;=28,Settings!$B$10,IF(H64&gt;=7,Settings!$B$9,0))),2)),0))</f>
        <v/>
      </c>
      <c r="K64" s="46" t="str">
        <f aca="false">IF(J64="","",IFERROR(N(INDEX(Properties!$G$5:$G$24,MATCH(D64,Properties!$A$5:$A$24,0))),0))</f>
        <v/>
      </c>
      <c r="L64" s="46" t="str">
        <f aca="false">IF(J64="","",IFERROR(MAX(0,N(G64)-INDEX(Properties!$I$5:$I$24,MATCH(D64,Properties!$A$5:$A$24,0)))*N(INDEX(Properties!$J$5:$J$24,MATCH(D64,Properties!$A$5:$A$24,0)))*H64,0))</f>
        <v/>
      </c>
      <c r="M64" s="37"/>
      <c r="N64" s="46" t="str">
        <f aca="false">IF(J64="","",J64+K64+L64+N(M64))</f>
        <v/>
      </c>
      <c r="O64" s="46" t="str">
        <f aca="false">IF(N64="","",IF(P64&lt;&gt;"",N64-P64,ROUND(N64*IFERROR(INDEX(Settings!$E$5:$E$12,MATCH(F64,Settings!$D$5:$D$12,0)),0),2)))</f>
        <v/>
      </c>
      <c r="P64" s="37"/>
      <c r="Q64" s="46" t="str">
        <f aca="false">IF(N64="","",IF(P64&lt;&gt;"",P64,N64-O64))</f>
        <v/>
      </c>
      <c r="R64" s="46" t="str">
        <f aca="false">IF(J64="","",IFERROR(N(INDEX(Properties!$H$5:$H$24,MATCH(D64,Properties!$A$5:$A$24,0))),0))</f>
        <v/>
      </c>
      <c r="S64" s="46" t="str">
        <f aca="false">IF(Q64="","",Q64-R64)</f>
        <v/>
      </c>
      <c r="T64" s="6"/>
      <c r="U64" s="6"/>
      <c r="V64" s="6"/>
      <c r="W64" s="6"/>
      <c r="X64" s="6"/>
      <c r="Y64" s="8" t="str">
        <f aca="false">IF(OR(D64="",B64="",C64=""),"",IF(N(C64)&lt;=N(B64),"Check dates",IF(T64="Cancelled","",IF(COUNTIFS($D$5:$D$1004,D64,$B$5:$B$1004,"&lt;"&amp;C64,$C$5:$C$1004,"&gt;"&amp;B64,$T$5:$T$1004,"&lt;&gt;Cancelled")&gt;1,"Double-booked",""))))</f>
        <v/>
      </c>
      <c r="Z64" s="42" t="str">
        <f aca="false">IF(AND(AA64=1,ISNUMBER(C64)),C64+ROW()/100000,"")</f>
        <v/>
      </c>
      <c r="AA64" s="43" t="n">
        <f aca="false">IF(AND(D64&lt;&gt;"",ISNUMBER(B64),ISNUMBER(C64),N(H64)&gt;0,T64&lt;&gt;"Cancelled",J64&lt;&gt;""),1,0)</f>
        <v>0</v>
      </c>
      <c r="AB64" s="44" t="n">
        <f aca="false">IF(AA64=1,J64/H64,0)</f>
        <v>0</v>
      </c>
      <c r="AC64" s="44" t="n">
        <f aca="false">IF(AA64=1,Q64/H64,0)</f>
        <v>0</v>
      </c>
      <c r="AD64" s="44" t="n">
        <f aca="false">IF(AA64=1,R64/H64,0)</f>
        <v>0</v>
      </c>
      <c r="AE64" s="44" t="n">
        <f aca="false">IF(AA64=1,O64/H64,0)</f>
        <v>0</v>
      </c>
      <c r="AF64" s="44" t="n">
        <f aca="false">IF(AA64=1,K64/H64,0)</f>
        <v>0</v>
      </c>
      <c r="AG64" s="45" t="str">
        <f aca="false">IF(AA64=1,D64&amp;"|"&amp;TEXT(B64,"0"),"")</f>
        <v/>
      </c>
      <c r="AH64" s="43" t="n">
        <f aca="false">IF(AA64=1,H64,0)</f>
        <v>0</v>
      </c>
    </row>
    <row r="65" customFormat="false" ht="15" hidden="false" customHeight="false" outlineLevel="0" collapsed="false">
      <c r="A65" s="8" t="str">
        <f aca="false">IF(B65="","","B-"&amp;TEXT(ROW()-4,"0000"))</f>
        <v/>
      </c>
      <c r="B65" s="38"/>
      <c r="C65" s="38"/>
      <c r="D65" s="6"/>
      <c r="E65" s="6"/>
      <c r="F65" s="6"/>
      <c r="G65" s="11"/>
      <c r="H65" s="18" t="str">
        <f aca="false">IF(AND(ISNUMBER(B65),ISNUMBER(C65)),MAX(0,C65-B65),"")</f>
        <v/>
      </c>
      <c r="I65" s="37"/>
      <c r="J65" s="41" t="str">
        <f aca="false">IF(OR(D65="",N(H65)=0),"",IFERROR(IF(I65&lt;&gt;"",H65*I65,ROUND(((H65-(INT((WEEKDAY(B65-6)+H65-1)/7)+INT((WEEKDAY(B65-7)+H65-1)/7)))*INDEX(Properties!$E$5:$E$24,MATCH(D65,Properties!$A$5:$A$24,0))+(INT((WEEKDAY(B65-6)+H65-1)/7)+INT((WEEKDAY(B65-7)+H65-1)/7))*INDEX(Properties!$F$5:$F$24,MATCH(D65,Properties!$A$5:$A$24,0)))*(1-IF(H65&gt;=28,Settings!$B$10,IF(H65&gt;=7,Settings!$B$9,0))),2)),0))</f>
        <v/>
      </c>
      <c r="K65" s="41" t="str">
        <f aca="false">IF(J65="","",IFERROR(N(INDEX(Properties!$G$5:$G$24,MATCH(D65,Properties!$A$5:$A$24,0))),0))</f>
        <v/>
      </c>
      <c r="L65" s="41" t="str">
        <f aca="false">IF(J65="","",IFERROR(MAX(0,N(G65)-INDEX(Properties!$I$5:$I$24,MATCH(D65,Properties!$A$5:$A$24,0)))*N(INDEX(Properties!$J$5:$J$24,MATCH(D65,Properties!$A$5:$A$24,0)))*H65,0))</f>
        <v/>
      </c>
      <c r="M65" s="37"/>
      <c r="N65" s="41" t="str">
        <f aca="false">IF(J65="","",J65+K65+L65+N(M65))</f>
        <v/>
      </c>
      <c r="O65" s="41" t="str">
        <f aca="false">IF(N65="","",IF(P65&lt;&gt;"",N65-P65,ROUND(N65*IFERROR(INDEX(Settings!$E$5:$E$12,MATCH(F65,Settings!$D$5:$D$12,0)),0),2)))</f>
        <v/>
      </c>
      <c r="P65" s="37"/>
      <c r="Q65" s="41" t="str">
        <f aca="false">IF(N65="","",IF(P65&lt;&gt;"",P65,N65-O65))</f>
        <v/>
      </c>
      <c r="R65" s="41" t="str">
        <f aca="false">IF(J65="","",IFERROR(N(INDEX(Properties!$H$5:$H$24,MATCH(D65,Properties!$A$5:$A$24,0))),0))</f>
        <v/>
      </c>
      <c r="S65" s="41" t="str">
        <f aca="false">IF(Q65="","",Q65-R65)</f>
        <v/>
      </c>
      <c r="T65" s="6"/>
      <c r="U65" s="6"/>
      <c r="V65" s="6"/>
      <c r="W65" s="6"/>
      <c r="X65" s="6"/>
      <c r="Y65" s="8" t="str">
        <f aca="false">IF(OR(D65="",B65="",C65=""),"",IF(N(C65)&lt;=N(B65),"Check dates",IF(T65="Cancelled","",IF(COUNTIFS($D$5:$D$1004,D65,$B$5:$B$1004,"&lt;"&amp;C65,$C$5:$C$1004,"&gt;"&amp;B65,$T$5:$T$1004,"&lt;&gt;Cancelled")&gt;1,"Double-booked",""))))</f>
        <v/>
      </c>
      <c r="Z65" s="42" t="str">
        <f aca="false">IF(AND(AA65=1,ISNUMBER(C65)),C65+ROW()/100000,"")</f>
        <v/>
      </c>
      <c r="AA65" s="43" t="n">
        <f aca="false">IF(AND(D65&lt;&gt;"",ISNUMBER(B65),ISNUMBER(C65),N(H65)&gt;0,T65&lt;&gt;"Cancelled",J65&lt;&gt;""),1,0)</f>
        <v>0</v>
      </c>
      <c r="AB65" s="44" t="n">
        <f aca="false">IF(AA65=1,J65/H65,0)</f>
        <v>0</v>
      </c>
      <c r="AC65" s="44" t="n">
        <f aca="false">IF(AA65=1,Q65/H65,0)</f>
        <v>0</v>
      </c>
      <c r="AD65" s="44" t="n">
        <f aca="false">IF(AA65=1,R65/H65,0)</f>
        <v>0</v>
      </c>
      <c r="AE65" s="44" t="n">
        <f aca="false">IF(AA65=1,O65/H65,0)</f>
        <v>0</v>
      </c>
      <c r="AF65" s="44" t="n">
        <f aca="false">IF(AA65=1,K65/H65,0)</f>
        <v>0</v>
      </c>
      <c r="AG65" s="45" t="str">
        <f aca="false">IF(AA65=1,D65&amp;"|"&amp;TEXT(B65,"0"),"")</f>
        <v/>
      </c>
      <c r="AH65" s="43" t="n">
        <f aca="false">IF(AA65=1,H65,0)</f>
        <v>0</v>
      </c>
    </row>
    <row r="66" customFormat="false" ht="15" hidden="false" customHeight="false" outlineLevel="0" collapsed="false">
      <c r="A66" s="23" t="str">
        <f aca="false">IF(B66="","","B-"&amp;TEXT(ROW()-4,"0000"))</f>
        <v/>
      </c>
      <c r="B66" s="38"/>
      <c r="C66" s="38"/>
      <c r="D66" s="6"/>
      <c r="E66" s="6"/>
      <c r="F66" s="6"/>
      <c r="G66" s="11"/>
      <c r="H66" s="24" t="str">
        <f aca="false">IF(AND(ISNUMBER(B66),ISNUMBER(C66)),MAX(0,C66-B66),"")</f>
        <v/>
      </c>
      <c r="I66" s="37"/>
      <c r="J66" s="46" t="str">
        <f aca="false">IF(OR(D66="",N(H66)=0),"",IFERROR(IF(I66&lt;&gt;"",H66*I66,ROUND(((H66-(INT((WEEKDAY(B66-6)+H66-1)/7)+INT((WEEKDAY(B66-7)+H66-1)/7)))*INDEX(Properties!$E$5:$E$24,MATCH(D66,Properties!$A$5:$A$24,0))+(INT((WEEKDAY(B66-6)+H66-1)/7)+INT((WEEKDAY(B66-7)+H66-1)/7))*INDEX(Properties!$F$5:$F$24,MATCH(D66,Properties!$A$5:$A$24,0)))*(1-IF(H66&gt;=28,Settings!$B$10,IF(H66&gt;=7,Settings!$B$9,0))),2)),0))</f>
        <v/>
      </c>
      <c r="K66" s="46" t="str">
        <f aca="false">IF(J66="","",IFERROR(N(INDEX(Properties!$G$5:$G$24,MATCH(D66,Properties!$A$5:$A$24,0))),0))</f>
        <v/>
      </c>
      <c r="L66" s="46" t="str">
        <f aca="false">IF(J66="","",IFERROR(MAX(0,N(G66)-INDEX(Properties!$I$5:$I$24,MATCH(D66,Properties!$A$5:$A$24,0)))*N(INDEX(Properties!$J$5:$J$24,MATCH(D66,Properties!$A$5:$A$24,0)))*H66,0))</f>
        <v/>
      </c>
      <c r="M66" s="37"/>
      <c r="N66" s="46" t="str">
        <f aca="false">IF(J66="","",J66+K66+L66+N(M66))</f>
        <v/>
      </c>
      <c r="O66" s="46" t="str">
        <f aca="false">IF(N66="","",IF(P66&lt;&gt;"",N66-P66,ROUND(N66*IFERROR(INDEX(Settings!$E$5:$E$12,MATCH(F66,Settings!$D$5:$D$12,0)),0),2)))</f>
        <v/>
      </c>
      <c r="P66" s="37"/>
      <c r="Q66" s="46" t="str">
        <f aca="false">IF(N66="","",IF(P66&lt;&gt;"",P66,N66-O66))</f>
        <v/>
      </c>
      <c r="R66" s="46" t="str">
        <f aca="false">IF(J66="","",IFERROR(N(INDEX(Properties!$H$5:$H$24,MATCH(D66,Properties!$A$5:$A$24,0))),0))</f>
        <v/>
      </c>
      <c r="S66" s="46" t="str">
        <f aca="false">IF(Q66="","",Q66-R66)</f>
        <v/>
      </c>
      <c r="T66" s="6"/>
      <c r="U66" s="6"/>
      <c r="V66" s="6"/>
      <c r="W66" s="6"/>
      <c r="X66" s="6"/>
      <c r="Y66" s="8" t="str">
        <f aca="false">IF(OR(D66="",B66="",C66=""),"",IF(N(C66)&lt;=N(B66),"Check dates",IF(T66="Cancelled","",IF(COUNTIFS($D$5:$D$1004,D66,$B$5:$B$1004,"&lt;"&amp;C66,$C$5:$C$1004,"&gt;"&amp;B66,$T$5:$T$1004,"&lt;&gt;Cancelled")&gt;1,"Double-booked",""))))</f>
        <v/>
      </c>
      <c r="Z66" s="42" t="str">
        <f aca="false">IF(AND(AA66=1,ISNUMBER(C66)),C66+ROW()/100000,"")</f>
        <v/>
      </c>
      <c r="AA66" s="43" t="n">
        <f aca="false">IF(AND(D66&lt;&gt;"",ISNUMBER(B66),ISNUMBER(C66),N(H66)&gt;0,T66&lt;&gt;"Cancelled",J66&lt;&gt;""),1,0)</f>
        <v>0</v>
      </c>
      <c r="AB66" s="44" t="n">
        <f aca="false">IF(AA66=1,J66/H66,0)</f>
        <v>0</v>
      </c>
      <c r="AC66" s="44" t="n">
        <f aca="false">IF(AA66=1,Q66/H66,0)</f>
        <v>0</v>
      </c>
      <c r="AD66" s="44" t="n">
        <f aca="false">IF(AA66=1,R66/H66,0)</f>
        <v>0</v>
      </c>
      <c r="AE66" s="44" t="n">
        <f aca="false">IF(AA66=1,O66/H66,0)</f>
        <v>0</v>
      </c>
      <c r="AF66" s="44" t="n">
        <f aca="false">IF(AA66=1,K66/H66,0)</f>
        <v>0</v>
      </c>
      <c r="AG66" s="45" t="str">
        <f aca="false">IF(AA66=1,D66&amp;"|"&amp;TEXT(B66,"0"),"")</f>
        <v/>
      </c>
      <c r="AH66" s="43" t="n">
        <f aca="false">IF(AA66=1,H66,0)</f>
        <v>0</v>
      </c>
    </row>
    <row r="67" customFormat="false" ht="15" hidden="false" customHeight="false" outlineLevel="0" collapsed="false">
      <c r="A67" s="8" t="str">
        <f aca="false">IF(B67="","","B-"&amp;TEXT(ROW()-4,"0000"))</f>
        <v/>
      </c>
      <c r="B67" s="38"/>
      <c r="C67" s="38"/>
      <c r="D67" s="6"/>
      <c r="E67" s="6"/>
      <c r="F67" s="6"/>
      <c r="G67" s="11"/>
      <c r="H67" s="18" t="str">
        <f aca="false">IF(AND(ISNUMBER(B67),ISNUMBER(C67)),MAX(0,C67-B67),"")</f>
        <v/>
      </c>
      <c r="I67" s="37"/>
      <c r="J67" s="41" t="str">
        <f aca="false">IF(OR(D67="",N(H67)=0),"",IFERROR(IF(I67&lt;&gt;"",H67*I67,ROUND(((H67-(INT((WEEKDAY(B67-6)+H67-1)/7)+INT((WEEKDAY(B67-7)+H67-1)/7)))*INDEX(Properties!$E$5:$E$24,MATCH(D67,Properties!$A$5:$A$24,0))+(INT((WEEKDAY(B67-6)+H67-1)/7)+INT((WEEKDAY(B67-7)+H67-1)/7))*INDEX(Properties!$F$5:$F$24,MATCH(D67,Properties!$A$5:$A$24,0)))*(1-IF(H67&gt;=28,Settings!$B$10,IF(H67&gt;=7,Settings!$B$9,0))),2)),0))</f>
        <v/>
      </c>
      <c r="K67" s="41" t="str">
        <f aca="false">IF(J67="","",IFERROR(N(INDEX(Properties!$G$5:$G$24,MATCH(D67,Properties!$A$5:$A$24,0))),0))</f>
        <v/>
      </c>
      <c r="L67" s="41" t="str">
        <f aca="false">IF(J67="","",IFERROR(MAX(0,N(G67)-INDEX(Properties!$I$5:$I$24,MATCH(D67,Properties!$A$5:$A$24,0)))*N(INDEX(Properties!$J$5:$J$24,MATCH(D67,Properties!$A$5:$A$24,0)))*H67,0))</f>
        <v/>
      </c>
      <c r="M67" s="37"/>
      <c r="N67" s="41" t="str">
        <f aca="false">IF(J67="","",J67+K67+L67+N(M67))</f>
        <v/>
      </c>
      <c r="O67" s="41" t="str">
        <f aca="false">IF(N67="","",IF(P67&lt;&gt;"",N67-P67,ROUND(N67*IFERROR(INDEX(Settings!$E$5:$E$12,MATCH(F67,Settings!$D$5:$D$12,0)),0),2)))</f>
        <v/>
      </c>
      <c r="P67" s="37"/>
      <c r="Q67" s="41" t="str">
        <f aca="false">IF(N67="","",IF(P67&lt;&gt;"",P67,N67-O67))</f>
        <v/>
      </c>
      <c r="R67" s="41" t="str">
        <f aca="false">IF(J67="","",IFERROR(N(INDEX(Properties!$H$5:$H$24,MATCH(D67,Properties!$A$5:$A$24,0))),0))</f>
        <v/>
      </c>
      <c r="S67" s="41" t="str">
        <f aca="false">IF(Q67="","",Q67-R67)</f>
        <v/>
      </c>
      <c r="T67" s="6"/>
      <c r="U67" s="6"/>
      <c r="V67" s="6"/>
      <c r="W67" s="6"/>
      <c r="X67" s="6"/>
      <c r="Y67" s="8" t="str">
        <f aca="false">IF(OR(D67="",B67="",C67=""),"",IF(N(C67)&lt;=N(B67),"Check dates",IF(T67="Cancelled","",IF(COUNTIFS($D$5:$D$1004,D67,$B$5:$B$1004,"&lt;"&amp;C67,$C$5:$C$1004,"&gt;"&amp;B67,$T$5:$T$1004,"&lt;&gt;Cancelled")&gt;1,"Double-booked",""))))</f>
        <v/>
      </c>
      <c r="Z67" s="42" t="str">
        <f aca="false">IF(AND(AA67=1,ISNUMBER(C67)),C67+ROW()/100000,"")</f>
        <v/>
      </c>
      <c r="AA67" s="43" t="n">
        <f aca="false">IF(AND(D67&lt;&gt;"",ISNUMBER(B67),ISNUMBER(C67),N(H67)&gt;0,T67&lt;&gt;"Cancelled",J67&lt;&gt;""),1,0)</f>
        <v>0</v>
      </c>
      <c r="AB67" s="44" t="n">
        <f aca="false">IF(AA67=1,J67/H67,0)</f>
        <v>0</v>
      </c>
      <c r="AC67" s="44" t="n">
        <f aca="false">IF(AA67=1,Q67/H67,0)</f>
        <v>0</v>
      </c>
      <c r="AD67" s="44" t="n">
        <f aca="false">IF(AA67=1,R67/H67,0)</f>
        <v>0</v>
      </c>
      <c r="AE67" s="44" t="n">
        <f aca="false">IF(AA67=1,O67/H67,0)</f>
        <v>0</v>
      </c>
      <c r="AF67" s="44" t="n">
        <f aca="false">IF(AA67=1,K67/H67,0)</f>
        <v>0</v>
      </c>
      <c r="AG67" s="45" t="str">
        <f aca="false">IF(AA67=1,D67&amp;"|"&amp;TEXT(B67,"0"),"")</f>
        <v/>
      </c>
      <c r="AH67" s="43" t="n">
        <f aca="false">IF(AA67=1,H67,0)</f>
        <v>0</v>
      </c>
    </row>
    <row r="68" customFormat="false" ht="15" hidden="false" customHeight="false" outlineLevel="0" collapsed="false">
      <c r="A68" s="23" t="str">
        <f aca="false">IF(B68="","","B-"&amp;TEXT(ROW()-4,"0000"))</f>
        <v/>
      </c>
      <c r="B68" s="38"/>
      <c r="C68" s="38"/>
      <c r="D68" s="6"/>
      <c r="E68" s="6"/>
      <c r="F68" s="6"/>
      <c r="G68" s="11"/>
      <c r="H68" s="24" t="str">
        <f aca="false">IF(AND(ISNUMBER(B68),ISNUMBER(C68)),MAX(0,C68-B68),"")</f>
        <v/>
      </c>
      <c r="I68" s="37"/>
      <c r="J68" s="46" t="str">
        <f aca="false">IF(OR(D68="",N(H68)=0),"",IFERROR(IF(I68&lt;&gt;"",H68*I68,ROUND(((H68-(INT((WEEKDAY(B68-6)+H68-1)/7)+INT((WEEKDAY(B68-7)+H68-1)/7)))*INDEX(Properties!$E$5:$E$24,MATCH(D68,Properties!$A$5:$A$24,0))+(INT((WEEKDAY(B68-6)+H68-1)/7)+INT((WEEKDAY(B68-7)+H68-1)/7))*INDEX(Properties!$F$5:$F$24,MATCH(D68,Properties!$A$5:$A$24,0)))*(1-IF(H68&gt;=28,Settings!$B$10,IF(H68&gt;=7,Settings!$B$9,0))),2)),0))</f>
        <v/>
      </c>
      <c r="K68" s="46" t="str">
        <f aca="false">IF(J68="","",IFERROR(N(INDEX(Properties!$G$5:$G$24,MATCH(D68,Properties!$A$5:$A$24,0))),0))</f>
        <v/>
      </c>
      <c r="L68" s="46" t="str">
        <f aca="false">IF(J68="","",IFERROR(MAX(0,N(G68)-INDEX(Properties!$I$5:$I$24,MATCH(D68,Properties!$A$5:$A$24,0)))*N(INDEX(Properties!$J$5:$J$24,MATCH(D68,Properties!$A$5:$A$24,0)))*H68,0))</f>
        <v/>
      </c>
      <c r="M68" s="37"/>
      <c r="N68" s="46" t="str">
        <f aca="false">IF(J68="","",J68+K68+L68+N(M68))</f>
        <v/>
      </c>
      <c r="O68" s="46" t="str">
        <f aca="false">IF(N68="","",IF(P68&lt;&gt;"",N68-P68,ROUND(N68*IFERROR(INDEX(Settings!$E$5:$E$12,MATCH(F68,Settings!$D$5:$D$12,0)),0),2)))</f>
        <v/>
      </c>
      <c r="P68" s="37"/>
      <c r="Q68" s="46" t="str">
        <f aca="false">IF(N68="","",IF(P68&lt;&gt;"",P68,N68-O68))</f>
        <v/>
      </c>
      <c r="R68" s="46" t="str">
        <f aca="false">IF(J68="","",IFERROR(N(INDEX(Properties!$H$5:$H$24,MATCH(D68,Properties!$A$5:$A$24,0))),0))</f>
        <v/>
      </c>
      <c r="S68" s="46" t="str">
        <f aca="false">IF(Q68="","",Q68-R68)</f>
        <v/>
      </c>
      <c r="T68" s="6"/>
      <c r="U68" s="6"/>
      <c r="V68" s="6"/>
      <c r="W68" s="6"/>
      <c r="X68" s="6"/>
      <c r="Y68" s="8" t="str">
        <f aca="false">IF(OR(D68="",B68="",C68=""),"",IF(N(C68)&lt;=N(B68),"Check dates",IF(T68="Cancelled","",IF(COUNTIFS($D$5:$D$1004,D68,$B$5:$B$1004,"&lt;"&amp;C68,$C$5:$C$1004,"&gt;"&amp;B68,$T$5:$T$1004,"&lt;&gt;Cancelled")&gt;1,"Double-booked",""))))</f>
        <v/>
      </c>
      <c r="Z68" s="42" t="str">
        <f aca="false">IF(AND(AA68=1,ISNUMBER(C68)),C68+ROW()/100000,"")</f>
        <v/>
      </c>
      <c r="AA68" s="43" t="n">
        <f aca="false">IF(AND(D68&lt;&gt;"",ISNUMBER(B68),ISNUMBER(C68),N(H68)&gt;0,T68&lt;&gt;"Cancelled",J68&lt;&gt;""),1,0)</f>
        <v>0</v>
      </c>
      <c r="AB68" s="44" t="n">
        <f aca="false">IF(AA68=1,J68/H68,0)</f>
        <v>0</v>
      </c>
      <c r="AC68" s="44" t="n">
        <f aca="false">IF(AA68=1,Q68/H68,0)</f>
        <v>0</v>
      </c>
      <c r="AD68" s="44" t="n">
        <f aca="false">IF(AA68=1,R68/H68,0)</f>
        <v>0</v>
      </c>
      <c r="AE68" s="44" t="n">
        <f aca="false">IF(AA68=1,O68/H68,0)</f>
        <v>0</v>
      </c>
      <c r="AF68" s="44" t="n">
        <f aca="false">IF(AA68=1,K68/H68,0)</f>
        <v>0</v>
      </c>
      <c r="AG68" s="45" t="str">
        <f aca="false">IF(AA68=1,D68&amp;"|"&amp;TEXT(B68,"0"),"")</f>
        <v/>
      </c>
      <c r="AH68" s="43" t="n">
        <f aca="false">IF(AA68=1,H68,0)</f>
        <v>0</v>
      </c>
    </row>
    <row r="69" customFormat="false" ht="15" hidden="false" customHeight="false" outlineLevel="0" collapsed="false">
      <c r="A69" s="8" t="str">
        <f aca="false">IF(B69="","","B-"&amp;TEXT(ROW()-4,"0000"))</f>
        <v/>
      </c>
      <c r="B69" s="38"/>
      <c r="C69" s="38"/>
      <c r="D69" s="6"/>
      <c r="E69" s="6"/>
      <c r="F69" s="6"/>
      <c r="G69" s="11"/>
      <c r="H69" s="18" t="str">
        <f aca="false">IF(AND(ISNUMBER(B69),ISNUMBER(C69)),MAX(0,C69-B69),"")</f>
        <v/>
      </c>
      <c r="I69" s="37"/>
      <c r="J69" s="41" t="str">
        <f aca="false">IF(OR(D69="",N(H69)=0),"",IFERROR(IF(I69&lt;&gt;"",H69*I69,ROUND(((H69-(INT((WEEKDAY(B69-6)+H69-1)/7)+INT((WEEKDAY(B69-7)+H69-1)/7)))*INDEX(Properties!$E$5:$E$24,MATCH(D69,Properties!$A$5:$A$24,0))+(INT((WEEKDAY(B69-6)+H69-1)/7)+INT((WEEKDAY(B69-7)+H69-1)/7))*INDEX(Properties!$F$5:$F$24,MATCH(D69,Properties!$A$5:$A$24,0)))*(1-IF(H69&gt;=28,Settings!$B$10,IF(H69&gt;=7,Settings!$B$9,0))),2)),0))</f>
        <v/>
      </c>
      <c r="K69" s="41" t="str">
        <f aca="false">IF(J69="","",IFERROR(N(INDEX(Properties!$G$5:$G$24,MATCH(D69,Properties!$A$5:$A$24,0))),0))</f>
        <v/>
      </c>
      <c r="L69" s="41" t="str">
        <f aca="false">IF(J69="","",IFERROR(MAX(0,N(G69)-INDEX(Properties!$I$5:$I$24,MATCH(D69,Properties!$A$5:$A$24,0)))*N(INDEX(Properties!$J$5:$J$24,MATCH(D69,Properties!$A$5:$A$24,0)))*H69,0))</f>
        <v/>
      </c>
      <c r="M69" s="37"/>
      <c r="N69" s="41" t="str">
        <f aca="false">IF(J69="","",J69+K69+L69+N(M69))</f>
        <v/>
      </c>
      <c r="O69" s="41" t="str">
        <f aca="false">IF(N69="","",IF(P69&lt;&gt;"",N69-P69,ROUND(N69*IFERROR(INDEX(Settings!$E$5:$E$12,MATCH(F69,Settings!$D$5:$D$12,0)),0),2)))</f>
        <v/>
      </c>
      <c r="P69" s="37"/>
      <c r="Q69" s="41" t="str">
        <f aca="false">IF(N69="","",IF(P69&lt;&gt;"",P69,N69-O69))</f>
        <v/>
      </c>
      <c r="R69" s="41" t="str">
        <f aca="false">IF(J69="","",IFERROR(N(INDEX(Properties!$H$5:$H$24,MATCH(D69,Properties!$A$5:$A$24,0))),0))</f>
        <v/>
      </c>
      <c r="S69" s="41" t="str">
        <f aca="false">IF(Q69="","",Q69-R69)</f>
        <v/>
      </c>
      <c r="T69" s="6"/>
      <c r="U69" s="6"/>
      <c r="V69" s="6"/>
      <c r="W69" s="6"/>
      <c r="X69" s="6"/>
      <c r="Y69" s="8" t="str">
        <f aca="false">IF(OR(D69="",B69="",C69=""),"",IF(N(C69)&lt;=N(B69),"Check dates",IF(T69="Cancelled","",IF(COUNTIFS($D$5:$D$1004,D69,$B$5:$B$1004,"&lt;"&amp;C69,$C$5:$C$1004,"&gt;"&amp;B69,$T$5:$T$1004,"&lt;&gt;Cancelled")&gt;1,"Double-booked",""))))</f>
        <v/>
      </c>
      <c r="Z69" s="42" t="str">
        <f aca="false">IF(AND(AA69=1,ISNUMBER(C69)),C69+ROW()/100000,"")</f>
        <v/>
      </c>
      <c r="AA69" s="43" t="n">
        <f aca="false">IF(AND(D69&lt;&gt;"",ISNUMBER(B69),ISNUMBER(C69),N(H69)&gt;0,T69&lt;&gt;"Cancelled",J69&lt;&gt;""),1,0)</f>
        <v>0</v>
      </c>
      <c r="AB69" s="44" t="n">
        <f aca="false">IF(AA69=1,J69/H69,0)</f>
        <v>0</v>
      </c>
      <c r="AC69" s="44" t="n">
        <f aca="false">IF(AA69=1,Q69/H69,0)</f>
        <v>0</v>
      </c>
      <c r="AD69" s="44" t="n">
        <f aca="false">IF(AA69=1,R69/H69,0)</f>
        <v>0</v>
      </c>
      <c r="AE69" s="44" t="n">
        <f aca="false">IF(AA69=1,O69/H69,0)</f>
        <v>0</v>
      </c>
      <c r="AF69" s="44" t="n">
        <f aca="false">IF(AA69=1,K69/H69,0)</f>
        <v>0</v>
      </c>
      <c r="AG69" s="45" t="str">
        <f aca="false">IF(AA69=1,D69&amp;"|"&amp;TEXT(B69,"0"),"")</f>
        <v/>
      </c>
      <c r="AH69" s="43" t="n">
        <f aca="false">IF(AA69=1,H69,0)</f>
        <v>0</v>
      </c>
    </row>
    <row r="70" customFormat="false" ht="15" hidden="false" customHeight="false" outlineLevel="0" collapsed="false">
      <c r="A70" s="23" t="str">
        <f aca="false">IF(B70="","","B-"&amp;TEXT(ROW()-4,"0000"))</f>
        <v/>
      </c>
      <c r="B70" s="38"/>
      <c r="C70" s="38"/>
      <c r="D70" s="6"/>
      <c r="E70" s="6"/>
      <c r="F70" s="6"/>
      <c r="G70" s="11"/>
      <c r="H70" s="24" t="str">
        <f aca="false">IF(AND(ISNUMBER(B70),ISNUMBER(C70)),MAX(0,C70-B70),"")</f>
        <v/>
      </c>
      <c r="I70" s="37"/>
      <c r="J70" s="46" t="str">
        <f aca="false">IF(OR(D70="",N(H70)=0),"",IFERROR(IF(I70&lt;&gt;"",H70*I70,ROUND(((H70-(INT((WEEKDAY(B70-6)+H70-1)/7)+INT((WEEKDAY(B70-7)+H70-1)/7)))*INDEX(Properties!$E$5:$E$24,MATCH(D70,Properties!$A$5:$A$24,0))+(INT((WEEKDAY(B70-6)+H70-1)/7)+INT((WEEKDAY(B70-7)+H70-1)/7))*INDEX(Properties!$F$5:$F$24,MATCH(D70,Properties!$A$5:$A$24,0)))*(1-IF(H70&gt;=28,Settings!$B$10,IF(H70&gt;=7,Settings!$B$9,0))),2)),0))</f>
        <v/>
      </c>
      <c r="K70" s="46" t="str">
        <f aca="false">IF(J70="","",IFERROR(N(INDEX(Properties!$G$5:$G$24,MATCH(D70,Properties!$A$5:$A$24,0))),0))</f>
        <v/>
      </c>
      <c r="L70" s="46" t="str">
        <f aca="false">IF(J70="","",IFERROR(MAX(0,N(G70)-INDEX(Properties!$I$5:$I$24,MATCH(D70,Properties!$A$5:$A$24,0)))*N(INDEX(Properties!$J$5:$J$24,MATCH(D70,Properties!$A$5:$A$24,0)))*H70,0))</f>
        <v/>
      </c>
      <c r="M70" s="37"/>
      <c r="N70" s="46" t="str">
        <f aca="false">IF(J70="","",J70+K70+L70+N(M70))</f>
        <v/>
      </c>
      <c r="O70" s="46" t="str">
        <f aca="false">IF(N70="","",IF(P70&lt;&gt;"",N70-P70,ROUND(N70*IFERROR(INDEX(Settings!$E$5:$E$12,MATCH(F70,Settings!$D$5:$D$12,0)),0),2)))</f>
        <v/>
      </c>
      <c r="P70" s="37"/>
      <c r="Q70" s="46" t="str">
        <f aca="false">IF(N70="","",IF(P70&lt;&gt;"",P70,N70-O70))</f>
        <v/>
      </c>
      <c r="R70" s="46" t="str">
        <f aca="false">IF(J70="","",IFERROR(N(INDEX(Properties!$H$5:$H$24,MATCH(D70,Properties!$A$5:$A$24,0))),0))</f>
        <v/>
      </c>
      <c r="S70" s="46" t="str">
        <f aca="false">IF(Q70="","",Q70-R70)</f>
        <v/>
      </c>
      <c r="T70" s="6"/>
      <c r="U70" s="6"/>
      <c r="V70" s="6"/>
      <c r="W70" s="6"/>
      <c r="X70" s="6"/>
      <c r="Y70" s="8" t="str">
        <f aca="false">IF(OR(D70="",B70="",C70=""),"",IF(N(C70)&lt;=N(B70),"Check dates",IF(T70="Cancelled","",IF(COUNTIFS($D$5:$D$1004,D70,$B$5:$B$1004,"&lt;"&amp;C70,$C$5:$C$1004,"&gt;"&amp;B70,$T$5:$T$1004,"&lt;&gt;Cancelled")&gt;1,"Double-booked",""))))</f>
        <v/>
      </c>
      <c r="Z70" s="42" t="str">
        <f aca="false">IF(AND(AA70=1,ISNUMBER(C70)),C70+ROW()/100000,"")</f>
        <v/>
      </c>
      <c r="AA70" s="43" t="n">
        <f aca="false">IF(AND(D70&lt;&gt;"",ISNUMBER(B70),ISNUMBER(C70),N(H70)&gt;0,T70&lt;&gt;"Cancelled",J70&lt;&gt;""),1,0)</f>
        <v>0</v>
      </c>
      <c r="AB70" s="44" t="n">
        <f aca="false">IF(AA70=1,J70/H70,0)</f>
        <v>0</v>
      </c>
      <c r="AC70" s="44" t="n">
        <f aca="false">IF(AA70=1,Q70/H70,0)</f>
        <v>0</v>
      </c>
      <c r="AD70" s="44" t="n">
        <f aca="false">IF(AA70=1,R70/H70,0)</f>
        <v>0</v>
      </c>
      <c r="AE70" s="44" t="n">
        <f aca="false">IF(AA70=1,O70/H70,0)</f>
        <v>0</v>
      </c>
      <c r="AF70" s="44" t="n">
        <f aca="false">IF(AA70=1,K70/H70,0)</f>
        <v>0</v>
      </c>
      <c r="AG70" s="45" t="str">
        <f aca="false">IF(AA70=1,D70&amp;"|"&amp;TEXT(B70,"0"),"")</f>
        <v/>
      </c>
      <c r="AH70" s="43" t="n">
        <f aca="false">IF(AA70=1,H70,0)</f>
        <v>0</v>
      </c>
    </row>
    <row r="71" customFormat="false" ht="15" hidden="false" customHeight="false" outlineLevel="0" collapsed="false">
      <c r="A71" s="8" t="str">
        <f aca="false">IF(B71="","","B-"&amp;TEXT(ROW()-4,"0000"))</f>
        <v/>
      </c>
      <c r="B71" s="38"/>
      <c r="C71" s="38"/>
      <c r="D71" s="6"/>
      <c r="E71" s="6"/>
      <c r="F71" s="6"/>
      <c r="G71" s="11"/>
      <c r="H71" s="18" t="str">
        <f aca="false">IF(AND(ISNUMBER(B71),ISNUMBER(C71)),MAX(0,C71-B71),"")</f>
        <v/>
      </c>
      <c r="I71" s="37"/>
      <c r="J71" s="41" t="str">
        <f aca="false">IF(OR(D71="",N(H71)=0),"",IFERROR(IF(I71&lt;&gt;"",H71*I71,ROUND(((H71-(INT((WEEKDAY(B71-6)+H71-1)/7)+INT((WEEKDAY(B71-7)+H71-1)/7)))*INDEX(Properties!$E$5:$E$24,MATCH(D71,Properties!$A$5:$A$24,0))+(INT((WEEKDAY(B71-6)+H71-1)/7)+INT((WEEKDAY(B71-7)+H71-1)/7))*INDEX(Properties!$F$5:$F$24,MATCH(D71,Properties!$A$5:$A$24,0)))*(1-IF(H71&gt;=28,Settings!$B$10,IF(H71&gt;=7,Settings!$B$9,0))),2)),0))</f>
        <v/>
      </c>
      <c r="K71" s="41" t="str">
        <f aca="false">IF(J71="","",IFERROR(N(INDEX(Properties!$G$5:$G$24,MATCH(D71,Properties!$A$5:$A$24,0))),0))</f>
        <v/>
      </c>
      <c r="L71" s="41" t="str">
        <f aca="false">IF(J71="","",IFERROR(MAX(0,N(G71)-INDEX(Properties!$I$5:$I$24,MATCH(D71,Properties!$A$5:$A$24,0)))*N(INDEX(Properties!$J$5:$J$24,MATCH(D71,Properties!$A$5:$A$24,0)))*H71,0))</f>
        <v/>
      </c>
      <c r="M71" s="37"/>
      <c r="N71" s="41" t="str">
        <f aca="false">IF(J71="","",J71+K71+L71+N(M71))</f>
        <v/>
      </c>
      <c r="O71" s="41" t="str">
        <f aca="false">IF(N71="","",IF(P71&lt;&gt;"",N71-P71,ROUND(N71*IFERROR(INDEX(Settings!$E$5:$E$12,MATCH(F71,Settings!$D$5:$D$12,0)),0),2)))</f>
        <v/>
      </c>
      <c r="P71" s="37"/>
      <c r="Q71" s="41" t="str">
        <f aca="false">IF(N71="","",IF(P71&lt;&gt;"",P71,N71-O71))</f>
        <v/>
      </c>
      <c r="R71" s="41" t="str">
        <f aca="false">IF(J71="","",IFERROR(N(INDEX(Properties!$H$5:$H$24,MATCH(D71,Properties!$A$5:$A$24,0))),0))</f>
        <v/>
      </c>
      <c r="S71" s="41" t="str">
        <f aca="false">IF(Q71="","",Q71-R71)</f>
        <v/>
      </c>
      <c r="T71" s="6"/>
      <c r="U71" s="6"/>
      <c r="V71" s="6"/>
      <c r="W71" s="6"/>
      <c r="X71" s="6"/>
      <c r="Y71" s="8" t="str">
        <f aca="false">IF(OR(D71="",B71="",C71=""),"",IF(N(C71)&lt;=N(B71),"Check dates",IF(T71="Cancelled","",IF(COUNTIFS($D$5:$D$1004,D71,$B$5:$B$1004,"&lt;"&amp;C71,$C$5:$C$1004,"&gt;"&amp;B71,$T$5:$T$1004,"&lt;&gt;Cancelled")&gt;1,"Double-booked",""))))</f>
        <v/>
      </c>
      <c r="Z71" s="42" t="str">
        <f aca="false">IF(AND(AA71=1,ISNUMBER(C71)),C71+ROW()/100000,"")</f>
        <v/>
      </c>
      <c r="AA71" s="43" t="n">
        <f aca="false">IF(AND(D71&lt;&gt;"",ISNUMBER(B71),ISNUMBER(C71),N(H71)&gt;0,T71&lt;&gt;"Cancelled",J71&lt;&gt;""),1,0)</f>
        <v>0</v>
      </c>
      <c r="AB71" s="44" t="n">
        <f aca="false">IF(AA71=1,J71/H71,0)</f>
        <v>0</v>
      </c>
      <c r="AC71" s="44" t="n">
        <f aca="false">IF(AA71=1,Q71/H71,0)</f>
        <v>0</v>
      </c>
      <c r="AD71" s="44" t="n">
        <f aca="false">IF(AA71=1,R71/H71,0)</f>
        <v>0</v>
      </c>
      <c r="AE71" s="44" t="n">
        <f aca="false">IF(AA71=1,O71/H71,0)</f>
        <v>0</v>
      </c>
      <c r="AF71" s="44" t="n">
        <f aca="false">IF(AA71=1,K71/H71,0)</f>
        <v>0</v>
      </c>
      <c r="AG71" s="45" t="str">
        <f aca="false">IF(AA71=1,D71&amp;"|"&amp;TEXT(B71,"0"),"")</f>
        <v/>
      </c>
      <c r="AH71" s="43" t="n">
        <f aca="false">IF(AA71=1,H71,0)</f>
        <v>0</v>
      </c>
    </row>
    <row r="72" customFormat="false" ht="15" hidden="false" customHeight="false" outlineLevel="0" collapsed="false">
      <c r="A72" s="23" t="str">
        <f aca="false">IF(B72="","","B-"&amp;TEXT(ROW()-4,"0000"))</f>
        <v/>
      </c>
      <c r="B72" s="38"/>
      <c r="C72" s="38"/>
      <c r="D72" s="6"/>
      <c r="E72" s="6"/>
      <c r="F72" s="6"/>
      <c r="G72" s="11"/>
      <c r="H72" s="24" t="str">
        <f aca="false">IF(AND(ISNUMBER(B72),ISNUMBER(C72)),MAX(0,C72-B72),"")</f>
        <v/>
      </c>
      <c r="I72" s="37"/>
      <c r="J72" s="46" t="str">
        <f aca="false">IF(OR(D72="",N(H72)=0),"",IFERROR(IF(I72&lt;&gt;"",H72*I72,ROUND(((H72-(INT((WEEKDAY(B72-6)+H72-1)/7)+INT((WEEKDAY(B72-7)+H72-1)/7)))*INDEX(Properties!$E$5:$E$24,MATCH(D72,Properties!$A$5:$A$24,0))+(INT((WEEKDAY(B72-6)+H72-1)/7)+INT((WEEKDAY(B72-7)+H72-1)/7))*INDEX(Properties!$F$5:$F$24,MATCH(D72,Properties!$A$5:$A$24,0)))*(1-IF(H72&gt;=28,Settings!$B$10,IF(H72&gt;=7,Settings!$B$9,0))),2)),0))</f>
        <v/>
      </c>
      <c r="K72" s="46" t="str">
        <f aca="false">IF(J72="","",IFERROR(N(INDEX(Properties!$G$5:$G$24,MATCH(D72,Properties!$A$5:$A$24,0))),0))</f>
        <v/>
      </c>
      <c r="L72" s="46" t="str">
        <f aca="false">IF(J72="","",IFERROR(MAX(0,N(G72)-INDEX(Properties!$I$5:$I$24,MATCH(D72,Properties!$A$5:$A$24,0)))*N(INDEX(Properties!$J$5:$J$24,MATCH(D72,Properties!$A$5:$A$24,0)))*H72,0))</f>
        <v/>
      </c>
      <c r="M72" s="37"/>
      <c r="N72" s="46" t="str">
        <f aca="false">IF(J72="","",J72+K72+L72+N(M72))</f>
        <v/>
      </c>
      <c r="O72" s="46" t="str">
        <f aca="false">IF(N72="","",IF(P72&lt;&gt;"",N72-P72,ROUND(N72*IFERROR(INDEX(Settings!$E$5:$E$12,MATCH(F72,Settings!$D$5:$D$12,0)),0),2)))</f>
        <v/>
      </c>
      <c r="P72" s="37"/>
      <c r="Q72" s="46" t="str">
        <f aca="false">IF(N72="","",IF(P72&lt;&gt;"",P72,N72-O72))</f>
        <v/>
      </c>
      <c r="R72" s="46" t="str">
        <f aca="false">IF(J72="","",IFERROR(N(INDEX(Properties!$H$5:$H$24,MATCH(D72,Properties!$A$5:$A$24,0))),0))</f>
        <v/>
      </c>
      <c r="S72" s="46" t="str">
        <f aca="false">IF(Q72="","",Q72-R72)</f>
        <v/>
      </c>
      <c r="T72" s="6"/>
      <c r="U72" s="6"/>
      <c r="V72" s="6"/>
      <c r="W72" s="6"/>
      <c r="X72" s="6"/>
      <c r="Y72" s="8" t="str">
        <f aca="false">IF(OR(D72="",B72="",C72=""),"",IF(N(C72)&lt;=N(B72),"Check dates",IF(T72="Cancelled","",IF(COUNTIFS($D$5:$D$1004,D72,$B$5:$B$1004,"&lt;"&amp;C72,$C$5:$C$1004,"&gt;"&amp;B72,$T$5:$T$1004,"&lt;&gt;Cancelled")&gt;1,"Double-booked",""))))</f>
        <v/>
      </c>
      <c r="Z72" s="42" t="str">
        <f aca="false">IF(AND(AA72=1,ISNUMBER(C72)),C72+ROW()/100000,"")</f>
        <v/>
      </c>
      <c r="AA72" s="43" t="n">
        <f aca="false">IF(AND(D72&lt;&gt;"",ISNUMBER(B72),ISNUMBER(C72),N(H72)&gt;0,T72&lt;&gt;"Cancelled",J72&lt;&gt;""),1,0)</f>
        <v>0</v>
      </c>
      <c r="AB72" s="44" t="n">
        <f aca="false">IF(AA72=1,J72/H72,0)</f>
        <v>0</v>
      </c>
      <c r="AC72" s="44" t="n">
        <f aca="false">IF(AA72=1,Q72/H72,0)</f>
        <v>0</v>
      </c>
      <c r="AD72" s="44" t="n">
        <f aca="false">IF(AA72=1,R72/H72,0)</f>
        <v>0</v>
      </c>
      <c r="AE72" s="44" t="n">
        <f aca="false">IF(AA72=1,O72/H72,0)</f>
        <v>0</v>
      </c>
      <c r="AF72" s="44" t="n">
        <f aca="false">IF(AA72=1,K72/H72,0)</f>
        <v>0</v>
      </c>
      <c r="AG72" s="45" t="str">
        <f aca="false">IF(AA72=1,D72&amp;"|"&amp;TEXT(B72,"0"),"")</f>
        <v/>
      </c>
      <c r="AH72" s="43" t="n">
        <f aca="false">IF(AA72=1,H72,0)</f>
        <v>0</v>
      </c>
    </row>
    <row r="73" customFormat="false" ht="15" hidden="false" customHeight="false" outlineLevel="0" collapsed="false">
      <c r="A73" s="8" t="str">
        <f aca="false">IF(B73="","","B-"&amp;TEXT(ROW()-4,"0000"))</f>
        <v/>
      </c>
      <c r="B73" s="38"/>
      <c r="C73" s="38"/>
      <c r="D73" s="6"/>
      <c r="E73" s="6"/>
      <c r="F73" s="6"/>
      <c r="G73" s="11"/>
      <c r="H73" s="18" t="str">
        <f aca="false">IF(AND(ISNUMBER(B73),ISNUMBER(C73)),MAX(0,C73-B73),"")</f>
        <v/>
      </c>
      <c r="I73" s="37"/>
      <c r="J73" s="41" t="str">
        <f aca="false">IF(OR(D73="",N(H73)=0),"",IFERROR(IF(I73&lt;&gt;"",H73*I73,ROUND(((H73-(INT((WEEKDAY(B73-6)+H73-1)/7)+INT((WEEKDAY(B73-7)+H73-1)/7)))*INDEX(Properties!$E$5:$E$24,MATCH(D73,Properties!$A$5:$A$24,0))+(INT((WEEKDAY(B73-6)+H73-1)/7)+INT((WEEKDAY(B73-7)+H73-1)/7))*INDEX(Properties!$F$5:$F$24,MATCH(D73,Properties!$A$5:$A$24,0)))*(1-IF(H73&gt;=28,Settings!$B$10,IF(H73&gt;=7,Settings!$B$9,0))),2)),0))</f>
        <v/>
      </c>
      <c r="K73" s="41" t="str">
        <f aca="false">IF(J73="","",IFERROR(N(INDEX(Properties!$G$5:$G$24,MATCH(D73,Properties!$A$5:$A$24,0))),0))</f>
        <v/>
      </c>
      <c r="L73" s="41" t="str">
        <f aca="false">IF(J73="","",IFERROR(MAX(0,N(G73)-INDEX(Properties!$I$5:$I$24,MATCH(D73,Properties!$A$5:$A$24,0)))*N(INDEX(Properties!$J$5:$J$24,MATCH(D73,Properties!$A$5:$A$24,0)))*H73,0))</f>
        <v/>
      </c>
      <c r="M73" s="37"/>
      <c r="N73" s="41" t="str">
        <f aca="false">IF(J73="","",J73+K73+L73+N(M73))</f>
        <v/>
      </c>
      <c r="O73" s="41" t="str">
        <f aca="false">IF(N73="","",IF(P73&lt;&gt;"",N73-P73,ROUND(N73*IFERROR(INDEX(Settings!$E$5:$E$12,MATCH(F73,Settings!$D$5:$D$12,0)),0),2)))</f>
        <v/>
      </c>
      <c r="P73" s="37"/>
      <c r="Q73" s="41" t="str">
        <f aca="false">IF(N73="","",IF(P73&lt;&gt;"",P73,N73-O73))</f>
        <v/>
      </c>
      <c r="R73" s="41" t="str">
        <f aca="false">IF(J73="","",IFERROR(N(INDEX(Properties!$H$5:$H$24,MATCH(D73,Properties!$A$5:$A$24,0))),0))</f>
        <v/>
      </c>
      <c r="S73" s="41" t="str">
        <f aca="false">IF(Q73="","",Q73-R73)</f>
        <v/>
      </c>
      <c r="T73" s="6"/>
      <c r="U73" s="6"/>
      <c r="V73" s="6"/>
      <c r="W73" s="6"/>
      <c r="X73" s="6"/>
      <c r="Y73" s="8" t="str">
        <f aca="false">IF(OR(D73="",B73="",C73=""),"",IF(N(C73)&lt;=N(B73),"Check dates",IF(T73="Cancelled","",IF(COUNTIFS($D$5:$D$1004,D73,$B$5:$B$1004,"&lt;"&amp;C73,$C$5:$C$1004,"&gt;"&amp;B73,$T$5:$T$1004,"&lt;&gt;Cancelled")&gt;1,"Double-booked",""))))</f>
        <v/>
      </c>
      <c r="Z73" s="42" t="str">
        <f aca="false">IF(AND(AA73=1,ISNUMBER(C73)),C73+ROW()/100000,"")</f>
        <v/>
      </c>
      <c r="AA73" s="43" t="n">
        <f aca="false">IF(AND(D73&lt;&gt;"",ISNUMBER(B73),ISNUMBER(C73),N(H73)&gt;0,T73&lt;&gt;"Cancelled",J73&lt;&gt;""),1,0)</f>
        <v>0</v>
      </c>
      <c r="AB73" s="44" t="n">
        <f aca="false">IF(AA73=1,J73/H73,0)</f>
        <v>0</v>
      </c>
      <c r="AC73" s="44" t="n">
        <f aca="false">IF(AA73=1,Q73/H73,0)</f>
        <v>0</v>
      </c>
      <c r="AD73" s="44" t="n">
        <f aca="false">IF(AA73=1,R73/H73,0)</f>
        <v>0</v>
      </c>
      <c r="AE73" s="44" t="n">
        <f aca="false">IF(AA73=1,O73/H73,0)</f>
        <v>0</v>
      </c>
      <c r="AF73" s="44" t="n">
        <f aca="false">IF(AA73=1,K73/H73,0)</f>
        <v>0</v>
      </c>
      <c r="AG73" s="45" t="str">
        <f aca="false">IF(AA73=1,D73&amp;"|"&amp;TEXT(B73,"0"),"")</f>
        <v/>
      </c>
      <c r="AH73" s="43" t="n">
        <f aca="false">IF(AA73=1,H73,0)</f>
        <v>0</v>
      </c>
    </row>
    <row r="74" customFormat="false" ht="15" hidden="false" customHeight="false" outlineLevel="0" collapsed="false">
      <c r="A74" s="23" t="str">
        <f aca="false">IF(B74="","","B-"&amp;TEXT(ROW()-4,"0000"))</f>
        <v/>
      </c>
      <c r="B74" s="38"/>
      <c r="C74" s="38"/>
      <c r="D74" s="6"/>
      <c r="E74" s="6"/>
      <c r="F74" s="6"/>
      <c r="G74" s="11"/>
      <c r="H74" s="24" t="str">
        <f aca="false">IF(AND(ISNUMBER(B74),ISNUMBER(C74)),MAX(0,C74-B74),"")</f>
        <v/>
      </c>
      <c r="I74" s="37"/>
      <c r="J74" s="46" t="str">
        <f aca="false">IF(OR(D74="",N(H74)=0),"",IFERROR(IF(I74&lt;&gt;"",H74*I74,ROUND(((H74-(INT((WEEKDAY(B74-6)+H74-1)/7)+INT((WEEKDAY(B74-7)+H74-1)/7)))*INDEX(Properties!$E$5:$E$24,MATCH(D74,Properties!$A$5:$A$24,0))+(INT((WEEKDAY(B74-6)+H74-1)/7)+INT((WEEKDAY(B74-7)+H74-1)/7))*INDEX(Properties!$F$5:$F$24,MATCH(D74,Properties!$A$5:$A$24,0)))*(1-IF(H74&gt;=28,Settings!$B$10,IF(H74&gt;=7,Settings!$B$9,0))),2)),0))</f>
        <v/>
      </c>
      <c r="K74" s="46" t="str">
        <f aca="false">IF(J74="","",IFERROR(N(INDEX(Properties!$G$5:$G$24,MATCH(D74,Properties!$A$5:$A$24,0))),0))</f>
        <v/>
      </c>
      <c r="L74" s="46" t="str">
        <f aca="false">IF(J74="","",IFERROR(MAX(0,N(G74)-INDEX(Properties!$I$5:$I$24,MATCH(D74,Properties!$A$5:$A$24,0)))*N(INDEX(Properties!$J$5:$J$24,MATCH(D74,Properties!$A$5:$A$24,0)))*H74,0))</f>
        <v/>
      </c>
      <c r="M74" s="37"/>
      <c r="N74" s="46" t="str">
        <f aca="false">IF(J74="","",J74+K74+L74+N(M74))</f>
        <v/>
      </c>
      <c r="O74" s="46" t="str">
        <f aca="false">IF(N74="","",IF(P74&lt;&gt;"",N74-P74,ROUND(N74*IFERROR(INDEX(Settings!$E$5:$E$12,MATCH(F74,Settings!$D$5:$D$12,0)),0),2)))</f>
        <v/>
      </c>
      <c r="P74" s="37"/>
      <c r="Q74" s="46" t="str">
        <f aca="false">IF(N74="","",IF(P74&lt;&gt;"",P74,N74-O74))</f>
        <v/>
      </c>
      <c r="R74" s="46" t="str">
        <f aca="false">IF(J74="","",IFERROR(N(INDEX(Properties!$H$5:$H$24,MATCH(D74,Properties!$A$5:$A$24,0))),0))</f>
        <v/>
      </c>
      <c r="S74" s="46" t="str">
        <f aca="false">IF(Q74="","",Q74-R74)</f>
        <v/>
      </c>
      <c r="T74" s="6"/>
      <c r="U74" s="6"/>
      <c r="V74" s="6"/>
      <c r="W74" s="6"/>
      <c r="X74" s="6"/>
      <c r="Y74" s="8" t="str">
        <f aca="false">IF(OR(D74="",B74="",C74=""),"",IF(N(C74)&lt;=N(B74),"Check dates",IF(T74="Cancelled","",IF(COUNTIFS($D$5:$D$1004,D74,$B$5:$B$1004,"&lt;"&amp;C74,$C$5:$C$1004,"&gt;"&amp;B74,$T$5:$T$1004,"&lt;&gt;Cancelled")&gt;1,"Double-booked",""))))</f>
        <v/>
      </c>
      <c r="Z74" s="42" t="str">
        <f aca="false">IF(AND(AA74=1,ISNUMBER(C74)),C74+ROW()/100000,"")</f>
        <v/>
      </c>
      <c r="AA74" s="43" t="n">
        <f aca="false">IF(AND(D74&lt;&gt;"",ISNUMBER(B74),ISNUMBER(C74),N(H74)&gt;0,T74&lt;&gt;"Cancelled",J74&lt;&gt;""),1,0)</f>
        <v>0</v>
      </c>
      <c r="AB74" s="44" t="n">
        <f aca="false">IF(AA74=1,J74/H74,0)</f>
        <v>0</v>
      </c>
      <c r="AC74" s="44" t="n">
        <f aca="false">IF(AA74=1,Q74/H74,0)</f>
        <v>0</v>
      </c>
      <c r="AD74" s="44" t="n">
        <f aca="false">IF(AA74=1,R74/H74,0)</f>
        <v>0</v>
      </c>
      <c r="AE74" s="44" t="n">
        <f aca="false">IF(AA74=1,O74/H74,0)</f>
        <v>0</v>
      </c>
      <c r="AF74" s="44" t="n">
        <f aca="false">IF(AA74=1,K74/H74,0)</f>
        <v>0</v>
      </c>
      <c r="AG74" s="45" t="str">
        <f aca="false">IF(AA74=1,D74&amp;"|"&amp;TEXT(B74,"0"),"")</f>
        <v/>
      </c>
      <c r="AH74" s="43" t="n">
        <f aca="false">IF(AA74=1,H74,0)</f>
        <v>0</v>
      </c>
    </row>
    <row r="75" customFormat="false" ht="15" hidden="false" customHeight="false" outlineLevel="0" collapsed="false">
      <c r="A75" s="8" t="str">
        <f aca="false">IF(B75="","","B-"&amp;TEXT(ROW()-4,"0000"))</f>
        <v/>
      </c>
      <c r="B75" s="38"/>
      <c r="C75" s="38"/>
      <c r="D75" s="6"/>
      <c r="E75" s="6"/>
      <c r="F75" s="6"/>
      <c r="G75" s="11"/>
      <c r="H75" s="18" t="str">
        <f aca="false">IF(AND(ISNUMBER(B75),ISNUMBER(C75)),MAX(0,C75-B75),"")</f>
        <v/>
      </c>
      <c r="I75" s="37"/>
      <c r="J75" s="41" t="str">
        <f aca="false">IF(OR(D75="",N(H75)=0),"",IFERROR(IF(I75&lt;&gt;"",H75*I75,ROUND(((H75-(INT((WEEKDAY(B75-6)+H75-1)/7)+INT((WEEKDAY(B75-7)+H75-1)/7)))*INDEX(Properties!$E$5:$E$24,MATCH(D75,Properties!$A$5:$A$24,0))+(INT((WEEKDAY(B75-6)+H75-1)/7)+INT((WEEKDAY(B75-7)+H75-1)/7))*INDEX(Properties!$F$5:$F$24,MATCH(D75,Properties!$A$5:$A$24,0)))*(1-IF(H75&gt;=28,Settings!$B$10,IF(H75&gt;=7,Settings!$B$9,0))),2)),0))</f>
        <v/>
      </c>
      <c r="K75" s="41" t="str">
        <f aca="false">IF(J75="","",IFERROR(N(INDEX(Properties!$G$5:$G$24,MATCH(D75,Properties!$A$5:$A$24,0))),0))</f>
        <v/>
      </c>
      <c r="L75" s="41" t="str">
        <f aca="false">IF(J75="","",IFERROR(MAX(0,N(G75)-INDEX(Properties!$I$5:$I$24,MATCH(D75,Properties!$A$5:$A$24,0)))*N(INDEX(Properties!$J$5:$J$24,MATCH(D75,Properties!$A$5:$A$24,0)))*H75,0))</f>
        <v/>
      </c>
      <c r="M75" s="37"/>
      <c r="N75" s="41" t="str">
        <f aca="false">IF(J75="","",J75+K75+L75+N(M75))</f>
        <v/>
      </c>
      <c r="O75" s="41" t="str">
        <f aca="false">IF(N75="","",IF(P75&lt;&gt;"",N75-P75,ROUND(N75*IFERROR(INDEX(Settings!$E$5:$E$12,MATCH(F75,Settings!$D$5:$D$12,0)),0),2)))</f>
        <v/>
      </c>
      <c r="P75" s="37"/>
      <c r="Q75" s="41" t="str">
        <f aca="false">IF(N75="","",IF(P75&lt;&gt;"",P75,N75-O75))</f>
        <v/>
      </c>
      <c r="R75" s="41" t="str">
        <f aca="false">IF(J75="","",IFERROR(N(INDEX(Properties!$H$5:$H$24,MATCH(D75,Properties!$A$5:$A$24,0))),0))</f>
        <v/>
      </c>
      <c r="S75" s="41" t="str">
        <f aca="false">IF(Q75="","",Q75-R75)</f>
        <v/>
      </c>
      <c r="T75" s="6"/>
      <c r="U75" s="6"/>
      <c r="V75" s="6"/>
      <c r="W75" s="6"/>
      <c r="X75" s="6"/>
      <c r="Y75" s="8" t="str">
        <f aca="false">IF(OR(D75="",B75="",C75=""),"",IF(N(C75)&lt;=N(B75),"Check dates",IF(T75="Cancelled","",IF(COUNTIFS($D$5:$D$1004,D75,$B$5:$B$1004,"&lt;"&amp;C75,$C$5:$C$1004,"&gt;"&amp;B75,$T$5:$T$1004,"&lt;&gt;Cancelled")&gt;1,"Double-booked",""))))</f>
        <v/>
      </c>
      <c r="Z75" s="42" t="str">
        <f aca="false">IF(AND(AA75=1,ISNUMBER(C75)),C75+ROW()/100000,"")</f>
        <v/>
      </c>
      <c r="AA75" s="43" t="n">
        <f aca="false">IF(AND(D75&lt;&gt;"",ISNUMBER(B75),ISNUMBER(C75),N(H75)&gt;0,T75&lt;&gt;"Cancelled",J75&lt;&gt;""),1,0)</f>
        <v>0</v>
      </c>
      <c r="AB75" s="44" t="n">
        <f aca="false">IF(AA75=1,J75/H75,0)</f>
        <v>0</v>
      </c>
      <c r="AC75" s="44" t="n">
        <f aca="false">IF(AA75=1,Q75/H75,0)</f>
        <v>0</v>
      </c>
      <c r="AD75" s="44" t="n">
        <f aca="false">IF(AA75=1,R75/H75,0)</f>
        <v>0</v>
      </c>
      <c r="AE75" s="44" t="n">
        <f aca="false">IF(AA75=1,O75/H75,0)</f>
        <v>0</v>
      </c>
      <c r="AF75" s="44" t="n">
        <f aca="false">IF(AA75=1,K75/H75,0)</f>
        <v>0</v>
      </c>
      <c r="AG75" s="45" t="str">
        <f aca="false">IF(AA75=1,D75&amp;"|"&amp;TEXT(B75,"0"),"")</f>
        <v/>
      </c>
      <c r="AH75" s="43" t="n">
        <f aca="false">IF(AA75=1,H75,0)</f>
        <v>0</v>
      </c>
    </row>
    <row r="76" customFormat="false" ht="15" hidden="false" customHeight="false" outlineLevel="0" collapsed="false">
      <c r="A76" s="23" t="str">
        <f aca="false">IF(B76="","","B-"&amp;TEXT(ROW()-4,"0000"))</f>
        <v/>
      </c>
      <c r="B76" s="38"/>
      <c r="C76" s="38"/>
      <c r="D76" s="6"/>
      <c r="E76" s="6"/>
      <c r="F76" s="6"/>
      <c r="G76" s="11"/>
      <c r="H76" s="24" t="str">
        <f aca="false">IF(AND(ISNUMBER(B76),ISNUMBER(C76)),MAX(0,C76-B76),"")</f>
        <v/>
      </c>
      <c r="I76" s="37"/>
      <c r="J76" s="46" t="str">
        <f aca="false">IF(OR(D76="",N(H76)=0),"",IFERROR(IF(I76&lt;&gt;"",H76*I76,ROUND(((H76-(INT((WEEKDAY(B76-6)+H76-1)/7)+INT((WEEKDAY(B76-7)+H76-1)/7)))*INDEX(Properties!$E$5:$E$24,MATCH(D76,Properties!$A$5:$A$24,0))+(INT((WEEKDAY(B76-6)+H76-1)/7)+INT((WEEKDAY(B76-7)+H76-1)/7))*INDEX(Properties!$F$5:$F$24,MATCH(D76,Properties!$A$5:$A$24,0)))*(1-IF(H76&gt;=28,Settings!$B$10,IF(H76&gt;=7,Settings!$B$9,0))),2)),0))</f>
        <v/>
      </c>
      <c r="K76" s="46" t="str">
        <f aca="false">IF(J76="","",IFERROR(N(INDEX(Properties!$G$5:$G$24,MATCH(D76,Properties!$A$5:$A$24,0))),0))</f>
        <v/>
      </c>
      <c r="L76" s="46" t="str">
        <f aca="false">IF(J76="","",IFERROR(MAX(0,N(G76)-INDEX(Properties!$I$5:$I$24,MATCH(D76,Properties!$A$5:$A$24,0)))*N(INDEX(Properties!$J$5:$J$24,MATCH(D76,Properties!$A$5:$A$24,0)))*H76,0))</f>
        <v/>
      </c>
      <c r="M76" s="37"/>
      <c r="N76" s="46" t="str">
        <f aca="false">IF(J76="","",J76+K76+L76+N(M76))</f>
        <v/>
      </c>
      <c r="O76" s="46" t="str">
        <f aca="false">IF(N76="","",IF(P76&lt;&gt;"",N76-P76,ROUND(N76*IFERROR(INDEX(Settings!$E$5:$E$12,MATCH(F76,Settings!$D$5:$D$12,0)),0),2)))</f>
        <v/>
      </c>
      <c r="P76" s="37"/>
      <c r="Q76" s="46" t="str">
        <f aca="false">IF(N76="","",IF(P76&lt;&gt;"",P76,N76-O76))</f>
        <v/>
      </c>
      <c r="R76" s="46" t="str">
        <f aca="false">IF(J76="","",IFERROR(N(INDEX(Properties!$H$5:$H$24,MATCH(D76,Properties!$A$5:$A$24,0))),0))</f>
        <v/>
      </c>
      <c r="S76" s="46" t="str">
        <f aca="false">IF(Q76="","",Q76-R76)</f>
        <v/>
      </c>
      <c r="T76" s="6"/>
      <c r="U76" s="6"/>
      <c r="V76" s="6"/>
      <c r="W76" s="6"/>
      <c r="X76" s="6"/>
      <c r="Y76" s="8" t="str">
        <f aca="false">IF(OR(D76="",B76="",C76=""),"",IF(N(C76)&lt;=N(B76),"Check dates",IF(T76="Cancelled","",IF(COUNTIFS($D$5:$D$1004,D76,$B$5:$B$1004,"&lt;"&amp;C76,$C$5:$C$1004,"&gt;"&amp;B76,$T$5:$T$1004,"&lt;&gt;Cancelled")&gt;1,"Double-booked",""))))</f>
        <v/>
      </c>
      <c r="Z76" s="42" t="str">
        <f aca="false">IF(AND(AA76=1,ISNUMBER(C76)),C76+ROW()/100000,"")</f>
        <v/>
      </c>
      <c r="AA76" s="43" t="n">
        <f aca="false">IF(AND(D76&lt;&gt;"",ISNUMBER(B76),ISNUMBER(C76),N(H76)&gt;0,T76&lt;&gt;"Cancelled",J76&lt;&gt;""),1,0)</f>
        <v>0</v>
      </c>
      <c r="AB76" s="44" t="n">
        <f aca="false">IF(AA76=1,J76/H76,0)</f>
        <v>0</v>
      </c>
      <c r="AC76" s="44" t="n">
        <f aca="false">IF(AA76=1,Q76/H76,0)</f>
        <v>0</v>
      </c>
      <c r="AD76" s="44" t="n">
        <f aca="false">IF(AA76=1,R76/H76,0)</f>
        <v>0</v>
      </c>
      <c r="AE76" s="44" t="n">
        <f aca="false">IF(AA76=1,O76/H76,0)</f>
        <v>0</v>
      </c>
      <c r="AF76" s="44" t="n">
        <f aca="false">IF(AA76=1,K76/H76,0)</f>
        <v>0</v>
      </c>
      <c r="AG76" s="45" t="str">
        <f aca="false">IF(AA76=1,D76&amp;"|"&amp;TEXT(B76,"0"),"")</f>
        <v/>
      </c>
      <c r="AH76" s="43" t="n">
        <f aca="false">IF(AA76=1,H76,0)</f>
        <v>0</v>
      </c>
    </row>
    <row r="77" customFormat="false" ht="15" hidden="false" customHeight="false" outlineLevel="0" collapsed="false">
      <c r="A77" s="8" t="str">
        <f aca="false">IF(B77="","","B-"&amp;TEXT(ROW()-4,"0000"))</f>
        <v/>
      </c>
      <c r="B77" s="38"/>
      <c r="C77" s="38"/>
      <c r="D77" s="6"/>
      <c r="E77" s="6"/>
      <c r="F77" s="6"/>
      <c r="G77" s="11"/>
      <c r="H77" s="18" t="str">
        <f aca="false">IF(AND(ISNUMBER(B77),ISNUMBER(C77)),MAX(0,C77-B77),"")</f>
        <v/>
      </c>
      <c r="I77" s="37"/>
      <c r="J77" s="41" t="str">
        <f aca="false">IF(OR(D77="",N(H77)=0),"",IFERROR(IF(I77&lt;&gt;"",H77*I77,ROUND(((H77-(INT((WEEKDAY(B77-6)+H77-1)/7)+INT((WEEKDAY(B77-7)+H77-1)/7)))*INDEX(Properties!$E$5:$E$24,MATCH(D77,Properties!$A$5:$A$24,0))+(INT((WEEKDAY(B77-6)+H77-1)/7)+INT((WEEKDAY(B77-7)+H77-1)/7))*INDEX(Properties!$F$5:$F$24,MATCH(D77,Properties!$A$5:$A$24,0)))*(1-IF(H77&gt;=28,Settings!$B$10,IF(H77&gt;=7,Settings!$B$9,0))),2)),0))</f>
        <v/>
      </c>
      <c r="K77" s="41" t="str">
        <f aca="false">IF(J77="","",IFERROR(N(INDEX(Properties!$G$5:$G$24,MATCH(D77,Properties!$A$5:$A$24,0))),0))</f>
        <v/>
      </c>
      <c r="L77" s="41" t="str">
        <f aca="false">IF(J77="","",IFERROR(MAX(0,N(G77)-INDEX(Properties!$I$5:$I$24,MATCH(D77,Properties!$A$5:$A$24,0)))*N(INDEX(Properties!$J$5:$J$24,MATCH(D77,Properties!$A$5:$A$24,0)))*H77,0))</f>
        <v/>
      </c>
      <c r="M77" s="37"/>
      <c r="N77" s="41" t="str">
        <f aca="false">IF(J77="","",J77+K77+L77+N(M77))</f>
        <v/>
      </c>
      <c r="O77" s="41" t="str">
        <f aca="false">IF(N77="","",IF(P77&lt;&gt;"",N77-P77,ROUND(N77*IFERROR(INDEX(Settings!$E$5:$E$12,MATCH(F77,Settings!$D$5:$D$12,0)),0),2)))</f>
        <v/>
      </c>
      <c r="P77" s="37"/>
      <c r="Q77" s="41" t="str">
        <f aca="false">IF(N77="","",IF(P77&lt;&gt;"",P77,N77-O77))</f>
        <v/>
      </c>
      <c r="R77" s="41" t="str">
        <f aca="false">IF(J77="","",IFERROR(N(INDEX(Properties!$H$5:$H$24,MATCH(D77,Properties!$A$5:$A$24,0))),0))</f>
        <v/>
      </c>
      <c r="S77" s="41" t="str">
        <f aca="false">IF(Q77="","",Q77-R77)</f>
        <v/>
      </c>
      <c r="T77" s="6"/>
      <c r="U77" s="6"/>
      <c r="V77" s="6"/>
      <c r="W77" s="6"/>
      <c r="X77" s="6"/>
      <c r="Y77" s="8" t="str">
        <f aca="false">IF(OR(D77="",B77="",C77=""),"",IF(N(C77)&lt;=N(B77),"Check dates",IF(T77="Cancelled","",IF(COUNTIFS($D$5:$D$1004,D77,$B$5:$B$1004,"&lt;"&amp;C77,$C$5:$C$1004,"&gt;"&amp;B77,$T$5:$T$1004,"&lt;&gt;Cancelled")&gt;1,"Double-booked",""))))</f>
        <v/>
      </c>
      <c r="Z77" s="42" t="str">
        <f aca="false">IF(AND(AA77=1,ISNUMBER(C77)),C77+ROW()/100000,"")</f>
        <v/>
      </c>
      <c r="AA77" s="43" t="n">
        <f aca="false">IF(AND(D77&lt;&gt;"",ISNUMBER(B77),ISNUMBER(C77),N(H77)&gt;0,T77&lt;&gt;"Cancelled",J77&lt;&gt;""),1,0)</f>
        <v>0</v>
      </c>
      <c r="AB77" s="44" t="n">
        <f aca="false">IF(AA77=1,J77/H77,0)</f>
        <v>0</v>
      </c>
      <c r="AC77" s="44" t="n">
        <f aca="false">IF(AA77=1,Q77/H77,0)</f>
        <v>0</v>
      </c>
      <c r="AD77" s="44" t="n">
        <f aca="false">IF(AA77=1,R77/H77,0)</f>
        <v>0</v>
      </c>
      <c r="AE77" s="44" t="n">
        <f aca="false">IF(AA77=1,O77/H77,0)</f>
        <v>0</v>
      </c>
      <c r="AF77" s="44" t="n">
        <f aca="false">IF(AA77=1,K77/H77,0)</f>
        <v>0</v>
      </c>
      <c r="AG77" s="45" t="str">
        <f aca="false">IF(AA77=1,D77&amp;"|"&amp;TEXT(B77,"0"),"")</f>
        <v/>
      </c>
      <c r="AH77" s="43" t="n">
        <f aca="false">IF(AA77=1,H77,0)</f>
        <v>0</v>
      </c>
    </row>
    <row r="78" customFormat="false" ht="15" hidden="false" customHeight="false" outlineLevel="0" collapsed="false">
      <c r="A78" s="23" t="str">
        <f aca="false">IF(B78="","","B-"&amp;TEXT(ROW()-4,"0000"))</f>
        <v/>
      </c>
      <c r="B78" s="38"/>
      <c r="C78" s="38"/>
      <c r="D78" s="6"/>
      <c r="E78" s="6"/>
      <c r="F78" s="6"/>
      <c r="G78" s="11"/>
      <c r="H78" s="24" t="str">
        <f aca="false">IF(AND(ISNUMBER(B78),ISNUMBER(C78)),MAX(0,C78-B78),"")</f>
        <v/>
      </c>
      <c r="I78" s="37"/>
      <c r="J78" s="46" t="str">
        <f aca="false">IF(OR(D78="",N(H78)=0),"",IFERROR(IF(I78&lt;&gt;"",H78*I78,ROUND(((H78-(INT((WEEKDAY(B78-6)+H78-1)/7)+INT((WEEKDAY(B78-7)+H78-1)/7)))*INDEX(Properties!$E$5:$E$24,MATCH(D78,Properties!$A$5:$A$24,0))+(INT((WEEKDAY(B78-6)+H78-1)/7)+INT((WEEKDAY(B78-7)+H78-1)/7))*INDEX(Properties!$F$5:$F$24,MATCH(D78,Properties!$A$5:$A$24,0)))*(1-IF(H78&gt;=28,Settings!$B$10,IF(H78&gt;=7,Settings!$B$9,0))),2)),0))</f>
        <v/>
      </c>
      <c r="K78" s="46" t="str">
        <f aca="false">IF(J78="","",IFERROR(N(INDEX(Properties!$G$5:$G$24,MATCH(D78,Properties!$A$5:$A$24,0))),0))</f>
        <v/>
      </c>
      <c r="L78" s="46" t="str">
        <f aca="false">IF(J78="","",IFERROR(MAX(0,N(G78)-INDEX(Properties!$I$5:$I$24,MATCH(D78,Properties!$A$5:$A$24,0)))*N(INDEX(Properties!$J$5:$J$24,MATCH(D78,Properties!$A$5:$A$24,0)))*H78,0))</f>
        <v/>
      </c>
      <c r="M78" s="37"/>
      <c r="N78" s="46" t="str">
        <f aca="false">IF(J78="","",J78+K78+L78+N(M78))</f>
        <v/>
      </c>
      <c r="O78" s="46" t="str">
        <f aca="false">IF(N78="","",IF(P78&lt;&gt;"",N78-P78,ROUND(N78*IFERROR(INDEX(Settings!$E$5:$E$12,MATCH(F78,Settings!$D$5:$D$12,0)),0),2)))</f>
        <v/>
      </c>
      <c r="P78" s="37"/>
      <c r="Q78" s="46" t="str">
        <f aca="false">IF(N78="","",IF(P78&lt;&gt;"",P78,N78-O78))</f>
        <v/>
      </c>
      <c r="R78" s="46" t="str">
        <f aca="false">IF(J78="","",IFERROR(N(INDEX(Properties!$H$5:$H$24,MATCH(D78,Properties!$A$5:$A$24,0))),0))</f>
        <v/>
      </c>
      <c r="S78" s="46" t="str">
        <f aca="false">IF(Q78="","",Q78-R78)</f>
        <v/>
      </c>
      <c r="T78" s="6"/>
      <c r="U78" s="6"/>
      <c r="V78" s="6"/>
      <c r="W78" s="6"/>
      <c r="X78" s="6"/>
      <c r="Y78" s="8" t="str">
        <f aca="false">IF(OR(D78="",B78="",C78=""),"",IF(N(C78)&lt;=N(B78),"Check dates",IF(T78="Cancelled","",IF(COUNTIFS($D$5:$D$1004,D78,$B$5:$B$1004,"&lt;"&amp;C78,$C$5:$C$1004,"&gt;"&amp;B78,$T$5:$T$1004,"&lt;&gt;Cancelled")&gt;1,"Double-booked",""))))</f>
        <v/>
      </c>
      <c r="Z78" s="42" t="str">
        <f aca="false">IF(AND(AA78=1,ISNUMBER(C78)),C78+ROW()/100000,"")</f>
        <v/>
      </c>
      <c r="AA78" s="43" t="n">
        <f aca="false">IF(AND(D78&lt;&gt;"",ISNUMBER(B78),ISNUMBER(C78),N(H78)&gt;0,T78&lt;&gt;"Cancelled",J78&lt;&gt;""),1,0)</f>
        <v>0</v>
      </c>
      <c r="AB78" s="44" t="n">
        <f aca="false">IF(AA78=1,J78/H78,0)</f>
        <v>0</v>
      </c>
      <c r="AC78" s="44" t="n">
        <f aca="false">IF(AA78=1,Q78/H78,0)</f>
        <v>0</v>
      </c>
      <c r="AD78" s="44" t="n">
        <f aca="false">IF(AA78=1,R78/H78,0)</f>
        <v>0</v>
      </c>
      <c r="AE78" s="44" t="n">
        <f aca="false">IF(AA78=1,O78/H78,0)</f>
        <v>0</v>
      </c>
      <c r="AF78" s="44" t="n">
        <f aca="false">IF(AA78=1,K78/H78,0)</f>
        <v>0</v>
      </c>
      <c r="AG78" s="45" t="str">
        <f aca="false">IF(AA78=1,D78&amp;"|"&amp;TEXT(B78,"0"),"")</f>
        <v/>
      </c>
      <c r="AH78" s="43" t="n">
        <f aca="false">IF(AA78=1,H78,0)</f>
        <v>0</v>
      </c>
    </row>
    <row r="79" customFormat="false" ht="15" hidden="false" customHeight="false" outlineLevel="0" collapsed="false">
      <c r="A79" s="8" t="str">
        <f aca="false">IF(B79="","","B-"&amp;TEXT(ROW()-4,"0000"))</f>
        <v/>
      </c>
      <c r="B79" s="38"/>
      <c r="C79" s="38"/>
      <c r="D79" s="6"/>
      <c r="E79" s="6"/>
      <c r="F79" s="6"/>
      <c r="G79" s="11"/>
      <c r="H79" s="18" t="str">
        <f aca="false">IF(AND(ISNUMBER(B79),ISNUMBER(C79)),MAX(0,C79-B79),"")</f>
        <v/>
      </c>
      <c r="I79" s="37"/>
      <c r="J79" s="41" t="str">
        <f aca="false">IF(OR(D79="",N(H79)=0),"",IFERROR(IF(I79&lt;&gt;"",H79*I79,ROUND(((H79-(INT((WEEKDAY(B79-6)+H79-1)/7)+INT((WEEKDAY(B79-7)+H79-1)/7)))*INDEX(Properties!$E$5:$E$24,MATCH(D79,Properties!$A$5:$A$24,0))+(INT((WEEKDAY(B79-6)+H79-1)/7)+INT((WEEKDAY(B79-7)+H79-1)/7))*INDEX(Properties!$F$5:$F$24,MATCH(D79,Properties!$A$5:$A$24,0)))*(1-IF(H79&gt;=28,Settings!$B$10,IF(H79&gt;=7,Settings!$B$9,0))),2)),0))</f>
        <v/>
      </c>
      <c r="K79" s="41" t="str">
        <f aca="false">IF(J79="","",IFERROR(N(INDEX(Properties!$G$5:$G$24,MATCH(D79,Properties!$A$5:$A$24,0))),0))</f>
        <v/>
      </c>
      <c r="L79" s="41" t="str">
        <f aca="false">IF(J79="","",IFERROR(MAX(0,N(G79)-INDEX(Properties!$I$5:$I$24,MATCH(D79,Properties!$A$5:$A$24,0)))*N(INDEX(Properties!$J$5:$J$24,MATCH(D79,Properties!$A$5:$A$24,0)))*H79,0))</f>
        <v/>
      </c>
      <c r="M79" s="37"/>
      <c r="N79" s="41" t="str">
        <f aca="false">IF(J79="","",J79+K79+L79+N(M79))</f>
        <v/>
      </c>
      <c r="O79" s="41" t="str">
        <f aca="false">IF(N79="","",IF(P79&lt;&gt;"",N79-P79,ROUND(N79*IFERROR(INDEX(Settings!$E$5:$E$12,MATCH(F79,Settings!$D$5:$D$12,0)),0),2)))</f>
        <v/>
      </c>
      <c r="P79" s="37"/>
      <c r="Q79" s="41" t="str">
        <f aca="false">IF(N79="","",IF(P79&lt;&gt;"",P79,N79-O79))</f>
        <v/>
      </c>
      <c r="R79" s="41" t="str">
        <f aca="false">IF(J79="","",IFERROR(N(INDEX(Properties!$H$5:$H$24,MATCH(D79,Properties!$A$5:$A$24,0))),0))</f>
        <v/>
      </c>
      <c r="S79" s="41" t="str">
        <f aca="false">IF(Q79="","",Q79-R79)</f>
        <v/>
      </c>
      <c r="T79" s="6"/>
      <c r="U79" s="6"/>
      <c r="V79" s="6"/>
      <c r="W79" s="6"/>
      <c r="X79" s="6"/>
      <c r="Y79" s="8" t="str">
        <f aca="false">IF(OR(D79="",B79="",C79=""),"",IF(N(C79)&lt;=N(B79),"Check dates",IF(T79="Cancelled","",IF(COUNTIFS($D$5:$D$1004,D79,$B$5:$B$1004,"&lt;"&amp;C79,$C$5:$C$1004,"&gt;"&amp;B79,$T$5:$T$1004,"&lt;&gt;Cancelled")&gt;1,"Double-booked",""))))</f>
        <v/>
      </c>
      <c r="Z79" s="42" t="str">
        <f aca="false">IF(AND(AA79=1,ISNUMBER(C79)),C79+ROW()/100000,"")</f>
        <v/>
      </c>
      <c r="AA79" s="43" t="n">
        <f aca="false">IF(AND(D79&lt;&gt;"",ISNUMBER(B79),ISNUMBER(C79),N(H79)&gt;0,T79&lt;&gt;"Cancelled",J79&lt;&gt;""),1,0)</f>
        <v>0</v>
      </c>
      <c r="AB79" s="44" t="n">
        <f aca="false">IF(AA79=1,J79/H79,0)</f>
        <v>0</v>
      </c>
      <c r="AC79" s="44" t="n">
        <f aca="false">IF(AA79=1,Q79/H79,0)</f>
        <v>0</v>
      </c>
      <c r="AD79" s="44" t="n">
        <f aca="false">IF(AA79=1,R79/H79,0)</f>
        <v>0</v>
      </c>
      <c r="AE79" s="44" t="n">
        <f aca="false">IF(AA79=1,O79/H79,0)</f>
        <v>0</v>
      </c>
      <c r="AF79" s="44" t="n">
        <f aca="false">IF(AA79=1,K79/H79,0)</f>
        <v>0</v>
      </c>
      <c r="AG79" s="45" t="str">
        <f aca="false">IF(AA79=1,D79&amp;"|"&amp;TEXT(B79,"0"),"")</f>
        <v/>
      </c>
      <c r="AH79" s="43" t="n">
        <f aca="false">IF(AA79=1,H79,0)</f>
        <v>0</v>
      </c>
    </row>
    <row r="80" customFormat="false" ht="15" hidden="false" customHeight="false" outlineLevel="0" collapsed="false">
      <c r="A80" s="23" t="str">
        <f aca="false">IF(B80="","","B-"&amp;TEXT(ROW()-4,"0000"))</f>
        <v/>
      </c>
      <c r="B80" s="38"/>
      <c r="C80" s="38"/>
      <c r="D80" s="6"/>
      <c r="E80" s="6"/>
      <c r="F80" s="6"/>
      <c r="G80" s="11"/>
      <c r="H80" s="24" t="str">
        <f aca="false">IF(AND(ISNUMBER(B80),ISNUMBER(C80)),MAX(0,C80-B80),"")</f>
        <v/>
      </c>
      <c r="I80" s="37"/>
      <c r="J80" s="46" t="str">
        <f aca="false">IF(OR(D80="",N(H80)=0),"",IFERROR(IF(I80&lt;&gt;"",H80*I80,ROUND(((H80-(INT((WEEKDAY(B80-6)+H80-1)/7)+INT((WEEKDAY(B80-7)+H80-1)/7)))*INDEX(Properties!$E$5:$E$24,MATCH(D80,Properties!$A$5:$A$24,0))+(INT((WEEKDAY(B80-6)+H80-1)/7)+INT((WEEKDAY(B80-7)+H80-1)/7))*INDEX(Properties!$F$5:$F$24,MATCH(D80,Properties!$A$5:$A$24,0)))*(1-IF(H80&gt;=28,Settings!$B$10,IF(H80&gt;=7,Settings!$B$9,0))),2)),0))</f>
        <v/>
      </c>
      <c r="K80" s="46" t="str">
        <f aca="false">IF(J80="","",IFERROR(N(INDEX(Properties!$G$5:$G$24,MATCH(D80,Properties!$A$5:$A$24,0))),0))</f>
        <v/>
      </c>
      <c r="L80" s="46" t="str">
        <f aca="false">IF(J80="","",IFERROR(MAX(0,N(G80)-INDEX(Properties!$I$5:$I$24,MATCH(D80,Properties!$A$5:$A$24,0)))*N(INDEX(Properties!$J$5:$J$24,MATCH(D80,Properties!$A$5:$A$24,0)))*H80,0))</f>
        <v/>
      </c>
      <c r="M80" s="37"/>
      <c r="N80" s="46" t="str">
        <f aca="false">IF(J80="","",J80+K80+L80+N(M80))</f>
        <v/>
      </c>
      <c r="O80" s="46" t="str">
        <f aca="false">IF(N80="","",IF(P80&lt;&gt;"",N80-P80,ROUND(N80*IFERROR(INDEX(Settings!$E$5:$E$12,MATCH(F80,Settings!$D$5:$D$12,0)),0),2)))</f>
        <v/>
      </c>
      <c r="P80" s="37"/>
      <c r="Q80" s="46" t="str">
        <f aca="false">IF(N80="","",IF(P80&lt;&gt;"",P80,N80-O80))</f>
        <v/>
      </c>
      <c r="R80" s="46" t="str">
        <f aca="false">IF(J80="","",IFERROR(N(INDEX(Properties!$H$5:$H$24,MATCH(D80,Properties!$A$5:$A$24,0))),0))</f>
        <v/>
      </c>
      <c r="S80" s="46" t="str">
        <f aca="false">IF(Q80="","",Q80-R80)</f>
        <v/>
      </c>
      <c r="T80" s="6"/>
      <c r="U80" s="6"/>
      <c r="V80" s="6"/>
      <c r="W80" s="6"/>
      <c r="X80" s="6"/>
      <c r="Y80" s="8" t="str">
        <f aca="false">IF(OR(D80="",B80="",C80=""),"",IF(N(C80)&lt;=N(B80),"Check dates",IF(T80="Cancelled","",IF(COUNTIFS($D$5:$D$1004,D80,$B$5:$B$1004,"&lt;"&amp;C80,$C$5:$C$1004,"&gt;"&amp;B80,$T$5:$T$1004,"&lt;&gt;Cancelled")&gt;1,"Double-booked",""))))</f>
        <v/>
      </c>
      <c r="Z80" s="42" t="str">
        <f aca="false">IF(AND(AA80=1,ISNUMBER(C80)),C80+ROW()/100000,"")</f>
        <v/>
      </c>
      <c r="AA80" s="43" t="n">
        <f aca="false">IF(AND(D80&lt;&gt;"",ISNUMBER(B80),ISNUMBER(C80),N(H80)&gt;0,T80&lt;&gt;"Cancelled",J80&lt;&gt;""),1,0)</f>
        <v>0</v>
      </c>
      <c r="AB80" s="44" t="n">
        <f aca="false">IF(AA80=1,J80/H80,0)</f>
        <v>0</v>
      </c>
      <c r="AC80" s="44" t="n">
        <f aca="false">IF(AA80=1,Q80/H80,0)</f>
        <v>0</v>
      </c>
      <c r="AD80" s="44" t="n">
        <f aca="false">IF(AA80=1,R80/H80,0)</f>
        <v>0</v>
      </c>
      <c r="AE80" s="44" t="n">
        <f aca="false">IF(AA80=1,O80/H80,0)</f>
        <v>0</v>
      </c>
      <c r="AF80" s="44" t="n">
        <f aca="false">IF(AA80=1,K80/H80,0)</f>
        <v>0</v>
      </c>
      <c r="AG80" s="45" t="str">
        <f aca="false">IF(AA80=1,D80&amp;"|"&amp;TEXT(B80,"0"),"")</f>
        <v/>
      </c>
      <c r="AH80" s="43" t="n">
        <f aca="false">IF(AA80=1,H80,0)</f>
        <v>0</v>
      </c>
    </row>
    <row r="81" customFormat="false" ht="15" hidden="false" customHeight="false" outlineLevel="0" collapsed="false">
      <c r="A81" s="8" t="str">
        <f aca="false">IF(B81="","","B-"&amp;TEXT(ROW()-4,"0000"))</f>
        <v/>
      </c>
      <c r="B81" s="38"/>
      <c r="C81" s="38"/>
      <c r="D81" s="6"/>
      <c r="E81" s="6"/>
      <c r="F81" s="6"/>
      <c r="G81" s="11"/>
      <c r="H81" s="18" t="str">
        <f aca="false">IF(AND(ISNUMBER(B81),ISNUMBER(C81)),MAX(0,C81-B81),"")</f>
        <v/>
      </c>
      <c r="I81" s="37"/>
      <c r="J81" s="41" t="str">
        <f aca="false">IF(OR(D81="",N(H81)=0),"",IFERROR(IF(I81&lt;&gt;"",H81*I81,ROUND(((H81-(INT((WEEKDAY(B81-6)+H81-1)/7)+INT((WEEKDAY(B81-7)+H81-1)/7)))*INDEX(Properties!$E$5:$E$24,MATCH(D81,Properties!$A$5:$A$24,0))+(INT((WEEKDAY(B81-6)+H81-1)/7)+INT((WEEKDAY(B81-7)+H81-1)/7))*INDEX(Properties!$F$5:$F$24,MATCH(D81,Properties!$A$5:$A$24,0)))*(1-IF(H81&gt;=28,Settings!$B$10,IF(H81&gt;=7,Settings!$B$9,0))),2)),0))</f>
        <v/>
      </c>
      <c r="K81" s="41" t="str">
        <f aca="false">IF(J81="","",IFERROR(N(INDEX(Properties!$G$5:$G$24,MATCH(D81,Properties!$A$5:$A$24,0))),0))</f>
        <v/>
      </c>
      <c r="L81" s="41" t="str">
        <f aca="false">IF(J81="","",IFERROR(MAX(0,N(G81)-INDEX(Properties!$I$5:$I$24,MATCH(D81,Properties!$A$5:$A$24,0)))*N(INDEX(Properties!$J$5:$J$24,MATCH(D81,Properties!$A$5:$A$24,0)))*H81,0))</f>
        <v/>
      </c>
      <c r="M81" s="37"/>
      <c r="N81" s="41" t="str">
        <f aca="false">IF(J81="","",J81+K81+L81+N(M81))</f>
        <v/>
      </c>
      <c r="O81" s="41" t="str">
        <f aca="false">IF(N81="","",IF(P81&lt;&gt;"",N81-P81,ROUND(N81*IFERROR(INDEX(Settings!$E$5:$E$12,MATCH(F81,Settings!$D$5:$D$12,0)),0),2)))</f>
        <v/>
      </c>
      <c r="P81" s="37"/>
      <c r="Q81" s="41" t="str">
        <f aca="false">IF(N81="","",IF(P81&lt;&gt;"",P81,N81-O81))</f>
        <v/>
      </c>
      <c r="R81" s="41" t="str">
        <f aca="false">IF(J81="","",IFERROR(N(INDEX(Properties!$H$5:$H$24,MATCH(D81,Properties!$A$5:$A$24,0))),0))</f>
        <v/>
      </c>
      <c r="S81" s="41" t="str">
        <f aca="false">IF(Q81="","",Q81-R81)</f>
        <v/>
      </c>
      <c r="T81" s="6"/>
      <c r="U81" s="6"/>
      <c r="V81" s="6"/>
      <c r="W81" s="6"/>
      <c r="X81" s="6"/>
      <c r="Y81" s="8" t="str">
        <f aca="false">IF(OR(D81="",B81="",C81=""),"",IF(N(C81)&lt;=N(B81),"Check dates",IF(T81="Cancelled","",IF(COUNTIFS($D$5:$D$1004,D81,$B$5:$B$1004,"&lt;"&amp;C81,$C$5:$C$1004,"&gt;"&amp;B81,$T$5:$T$1004,"&lt;&gt;Cancelled")&gt;1,"Double-booked",""))))</f>
        <v/>
      </c>
      <c r="Z81" s="42" t="str">
        <f aca="false">IF(AND(AA81=1,ISNUMBER(C81)),C81+ROW()/100000,"")</f>
        <v/>
      </c>
      <c r="AA81" s="43" t="n">
        <f aca="false">IF(AND(D81&lt;&gt;"",ISNUMBER(B81),ISNUMBER(C81),N(H81)&gt;0,T81&lt;&gt;"Cancelled",J81&lt;&gt;""),1,0)</f>
        <v>0</v>
      </c>
      <c r="AB81" s="44" t="n">
        <f aca="false">IF(AA81=1,J81/H81,0)</f>
        <v>0</v>
      </c>
      <c r="AC81" s="44" t="n">
        <f aca="false">IF(AA81=1,Q81/H81,0)</f>
        <v>0</v>
      </c>
      <c r="AD81" s="44" t="n">
        <f aca="false">IF(AA81=1,R81/H81,0)</f>
        <v>0</v>
      </c>
      <c r="AE81" s="44" t="n">
        <f aca="false">IF(AA81=1,O81/H81,0)</f>
        <v>0</v>
      </c>
      <c r="AF81" s="44" t="n">
        <f aca="false">IF(AA81=1,K81/H81,0)</f>
        <v>0</v>
      </c>
      <c r="AG81" s="45" t="str">
        <f aca="false">IF(AA81=1,D81&amp;"|"&amp;TEXT(B81,"0"),"")</f>
        <v/>
      </c>
      <c r="AH81" s="43" t="n">
        <f aca="false">IF(AA81=1,H81,0)</f>
        <v>0</v>
      </c>
    </row>
    <row r="82" customFormat="false" ht="15" hidden="false" customHeight="false" outlineLevel="0" collapsed="false">
      <c r="A82" s="23" t="str">
        <f aca="false">IF(B82="","","B-"&amp;TEXT(ROW()-4,"0000"))</f>
        <v/>
      </c>
      <c r="B82" s="38"/>
      <c r="C82" s="38"/>
      <c r="D82" s="6"/>
      <c r="E82" s="6"/>
      <c r="F82" s="6"/>
      <c r="G82" s="11"/>
      <c r="H82" s="24" t="str">
        <f aca="false">IF(AND(ISNUMBER(B82),ISNUMBER(C82)),MAX(0,C82-B82),"")</f>
        <v/>
      </c>
      <c r="I82" s="37"/>
      <c r="J82" s="46" t="str">
        <f aca="false">IF(OR(D82="",N(H82)=0),"",IFERROR(IF(I82&lt;&gt;"",H82*I82,ROUND(((H82-(INT((WEEKDAY(B82-6)+H82-1)/7)+INT((WEEKDAY(B82-7)+H82-1)/7)))*INDEX(Properties!$E$5:$E$24,MATCH(D82,Properties!$A$5:$A$24,0))+(INT((WEEKDAY(B82-6)+H82-1)/7)+INT((WEEKDAY(B82-7)+H82-1)/7))*INDEX(Properties!$F$5:$F$24,MATCH(D82,Properties!$A$5:$A$24,0)))*(1-IF(H82&gt;=28,Settings!$B$10,IF(H82&gt;=7,Settings!$B$9,0))),2)),0))</f>
        <v/>
      </c>
      <c r="K82" s="46" t="str">
        <f aca="false">IF(J82="","",IFERROR(N(INDEX(Properties!$G$5:$G$24,MATCH(D82,Properties!$A$5:$A$24,0))),0))</f>
        <v/>
      </c>
      <c r="L82" s="46" t="str">
        <f aca="false">IF(J82="","",IFERROR(MAX(0,N(G82)-INDEX(Properties!$I$5:$I$24,MATCH(D82,Properties!$A$5:$A$24,0)))*N(INDEX(Properties!$J$5:$J$24,MATCH(D82,Properties!$A$5:$A$24,0)))*H82,0))</f>
        <v/>
      </c>
      <c r="M82" s="37"/>
      <c r="N82" s="46" t="str">
        <f aca="false">IF(J82="","",J82+K82+L82+N(M82))</f>
        <v/>
      </c>
      <c r="O82" s="46" t="str">
        <f aca="false">IF(N82="","",IF(P82&lt;&gt;"",N82-P82,ROUND(N82*IFERROR(INDEX(Settings!$E$5:$E$12,MATCH(F82,Settings!$D$5:$D$12,0)),0),2)))</f>
        <v/>
      </c>
      <c r="P82" s="37"/>
      <c r="Q82" s="46" t="str">
        <f aca="false">IF(N82="","",IF(P82&lt;&gt;"",P82,N82-O82))</f>
        <v/>
      </c>
      <c r="R82" s="46" t="str">
        <f aca="false">IF(J82="","",IFERROR(N(INDEX(Properties!$H$5:$H$24,MATCH(D82,Properties!$A$5:$A$24,0))),0))</f>
        <v/>
      </c>
      <c r="S82" s="46" t="str">
        <f aca="false">IF(Q82="","",Q82-R82)</f>
        <v/>
      </c>
      <c r="T82" s="6"/>
      <c r="U82" s="6"/>
      <c r="V82" s="6"/>
      <c r="W82" s="6"/>
      <c r="X82" s="6"/>
      <c r="Y82" s="8" t="str">
        <f aca="false">IF(OR(D82="",B82="",C82=""),"",IF(N(C82)&lt;=N(B82),"Check dates",IF(T82="Cancelled","",IF(COUNTIFS($D$5:$D$1004,D82,$B$5:$B$1004,"&lt;"&amp;C82,$C$5:$C$1004,"&gt;"&amp;B82,$T$5:$T$1004,"&lt;&gt;Cancelled")&gt;1,"Double-booked",""))))</f>
        <v/>
      </c>
      <c r="Z82" s="42" t="str">
        <f aca="false">IF(AND(AA82=1,ISNUMBER(C82)),C82+ROW()/100000,"")</f>
        <v/>
      </c>
      <c r="AA82" s="43" t="n">
        <f aca="false">IF(AND(D82&lt;&gt;"",ISNUMBER(B82),ISNUMBER(C82),N(H82)&gt;0,T82&lt;&gt;"Cancelled",J82&lt;&gt;""),1,0)</f>
        <v>0</v>
      </c>
      <c r="AB82" s="44" t="n">
        <f aca="false">IF(AA82=1,J82/H82,0)</f>
        <v>0</v>
      </c>
      <c r="AC82" s="44" t="n">
        <f aca="false">IF(AA82=1,Q82/H82,0)</f>
        <v>0</v>
      </c>
      <c r="AD82" s="44" t="n">
        <f aca="false">IF(AA82=1,R82/H82,0)</f>
        <v>0</v>
      </c>
      <c r="AE82" s="44" t="n">
        <f aca="false">IF(AA82=1,O82/H82,0)</f>
        <v>0</v>
      </c>
      <c r="AF82" s="44" t="n">
        <f aca="false">IF(AA82=1,K82/H82,0)</f>
        <v>0</v>
      </c>
      <c r="AG82" s="45" t="str">
        <f aca="false">IF(AA82=1,D82&amp;"|"&amp;TEXT(B82,"0"),"")</f>
        <v/>
      </c>
      <c r="AH82" s="43" t="n">
        <f aca="false">IF(AA82=1,H82,0)</f>
        <v>0</v>
      </c>
    </row>
    <row r="83" customFormat="false" ht="15" hidden="false" customHeight="false" outlineLevel="0" collapsed="false">
      <c r="A83" s="8" t="str">
        <f aca="false">IF(B83="","","B-"&amp;TEXT(ROW()-4,"0000"))</f>
        <v/>
      </c>
      <c r="B83" s="38"/>
      <c r="C83" s="38"/>
      <c r="D83" s="6"/>
      <c r="E83" s="6"/>
      <c r="F83" s="6"/>
      <c r="G83" s="11"/>
      <c r="H83" s="18" t="str">
        <f aca="false">IF(AND(ISNUMBER(B83),ISNUMBER(C83)),MAX(0,C83-B83),"")</f>
        <v/>
      </c>
      <c r="I83" s="37"/>
      <c r="J83" s="41" t="str">
        <f aca="false">IF(OR(D83="",N(H83)=0),"",IFERROR(IF(I83&lt;&gt;"",H83*I83,ROUND(((H83-(INT((WEEKDAY(B83-6)+H83-1)/7)+INT((WEEKDAY(B83-7)+H83-1)/7)))*INDEX(Properties!$E$5:$E$24,MATCH(D83,Properties!$A$5:$A$24,0))+(INT((WEEKDAY(B83-6)+H83-1)/7)+INT((WEEKDAY(B83-7)+H83-1)/7))*INDEX(Properties!$F$5:$F$24,MATCH(D83,Properties!$A$5:$A$24,0)))*(1-IF(H83&gt;=28,Settings!$B$10,IF(H83&gt;=7,Settings!$B$9,0))),2)),0))</f>
        <v/>
      </c>
      <c r="K83" s="41" t="str">
        <f aca="false">IF(J83="","",IFERROR(N(INDEX(Properties!$G$5:$G$24,MATCH(D83,Properties!$A$5:$A$24,0))),0))</f>
        <v/>
      </c>
      <c r="L83" s="41" t="str">
        <f aca="false">IF(J83="","",IFERROR(MAX(0,N(G83)-INDEX(Properties!$I$5:$I$24,MATCH(D83,Properties!$A$5:$A$24,0)))*N(INDEX(Properties!$J$5:$J$24,MATCH(D83,Properties!$A$5:$A$24,0)))*H83,0))</f>
        <v/>
      </c>
      <c r="M83" s="37"/>
      <c r="N83" s="41" t="str">
        <f aca="false">IF(J83="","",J83+K83+L83+N(M83))</f>
        <v/>
      </c>
      <c r="O83" s="41" t="str">
        <f aca="false">IF(N83="","",IF(P83&lt;&gt;"",N83-P83,ROUND(N83*IFERROR(INDEX(Settings!$E$5:$E$12,MATCH(F83,Settings!$D$5:$D$12,0)),0),2)))</f>
        <v/>
      </c>
      <c r="P83" s="37"/>
      <c r="Q83" s="41" t="str">
        <f aca="false">IF(N83="","",IF(P83&lt;&gt;"",P83,N83-O83))</f>
        <v/>
      </c>
      <c r="R83" s="41" t="str">
        <f aca="false">IF(J83="","",IFERROR(N(INDEX(Properties!$H$5:$H$24,MATCH(D83,Properties!$A$5:$A$24,0))),0))</f>
        <v/>
      </c>
      <c r="S83" s="41" t="str">
        <f aca="false">IF(Q83="","",Q83-R83)</f>
        <v/>
      </c>
      <c r="T83" s="6"/>
      <c r="U83" s="6"/>
      <c r="V83" s="6"/>
      <c r="W83" s="6"/>
      <c r="X83" s="6"/>
      <c r="Y83" s="8" t="str">
        <f aca="false">IF(OR(D83="",B83="",C83=""),"",IF(N(C83)&lt;=N(B83),"Check dates",IF(T83="Cancelled","",IF(COUNTIFS($D$5:$D$1004,D83,$B$5:$B$1004,"&lt;"&amp;C83,$C$5:$C$1004,"&gt;"&amp;B83,$T$5:$T$1004,"&lt;&gt;Cancelled")&gt;1,"Double-booked",""))))</f>
        <v/>
      </c>
      <c r="Z83" s="42" t="str">
        <f aca="false">IF(AND(AA83=1,ISNUMBER(C83)),C83+ROW()/100000,"")</f>
        <v/>
      </c>
      <c r="AA83" s="43" t="n">
        <f aca="false">IF(AND(D83&lt;&gt;"",ISNUMBER(B83),ISNUMBER(C83),N(H83)&gt;0,T83&lt;&gt;"Cancelled",J83&lt;&gt;""),1,0)</f>
        <v>0</v>
      </c>
      <c r="AB83" s="44" t="n">
        <f aca="false">IF(AA83=1,J83/H83,0)</f>
        <v>0</v>
      </c>
      <c r="AC83" s="44" t="n">
        <f aca="false">IF(AA83=1,Q83/H83,0)</f>
        <v>0</v>
      </c>
      <c r="AD83" s="44" t="n">
        <f aca="false">IF(AA83=1,R83/H83,0)</f>
        <v>0</v>
      </c>
      <c r="AE83" s="44" t="n">
        <f aca="false">IF(AA83=1,O83/H83,0)</f>
        <v>0</v>
      </c>
      <c r="AF83" s="44" t="n">
        <f aca="false">IF(AA83=1,K83/H83,0)</f>
        <v>0</v>
      </c>
      <c r="AG83" s="45" t="str">
        <f aca="false">IF(AA83=1,D83&amp;"|"&amp;TEXT(B83,"0"),"")</f>
        <v/>
      </c>
      <c r="AH83" s="43" t="n">
        <f aca="false">IF(AA83=1,H83,0)</f>
        <v>0</v>
      </c>
    </row>
    <row r="84" customFormat="false" ht="15" hidden="false" customHeight="false" outlineLevel="0" collapsed="false">
      <c r="A84" s="23" t="str">
        <f aca="false">IF(B84="","","B-"&amp;TEXT(ROW()-4,"0000"))</f>
        <v/>
      </c>
      <c r="B84" s="38"/>
      <c r="C84" s="38"/>
      <c r="D84" s="6"/>
      <c r="E84" s="6"/>
      <c r="F84" s="6"/>
      <c r="G84" s="11"/>
      <c r="H84" s="24" t="str">
        <f aca="false">IF(AND(ISNUMBER(B84),ISNUMBER(C84)),MAX(0,C84-B84),"")</f>
        <v/>
      </c>
      <c r="I84" s="37"/>
      <c r="J84" s="46" t="str">
        <f aca="false">IF(OR(D84="",N(H84)=0),"",IFERROR(IF(I84&lt;&gt;"",H84*I84,ROUND(((H84-(INT((WEEKDAY(B84-6)+H84-1)/7)+INT((WEEKDAY(B84-7)+H84-1)/7)))*INDEX(Properties!$E$5:$E$24,MATCH(D84,Properties!$A$5:$A$24,0))+(INT((WEEKDAY(B84-6)+H84-1)/7)+INT((WEEKDAY(B84-7)+H84-1)/7))*INDEX(Properties!$F$5:$F$24,MATCH(D84,Properties!$A$5:$A$24,0)))*(1-IF(H84&gt;=28,Settings!$B$10,IF(H84&gt;=7,Settings!$B$9,0))),2)),0))</f>
        <v/>
      </c>
      <c r="K84" s="46" t="str">
        <f aca="false">IF(J84="","",IFERROR(N(INDEX(Properties!$G$5:$G$24,MATCH(D84,Properties!$A$5:$A$24,0))),0))</f>
        <v/>
      </c>
      <c r="L84" s="46" t="str">
        <f aca="false">IF(J84="","",IFERROR(MAX(0,N(G84)-INDEX(Properties!$I$5:$I$24,MATCH(D84,Properties!$A$5:$A$24,0)))*N(INDEX(Properties!$J$5:$J$24,MATCH(D84,Properties!$A$5:$A$24,0)))*H84,0))</f>
        <v/>
      </c>
      <c r="M84" s="37"/>
      <c r="N84" s="46" t="str">
        <f aca="false">IF(J84="","",J84+K84+L84+N(M84))</f>
        <v/>
      </c>
      <c r="O84" s="46" t="str">
        <f aca="false">IF(N84="","",IF(P84&lt;&gt;"",N84-P84,ROUND(N84*IFERROR(INDEX(Settings!$E$5:$E$12,MATCH(F84,Settings!$D$5:$D$12,0)),0),2)))</f>
        <v/>
      </c>
      <c r="P84" s="37"/>
      <c r="Q84" s="46" t="str">
        <f aca="false">IF(N84="","",IF(P84&lt;&gt;"",P84,N84-O84))</f>
        <v/>
      </c>
      <c r="R84" s="46" t="str">
        <f aca="false">IF(J84="","",IFERROR(N(INDEX(Properties!$H$5:$H$24,MATCH(D84,Properties!$A$5:$A$24,0))),0))</f>
        <v/>
      </c>
      <c r="S84" s="46" t="str">
        <f aca="false">IF(Q84="","",Q84-R84)</f>
        <v/>
      </c>
      <c r="T84" s="6"/>
      <c r="U84" s="6"/>
      <c r="V84" s="6"/>
      <c r="W84" s="6"/>
      <c r="X84" s="6"/>
      <c r="Y84" s="8" t="str">
        <f aca="false">IF(OR(D84="",B84="",C84=""),"",IF(N(C84)&lt;=N(B84),"Check dates",IF(T84="Cancelled","",IF(COUNTIFS($D$5:$D$1004,D84,$B$5:$B$1004,"&lt;"&amp;C84,$C$5:$C$1004,"&gt;"&amp;B84,$T$5:$T$1004,"&lt;&gt;Cancelled")&gt;1,"Double-booked",""))))</f>
        <v/>
      </c>
      <c r="Z84" s="42" t="str">
        <f aca="false">IF(AND(AA84=1,ISNUMBER(C84)),C84+ROW()/100000,"")</f>
        <v/>
      </c>
      <c r="AA84" s="43" t="n">
        <f aca="false">IF(AND(D84&lt;&gt;"",ISNUMBER(B84),ISNUMBER(C84),N(H84)&gt;0,T84&lt;&gt;"Cancelled",J84&lt;&gt;""),1,0)</f>
        <v>0</v>
      </c>
      <c r="AB84" s="44" t="n">
        <f aca="false">IF(AA84=1,J84/H84,0)</f>
        <v>0</v>
      </c>
      <c r="AC84" s="44" t="n">
        <f aca="false">IF(AA84=1,Q84/H84,0)</f>
        <v>0</v>
      </c>
      <c r="AD84" s="44" t="n">
        <f aca="false">IF(AA84=1,R84/H84,0)</f>
        <v>0</v>
      </c>
      <c r="AE84" s="44" t="n">
        <f aca="false">IF(AA84=1,O84/H84,0)</f>
        <v>0</v>
      </c>
      <c r="AF84" s="44" t="n">
        <f aca="false">IF(AA84=1,K84/H84,0)</f>
        <v>0</v>
      </c>
      <c r="AG84" s="45" t="str">
        <f aca="false">IF(AA84=1,D84&amp;"|"&amp;TEXT(B84,"0"),"")</f>
        <v/>
      </c>
      <c r="AH84" s="43" t="n">
        <f aca="false">IF(AA84=1,H84,0)</f>
        <v>0</v>
      </c>
    </row>
    <row r="85" customFormat="false" ht="15" hidden="false" customHeight="false" outlineLevel="0" collapsed="false">
      <c r="A85" s="8" t="str">
        <f aca="false">IF(B85="","","B-"&amp;TEXT(ROW()-4,"0000"))</f>
        <v/>
      </c>
      <c r="B85" s="38"/>
      <c r="C85" s="38"/>
      <c r="D85" s="6"/>
      <c r="E85" s="6"/>
      <c r="F85" s="6"/>
      <c r="G85" s="11"/>
      <c r="H85" s="18" t="str">
        <f aca="false">IF(AND(ISNUMBER(B85),ISNUMBER(C85)),MAX(0,C85-B85),"")</f>
        <v/>
      </c>
      <c r="I85" s="37"/>
      <c r="J85" s="41" t="str">
        <f aca="false">IF(OR(D85="",N(H85)=0),"",IFERROR(IF(I85&lt;&gt;"",H85*I85,ROUND(((H85-(INT((WEEKDAY(B85-6)+H85-1)/7)+INT((WEEKDAY(B85-7)+H85-1)/7)))*INDEX(Properties!$E$5:$E$24,MATCH(D85,Properties!$A$5:$A$24,0))+(INT((WEEKDAY(B85-6)+H85-1)/7)+INT((WEEKDAY(B85-7)+H85-1)/7))*INDEX(Properties!$F$5:$F$24,MATCH(D85,Properties!$A$5:$A$24,0)))*(1-IF(H85&gt;=28,Settings!$B$10,IF(H85&gt;=7,Settings!$B$9,0))),2)),0))</f>
        <v/>
      </c>
      <c r="K85" s="41" t="str">
        <f aca="false">IF(J85="","",IFERROR(N(INDEX(Properties!$G$5:$G$24,MATCH(D85,Properties!$A$5:$A$24,0))),0))</f>
        <v/>
      </c>
      <c r="L85" s="41" t="str">
        <f aca="false">IF(J85="","",IFERROR(MAX(0,N(G85)-INDEX(Properties!$I$5:$I$24,MATCH(D85,Properties!$A$5:$A$24,0)))*N(INDEX(Properties!$J$5:$J$24,MATCH(D85,Properties!$A$5:$A$24,0)))*H85,0))</f>
        <v/>
      </c>
      <c r="M85" s="37"/>
      <c r="N85" s="41" t="str">
        <f aca="false">IF(J85="","",J85+K85+L85+N(M85))</f>
        <v/>
      </c>
      <c r="O85" s="41" t="str">
        <f aca="false">IF(N85="","",IF(P85&lt;&gt;"",N85-P85,ROUND(N85*IFERROR(INDEX(Settings!$E$5:$E$12,MATCH(F85,Settings!$D$5:$D$12,0)),0),2)))</f>
        <v/>
      </c>
      <c r="P85" s="37"/>
      <c r="Q85" s="41" t="str">
        <f aca="false">IF(N85="","",IF(P85&lt;&gt;"",P85,N85-O85))</f>
        <v/>
      </c>
      <c r="R85" s="41" t="str">
        <f aca="false">IF(J85="","",IFERROR(N(INDEX(Properties!$H$5:$H$24,MATCH(D85,Properties!$A$5:$A$24,0))),0))</f>
        <v/>
      </c>
      <c r="S85" s="41" t="str">
        <f aca="false">IF(Q85="","",Q85-R85)</f>
        <v/>
      </c>
      <c r="T85" s="6"/>
      <c r="U85" s="6"/>
      <c r="V85" s="6"/>
      <c r="W85" s="6"/>
      <c r="X85" s="6"/>
      <c r="Y85" s="8" t="str">
        <f aca="false">IF(OR(D85="",B85="",C85=""),"",IF(N(C85)&lt;=N(B85),"Check dates",IF(T85="Cancelled","",IF(COUNTIFS($D$5:$D$1004,D85,$B$5:$B$1004,"&lt;"&amp;C85,$C$5:$C$1004,"&gt;"&amp;B85,$T$5:$T$1004,"&lt;&gt;Cancelled")&gt;1,"Double-booked",""))))</f>
        <v/>
      </c>
      <c r="Z85" s="42" t="str">
        <f aca="false">IF(AND(AA85=1,ISNUMBER(C85)),C85+ROW()/100000,"")</f>
        <v/>
      </c>
      <c r="AA85" s="43" t="n">
        <f aca="false">IF(AND(D85&lt;&gt;"",ISNUMBER(B85),ISNUMBER(C85),N(H85)&gt;0,T85&lt;&gt;"Cancelled",J85&lt;&gt;""),1,0)</f>
        <v>0</v>
      </c>
      <c r="AB85" s="44" t="n">
        <f aca="false">IF(AA85=1,J85/H85,0)</f>
        <v>0</v>
      </c>
      <c r="AC85" s="44" t="n">
        <f aca="false">IF(AA85=1,Q85/H85,0)</f>
        <v>0</v>
      </c>
      <c r="AD85" s="44" t="n">
        <f aca="false">IF(AA85=1,R85/H85,0)</f>
        <v>0</v>
      </c>
      <c r="AE85" s="44" t="n">
        <f aca="false">IF(AA85=1,O85/H85,0)</f>
        <v>0</v>
      </c>
      <c r="AF85" s="44" t="n">
        <f aca="false">IF(AA85=1,K85/H85,0)</f>
        <v>0</v>
      </c>
      <c r="AG85" s="45" t="str">
        <f aca="false">IF(AA85=1,D85&amp;"|"&amp;TEXT(B85,"0"),"")</f>
        <v/>
      </c>
      <c r="AH85" s="43" t="n">
        <f aca="false">IF(AA85=1,H85,0)</f>
        <v>0</v>
      </c>
    </row>
    <row r="86" customFormat="false" ht="15" hidden="false" customHeight="false" outlineLevel="0" collapsed="false">
      <c r="A86" s="23" t="str">
        <f aca="false">IF(B86="","","B-"&amp;TEXT(ROW()-4,"0000"))</f>
        <v/>
      </c>
      <c r="B86" s="38"/>
      <c r="C86" s="38"/>
      <c r="D86" s="6"/>
      <c r="E86" s="6"/>
      <c r="F86" s="6"/>
      <c r="G86" s="11"/>
      <c r="H86" s="24" t="str">
        <f aca="false">IF(AND(ISNUMBER(B86),ISNUMBER(C86)),MAX(0,C86-B86),"")</f>
        <v/>
      </c>
      <c r="I86" s="37"/>
      <c r="J86" s="46" t="str">
        <f aca="false">IF(OR(D86="",N(H86)=0),"",IFERROR(IF(I86&lt;&gt;"",H86*I86,ROUND(((H86-(INT((WEEKDAY(B86-6)+H86-1)/7)+INT((WEEKDAY(B86-7)+H86-1)/7)))*INDEX(Properties!$E$5:$E$24,MATCH(D86,Properties!$A$5:$A$24,0))+(INT((WEEKDAY(B86-6)+H86-1)/7)+INT((WEEKDAY(B86-7)+H86-1)/7))*INDEX(Properties!$F$5:$F$24,MATCH(D86,Properties!$A$5:$A$24,0)))*(1-IF(H86&gt;=28,Settings!$B$10,IF(H86&gt;=7,Settings!$B$9,0))),2)),0))</f>
        <v/>
      </c>
      <c r="K86" s="46" t="str">
        <f aca="false">IF(J86="","",IFERROR(N(INDEX(Properties!$G$5:$G$24,MATCH(D86,Properties!$A$5:$A$24,0))),0))</f>
        <v/>
      </c>
      <c r="L86" s="46" t="str">
        <f aca="false">IF(J86="","",IFERROR(MAX(0,N(G86)-INDEX(Properties!$I$5:$I$24,MATCH(D86,Properties!$A$5:$A$24,0)))*N(INDEX(Properties!$J$5:$J$24,MATCH(D86,Properties!$A$5:$A$24,0)))*H86,0))</f>
        <v/>
      </c>
      <c r="M86" s="37"/>
      <c r="N86" s="46" t="str">
        <f aca="false">IF(J86="","",J86+K86+L86+N(M86))</f>
        <v/>
      </c>
      <c r="O86" s="46" t="str">
        <f aca="false">IF(N86="","",IF(P86&lt;&gt;"",N86-P86,ROUND(N86*IFERROR(INDEX(Settings!$E$5:$E$12,MATCH(F86,Settings!$D$5:$D$12,0)),0),2)))</f>
        <v/>
      </c>
      <c r="P86" s="37"/>
      <c r="Q86" s="46" t="str">
        <f aca="false">IF(N86="","",IF(P86&lt;&gt;"",P86,N86-O86))</f>
        <v/>
      </c>
      <c r="R86" s="46" t="str">
        <f aca="false">IF(J86="","",IFERROR(N(INDEX(Properties!$H$5:$H$24,MATCH(D86,Properties!$A$5:$A$24,0))),0))</f>
        <v/>
      </c>
      <c r="S86" s="46" t="str">
        <f aca="false">IF(Q86="","",Q86-R86)</f>
        <v/>
      </c>
      <c r="T86" s="6"/>
      <c r="U86" s="6"/>
      <c r="V86" s="6"/>
      <c r="W86" s="6"/>
      <c r="X86" s="6"/>
      <c r="Y86" s="8" t="str">
        <f aca="false">IF(OR(D86="",B86="",C86=""),"",IF(N(C86)&lt;=N(B86),"Check dates",IF(T86="Cancelled","",IF(COUNTIFS($D$5:$D$1004,D86,$B$5:$B$1004,"&lt;"&amp;C86,$C$5:$C$1004,"&gt;"&amp;B86,$T$5:$T$1004,"&lt;&gt;Cancelled")&gt;1,"Double-booked",""))))</f>
        <v/>
      </c>
      <c r="Z86" s="42" t="str">
        <f aca="false">IF(AND(AA86=1,ISNUMBER(C86)),C86+ROW()/100000,"")</f>
        <v/>
      </c>
      <c r="AA86" s="43" t="n">
        <f aca="false">IF(AND(D86&lt;&gt;"",ISNUMBER(B86),ISNUMBER(C86),N(H86)&gt;0,T86&lt;&gt;"Cancelled",J86&lt;&gt;""),1,0)</f>
        <v>0</v>
      </c>
      <c r="AB86" s="44" t="n">
        <f aca="false">IF(AA86=1,J86/H86,0)</f>
        <v>0</v>
      </c>
      <c r="AC86" s="44" t="n">
        <f aca="false">IF(AA86=1,Q86/H86,0)</f>
        <v>0</v>
      </c>
      <c r="AD86" s="44" t="n">
        <f aca="false">IF(AA86=1,R86/H86,0)</f>
        <v>0</v>
      </c>
      <c r="AE86" s="44" t="n">
        <f aca="false">IF(AA86=1,O86/H86,0)</f>
        <v>0</v>
      </c>
      <c r="AF86" s="44" t="n">
        <f aca="false">IF(AA86=1,K86/H86,0)</f>
        <v>0</v>
      </c>
      <c r="AG86" s="45" t="str">
        <f aca="false">IF(AA86=1,D86&amp;"|"&amp;TEXT(B86,"0"),"")</f>
        <v/>
      </c>
      <c r="AH86" s="43" t="n">
        <f aca="false">IF(AA86=1,H86,0)</f>
        <v>0</v>
      </c>
    </row>
    <row r="87" customFormat="false" ht="15" hidden="false" customHeight="false" outlineLevel="0" collapsed="false">
      <c r="A87" s="8" t="str">
        <f aca="false">IF(B87="","","B-"&amp;TEXT(ROW()-4,"0000"))</f>
        <v/>
      </c>
      <c r="B87" s="38"/>
      <c r="C87" s="38"/>
      <c r="D87" s="6"/>
      <c r="E87" s="6"/>
      <c r="F87" s="6"/>
      <c r="G87" s="11"/>
      <c r="H87" s="18" t="str">
        <f aca="false">IF(AND(ISNUMBER(B87),ISNUMBER(C87)),MAX(0,C87-B87),"")</f>
        <v/>
      </c>
      <c r="I87" s="37"/>
      <c r="J87" s="41" t="str">
        <f aca="false">IF(OR(D87="",N(H87)=0),"",IFERROR(IF(I87&lt;&gt;"",H87*I87,ROUND(((H87-(INT((WEEKDAY(B87-6)+H87-1)/7)+INT((WEEKDAY(B87-7)+H87-1)/7)))*INDEX(Properties!$E$5:$E$24,MATCH(D87,Properties!$A$5:$A$24,0))+(INT((WEEKDAY(B87-6)+H87-1)/7)+INT((WEEKDAY(B87-7)+H87-1)/7))*INDEX(Properties!$F$5:$F$24,MATCH(D87,Properties!$A$5:$A$24,0)))*(1-IF(H87&gt;=28,Settings!$B$10,IF(H87&gt;=7,Settings!$B$9,0))),2)),0))</f>
        <v/>
      </c>
      <c r="K87" s="41" t="str">
        <f aca="false">IF(J87="","",IFERROR(N(INDEX(Properties!$G$5:$G$24,MATCH(D87,Properties!$A$5:$A$24,0))),0))</f>
        <v/>
      </c>
      <c r="L87" s="41" t="str">
        <f aca="false">IF(J87="","",IFERROR(MAX(0,N(G87)-INDEX(Properties!$I$5:$I$24,MATCH(D87,Properties!$A$5:$A$24,0)))*N(INDEX(Properties!$J$5:$J$24,MATCH(D87,Properties!$A$5:$A$24,0)))*H87,0))</f>
        <v/>
      </c>
      <c r="M87" s="37"/>
      <c r="N87" s="41" t="str">
        <f aca="false">IF(J87="","",J87+K87+L87+N(M87))</f>
        <v/>
      </c>
      <c r="O87" s="41" t="str">
        <f aca="false">IF(N87="","",IF(P87&lt;&gt;"",N87-P87,ROUND(N87*IFERROR(INDEX(Settings!$E$5:$E$12,MATCH(F87,Settings!$D$5:$D$12,0)),0),2)))</f>
        <v/>
      </c>
      <c r="P87" s="37"/>
      <c r="Q87" s="41" t="str">
        <f aca="false">IF(N87="","",IF(P87&lt;&gt;"",P87,N87-O87))</f>
        <v/>
      </c>
      <c r="R87" s="41" t="str">
        <f aca="false">IF(J87="","",IFERROR(N(INDEX(Properties!$H$5:$H$24,MATCH(D87,Properties!$A$5:$A$24,0))),0))</f>
        <v/>
      </c>
      <c r="S87" s="41" t="str">
        <f aca="false">IF(Q87="","",Q87-R87)</f>
        <v/>
      </c>
      <c r="T87" s="6"/>
      <c r="U87" s="6"/>
      <c r="V87" s="6"/>
      <c r="W87" s="6"/>
      <c r="X87" s="6"/>
      <c r="Y87" s="8" t="str">
        <f aca="false">IF(OR(D87="",B87="",C87=""),"",IF(N(C87)&lt;=N(B87),"Check dates",IF(T87="Cancelled","",IF(COUNTIFS($D$5:$D$1004,D87,$B$5:$B$1004,"&lt;"&amp;C87,$C$5:$C$1004,"&gt;"&amp;B87,$T$5:$T$1004,"&lt;&gt;Cancelled")&gt;1,"Double-booked",""))))</f>
        <v/>
      </c>
      <c r="Z87" s="42" t="str">
        <f aca="false">IF(AND(AA87=1,ISNUMBER(C87)),C87+ROW()/100000,"")</f>
        <v/>
      </c>
      <c r="AA87" s="43" t="n">
        <f aca="false">IF(AND(D87&lt;&gt;"",ISNUMBER(B87),ISNUMBER(C87),N(H87)&gt;0,T87&lt;&gt;"Cancelled",J87&lt;&gt;""),1,0)</f>
        <v>0</v>
      </c>
      <c r="AB87" s="44" t="n">
        <f aca="false">IF(AA87=1,J87/H87,0)</f>
        <v>0</v>
      </c>
      <c r="AC87" s="44" t="n">
        <f aca="false">IF(AA87=1,Q87/H87,0)</f>
        <v>0</v>
      </c>
      <c r="AD87" s="44" t="n">
        <f aca="false">IF(AA87=1,R87/H87,0)</f>
        <v>0</v>
      </c>
      <c r="AE87" s="44" t="n">
        <f aca="false">IF(AA87=1,O87/H87,0)</f>
        <v>0</v>
      </c>
      <c r="AF87" s="44" t="n">
        <f aca="false">IF(AA87=1,K87/H87,0)</f>
        <v>0</v>
      </c>
      <c r="AG87" s="45" t="str">
        <f aca="false">IF(AA87=1,D87&amp;"|"&amp;TEXT(B87,"0"),"")</f>
        <v/>
      </c>
      <c r="AH87" s="43" t="n">
        <f aca="false">IF(AA87=1,H87,0)</f>
        <v>0</v>
      </c>
    </row>
    <row r="88" customFormat="false" ht="15" hidden="false" customHeight="false" outlineLevel="0" collapsed="false">
      <c r="A88" s="23" t="str">
        <f aca="false">IF(B88="","","B-"&amp;TEXT(ROW()-4,"0000"))</f>
        <v/>
      </c>
      <c r="B88" s="38"/>
      <c r="C88" s="38"/>
      <c r="D88" s="6"/>
      <c r="E88" s="6"/>
      <c r="F88" s="6"/>
      <c r="G88" s="11"/>
      <c r="H88" s="24" t="str">
        <f aca="false">IF(AND(ISNUMBER(B88),ISNUMBER(C88)),MAX(0,C88-B88),"")</f>
        <v/>
      </c>
      <c r="I88" s="37"/>
      <c r="J88" s="46" t="str">
        <f aca="false">IF(OR(D88="",N(H88)=0),"",IFERROR(IF(I88&lt;&gt;"",H88*I88,ROUND(((H88-(INT((WEEKDAY(B88-6)+H88-1)/7)+INT((WEEKDAY(B88-7)+H88-1)/7)))*INDEX(Properties!$E$5:$E$24,MATCH(D88,Properties!$A$5:$A$24,0))+(INT((WEEKDAY(B88-6)+H88-1)/7)+INT((WEEKDAY(B88-7)+H88-1)/7))*INDEX(Properties!$F$5:$F$24,MATCH(D88,Properties!$A$5:$A$24,0)))*(1-IF(H88&gt;=28,Settings!$B$10,IF(H88&gt;=7,Settings!$B$9,0))),2)),0))</f>
        <v/>
      </c>
      <c r="K88" s="46" t="str">
        <f aca="false">IF(J88="","",IFERROR(N(INDEX(Properties!$G$5:$G$24,MATCH(D88,Properties!$A$5:$A$24,0))),0))</f>
        <v/>
      </c>
      <c r="L88" s="46" t="str">
        <f aca="false">IF(J88="","",IFERROR(MAX(0,N(G88)-INDEX(Properties!$I$5:$I$24,MATCH(D88,Properties!$A$5:$A$24,0)))*N(INDEX(Properties!$J$5:$J$24,MATCH(D88,Properties!$A$5:$A$24,0)))*H88,0))</f>
        <v/>
      </c>
      <c r="M88" s="37"/>
      <c r="N88" s="46" t="str">
        <f aca="false">IF(J88="","",J88+K88+L88+N(M88))</f>
        <v/>
      </c>
      <c r="O88" s="46" t="str">
        <f aca="false">IF(N88="","",IF(P88&lt;&gt;"",N88-P88,ROUND(N88*IFERROR(INDEX(Settings!$E$5:$E$12,MATCH(F88,Settings!$D$5:$D$12,0)),0),2)))</f>
        <v/>
      </c>
      <c r="P88" s="37"/>
      <c r="Q88" s="46" t="str">
        <f aca="false">IF(N88="","",IF(P88&lt;&gt;"",P88,N88-O88))</f>
        <v/>
      </c>
      <c r="R88" s="46" t="str">
        <f aca="false">IF(J88="","",IFERROR(N(INDEX(Properties!$H$5:$H$24,MATCH(D88,Properties!$A$5:$A$24,0))),0))</f>
        <v/>
      </c>
      <c r="S88" s="46" t="str">
        <f aca="false">IF(Q88="","",Q88-R88)</f>
        <v/>
      </c>
      <c r="T88" s="6"/>
      <c r="U88" s="6"/>
      <c r="V88" s="6"/>
      <c r="W88" s="6"/>
      <c r="X88" s="6"/>
      <c r="Y88" s="8" t="str">
        <f aca="false">IF(OR(D88="",B88="",C88=""),"",IF(N(C88)&lt;=N(B88),"Check dates",IF(T88="Cancelled","",IF(COUNTIFS($D$5:$D$1004,D88,$B$5:$B$1004,"&lt;"&amp;C88,$C$5:$C$1004,"&gt;"&amp;B88,$T$5:$T$1004,"&lt;&gt;Cancelled")&gt;1,"Double-booked",""))))</f>
        <v/>
      </c>
      <c r="Z88" s="42" t="str">
        <f aca="false">IF(AND(AA88=1,ISNUMBER(C88)),C88+ROW()/100000,"")</f>
        <v/>
      </c>
      <c r="AA88" s="43" t="n">
        <f aca="false">IF(AND(D88&lt;&gt;"",ISNUMBER(B88),ISNUMBER(C88),N(H88)&gt;0,T88&lt;&gt;"Cancelled",J88&lt;&gt;""),1,0)</f>
        <v>0</v>
      </c>
      <c r="AB88" s="44" t="n">
        <f aca="false">IF(AA88=1,J88/H88,0)</f>
        <v>0</v>
      </c>
      <c r="AC88" s="44" t="n">
        <f aca="false">IF(AA88=1,Q88/H88,0)</f>
        <v>0</v>
      </c>
      <c r="AD88" s="44" t="n">
        <f aca="false">IF(AA88=1,R88/H88,0)</f>
        <v>0</v>
      </c>
      <c r="AE88" s="44" t="n">
        <f aca="false">IF(AA88=1,O88/H88,0)</f>
        <v>0</v>
      </c>
      <c r="AF88" s="44" t="n">
        <f aca="false">IF(AA88=1,K88/H88,0)</f>
        <v>0</v>
      </c>
      <c r="AG88" s="45" t="str">
        <f aca="false">IF(AA88=1,D88&amp;"|"&amp;TEXT(B88,"0"),"")</f>
        <v/>
      </c>
      <c r="AH88" s="43" t="n">
        <f aca="false">IF(AA88=1,H88,0)</f>
        <v>0</v>
      </c>
    </row>
    <row r="89" customFormat="false" ht="15" hidden="false" customHeight="false" outlineLevel="0" collapsed="false">
      <c r="A89" s="8" t="str">
        <f aca="false">IF(B89="","","B-"&amp;TEXT(ROW()-4,"0000"))</f>
        <v/>
      </c>
      <c r="B89" s="38"/>
      <c r="C89" s="38"/>
      <c r="D89" s="6"/>
      <c r="E89" s="6"/>
      <c r="F89" s="6"/>
      <c r="G89" s="11"/>
      <c r="H89" s="18" t="str">
        <f aca="false">IF(AND(ISNUMBER(B89),ISNUMBER(C89)),MAX(0,C89-B89),"")</f>
        <v/>
      </c>
      <c r="I89" s="37"/>
      <c r="J89" s="41" t="str">
        <f aca="false">IF(OR(D89="",N(H89)=0),"",IFERROR(IF(I89&lt;&gt;"",H89*I89,ROUND(((H89-(INT((WEEKDAY(B89-6)+H89-1)/7)+INT((WEEKDAY(B89-7)+H89-1)/7)))*INDEX(Properties!$E$5:$E$24,MATCH(D89,Properties!$A$5:$A$24,0))+(INT((WEEKDAY(B89-6)+H89-1)/7)+INT((WEEKDAY(B89-7)+H89-1)/7))*INDEX(Properties!$F$5:$F$24,MATCH(D89,Properties!$A$5:$A$24,0)))*(1-IF(H89&gt;=28,Settings!$B$10,IF(H89&gt;=7,Settings!$B$9,0))),2)),0))</f>
        <v/>
      </c>
      <c r="K89" s="41" t="str">
        <f aca="false">IF(J89="","",IFERROR(N(INDEX(Properties!$G$5:$G$24,MATCH(D89,Properties!$A$5:$A$24,0))),0))</f>
        <v/>
      </c>
      <c r="L89" s="41" t="str">
        <f aca="false">IF(J89="","",IFERROR(MAX(0,N(G89)-INDEX(Properties!$I$5:$I$24,MATCH(D89,Properties!$A$5:$A$24,0)))*N(INDEX(Properties!$J$5:$J$24,MATCH(D89,Properties!$A$5:$A$24,0)))*H89,0))</f>
        <v/>
      </c>
      <c r="M89" s="37"/>
      <c r="N89" s="41" t="str">
        <f aca="false">IF(J89="","",J89+K89+L89+N(M89))</f>
        <v/>
      </c>
      <c r="O89" s="41" t="str">
        <f aca="false">IF(N89="","",IF(P89&lt;&gt;"",N89-P89,ROUND(N89*IFERROR(INDEX(Settings!$E$5:$E$12,MATCH(F89,Settings!$D$5:$D$12,0)),0),2)))</f>
        <v/>
      </c>
      <c r="P89" s="37"/>
      <c r="Q89" s="41" t="str">
        <f aca="false">IF(N89="","",IF(P89&lt;&gt;"",P89,N89-O89))</f>
        <v/>
      </c>
      <c r="R89" s="41" t="str">
        <f aca="false">IF(J89="","",IFERROR(N(INDEX(Properties!$H$5:$H$24,MATCH(D89,Properties!$A$5:$A$24,0))),0))</f>
        <v/>
      </c>
      <c r="S89" s="41" t="str">
        <f aca="false">IF(Q89="","",Q89-R89)</f>
        <v/>
      </c>
      <c r="T89" s="6"/>
      <c r="U89" s="6"/>
      <c r="V89" s="6"/>
      <c r="W89" s="6"/>
      <c r="X89" s="6"/>
      <c r="Y89" s="8" t="str">
        <f aca="false">IF(OR(D89="",B89="",C89=""),"",IF(N(C89)&lt;=N(B89),"Check dates",IF(T89="Cancelled","",IF(COUNTIFS($D$5:$D$1004,D89,$B$5:$B$1004,"&lt;"&amp;C89,$C$5:$C$1004,"&gt;"&amp;B89,$T$5:$T$1004,"&lt;&gt;Cancelled")&gt;1,"Double-booked",""))))</f>
        <v/>
      </c>
      <c r="Z89" s="42" t="str">
        <f aca="false">IF(AND(AA89=1,ISNUMBER(C89)),C89+ROW()/100000,"")</f>
        <v/>
      </c>
      <c r="AA89" s="43" t="n">
        <f aca="false">IF(AND(D89&lt;&gt;"",ISNUMBER(B89),ISNUMBER(C89),N(H89)&gt;0,T89&lt;&gt;"Cancelled",J89&lt;&gt;""),1,0)</f>
        <v>0</v>
      </c>
      <c r="AB89" s="44" t="n">
        <f aca="false">IF(AA89=1,J89/H89,0)</f>
        <v>0</v>
      </c>
      <c r="AC89" s="44" t="n">
        <f aca="false">IF(AA89=1,Q89/H89,0)</f>
        <v>0</v>
      </c>
      <c r="AD89" s="44" t="n">
        <f aca="false">IF(AA89=1,R89/H89,0)</f>
        <v>0</v>
      </c>
      <c r="AE89" s="44" t="n">
        <f aca="false">IF(AA89=1,O89/H89,0)</f>
        <v>0</v>
      </c>
      <c r="AF89" s="44" t="n">
        <f aca="false">IF(AA89=1,K89/H89,0)</f>
        <v>0</v>
      </c>
      <c r="AG89" s="45" t="str">
        <f aca="false">IF(AA89=1,D89&amp;"|"&amp;TEXT(B89,"0"),"")</f>
        <v/>
      </c>
      <c r="AH89" s="43" t="n">
        <f aca="false">IF(AA89=1,H89,0)</f>
        <v>0</v>
      </c>
    </row>
    <row r="90" customFormat="false" ht="15" hidden="false" customHeight="false" outlineLevel="0" collapsed="false">
      <c r="A90" s="23" t="str">
        <f aca="false">IF(B90="","","B-"&amp;TEXT(ROW()-4,"0000"))</f>
        <v/>
      </c>
      <c r="B90" s="38"/>
      <c r="C90" s="38"/>
      <c r="D90" s="6"/>
      <c r="E90" s="6"/>
      <c r="F90" s="6"/>
      <c r="G90" s="11"/>
      <c r="H90" s="24" t="str">
        <f aca="false">IF(AND(ISNUMBER(B90),ISNUMBER(C90)),MAX(0,C90-B90),"")</f>
        <v/>
      </c>
      <c r="I90" s="37"/>
      <c r="J90" s="46" t="str">
        <f aca="false">IF(OR(D90="",N(H90)=0),"",IFERROR(IF(I90&lt;&gt;"",H90*I90,ROUND(((H90-(INT((WEEKDAY(B90-6)+H90-1)/7)+INT((WEEKDAY(B90-7)+H90-1)/7)))*INDEX(Properties!$E$5:$E$24,MATCH(D90,Properties!$A$5:$A$24,0))+(INT((WEEKDAY(B90-6)+H90-1)/7)+INT((WEEKDAY(B90-7)+H90-1)/7))*INDEX(Properties!$F$5:$F$24,MATCH(D90,Properties!$A$5:$A$24,0)))*(1-IF(H90&gt;=28,Settings!$B$10,IF(H90&gt;=7,Settings!$B$9,0))),2)),0))</f>
        <v/>
      </c>
      <c r="K90" s="46" t="str">
        <f aca="false">IF(J90="","",IFERROR(N(INDEX(Properties!$G$5:$G$24,MATCH(D90,Properties!$A$5:$A$24,0))),0))</f>
        <v/>
      </c>
      <c r="L90" s="46" t="str">
        <f aca="false">IF(J90="","",IFERROR(MAX(0,N(G90)-INDEX(Properties!$I$5:$I$24,MATCH(D90,Properties!$A$5:$A$24,0)))*N(INDEX(Properties!$J$5:$J$24,MATCH(D90,Properties!$A$5:$A$24,0)))*H90,0))</f>
        <v/>
      </c>
      <c r="M90" s="37"/>
      <c r="N90" s="46" t="str">
        <f aca="false">IF(J90="","",J90+K90+L90+N(M90))</f>
        <v/>
      </c>
      <c r="O90" s="46" t="str">
        <f aca="false">IF(N90="","",IF(P90&lt;&gt;"",N90-P90,ROUND(N90*IFERROR(INDEX(Settings!$E$5:$E$12,MATCH(F90,Settings!$D$5:$D$12,0)),0),2)))</f>
        <v/>
      </c>
      <c r="P90" s="37"/>
      <c r="Q90" s="46" t="str">
        <f aca="false">IF(N90="","",IF(P90&lt;&gt;"",P90,N90-O90))</f>
        <v/>
      </c>
      <c r="R90" s="46" t="str">
        <f aca="false">IF(J90="","",IFERROR(N(INDEX(Properties!$H$5:$H$24,MATCH(D90,Properties!$A$5:$A$24,0))),0))</f>
        <v/>
      </c>
      <c r="S90" s="46" t="str">
        <f aca="false">IF(Q90="","",Q90-R90)</f>
        <v/>
      </c>
      <c r="T90" s="6"/>
      <c r="U90" s="6"/>
      <c r="V90" s="6"/>
      <c r="W90" s="6"/>
      <c r="X90" s="6"/>
      <c r="Y90" s="8" t="str">
        <f aca="false">IF(OR(D90="",B90="",C90=""),"",IF(N(C90)&lt;=N(B90),"Check dates",IF(T90="Cancelled","",IF(COUNTIFS($D$5:$D$1004,D90,$B$5:$B$1004,"&lt;"&amp;C90,$C$5:$C$1004,"&gt;"&amp;B90,$T$5:$T$1004,"&lt;&gt;Cancelled")&gt;1,"Double-booked",""))))</f>
        <v/>
      </c>
      <c r="Z90" s="42" t="str">
        <f aca="false">IF(AND(AA90=1,ISNUMBER(C90)),C90+ROW()/100000,"")</f>
        <v/>
      </c>
      <c r="AA90" s="43" t="n">
        <f aca="false">IF(AND(D90&lt;&gt;"",ISNUMBER(B90),ISNUMBER(C90),N(H90)&gt;0,T90&lt;&gt;"Cancelled",J90&lt;&gt;""),1,0)</f>
        <v>0</v>
      </c>
      <c r="AB90" s="44" t="n">
        <f aca="false">IF(AA90=1,J90/H90,0)</f>
        <v>0</v>
      </c>
      <c r="AC90" s="44" t="n">
        <f aca="false">IF(AA90=1,Q90/H90,0)</f>
        <v>0</v>
      </c>
      <c r="AD90" s="44" t="n">
        <f aca="false">IF(AA90=1,R90/H90,0)</f>
        <v>0</v>
      </c>
      <c r="AE90" s="44" t="n">
        <f aca="false">IF(AA90=1,O90/H90,0)</f>
        <v>0</v>
      </c>
      <c r="AF90" s="44" t="n">
        <f aca="false">IF(AA90=1,K90/H90,0)</f>
        <v>0</v>
      </c>
      <c r="AG90" s="45" t="str">
        <f aca="false">IF(AA90=1,D90&amp;"|"&amp;TEXT(B90,"0"),"")</f>
        <v/>
      </c>
      <c r="AH90" s="43" t="n">
        <f aca="false">IF(AA90=1,H90,0)</f>
        <v>0</v>
      </c>
    </row>
    <row r="91" customFormat="false" ht="15" hidden="false" customHeight="false" outlineLevel="0" collapsed="false">
      <c r="A91" s="8" t="str">
        <f aca="false">IF(B91="","","B-"&amp;TEXT(ROW()-4,"0000"))</f>
        <v/>
      </c>
      <c r="B91" s="38"/>
      <c r="C91" s="38"/>
      <c r="D91" s="6"/>
      <c r="E91" s="6"/>
      <c r="F91" s="6"/>
      <c r="G91" s="11"/>
      <c r="H91" s="18" t="str">
        <f aca="false">IF(AND(ISNUMBER(B91),ISNUMBER(C91)),MAX(0,C91-B91),"")</f>
        <v/>
      </c>
      <c r="I91" s="37"/>
      <c r="J91" s="41" t="str">
        <f aca="false">IF(OR(D91="",N(H91)=0),"",IFERROR(IF(I91&lt;&gt;"",H91*I91,ROUND(((H91-(INT((WEEKDAY(B91-6)+H91-1)/7)+INT((WEEKDAY(B91-7)+H91-1)/7)))*INDEX(Properties!$E$5:$E$24,MATCH(D91,Properties!$A$5:$A$24,0))+(INT((WEEKDAY(B91-6)+H91-1)/7)+INT((WEEKDAY(B91-7)+H91-1)/7))*INDEX(Properties!$F$5:$F$24,MATCH(D91,Properties!$A$5:$A$24,0)))*(1-IF(H91&gt;=28,Settings!$B$10,IF(H91&gt;=7,Settings!$B$9,0))),2)),0))</f>
        <v/>
      </c>
      <c r="K91" s="41" t="str">
        <f aca="false">IF(J91="","",IFERROR(N(INDEX(Properties!$G$5:$G$24,MATCH(D91,Properties!$A$5:$A$24,0))),0))</f>
        <v/>
      </c>
      <c r="L91" s="41" t="str">
        <f aca="false">IF(J91="","",IFERROR(MAX(0,N(G91)-INDEX(Properties!$I$5:$I$24,MATCH(D91,Properties!$A$5:$A$24,0)))*N(INDEX(Properties!$J$5:$J$24,MATCH(D91,Properties!$A$5:$A$24,0)))*H91,0))</f>
        <v/>
      </c>
      <c r="M91" s="37"/>
      <c r="N91" s="41" t="str">
        <f aca="false">IF(J91="","",J91+K91+L91+N(M91))</f>
        <v/>
      </c>
      <c r="O91" s="41" t="str">
        <f aca="false">IF(N91="","",IF(P91&lt;&gt;"",N91-P91,ROUND(N91*IFERROR(INDEX(Settings!$E$5:$E$12,MATCH(F91,Settings!$D$5:$D$12,0)),0),2)))</f>
        <v/>
      </c>
      <c r="P91" s="37"/>
      <c r="Q91" s="41" t="str">
        <f aca="false">IF(N91="","",IF(P91&lt;&gt;"",P91,N91-O91))</f>
        <v/>
      </c>
      <c r="R91" s="41" t="str">
        <f aca="false">IF(J91="","",IFERROR(N(INDEX(Properties!$H$5:$H$24,MATCH(D91,Properties!$A$5:$A$24,0))),0))</f>
        <v/>
      </c>
      <c r="S91" s="41" t="str">
        <f aca="false">IF(Q91="","",Q91-R91)</f>
        <v/>
      </c>
      <c r="T91" s="6"/>
      <c r="U91" s="6"/>
      <c r="V91" s="6"/>
      <c r="W91" s="6"/>
      <c r="X91" s="6"/>
      <c r="Y91" s="8" t="str">
        <f aca="false">IF(OR(D91="",B91="",C91=""),"",IF(N(C91)&lt;=N(B91),"Check dates",IF(T91="Cancelled","",IF(COUNTIFS($D$5:$D$1004,D91,$B$5:$B$1004,"&lt;"&amp;C91,$C$5:$C$1004,"&gt;"&amp;B91,$T$5:$T$1004,"&lt;&gt;Cancelled")&gt;1,"Double-booked",""))))</f>
        <v/>
      </c>
      <c r="Z91" s="42" t="str">
        <f aca="false">IF(AND(AA91=1,ISNUMBER(C91)),C91+ROW()/100000,"")</f>
        <v/>
      </c>
      <c r="AA91" s="43" t="n">
        <f aca="false">IF(AND(D91&lt;&gt;"",ISNUMBER(B91),ISNUMBER(C91),N(H91)&gt;0,T91&lt;&gt;"Cancelled",J91&lt;&gt;""),1,0)</f>
        <v>0</v>
      </c>
      <c r="AB91" s="44" t="n">
        <f aca="false">IF(AA91=1,J91/H91,0)</f>
        <v>0</v>
      </c>
      <c r="AC91" s="44" t="n">
        <f aca="false">IF(AA91=1,Q91/H91,0)</f>
        <v>0</v>
      </c>
      <c r="AD91" s="44" t="n">
        <f aca="false">IF(AA91=1,R91/H91,0)</f>
        <v>0</v>
      </c>
      <c r="AE91" s="44" t="n">
        <f aca="false">IF(AA91=1,O91/H91,0)</f>
        <v>0</v>
      </c>
      <c r="AF91" s="44" t="n">
        <f aca="false">IF(AA91=1,K91/H91,0)</f>
        <v>0</v>
      </c>
      <c r="AG91" s="45" t="str">
        <f aca="false">IF(AA91=1,D91&amp;"|"&amp;TEXT(B91,"0"),"")</f>
        <v/>
      </c>
      <c r="AH91" s="43" t="n">
        <f aca="false">IF(AA91=1,H91,0)</f>
        <v>0</v>
      </c>
    </row>
    <row r="92" customFormat="false" ht="15" hidden="false" customHeight="false" outlineLevel="0" collapsed="false">
      <c r="A92" s="23" t="str">
        <f aca="false">IF(B92="","","B-"&amp;TEXT(ROW()-4,"0000"))</f>
        <v/>
      </c>
      <c r="B92" s="38"/>
      <c r="C92" s="38"/>
      <c r="D92" s="6"/>
      <c r="E92" s="6"/>
      <c r="F92" s="6"/>
      <c r="G92" s="11"/>
      <c r="H92" s="24" t="str">
        <f aca="false">IF(AND(ISNUMBER(B92),ISNUMBER(C92)),MAX(0,C92-B92),"")</f>
        <v/>
      </c>
      <c r="I92" s="37"/>
      <c r="J92" s="46" t="str">
        <f aca="false">IF(OR(D92="",N(H92)=0),"",IFERROR(IF(I92&lt;&gt;"",H92*I92,ROUND(((H92-(INT((WEEKDAY(B92-6)+H92-1)/7)+INT((WEEKDAY(B92-7)+H92-1)/7)))*INDEX(Properties!$E$5:$E$24,MATCH(D92,Properties!$A$5:$A$24,0))+(INT((WEEKDAY(B92-6)+H92-1)/7)+INT((WEEKDAY(B92-7)+H92-1)/7))*INDEX(Properties!$F$5:$F$24,MATCH(D92,Properties!$A$5:$A$24,0)))*(1-IF(H92&gt;=28,Settings!$B$10,IF(H92&gt;=7,Settings!$B$9,0))),2)),0))</f>
        <v/>
      </c>
      <c r="K92" s="46" t="str">
        <f aca="false">IF(J92="","",IFERROR(N(INDEX(Properties!$G$5:$G$24,MATCH(D92,Properties!$A$5:$A$24,0))),0))</f>
        <v/>
      </c>
      <c r="L92" s="46" t="str">
        <f aca="false">IF(J92="","",IFERROR(MAX(0,N(G92)-INDEX(Properties!$I$5:$I$24,MATCH(D92,Properties!$A$5:$A$24,0)))*N(INDEX(Properties!$J$5:$J$24,MATCH(D92,Properties!$A$5:$A$24,0)))*H92,0))</f>
        <v/>
      </c>
      <c r="M92" s="37"/>
      <c r="N92" s="46" t="str">
        <f aca="false">IF(J92="","",J92+K92+L92+N(M92))</f>
        <v/>
      </c>
      <c r="O92" s="46" t="str">
        <f aca="false">IF(N92="","",IF(P92&lt;&gt;"",N92-P92,ROUND(N92*IFERROR(INDEX(Settings!$E$5:$E$12,MATCH(F92,Settings!$D$5:$D$12,0)),0),2)))</f>
        <v/>
      </c>
      <c r="P92" s="37"/>
      <c r="Q92" s="46" t="str">
        <f aca="false">IF(N92="","",IF(P92&lt;&gt;"",P92,N92-O92))</f>
        <v/>
      </c>
      <c r="R92" s="46" t="str">
        <f aca="false">IF(J92="","",IFERROR(N(INDEX(Properties!$H$5:$H$24,MATCH(D92,Properties!$A$5:$A$24,0))),0))</f>
        <v/>
      </c>
      <c r="S92" s="46" t="str">
        <f aca="false">IF(Q92="","",Q92-R92)</f>
        <v/>
      </c>
      <c r="T92" s="6"/>
      <c r="U92" s="6"/>
      <c r="V92" s="6"/>
      <c r="W92" s="6"/>
      <c r="X92" s="6"/>
      <c r="Y92" s="8" t="str">
        <f aca="false">IF(OR(D92="",B92="",C92=""),"",IF(N(C92)&lt;=N(B92),"Check dates",IF(T92="Cancelled","",IF(COUNTIFS($D$5:$D$1004,D92,$B$5:$B$1004,"&lt;"&amp;C92,$C$5:$C$1004,"&gt;"&amp;B92,$T$5:$T$1004,"&lt;&gt;Cancelled")&gt;1,"Double-booked",""))))</f>
        <v/>
      </c>
      <c r="Z92" s="42" t="str">
        <f aca="false">IF(AND(AA92=1,ISNUMBER(C92)),C92+ROW()/100000,"")</f>
        <v/>
      </c>
      <c r="AA92" s="43" t="n">
        <f aca="false">IF(AND(D92&lt;&gt;"",ISNUMBER(B92),ISNUMBER(C92),N(H92)&gt;0,T92&lt;&gt;"Cancelled",J92&lt;&gt;""),1,0)</f>
        <v>0</v>
      </c>
      <c r="AB92" s="44" t="n">
        <f aca="false">IF(AA92=1,J92/H92,0)</f>
        <v>0</v>
      </c>
      <c r="AC92" s="44" t="n">
        <f aca="false">IF(AA92=1,Q92/H92,0)</f>
        <v>0</v>
      </c>
      <c r="AD92" s="44" t="n">
        <f aca="false">IF(AA92=1,R92/H92,0)</f>
        <v>0</v>
      </c>
      <c r="AE92" s="44" t="n">
        <f aca="false">IF(AA92=1,O92/H92,0)</f>
        <v>0</v>
      </c>
      <c r="AF92" s="44" t="n">
        <f aca="false">IF(AA92=1,K92/H92,0)</f>
        <v>0</v>
      </c>
      <c r="AG92" s="45" t="str">
        <f aca="false">IF(AA92=1,D92&amp;"|"&amp;TEXT(B92,"0"),"")</f>
        <v/>
      </c>
      <c r="AH92" s="43" t="n">
        <f aca="false">IF(AA92=1,H92,0)</f>
        <v>0</v>
      </c>
    </row>
    <row r="93" customFormat="false" ht="15" hidden="false" customHeight="false" outlineLevel="0" collapsed="false">
      <c r="A93" s="8" t="str">
        <f aca="false">IF(B93="","","B-"&amp;TEXT(ROW()-4,"0000"))</f>
        <v/>
      </c>
      <c r="B93" s="38"/>
      <c r="C93" s="38"/>
      <c r="D93" s="6"/>
      <c r="E93" s="6"/>
      <c r="F93" s="6"/>
      <c r="G93" s="11"/>
      <c r="H93" s="18" t="str">
        <f aca="false">IF(AND(ISNUMBER(B93),ISNUMBER(C93)),MAX(0,C93-B93),"")</f>
        <v/>
      </c>
      <c r="I93" s="37"/>
      <c r="J93" s="41" t="str">
        <f aca="false">IF(OR(D93="",N(H93)=0),"",IFERROR(IF(I93&lt;&gt;"",H93*I93,ROUND(((H93-(INT((WEEKDAY(B93-6)+H93-1)/7)+INT((WEEKDAY(B93-7)+H93-1)/7)))*INDEX(Properties!$E$5:$E$24,MATCH(D93,Properties!$A$5:$A$24,0))+(INT((WEEKDAY(B93-6)+H93-1)/7)+INT((WEEKDAY(B93-7)+H93-1)/7))*INDEX(Properties!$F$5:$F$24,MATCH(D93,Properties!$A$5:$A$24,0)))*(1-IF(H93&gt;=28,Settings!$B$10,IF(H93&gt;=7,Settings!$B$9,0))),2)),0))</f>
        <v/>
      </c>
      <c r="K93" s="41" t="str">
        <f aca="false">IF(J93="","",IFERROR(N(INDEX(Properties!$G$5:$G$24,MATCH(D93,Properties!$A$5:$A$24,0))),0))</f>
        <v/>
      </c>
      <c r="L93" s="41" t="str">
        <f aca="false">IF(J93="","",IFERROR(MAX(0,N(G93)-INDEX(Properties!$I$5:$I$24,MATCH(D93,Properties!$A$5:$A$24,0)))*N(INDEX(Properties!$J$5:$J$24,MATCH(D93,Properties!$A$5:$A$24,0)))*H93,0))</f>
        <v/>
      </c>
      <c r="M93" s="37"/>
      <c r="N93" s="41" t="str">
        <f aca="false">IF(J93="","",J93+K93+L93+N(M93))</f>
        <v/>
      </c>
      <c r="O93" s="41" t="str">
        <f aca="false">IF(N93="","",IF(P93&lt;&gt;"",N93-P93,ROUND(N93*IFERROR(INDEX(Settings!$E$5:$E$12,MATCH(F93,Settings!$D$5:$D$12,0)),0),2)))</f>
        <v/>
      </c>
      <c r="P93" s="37"/>
      <c r="Q93" s="41" t="str">
        <f aca="false">IF(N93="","",IF(P93&lt;&gt;"",P93,N93-O93))</f>
        <v/>
      </c>
      <c r="R93" s="41" t="str">
        <f aca="false">IF(J93="","",IFERROR(N(INDEX(Properties!$H$5:$H$24,MATCH(D93,Properties!$A$5:$A$24,0))),0))</f>
        <v/>
      </c>
      <c r="S93" s="41" t="str">
        <f aca="false">IF(Q93="","",Q93-R93)</f>
        <v/>
      </c>
      <c r="T93" s="6"/>
      <c r="U93" s="6"/>
      <c r="V93" s="6"/>
      <c r="W93" s="6"/>
      <c r="X93" s="6"/>
      <c r="Y93" s="8" t="str">
        <f aca="false">IF(OR(D93="",B93="",C93=""),"",IF(N(C93)&lt;=N(B93),"Check dates",IF(T93="Cancelled","",IF(COUNTIFS($D$5:$D$1004,D93,$B$5:$B$1004,"&lt;"&amp;C93,$C$5:$C$1004,"&gt;"&amp;B93,$T$5:$T$1004,"&lt;&gt;Cancelled")&gt;1,"Double-booked",""))))</f>
        <v/>
      </c>
      <c r="Z93" s="42" t="str">
        <f aca="false">IF(AND(AA93=1,ISNUMBER(C93)),C93+ROW()/100000,"")</f>
        <v/>
      </c>
      <c r="AA93" s="43" t="n">
        <f aca="false">IF(AND(D93&lt;&gt;"",ISNUMBER(B93),ISNUMBER(C93),N(H93)&gt;0,T93&lt;&gt;"Cancelled",J93&lt;&gt;""),1,0)</f>
        <v>0</v>
      </c>
      <c r="AB93" s="44" t="n">
        <f aca="false">IF(AA93=1,J93/H93,0)</f>
        <v>0</v>
      </c>
      <c r="AC93" s="44" t="n">
        <f aca="false">IF(AA93=1,Q93/H93,0)</f>
        <v>0</v>
      </c>
      <c r="AD93" s="44" t="n">
        <f aca="false">IF(AA93=1,R93/H93,0)</f>
        <v>0</v>
      </c>
      <c r="AE93" s="44" t="n">
        <f aca="false">IF(AA93=1,O93/H93,0)</f>
        <v>0</v>
      </c>
      <c r="AF93" s="44" t="n">
        <f aca="false">IF(AA93=1,K93/H93,0)</f>
        <v>0</v>
      </c>
      <c r="AG93" s="45" t="str">
        <f aca="false">IF(AA93=1,D93&amp;"|"&amp;TEXT(B93,"0"),"")</f>
        <v/>
      </c>
      <c r="AH93" s="43" t="n">
        <f aca="false">IF(AA93=1,H93,0)</f>
        <v>0</v>
      </c>
    </row>
    <row r="94" customFormat="false" ht="15" hidden="false" customHeight="false" outlineLevel="0" collapsed="false">
      <c r="A94" s="23" t="str">
        <f aca="false">IF(B94="","","B-"&amp;TEXT(ROW()-4,"0000"))</f>
        <v/>
      </c>
      <c r="B94" s="38"/>
      <c r="C94" s="38"/>
      <c r="D94" s="6"/>
      <c r="E94" s="6"/>
      <c r="F94" s="6"/>
      <c r="G94" s="11"/>
      <c r="H94" s="24" t="str">
        <f aca="false">IF(AND(ISNUMBER(B94),ISNUMBER(C94)),MAX(0,C94-B94),"")</f>
        <v/>
      </c>
      <c r="I94" s="37"/>
      <c r="J94" s="46" t="str">
        <f aca="false">IF(OR(D94="",N(H94)=0),"",IFERROR(IF(I94&lt;&gt;"",H94*I94,ROUND(((H94-(INT((WEEKDAY(B94-6)+H94-1)/7)+INT((WEEKDAY(B94-7)+H94-1)/7)))*INDEX(Properties!$E$5:$E$24,MATCH(D94,Properties!$A$5:$A$24,0))+(INT((WEEKDAY(B94-6)+H94-1)/7)+INT((WEEKDAY(B94-7)+H94-1)/7))*INDEX(Properties!$F$5:$F$24,MATCH(D94,Properties!$A$5:$A$24,0)))*(1-IF(H94&gt;=28,Settings!$B$10,IF(H94&gt;=7,Settings!$B$9,0))),2)),0))</f>
        <v/>
      </c>
      <c r="K94" s="46" t="str">
        <f aca="false">IF(J94="","",IFERROR(N(INDEX(Properties!$G$5:$G$24,MATCH(D94,Properties!$A$5:$A$24,0))),0))</f>
        <v/>
      </c>
      <c r="L94" s="46" t="str">
        <f aca="false">IF(J94="","",IFERROR(MAX(0,N(G94)-INDEX(Properties!$I$5:$I$24,MATCH(D94,Properties!$A$5:$A$24,0)))*N(INDEX(Properties!$J$5:$J$24,MATCH(D94,Properties!$A$5:$A$24,0)))*H94,0))</f>
        <v/>
      </c>
      <c r="M94" s="37"/>
      <c r="N94" s="46" t="str">
        <f aca="false">IF(J94="","",J94+K94+L94+N(M94))</f>
        <v/>
      </c>
      <c r="O94" s="46" t="str">
        <f aca="false">IF(N94="","",IF(P94&lt;&gt;"",N94-P94,ROUND(N94*IFERROR(INDEX(Settings!$E$5:$E$12,MATCH(F94,Settings!$D$5:$D$12,0)),0),2)))</f>
        <v/>
      </c>
      <c r="P94" s="37"/>
      <c r="Q94" s="46" t="str">
        <f aca="false">IF(N94="","",IF(P94&lt;&gt;"",P94,N94-O94))</f>
        <v/>
      </c>
      <c r="R94" s="46" t="str">
        <f aca="false">IF(J94="","",IFERROR(N(INDEX(Properties!$H$5:$H$24,MATCH(D94,Properties!$A$5:$A$24,0))),0))</f>
        <v/>
      </c>
      <c r="S94" s="46" t="str">
        <f aca="false">IF(Q94="","",Q94-R94)</f>
        <v/>
      </c>
      <c r="T94" s="6"/>
      <c r="U94" s="6"/>
      <c r="V94" s="6"/>
      <c r="W94" s="6"/>
      <c r="X94" s="6"/>
      <c r="Y94" s="8" t="str">
        <f aca="false">IF(OR(D94="",B94="",C94=""),"",IF(N(C94)&lt;=N(B94),"Check dates",IF(T94="Cancelled","",IF(COUNTIFS($D$5:$D$1004,D94,$B$5:$B$1004,"&lt;"&amp;C94,$C$5:$C$1004,"&gt;"&amp;B94,$T$5:$T$1004,"&lt;&gt;Cancelled")&gt;1,"Double-booked",""))))</f>
        <v/>
      </c>
      <c r="Z94" s="42" t="str">
        <f aca="false">IF(AND(AA94=1,ISNUMBER(C94)),C94+ROW()/100000,"")</f>
        <v/>
      </c>
      <c r="AA94" s="43" t="n">
        <f aca="false">IF(AND(D94&lt;&gt;"",ISNUMBER(B94),ISNUMBER(C94),N(H94)&gt;0,T94&lt;&gt;"Cancelled",J94&lt;&gt;""),1,0)</f>
        <v>0</v>
      </c>
      <c r="AB94" s="44" t="n">
        <f aca="false">IF(AA94=1,J94/H94,0)</f>
        <v>0</v>
      </c>
      <c r="AC94" s="44" t="n">
        <f aca="false">IF(AA94=1,Q94/H94,0)</f>
        <v>0</v>
      </c>
      <c r="AD94" s="44" t="n">
        <f aca="false">IF(AA94=1,R94/H94,0)</f>
        <v>0</v>
      </c>
      <c r="AE94" s="44" t="n">
        <f aca="false">IF(AA94=1,O94/H94,0)</f>
        <v>0</v>
      </c>
      <c r="AF94" s="44" t="n">
        <f aca="false">IF(AA94=1,K94/H94,0)</f>
        <v>0</v>
      </c>
      <c r="AG94" s="45" t="str">
        <f aca="false">IF(AA94=1,D94&amp;"|"&amp;TEXT(B94,"0"),"")</f>
        <v/>
      </c>
      <c r="AH94" s="43" t="n">
        <f aca="false">IF(AA94=1,H94,0)</f>
        <v>0</v>
      </c>
    </row>
    <row r="95" customFormat="false" ht="15" hidden="false" customHeight="false" outlineLevel="0" collapsed="false">
      <c r="A95" s="8" t="str">
        <f aca="false">IF(B95="","","B-"&amp;TEXT(ROW()-4,"0000"))</f>
        <v/>
      </c>
      <c r="B95" s="38"/>
      <c r="C95" s="38"/>
      <c r="D95" s="6"/>
      <c r="E95" s="6"/>
      <c r="F95" s="6"/>
      <c r="G95" s="11"/>
      <c r="H95" s="18" t="str">
        <f aca="false">IF(AND(ISNUMBER(B95),ISNUMBER(C95)),MAX(0,C95-B95),"")</f>
        <v/>
      </c>
      <c r="I95" s="37"/>
      <c r="J95" s="41" t="str">
        <f aca="false">IF(OR(D95="",N(H95)=0),"",IFERROR(IF(I95&lt;&gt;"",H95*I95,ROUND(((H95-(INT((WEEKDAY(B95-6)+H95-1)/7)+INT((WEEKDAY(B95-7)+H95-1)/7)))*INDEX(Properties!$E$5:$E$24,MATCH(D95,Properties!$A$5:$A$24,0))+(INT((WEEKDAY(B95-6)+H95-1)/7)+INT((WEEKDAY(B95-7)+H95-1)/7))*INDEX(Properties!$F$5:$F$24,MATCH(D95,Properties!$A$5:$A$24,0)))*(1-IF(H95&gt;=28,Settings!$B$10,IF(H95&gt;=7,Settings!$B$9,0))),2)),0))</f>
        <v/>
      </c>
      <c r="K95" s="41" t="str">
        <f aca="false">IF(J95="","",IFERROR(N(INDEX(Properties!$G$5:$G$24,MATCH(D95,Properties!$A$5:$A$24,0))),0))</f>
        <v/>
      </c>
      <c r="L95" s="41" t="str">
        <f aca="false">IF(J95="","",IFERROR(MAX(0,N(G95)-INDEX(Properties!$I$5:$I$24,MATCH(D95,Properties!$A$5:$A$24,0)))*N(INDEX(Properties!$J$5:$J$24,MATCH(D95,Properties!$A$5:$A$24,0)))*H95,0))</f>
        <v/>
      </c>
      <c r="M95" s="37"/>
      <c r="N95" s="41" t="str">
        <f aca="false">IF(J95="","",J95+K95+L95+N(M95))</f>
        <v/>
      </c>
      <c r="O95" s="41" t="str">
        <f aca="false">IF(N95="","",IF(P95&lt;&gt;"",N95-P95,ROUND(N95*IFERROR(INDEX(Settings!$E$5:$E$12,MATCH(F95,Settings!$D$5:$D$12,0)),0),2)))</f>
        <v/>
      </c>
      <c r="P95" s="37"/>
      <c r="Q95" s="41" t="str">
        <f aca="false">IF(N95="","",IF(P95&lt;&gt;"",P95,N95-O95))</f>
        <v/>
      </c>
      <c r="R95" s="41" t="str">
        <f aca="false">IF(J95="","",IFERROR(N(INDEX(Properties!$H$5:$H$24,MATCH(D95,Properties!$A$5:$A$24,0))),0))</f>
        <v/>
      </c>
      <c r="S95" s="41" t="str">
        <f aca="false">IF(Q95="","",Q95-R95)</f>
        <v/>
      </c>
      <c r="T95" s="6"/>
      <c r="U95" s="6"/>
      <c r="V95" s="6"/>
      <c r="W95" s="6"/>
      <c r="X95" s="6"/>
      <c r="Y95" s="8" t="str">
        <f aca="false">IF(OR(D95="",B95="",C95=""),"",IF(N(C95)&lt;=N(B95),"Check dates",IF(T95="Cancelled","",IF(COUNTIFS($D$5:$D$1004,D95,$B$5:$B$1004,"&lt;"&amp;C95,$C$5:$C$1004,"&gt;"&amp;B95,$T$5:$T$1004,"&lt;&gt;Cancelled")&gt;1,"Double-booked",""))))</f>
        <v/>
      </c>
      <c r="Z95" s="42" t="str">
        <f aca="false">IF(AND(AA95=1,ISNUMBER(C95)),C95+ROW()/100000,"")</f>
        <v/>
      </c>
      <c r="AA95" s="43" t="n">
        <f aca="false">IF(AND(D95&lt;&gt;"",ISNUMBER(B95),ISNUMBER(C95),N(H95)&gt;0,T95&lt;&gt;"Cancelled",J95&lt;&gt;""),1,0)</f>
        <v>0</v>
      </c>
      <c r="AB95" s="44" t="n">
        <f aca="false">IF(AA95=1,J95/H95,0)</f>
        <v>0</v>
      </c>
      <c r="AC95" s="44" t="n">
        <f aca="false">IF(AA95=1,Q95/H95,0)</f>
        <v>0</v>
      </c>
      <c r="AD95" s="44" t="n">
        <f aca="false">IF(AA95=1,R95/H95,0)</f>
        <v>0</v>
      </c>
      <c r="AE95" s="44" t="n">
        <f aca="false">IF(AA95=1,O95/H95,0)</f>
        <v>0</v>
      </c>
      <c r="AF95" s="44" t="n">
        <f aca="false">IF(AA95=1,K95/H95,0)</f>
        <v>0</v>
      </c>
      <c r="AG95" s="45" t="str">
        <f aca="false">IF(AA95=1,D95&amp;"|"&amp;TEXT(B95,"0"),"")</f>
        <v/>
      </c>
      <c r="AH95" s="43" t="n">
        <f aca="false">IF(AA95=1,H95,0)</f>
        <v>0</v>
      </c>
    </row>
    <row r="96" customFormat="false" ht="15" hidden="false" customHeight="false" outlineLevel="0" collapsed="false">
      <c r="A96" s="23" t="str">
        <f aca="false">IF(B96="","","B-"&amp;TEXT(ROW()-4,"0000"))</f>
        <v/>
      </c>
      <c r="B96" s="38"/>
      <c r="C96" s="38"/>
      <c r="D96" s="6"/>
      <c r="E96" s="6"/>
      <c r="F96" s="6"/>
      <c r="G96" s="11"/>
      <c r="H96" s="24" t="str">
        <f aca="false">IF(AND(ISNUMBER(B96),ISNUMBER(C96)),MAX(0,C96-B96),"")</f>
        <v/>
      </c>
      <c r="I96" s="37"/>
      <c r="J96" s="46" t="str">
        <f aca="false">IF(OR(D96="",N(H96)=0),"",IFERROR(IF(I96&lt;&gt;"",H96*I96,ROUND(((H96-(INT((WEEKDAY(B96-6)+H96-1)/7)+INT((WEEKDAY(B96-7)+H96-1)/7)))*INDEX(Properties!$E$5:$E$24,MATCH(D96,Properties!$A$5:$A$24,0))+(INT((WEEKDAY(B96-6)+H96-1)/7)+INT((WEEKDAY(B96-7)+H96-1)/7))*INDEX(Properties!$F$5:$F$24,MATCH(D96,Properties!$A$5:$A$24,0)))*(1-IF(H96&gt;=28,Settings!$B$10,IF(H96&gt;=7,Settings!$B$9,0))),2)),0))</f>
        <v/>
      </c>
      <c r="K96" s="46" t="str">
        <f aca="false">IF(J96="","",IFERROR(N(INDEX(Properties!$G$5:$G$24,MATCH(D96,Properties!$A$5:$A$24,0))),0))</f>
        <v/>
      </c>
      <c r="L96" s="46" t="str">
        <f aca="false">IF(J96="","",IFERROR(MAX(0,N(G96)-INDEX(Properties!$I$5:$I$24,MATCH(D96,Properties!$A$5:$A$24,0)))*N(INDEX(Properties!$J$5:$J$24,MATCH(D96,Properties!$A$5:$A$24,0)))*H96,0))</f>
        <v/>
      </c>
      <c r="M96" s="37"/>
      <c r="N96" s="46" t="str">
        <f aca="false">IF(J96="","",J96+K96+L96+N(M96))</f>
        <v/>
      </c>
      <c r="O96" s="46" t="str">
        <f aca="false">IF(N96="","",IF(P96&lt;&gt;"",N96-P96,ROUND(N96*IFERROR(INDEX(Settings!$E$5:$E$12,MATCH(F96,Settings!$D$5:$D$12,0)),0),2)))</f>
        <v/>
      </c>
      <c r="P96" s="37"/>
      <c r="Q96" s="46" t="str">
        <f aca="false">IF(N96="","",IF(P96&lt;&gt;"",P96,N96-O96))</f>
        <v/>
      </c>
      <c r="R96" s="46" t="str">
        <f aca="false">IF(J96="","",IFERROR(N(INDEX(Properties!$H$5:$H$24,MATCH(D96,Properties!$A$5:$A$24,0))),0))</f>
        <v/>
      </c>
      <c r="S96" s="46" t="str">
        <f aca="false">IF(Q96="","",Q96-R96)</f>
        <v/>
      </c>
      <c r="T96" s="6"/>
      <c r="U96" s="6"/>
      <c r="V96" s="6"/>
      <c r="W96" s="6"/>
      <c r="X96" s="6"/>
      <c r="Y96" s="8" t="str">
        <f aca="false">IF(OR(D96="",B96="",C96=""),"",IF(N(C96)&lt;=N(B96),"Check dates",IF(T96="Cancelled","",IF(COUNTIFS($D$5:$D$1004,D96,$B$5:$B$1004,"&lt;"&amp;C96,$C$5:$C$1004,"&gt;"&amp;B96,$T$5:$T$1004,"&lt;&gt;Cancelled")&gt;1,"Double-booked",""))))</f>
        <v/>
      </c>
      <c r="Z96" s="42" t="str">
        <f aca="false">IF(AND(AA96=1,ISNUMBER(C96)),C96+ROW()/100000,"")</f>
        <v/>
      </c>
      <c r="AA96" s="43" t="n">
        <f aca="false">IF(AND(D96&lt;&gt;"",ISNUMBER(B96),ISNUMBER(C96),N(H96)&gt;0,T96&lt;&gt;"Cancelled",J96&lt;&gt;""),1,0)</f>
        <v>0</v>
      </c>
      <c r="AB96" s="44" t="n">
        <f aca="false">IF(AA96=1,J96/H96,0)</f>
        <v>0</v>
      </c>
      <c r="AC96" s="44" t="n">
        <f aca="false">IF(AA96=1,Q96/H96,0)</f>
        <v>0</v>
      </c>
      <c r="AD96" s="44" t="n">
        <f aca="false">IF(AA96=1,R96/H96,0)</f>
        <v>0</v>
      </c>
      <c r="AE96" s="44" t="n">
        <f aca="false">IF(AA96=1,O96/H96,0)</f>
        <v>0</v>
      </c>
      <c r="AF96" s="44" t="n">
        <f aca="false">IF(AA96=1,K96/H96,0)</f>
        <v>0</v>
      </c>
      <c r="AG96" s="45" t="str">
        <f aca="false">IF(AA96=1,D96&amp;"|"&amp;TEXT(B96,"0"),"")</f>
        <v/>
      </c>
      <c r="AH96" s="43" t="n">
        <f aca="false">IF(AA96=1,H96,0)</f>
        <v>0</v>
      </c>
    </row>
    <row r="97" customFormat="false" ht="15" hidden="false" customHeight="false" outlineLevel="0" collapsed="false">
      <c r="A97" s="8" t="str">
        <f aca="false">IF(B97="","","B-"&amp;TEXT(ROW()-4,"0000"))</f>
        <v/>
      </c>
      <c r="B97" s="38"/>
      <c r="C97" s="38"/>
      <c r="D97" s="6"/>
      <c r="E97" s="6"/>
      <c r="F97" s="6"/>
      <c r="G97" s="11"/>
      <c r="H97" s="18" t="str">
        <f aca="false">IF(AND(ISNUMBER(B97),ISNUMBER(C97)),MAX(0,C97-B97),"")</f>
        <v/>
      </c>
      <c r="I97" s="37"/>
      <c r="J97" s="41" t="str">
        <f aca="false">IF(OR(D97="",N(H97)=0),"",IFERROR(IF(I97&lt;&gt;"",H97*I97,ROUND(((H97-(INT((WEEKDAY(B97-6)+H97-1)/7)+INT((WEEKDAY(B97-7)+H97-1)/7)))*INDEX(Properties!$E$5:$E$24,MATCH(D97,Properties!$A$5:$A$24,0))+(INT((WEEKDAY(B97-6)+H97-1)/7)+INT((WEEKDAY(B97-7)+H97-1)/7))*INDEX(Properties!$F$5:$F$24,MATCH(D97,Properties!$A$5:$A$24,0)))*(1-IF(H97&gt;=28,Settings!$B$10,IF(H97&gt;=7,Settings!$B$9,0))),2)),0))</f>
        <v/>
      </c>
      <c r="K97" s="41" t="str">
        <f aca="false">IF(J97="","",IFERROR(N(INDEX(Properties!$G$5:$G$24,MATCH(D97,Properties!$A$5:$A$24,0))),0))</f>
        <v/>
      </c>
      <c r="L97" s="41" t="str">
        <f aca="false">IF(J97="","",IFERROR(MAX(0,N(G97)-INDEX(Properties!$I$5:$I$24,MATCH(D97,Properties!$A$5:$A$24,0)))*N(INDEX(Properties!$J$5:$J$24,MATCH(D97,Properties!$A$5:$A$24,0)))*H97,0))</f>
        <v/>
      </c>
      <c r="M97" s="37"/>
      <c r="N97" s="41" t="str">
        <f aca="false">IF(J97="","",J97+K97+L97+N(M97))</f>
        <v/>
      </c>
      <c r="O97" s="41" t="str">
        <f aca="false">IF(N97="","",IF(P97&lt;&gt;"",N97-P97,ROUND(N97*IFERROR(INDEX(Settings!$E$5:$E$12,MATCH(F97,Settings!$D$5:$D$12,0)),0),2)))</f>
        <v/>
      </c>
      <c r="P97" s="37"/>
      <c r="Q97" s="41" t="str">
        <f aca="false">IF(N97="","",IF(P97&lt;&gt;"",P97,N97-O97))</f>
        <v/>
      </c>
      <c r="R97" s="41" t="str">
        <f aca="false">IF(J97="","",IFERROR(N(INDEX(Properties!$H$5:$H$24,MATCH(D97,Properties!$A$5:$A$24,0))),0))</f>
        <v/>
      </c>
      <c r="S97" s="41" t="str">
        <f aca="false">IF(Q97="","",Q97-R97)</f>
        <v/>
      </c>
      <c r="T97" s="6"/>
      <c r="U97" s="6"/>
      <c r="V97" s="6"/>
      <c r="W97" s="6"/>
      <c r="X97" s="6"/>
      <c r="Y97" s="8" t="str">
        <f aca="false">IF(OR(D97="",B97="",C97=""),"",IF(N(C97)&lt;=N(B97),"Check dates",IF(T97="Cancelled","",IF(COUNTIFS($D$5:$D$1004,D97,$B$5:$B$1004,"&lt;"&amp;C97,$C$5:$C$1004,"&gt;"&amp;B97,$T$5:$T$1004,"&lt;&gt;Cancelled")&gt;1,"Double-booked",""))))</f>
        <v/>
      </c>
      <c r="Z97" s="42" t="str">
        <f aca="false">IF(AND(AA97=1,ISNUMBER(C97)),C97+ROW()/100000,"")</f>
        <v/>
      </c>
      <c r="AA97" s="43" t="n">
        <f aca="false">IF(AND(D97&lt;&gt;"",ISNUMBER(B97),ISNUMBER(C97),N(H97)&gt;0,T97&lt;&gt;"Cancelled",J97&lt;&gt;""),1,0)</f>
        <v>0</v>
      </c>
      <c r="AB97" s="44" t="n">
        <f aca="false">IF(AA97=1,J97/H97,0)</f>
        <v>0</v>
      </c>
      <c r="AC97" s="44" t="n">
        <f aca="false">IF(AA97=1,Q97/H97,0)</f>
        <v>0</v>
      </c>
      <c r="AD97" s="44" t="n">
        <f aca="false">IF(AA97=1,R97/H97,0)</f>
        <v>0</v>
      </c>
      <c r="AE97" s="44" t="n">
        <f aca="false">IF(AA97=1,O97/H97,0)</f>
        <v>0</v>
      </c>
      <c r="AF97" s="44" t="n">
        <f aca="false">IF(AA97=1,K97/H97,0)</f>
        <v>0</v>
      </c>
      <c r="AG97" s="45" t="str">
        <f aca="false">IF(AA97=1,D97&amp;"|"&amp;TEXT(B97,"0"),"")</f>
        <v/>
      </c>
      <c r="AH97" s="43" t="n">
        <f aca="false">IF(AA97=1,H97,0)</f>
        <v>0</v>
      </c>
    </row>
    <row r="98" customFormat="false" ht="15" hidden="false" customHeight="false" outlineLevel="0" collapsed="false">
      <c r="A98" s="23" t="str">
        <f aca="false">IF(B98="","","B-"&amp;TEXT(ROW()-4,"0000"))</f>
        <v/>
      </c>
      <c r="B98" s="38"/>
      <c r="C98" s="38"/>
      <c r="D98" s="6"/>
      <c r="E98" s="6"/>
      <c r="F98" s="6"/>
      <c r="G98" s="11"/>
      <c r="H98" s="24" t="str">
        <f aca="false">IF(AND(ISNUMBER(B98),ISNUMBER(C98)),MAX(0,C98-B98),"")</f>
        <v/>
      </c>
      <c r="I98" s="37"/>
      <c r="J98" s="46" t="str">
        <f aca="false">IF(OR(D98="",N(H98)=0),"",IFERROR(IF(I98&lt;&gt;"",H98*I98,ROUND(((H98-(INT((WEEKDAY(B98-6)+H98-1)/7)+INT((WEEKDAY(B98-7)+H98-1)/7)))*INDEX(Properties!$E$5:$E$24,MATCH(D98,Properties!$A$5:$A$24,0))+(INT((WEEKDAY(B98-6)+H98-1)/7)+INT((WEEKDAY(B98-7)+H98-1)/7))*INDEX(Properties!$F$5:$F$24,MATCH(D98,Properties!$A$5:$A$24,0)))*(1-IF(H98&gt;=28,Settings!$B$10,IF(H98&gt;=7,Settings!$B$9,0))),2)),0))</f>
        <v/>
      </c>
      <c r="K98" s="46" t="str">
        <f aca="false">IF(J98="","",IFERROR(N(INDEX(Properties!$G$5:$G$24,MATCH(D98,Properties!$A$5:$A$24,0))),0))</f>
        <v/>
      </c>
      <c r="L98" s="46" t="str">
        <f aca="false">IF(J98="","",IFERROR(MAX(0,N(G98)-INDEX(Properties!$I$5:$I$24,MATCH(D98,Properties!$A$5:$A$24,0)))*N(INDEX(Properties!$J$5:$J$24,MATCH(D98,Properties!$A$5:$A$24,0)))*H98,0))</f>
        <v/>
      </c>
      <c r="M98" s="37"/>
      <c r="N98" s="46" t="str">
        <f aca="false">IF(J98="","",J98+K98+L98+N(M98))</f>
        <v/>
      </c>
      <c r="O98" s="46" t="str">
        <f aca="false">IF(N98="","",IF(P98&lt;&gt;"",N98-P98,ROUND(N98*IFERROR(INDEX(Settings!$E$5:$E$12,MATCH(F98,Settings!$D$5:$D$12,0)),0),2)))</f>
        <v/>
      </c>
      <c r="P98" s="37"/>
      <c r="Q98" s="46" t="str">
        <f aca="false">IF(N98="","",IF(P98&lt;&gt;"",P98,N98-O98))</f>
        <v/>
      </c>
      <c r="R98" s="46" t="str">
        <f aca="false">IF(J98="","",IFERROR(N(INDEX(Properties!$H$5:$H$24,MATCH(D98,Properties!$A$5:$A$24,0))),0))</f>
        <v/>
      </c>
      <c r="S98" s="46" t="str">
        <f aca="false">IF(Q98="","",Q98-R98)</f>
        <v/>
      </c>
      <c r="T98" s="6"/>
      <c r="U98" s="6"/>
      <c r="V98" s="6"/>
      <c r="W98" s="6"/>
      <c r="X98" s="6"/>
      <c r="Y98" s="8" t="str">
        <f aca="false">IF(OR(D98="",B98="",C98=""),"",IF(N(C98)&lt;=N(B98),"Check dates",IF(T98="Cancelled","",IF(COUNTIFS($D$5:$D$1004,D98,$B$5:$B$1004,"&lt;"&amp;C98,$C$5:$C$1004,"&gt;"&amp;B98,$T$5:$T$1004,"&lt;&gt;Cancelled")&gt;1,"Double-booked",""))))</f>
        <v/>
      </c>
      <c r="Z98" s="42" t="str">
        <f aca="false">IF(AND(AA98=1,ISNUMBER(C98)),C98+ROW()/100000,"")</f>
        <v/>
      </c>
      <c r="AA98" s="43" t="n">
        <f aca="false">IF(AND(D98&lt;&gt;"",ISNUMBER(B98),ISNUMBER(C98),N(H98)&gt;0,T98&lt;&gt;"Cancelled",J98&lt;&gt;""),1,0)</f>
        <v>0</v>
      </c>
      <c r="AB98" s="44" t="n">
        <f aca="false">IF(AA98=1,J98/H98,0)</f>
        <v>0</v>
      </c>
      <c r="AC98" s="44" t="n">
        <f aca="false">IF(AA98=1,Q98/H98,0)</f>
        <v>0</v>
      </c>
      <c r="AD98" s="44" t="n">
        <f aca="false">IF(AA98=1,R98/H98,0)</f>
        <v>0</v>
      </c>
      <c r="AE98" s="44" t="n">
        <f aca="false">IF(AA98=1,O98/H98,0)</f>
        <v>0</v>
      </c>
      <c r="AF98" s="44" t="n">
        <f aca="false">IF(AA98=1,K98/H98,0)</f>
        <v>0</v>
      </c>
      <c r="AG98" s="45" t="str">
        <f aca="false">IF(AA98=1,D98&amp;"|"&amp;TEXT(B98,"0"),"")</f>
        <v/>
      </c>
      <c r="AH98" s="43" t="n">
        <f aca="false">IF(AA98=1,H98,0)</f>
        <v>0</v>
      </c>
    </row>
    <row r="99" customFormat="false" ht="15" hidden="false" customHeight="false" outlineLevel="0" collapsed="false">
      <c r="A99" s="8" t="str">
        <f aca="false">IF(B99="","","B-"&amp;TEXT(ROW()-4,"0000"))</f>
        <v/>
      </c>
      <c r="B99" s="38"/>
      <c r="C99" s="38"/>
      <c r="D99" s="6"/>
      <c r="E99" s="6"/>
      <c r="F99" s="6"/>
      <c r="G99" s="11"/>
      <c r="H99" s="18" t="str">
        <f aca="false">IF(AND(ISNUMBER(B99),ISNUMBER(C99)),MAX(0,C99-B99),"")</f>
        <v/>
      </c>
      <c r="I99" s="37"/>
      <c r="J99" s="41" t="str">
        <f aca="false">IF(OR(D99="",N(H99)=0),"",IFERROR(IF(I99&lt;&gt;"",H99*I99,ROUND(((H99-(INT((WEEKDAY(B99-6)+H99-1)/7)+INT((WEEKDAY(B99-7)+H99-1)/7)))*INDEX(Properties!$E$5:$E$24,MATCH(D99,Properties!$A$5:$A$24,0))+(INT((WEEKDAY(B99-6)+H99-1)/7)+INT((WEEKDAY(B99-7)+H99-1)/7))*INDEX(Properties!$F$5:$F$24,MATCH(D99,Properties!$A$5:$A$24,0)))*(1-IF(H99&gt;=28,Settings!$B$10,IF(H99&gt;=7,Settings!$B$9,0))),2)),0))</f>
        <v/>
      </c>
      <c r="K99" s="41" t="str">
        <f aca="false">IF(J99="","",IFERROR(N(INDEX(Properties!$G$5:$G$24,MATCH(D99,Properties!$A$5:$A$24,0))),0))</f>
        <v/>
      </c>
      <c r="L99" s="41" t="str">
        <f aca="false">IF(J99="","",IFERROR(MAX(0,N(G99)-INDEX(Properties!$I$5:$I$24,MATCH(D99,Properties!$A$5:$A$24,0)))*N(INDEX(Properties!$J$5:$J$24,MATCH(D99,Properties!$A$5:$A$24,0)))*H99,0))</f>
        <v/>
      </c>
      <c r="M99" s="37"/>
      <c r="N99" s="41" t="str">
        <f aca="false">IF(J99="","",J99+K99+L99+N(M99))</f>
        <v/>
      </c>
      <c r="O99" s="41" t="str">
        <f aca="false">IF(N99="","",IF(P99&lt;&gt;"",N99-P99,ROUND(N99*IFERROR(INDEX(Settings!$E$5:$E$12,MATCH(F99,Settings!$D$5:$D$12,0)),0),2)))</f>
        <v/>
      </c>
      <c r="P99" s="37"/>
      <c r="Q99" s="41" t="str">
        <f aca="false">IF(N99="","",IF(P99&lt;&gt;"",P99,N99-O99))</f>
        <v/>
      </c>
      <c r="R99" s="41" t="str">
        <f aca="false">IF(J99="","",IFERROR(N(INDEX(Properties!$H$5:$H$24,MATCH(D99,Properties!$A$5:$A$24,0))),0))</f>
        <v/>
      </c>
      <c r="S99" s="41" t="str">
        <f aca="false">IF(Q99="","",Q99-R99)</f>
        <v/>
      </c>
      <c r="T99" s="6"/>
      <c r="U99" s="6"/>
      <c r="V99" s="6"/>
      <c r="W99" s="6"/>
      <c r="X99" s="6"/>
      <c r="Y99" s="8" t="str">
        <f aca="false">IF(OR(D99="",B99="",C99=""),"",IF(N(C99)&lt;=N(B99),"Check dates",IF(T99="Cancelled","",IF(COUNTIFS($D$5:$D$1004,D99,$B$5:$B$1004,"&lt;"&amp;C99,$C$5:$C$1004,"&gt;"&amp;B99,$T$5:$T$1004,"&lt;&gt;Cancelled")&gt;1,"Double-booked",""))))</f>
        <v/>
      </c>
      <c r="Z99" s="42" t="str">
        <f aca="false">IF(AND(AA99=1,ISNUMBER(C99)),C99+ROW()/100000,"")</f>
        <v/>
      </c>
      <c r="AA99" s="43" t="n">
        <f aca="false">IF(AND(D99&lt;&gt;"",ISNUMBER(B99),ISNUMBER(C99),N(H99)&gt;0,T99&lt;&gt;"Cancelled",J99&lt;&gt;""),1,0)</f>
        <v>0</v>
      </c>
      <c r="AB99" s="44" t="n">
        <f aca="false">IF(AA99=1,J99/H99,0)</f>
        <v>0</v>
      </c>
      <c r="AC99" s="44" t="n">
        <f aca="false">IF(AA99=1,Q99/H99,0)</f>
        <v>0</v>
      </c>
      <c r="AD99" s="44" t="n">
        <f aca="false">IF(AA99=1,R99/H99,0)</f>
        <v>0</v>
      </c>
      <c r="AE99" s="44" t="n">
        <f aca="false">IF(AA99=1,O99/H99,0)</f>
        <v>0</v>
      </c>
      <c r="AF99" s="44" t="n">
        <f aca="false">IF(AA99=1,K99/H99,0)</f>
        <v>0</v>
      </c>
      <c r="AG99" s="45" t="str">
        <f aca="false">IF(AA99=1,D99&amp;"|"&amp;TEXT(B99,"0"),"")</f>
        <v/>
      </c>
      <c r="AH99" s="43" t="n">
        <f aca="false">IF(AA99=1,H99,0)</f>
        <v>0</v>
      </c>
    </row>
    <row r="100" customFormat="false" ht="15" hidden="false" customHeight="false" outlineLevel="0" collapsed="false">
      <c r="A100" s="23" t="str">
        <f aca="false">IF(B100="","","B-"&amp;TEXT(ROW()-4,"0000"))</f>
        <v/>
      </c>
      <c r="B100" s="38"/>
      <c r="C100" s="38"/>
      <c r="D100" s="6"/>
      <c r="E100" s="6"/>
      <c r="F100" s="6"/>
      <c r="G100" s="11"/>
      <c r="H100" s="24" t="str">
        <f aca="false">IF(AND(ISNUMBER(B100),ISNUMBER(C100)),MAX(0,C100-B100),"")</f>
        <v/>
      </c>
      <c r="I100" s="37"/>
      <c r="J100" s="46" t="str">
        <f aca="false">IF(OR(D100="",N(H100)=0),"",IFERROR(IF(I100&lt;&gt;"",H100*I100,ROUND(((H100-(INT((WEEKDAY(B100-6)+H100-1)/7)+INT((WEEKDAY(B100-7)+H100-1)/7)))*INDEX(Properties!$E$5:$E$24,MATCH(D100,Properties!$A$5:$A$24,0))+(INT((WEEKDAY(B100-6)+H100-1)/7)+INT((WEEKDAY(B100-7)+H100-1)/7))*INDEX(Properties!$F$5:$F$24,MATCH(D100,Properties!$A$5:$A$24,0)))*(1-IF(H100&gt;=28,Settings!$B$10,IF(H100&gt;=7,Settings!$B$9,0))),2)),0))</f>
        <v/>
      </c>
      <c r="K100" s="46" t="str">
        <f aca="false">IF(J100="","",IFERROR(N(INDEX(Properties!$G$5:$G$24,MATCH(D100,Properties!$A$5:$A$24,0))),0))</f>
        <v/>
      </c>
      <c r="L100" s="46" t="str">
        <f aca="false">IF(J100="","",IFERROR(MAX(0,N(G100)-INDEX(Properties!$I$5:$I$24,MATCH(D100,Properties!$A$5:$A$24,0)))*N(INDEX(Properties!$J$5:$J$24,MATCH(D100,Properties!$A$5:$A$24,0)))*H100,0))</f>
        <v/>
      </c>
      <c r="M100" s="37"/>
      <c r="N100" s="46" t="str">
        <f aca="false">IF(J100="","",J100+K100+L100+N(M100))</f>
        <v/>
      </c>
      <c r="O100" s="46" t="str">
        <f aca="false">IF(N100="","",IF(P100&lt;&gt;"",N100-P100,ROUND(N100*IFERROR(INDEX(Settings!$E$5:$E$12,MATCH(F100,Settings!$D$5:$D$12,0)),0),2)))</f>
        <v/>
      </c>
      <c r="P100" s="37"/>
      <c r="Q100" s="46" t="str">
        <f aca="false">IF(N100="","",IF(P100&lt;&gt;"",P100,N100-O100))</f>
        <v/>
      </c>
      <c r="R100" s="46" t="str">
        <f aca="false">IF(J100="","",IFERROR(N(INDEX(Properties!$H$5:$H$24,MATCH(D100,Properties!$A$5:$A$24,0))),0))</f>
        <v/>
      </c>
      <c r="S100" s="46" t="str">
        <f aca="false">IF(Q100="","",Q100-R100)</f>
        <v/>
      </c>
      <c r="T100" s="6"/>
      <c r="U100" s="6"/>
      <c r="V100" s="6"/>
      <c r="W100" s="6"/>
      <c r="X100" s="6"/>
      <c r="Y100" s="8" t="str">
        <f aca="false">IF(OR(D100="",B100="",C100=""),"",IF(N(C100)&lt;=N(B100),"Check dates",IF(T100="Cancelled","",IF(COUNTIFS($D$5:$D$1004,D100,$B$5:$B$1004,"&lt;"&amp;C100,$C$5:$C$1004,"&gt;"&amp;B100,$T$5:$T$1004,"&lt;&gt;Cancelled")&gt;1,"Double-booked",""))))</f>
        <v/>
      </c>
      <c r="Z100" s="42" t="str">
        <f aca="false">IF(AND(AA100=1,ISNUMBER(C100)),C100+ROW()/100000,"")</f>
        <v/>
      </c>
      <c r="AA100" s="43" t="n">
        <f aca="false">IF(AND(D100&lt;&gt;"",ISNUMBER(B100),ISNUMBER(C100),N(H100)&gt;0,T100&lt;&gt;"Cancelled",J100&lt;&gt;""),1,0)</f>
        <v>0</v>
      </c>
      <c r="AB100" s="44" t="n">
        <f aca="false">IF(AA100=1,J100/H100,0)</f>
        <v>0</v>
      </c>
      <c r="AC100" s="44" t="n">
        <f aca="false">IF(AA100=1,Q100/H100,0)</f>
        <v>0</v>
      </c>
      <c r="AD100" s="44" t="n">
        <f aca="false">IF(AA100=1,R100/H100,0)</f>
        <v>0</v>
      </c>
      <c r="AE100" s="44" t="n">
        <f aca="false">IF(AA100=1,O100/H100,0)</f>
        <v>0</v>
      </c>
      <c r="AF100" s="44" t="n">
        <f aca="false">IF(AA100=1,K100/H100,0)</f>
        <v>0</v>
      </c>
      <c r="AG100" s="45" t="str">
        <f aca="false">IF(AA100=1,D100&amp;"|"&amp;TEXT(B100,"0"),"")</f>
        <v/>
      </c>
      <c r="AH100" s="43" t="n">
        <f aca="false">IF(AA100=1,H100,0)</f>
        <v>0</v>
      </c>
    </row>
    <row r="101" customFormat="false" ht="15" hidden="false" customHeight="false" outlineLevel="0" collapsed="false">
      <c r="A101" s="8" t="str">
        <f aca="false">IF(B101="","","B-"&amp;TEXT(ROW()-4,"0000"))</f>
        <v/>
      </c>
      <c r="B101" s="38"/>
      <c r="C101" s="38"/>
      <c r="D101" s="6"/>
      <c r="E101" s="6"/>
      <c r="F101" s="6"/>
      <c r="G101" s="11"/>
      <c r="H101" s="18" t="str">
        <f aca="false">IF(AND(ISNUMBER(B101),ISNUMBER(C101)),MAX(0,C101-B101),"")</f>
        <v/>
      </c>
      <c r="I101" s="37"/>
      <c r="J101" s="41" t="str">
        <f aca="false">IF(OR(D101="",N(H101)=0),"",IFERROR(IF(I101&lt;&gt;"",H101*I101,ROUND(((H101-(INT((WEEKDAY(B101-6)+H101-1)/7)+INT((WEEKDAY(B101-7)+H101-1)/7)))*INDEX(Properties!$E$5:$E$24,MATCH(D101,Properties!$A$5:$A$24,0))+(INT((WEEKDAY(B101-6)+H101-1)/7)+INT((WEEKDAY(B101-7)+H101-1)/7))*INDEX(Properties!$F$5:$F$24,MATCH(D101,Properties!$A$5:$A$24,0)))*(1-IF(H101&gt;=28,Settings!$B$10,IF(H101&gt;=7,Settings!$B$9,0))),2)),0))</f>
        <v/>
      </c>
      <c r="K101" s="41" t="str">
        <f aca="false">IF(J101="","",IFERROR(N(INDEX(Properties!$G$5:$G$24,MATCH(D101,Properties!$A$5:$A$24,0))),0))</f>
        <v/>
      </c>
      <c r="L101" s="41" t="str">
        <f aca="false">IF(J101="","",IFERROR(MAX(0,N(G101)-INDEX(Properties!$I$5:$I$24,MATCH(D101,Properties!$A$5:$A$24,0)))*N(INDEX(Properties!$J$5:$J$24,MATCH(D101,Properties!$A$5:$A$24,0)))*H101,0))</f>
        <v/>
      </c>
      <c r="M101" s="37"/>
      <c r="N101" s="41" t="str">
        <f aca="false">IF(J101="","",J101+K101+L101+N(M101))</f>
        <v/>
      </c>
      <c r="O101" s="41" t="str">
        <f aca="false">IF(N101="","",IF(P101&lt;&gt;"",N101-P101,ROUND(N101*IFERROR(INDEX(Settings!$E$5:$E$12,MATCH(F101,Settings!$D$5:$D$12,0)),0),2)))</f>
        <v/>
      </c>
      <c r="P101" s="37"/>
      <c r="Q101" s="41" t="str">
        <f aca="false">IF(N101="","",IF(P101&lt;&gt;"",P101,N101-O101))</f>
        <v/>
      </c>
      <c r="R101" s="41" t="str">
        <f aca="false">IF(J101="","",IFERROR(N(INDEX(Properties!$H$5:$H$24,MATCH(D101,Properties!$A$5:$A$24,0))),0))</f>
        <v/>
      </c>
      <c r="S101" s="41" t="str">
        <f aca="false">IF(Q101="","",Q101-R101)</f>
        <v/>
      </c>
      <c r="T101" s="6"/>
      <c r="U101" s="6"/>
      <c r="V101" s="6"/>
      <c r="W101" s="6"/>
      <c r="X101" s="6"/>
      <c r="Y101" s="8" t="str">
        <f aca="false">IF(OR(D101="",B101="",C101=""),"",IF(N(C101)&lt;=N(B101),"Check dates",IF(T101="Cancelled","",IF(COUNTIFS($D$5:$D$1004,D101,$B$5:$B$1004,"&lt;"&amp;C101,$C$5:$C$1004,"&gt;"&amp;B101,$T$5:$T$1004,"&lt;&gt;Cancelled")&gt;1,"Double-booked",""))))</f>
        <v/>
      </c>
      <c r="Z101" s="42" t="str">
        <f aca="false">IF(AND(AA101=1,ISNUMBER(C101)),C101+ROW()/100000,"")</f>
        <v/>
      </c>
      <c r="AA101" s="43" t="n">
        <f aca="false">IF(AND(D101&lt;&gt;"",ISNUMBER(B101),ISNUMBER(C101),N(H101)&gt;0,T101&lt;&gt;"Cancelled",J101&lt;&gt;""),1,0)</f>
        <v>0</v>
      </c>
      <c r="AB101" s="44" t="n">
        <f aca="false">IF(AA101=1,J101/H101,0)</f>
        <v>0</v>
      </c>
      <c r="AC101" s="44" t="n">
        <f aca="false">IF(AA101=1,Q101/H101,0)</f>
        <v>0</v>
      </c>
      <c r="AD101" s="44" t="n">
        <f aca="false">IF(AA101=1,R101/H101,0)</f>
        <v>0</v>
      </c>
      <c r="AE101" s="44" t="n">
        <f aca="false">IF(AA101=1,O101/H101,0)</f>
        <v>0</v>
      </c>
      <c r="AF101" s="44" t="n">
        <f aca="false">IF(AA101=1,K101/H101,0)</f>
        <v>0</v>
      </c>
      <c r="AG101" s="45" t="str">
        <f aca="false">IF(AA101=1,D101&amp;"|"&amp;TEXT(B101,"0"),"")</f>
        <v/>
      </c>
      <c r="AH101" s="43" t="n">
        <f aca="false">IF(AA101=1,H101,0)</f>
        <v>0</v>
      </c>
    </row>
    <row r="102" customFormat="false" ht="15" hidden="false" customHeight="false" outlineLevel="0" collapsed="false">
      <c r="A102" s="23" t="str">
        <f aca="false">IF(B102="","","B-"&amp;TEXT(ROW()-4,"0000"))</f>
        <v/>
      </c>
      <c r="B102" s="38"/>
      <c r="C102" s="38"/>
      <c r="D102" s="6"/>
      <c r="E102" s="6"/>
      <c r="F102" s="6"/>
      <c r="G102" s="11"/>
      <c r="H102" s="24" t="str">
        <f aca="false">IF(AND(ISNUMBER(B102),ISNUMBER(C102)),MAX(0,C102-B102),"")</f>
        <v/>
      </c>
      <c r="I102" s="37"/>
      <c r="J102" s="46" t="str">
        <f aca="false">IF(OR(D102="",N(H102)=0),"",IFERROR(IF(I102&lt;&gt;"",H102*I102,ROUND(((H102-(INT((WEEKDAY(B102-6)+H102-1)/7)+INT((WEEKDAY(B102-7)+H102-1)/7)))*INDEX(Properties!$E$5:$E$24,MATCH(D102,Properties!$A$5:$A$24,0))+(INT((WEEKDAY(B102-6)+H102-1)/7)+INT((WEEKDAY(B102-7)+H102-1)/7))*INDEX(Properties!$F$5:$F$24,MATCH(D102,Properties!$A$5:$A$24,0)))*(1-IF(H102&gt;=28,Settings!$B$10,IF(H102&gt;=7,Settings!$B$9,0))),2)),0))</f>
        <v/>
      </c>
      <c r="K102" s="46" t="str">
        <f aca="false">IF(J102="","",IFERROR(N(INDEX(Properties!$G$5:$G$24,MATCH(D102,Properties!$A$5:$A$24,0))),0))</f>
        <v/>
      </c>
      <c r="L102" s="46" t="str">
        <f aca="false">IF(J102="","",IFERROR(MAX(0,N(G102)-INDEX(Properties!$I$5:$I$24,MATCH(D102,Properties!$A$5:$A$24,0)))*N(INDEX(Properties!$J$5:$J$24,MATCH(D102,Properties!$A$5:$A$24,0)))*H102,0))</f>
        <v/>
      </c>
      <c r="M102" s="37"/>
      <c r="N102" s="46" t="str">
        <f aca="false">IF(J102="","",J102+K102+L102+N(M102))</f>
        <v/>
      </c>
      <c r="O102" s="46" t="str">
        <f aca="false">IF(N102="","",IF(P102&lt;&gt;"",N102-P102,ROUND(N102*IFERROR(INDEX(Settings!$E$5:$E$12,MATCH(F102,Settings!$D$5:$D$12,0)),0),2)))</f>
        <v/>
      </c>
      <c r="P102" s="37"/>
      <c r="Q102" s="46" t="str">
        <f aca="false">IF(N102="","",IF(P102&lt;&gt;"",P102,N102-O102))</f>
        <v/>
      </c>
      <c r="R102" s="46" t="str">
        <f aca="false">IF(J102="","",IFERROR(N(INDEX(Properties!$H$5:$H$24,MATCH(D102,Properties!$A$5:$A$24,0))),0))</f>
        <v/>
      </c>
      <c r="S102" s="46" t="str">
        <f aca="false">IF(Q102="","",Q102-R102)</f>
        <v/>
      </c>
      <c r="T102" s="6"/>
      <c r="U102" s="6"/>
      <c r="V102" s="6"/>
      <c r="W102" s="6"/>
      <c r="X102" s="6"/>
      <c r="Y102" s="8" t="str">
        <f aca="false">IF(OR(D102="",B102="",C102=""),"",IF(N(C102)&lt;=N(B102),"Check dates",IF(T102="Cancelled","",IF(COUNTIFS($D$5:$D$1004,D102,$B$5:$B$1004,"&lt;"&amp;C102,$C$5:$C$1004,"&gt;"&amp;B102,$T$5:$T$1004,"&lt;&gt;Cancelled")&gt;1,"Double-booked",""))))</f>
        <v/>
      </c>
      <c r="Z102" s="42" t="str">
        <f aca="false">IF(AND(AA102=1,ISNUMBER(C102)),C102+ROW()/100000,"")</f>
        <v/>
      </c>
      <c r="AA102" s="43" t="n">
        <f aca="false">IF(AND(D102&lt;&gt;"",ISNUMBER(B102),ISNUMBER(C102),N(H102)&gt;0,T102&lt;&gt;"Cancelled",J102&lt;&gt;""),1,0)</f>
        <v>0</v>
      </c>
      <c r="AB102" s="44" t="n">
        <f aca="false">IF(AA102=1,J102/H102,0)</f>
        <v>0</v>
      </c>
      <c r="AC102" s="44" t="n">
        <f aca="false">IF(AA102=1,Q102/H102,0)</f>
        <v>0</v>
      </c>
      <c r="AD102" s="44" t="n">
        <f aca="false">IF(AA102=1,R102/H102,0)</f>
        <v>0</v>
      </c>
      <c r="AE102" s="44" t="n">
        <f aca="false">IF(AA102=1,O102/H102,0)</f>
        <v>0</v>
      </c>
      <c r="AF102" s="44" t="n">
        <f aca="false">IF(AA102=1,K102/H102,0)</f>
        <v>0</v>
      </c>
      <c r="AG102" s="45" t="str">
        <f aca="false">IF(AA102=1,D102&amp;"|"&amp;TEXT(B102,"0"),"")</f>
        <v/>
      </c>
      <c r="AH102" s="43" t="n">
        <f aca="false">IF(AA102=1,H102,0)</f>
        <v>0</v>
      </c>
    </row>
    <row r="103" customFormat="false" ht="15" hidden="false" customHeight="false" outlineLevel="0" collapsed="false">
      <c r="A103" s="8" t="str">
        <f aca="false">IF(B103="","","B-"&amp;TEXT(ROW()-4,"0000"))</f>
        <v/>
      </c>
      <c r="B103" s="38"/>
      <c r="C103" s="38"/>
      <c r="D103" s="6"/>
      <c r="E103" s="6"/>
      <c r="F103" s="6"/>
      <c r="G103" s="11"/>
      <c r="H103" s="18" t="str">
        <f aca="false">IF(AND(ISNUMBER(B103),ISNUMBER(C103)),MAX(0,C103-B103),"")</f>
        <v/>
      </c>
      <c r="I103" s="37"/>
      <c r="J103" s="41" t="str">
        <f aca="false">IF(OR(D103="",N(H103)=0),"",IFERROR(IF(I103&lt;&gt;"",H103*I103,ROUND(((H103-(INT((WEEKDAY(B103-6)+H103-1)/7)+INT((WEEKDAY(B103-7)+H103-1)/7)))*INDEX(Properties!$E$5:$E$24,MATCH(D103,Properties!$A$5:$A$24,0))+(INT((WEEKDAY(B103-6)+H103-1)/7)+INT((WEEKDAY(B103-7)+H103-1)/7))*INDEX(Properties!$F$5:$F$24,MATCH(D103,Properties!$A$5:$A$24,0)))*(1-IF(H103&gt;=28,Settings!$B$10,IF(H103&gt;=7,Settings!$B$9,0))),2)),0))</f>
        <v/>
      </c>
      <c r="K103" s="41" t="str">
        <f aca="false">IF(J103="","",IFERROR(N(INDEX(Properties!$G$5:$G$24,MATCH(D103,Properties!$A$5:$A$24,0))),0))</f>
        <v/>
      </c>
      <c r="L103" s="41" t="str">
        <f aca="false">IF(J103="","",IFERROR(MAX(0,N(G103)-INDEX(Properties!$I$5:$I$24,MATCH(D103,Properties!$A$5:$A$24,0)))*N(INDEX(Properties!$J$5:$J$24,MATCH(D103,Properties!$A$5:$A$24,0)))*H103,0))</f>
        <v/>
      </c>
      <c r="M103" s="37"/>
      <c r="N103" s="41" t="str">
        <f aca="false">IF(J103="","",J103+K103+L103+N(M103))</f>
        <v/>
      </c>
      <c r="O103" s="41" t="str">
        <f aca="false">IF(N103="","",IF(P103&lt;&gt;"",N103-P103,ROUND(N103*IFERROR(INDEX(Settings!$E$5:$E$12,MATCH(F103,Settings!$D$5:$D$12,0)),0),2)))</f>
        <v/>
      </c>
      <c r="P103" s="37"/>
      <c r="Q103" s="41" t="str">
        <f aca="false">IF(N103="","",IF(P103&lt;&gt;"",P103,N103-O103))</f>
        <v/>
      </c>
      <c r="R103" s="41" t="str">
        <f aca="false">IF(J103="","",IFERROR(N(INDEX(Properties!$H$5:$H$24,MATCH(D103,Properties!$A$5:$A$24,0))),0))</f>
        <v/>
      </c>
      <c r="S103" s="41" t="str">
        <f aca="false">IF(Q103="","",Q103-R103)</f>
        <v/>
      </c>
      <c r="T103" s="6"/>
      <c r="U103" s="6"/>
      <c r="V103" s="6"/>
      <c r="W103" s="6"/>
      <c r="X103" s="6"/>
      <c r="Y103" s="8" t="str">
        <f aca="false">IF(OR(D103="",B103="",C103=""),"",IF(N(C103)&lt;=N(B103),"Check dates",IF(T103="Cancelled","",IF(COUNTIFS($D$5:$D$1004,D103,$B$5:$B$1004,"&lt;"&amp;C103,$C$5:$C$1004,"&gt;"&amp;B103,$T$5:$T$1004,"&lt;&gt;Cancelled")&gt;1,"Double-booked",""))))</f>
        <v/>
      </c>
      <c r="Z103" s="42" t="str">
        <f aca="false">IF(AND(AA103=1,ISNUMBER(C103)),C103+ROW()/100000,"")</f>
        <v/>
      </c>
      <c r="AA103" s="43" t="n">
        <f aca="false">IF(AND(D103&lt;&gt;"",ISNUMBER(B103),ISNUMBER(C103),N(H103)&gt;0,T103&lt;&gt;"Cancelled",J103&lt;&gt;""),1,0)</f>
        <v>0</v>
      </c>
      <c r="AB103" s="44" t="n">
        <f aca="false">IF(AA103=1,J103/H103,0)</f>
        <v>0</v>
      </c>
      <c r="AC103" s="44" t="n">
        <f aca="false">IF(AA103=1,Q103/H103,0)</f>
        <v>0</v>
      </c>
      <c r="AD103" s="44" t="n">
        <f aca="false">IF(AA103=1,R103/H103,0)</f>
        <v>0</v>
      </c>
      <c r="AE103" s="44" t="n">
        <f aca="false">IF(AA103=1,O103/H103,0)</f>
        <v>0</v>
      </c>
      <c r="AF103" s="44" t="n">
        <f aca="false">IF(AA103=1,K103/H103,0)</f>
        <v>0</v>
      </c>
      <c r="AG103" s="45" t="str">
        <f aca="false">IF(AA103=1,D103&amp;"|"&amp;TEXT(B103,"0"),"")</f>
        <v/>
      </c>
      <c r="AH103" s="43" t="n">
        <f aca="false">IF(AA103=1,H103,0)</f>
        <v>0</v>
      </c>
    </row>
    <row r="104" customFormat="false" ht="15" hidden="false" customHeight="false" outlineLevel="0" collapsed="false">
      <c r="A104" s="23" t="str">
        <f aca="false">IF(B104="","","B-"&amp;TEXT(ROW()-4,"0000"))</f>
        <v/>
      </c>
      <c r="B104" s="38"/>
      <c r="C104" s="38"/>
      <c r="D104" s="6"/>
      <c r="E104" s="6"/>
      <c r="F104" s="6"/>
      <c r="G104" s="11"/>
      <c r="H104" s="24" t="str">
        <f aca="false">IF(AND(ISNUMBER(B104),ISNUMBER(C104)),MAX(0,C104-B104),"")</f>
        <v/>
      </c>
      <c r="I104" s="37"/>
      <c r="J104" s="46" t="str">
        <f aca="false">IF(OR(D104="",N(H104)=0),"",IFERROR(IF(I104&lt;&gt;"",H104*I104,ROUND(((H104-(INT((WEEKDAY(B104-6)+H104-1)/7)+INT((WEEKDAY(B104-7)+H104-1)/7)))*INDEX(Properties!$E$5:$E$24,MATCH(D104,Properties!$A$5:$A$24,0))+(INT((WEEKDAY(B104-6)+H104-1)/7)+INT((WEEKDAY(B104-7)+H104-1)/7))*INDEX(Properties!$F$5:$F$24,MATCH(D104,Properties!$A$5:$A$24,0)))*(1-IF(H104&gt;=28,Settings!$B$10,IF(H104&gt;=7,Settings!$B$9,0))),2)),0))</f>
        <v/>
      </c>
      <c r="K104" s="46" t="str">
        <f aca="false">IF(J104="","",IFERROR(N(INDEX(Properties!$G$5:$G$24,MATCH(D104,Properties!$A$5:$A$24,0))),0))</f>
        <v/>
      </c>
      <c r="L104" s="46" t="str">
        <f aca="false">IF(J104="","",IFERROR(MAX(0,N(G104)-INDEX(Properties!$I$5:$I$24,MATCH(D104,Properties!$A$5:$A$24,0)))*N(INDEX(Properties!$J$5:$J$24,MATCH(D104,Properties!$A$5:$A$24,0)))*H104,0))</f>
        <v/>
      </c>
      <c r="M104" s="37"/>
      <c r="N104" s="46" t="str">
        <f aca="false">IF(J104="","",J104+K104+L104+N(M104))</f>
        <v/>
      </c>
      <c r="O104" s="46" t="str">
        <f aca="false">IF(N104="","",IF(P104&lt;&gt;"",N104-P104,ROUND(N104*IFERROR(INDEX(Settings!$E$5:$E$12,MATCH(F104,Settings!$D$5:$D$12,0)),0),2)))</f>
        <v/>
      </c>
      <c r="P104" s="37"/>
      <c r="Q104" s="46" t="str">
        <f aca="false">IF(N104="","",IF(P104&lt;&gt;"",P104,N104-O104))</f>
        <v/>
      </c>
      <c r="R104" s="46" t="str">
        <f aca="false">IF(J104="","",IFERROR(N(INDEX(Properties!$H$5:$H$24,MATCH(D104,Properties!$A$5:$A$24,0))),0))</f>
        <v/>
      </c>
      <c r="S104" s="46" t="str">
        <f aca="false">IF(Q104="","",Q104-R104)</f>
        <v/>
      </c>
      <c r="T104" s="6"/>
      <c r="U104" s="6"/>
      <c r="V104" s="6"/>
      <c r="W104" s="6"/>
      <c r="X104" s="6"/>
      <c r="Y104" s="8" t="str">
        <f aca="false">IF(OR(D104="",B104="",C104=""),"",IF(N(C104)&lt;=N(B104),"Check dates",IF(T104="Cancelled","",IF(COUNTIFS($D$5:$D$1004,D104,$B$5:$B$1004,"&lt;"&amp;C104,$C$5:$C$1004,"&gt;"&amp;B104,$T$5:$T$1004,"&lt;&gt;Cancelled")&gt;1,"Double-booked",""))))</f>
        <v/>
      </c>
      <c r="Z104" s="42" t="str">
        <f aca="false">IF(AND(AA104=1,ISNUMBER(C104)),C104+ROW()/100000,"")</f>
        <v/>
      </c>
      <c r="AA104" s="43" t="n">
        <f aca="false">IF(AND(D104&lt;&gt;"",ISNUMBER(B104),ISNUMBER(C104),N(H104)&gt;0,T104&lt;&gt;"Cancelled",J104&lt;&gt;""),1,0)</f>
        <v>0</v>
      </c>
      <c r="AB104" s="44" t="n">
        <f aca="false">IF(AA104=1,J104/H104,0)</f>
        <v>0</v>
      </c>
      <c r="AC104" s="44" t="n">
        <f aca="false">IF(AA104=1,Q104/H104,0)</f>
        <v>0</v>
      </c>
      <c r="AD104" s="44" t="n">
        <f aca="false">IF(AA104=1,R104/H104,0)</f>
        <v>0</v>
      </c>
      <c r="AE104" s="44" t="n">
        <f aca="false">IF(AA104=1,O104/H104,0)</f>
        <v>0</v>
      </c>
      <c r="AF104" s="44" t="n">
        <f aca="false">IF(AA104=1,K104/H104,0)</f>
        <v>0</v>
      </c>
      <c r="AG104" s="45" t="str">
        <f aca="false">IF(AA104=1,D104&amp;"|"&amp;TEXT(B104,"0"),"")</f>
        <v/>
      </c>
      <c r="AH104" s="43" t="n">
        <f aca="false">IF(AA104=1,H104,0)</f>
        <v>0</v>
      </c>
    </row>
    <row r="105" customFormat="false" ht="15" hidden="false" customHeight="false" outlineLevel="0" collapsed="false">
      <c r="A105" s="8" t="str">
        <f aca="false">IF(B105="","","B-"&amp;TEXT(ROW()-4,"0000"))</f>
        <v/>
      </c>
      <c r="B105" s="38"/>
      <c r="C105" s="38"/>
      <c r="D105" s="6"/>
      <c r="E105" s="6"/>
      <c r="F105" s="6"/>
      <c r="G105" s="11"/>
      <c r="H105" s="18" t="str">
        <f aca="false">IF(AND(ISNUMBER(B105),ISNUMBER(C105)),MAX(0,C105-B105),"")</f>
        <v/>
      </c>
      <c r="I105" s="37"/>
      <c r="J105" s="41" t="str">
        <f aca="false">IF(OR(D105="",N(H105)=0),"",IFERROR(IF(I105&lt;&gt;"",H105*I105,ROUND(((H105-(INT((WEEKDAY(B105-6)+H105-1)/7)+INT((WEEKDAY(B105-7)+H105-1)/7)))*INDEX(Properties!$E$5:$E$24,MATCH(D105,Properties!$A$5:$A$24,0))+(INT((WEEKDAY(B105-6)+H105-1)/7)+INT((WEEKDAY(B105-7)+H105-1)/7))*INDEX(Properties!$F$5:$F$24,MATCH(D105,Properties!$A$5:$A$24,0)))*(1-IF(H105&gt;=28,Settings!$B$10,IF(H105&gt;=7,Settings!$B$9,0))),2)),0))</f>
        <v/>
      </c>
      <c r="K105" s="41" t="str">
        <f aca="false">IF(J105="","",IFERROR(N(INDEX(Properties!$G$5:$G$24,MATCH(D105,Properties!$A$5:$A$24,0))),0))</f>
        <v/>
      </c>
      <c r="L105" s="41" t="str">
        <f aca="false">IF(J105="","",IFERROR(MAX(0,N(G105)-INDEX(Properties!$I$5:$I$24,MATCH(D105,Properties!$A$5:$A$24,0)))*N(INDEX(Properties!$J$5:$J$24,MATCH(D105,Properties!$A$5:$A$24,0)))*H105,0))</f>
        <v/>
      </c>
      <c r="M105" s="37"/>
      <c r="N105" s="41" t="str">
        <f aca="false">IF(J105="","",J105+K105+L105+N(M105))</f>
        <v/>
      </c>
      <c r="O105" s="41" t="str">
        <f aca="false">IF(N105="","",IF(P105&lt;&gt;"",N105-P105,ROUND(N105*IFERROR(INDEX(Settings!$E$5:$E$12,MATCH(F105,Settings!$D$5:$D$12,0)),0),2)))</f>
        <v/>
      </c>
      <c r="P105" s="37"/>
      <c r="Q105" s="41" t="str">
        <f aca="false">IF(N105="","",IF(P105&lt;&gt;"",P105,N105-O105))</f>
        <v/>
      </c>
      <c r="R105" s="41" t="str">
        <f aca="false">IF(J105="","",IFERROR(N(INDEX(Properties!$H$5:$H$24,MATCH(D105,Properties!$A$5:$A$24,0))),0))</f>
        <v/>
      </c>
      <c r="S105" s="41" t="str">
        <f aca="false">IF(Q105="","",Q105-R105)</f>
        <v/>
      </c>
      <c r="T105" s="6"/>
      <c r="U105" s="6"/>
      <c r="V105" s="6"/>
      <c r="W105" s="6"/>
      <c r="X105" s="6"/>
      <c r="Y105" s="8" t="str">
        <f aca="false">IF(OR(D105="",B105="",C105=""),"",IF(N(C105)&lt;=N(B105),"Check dates",IF(T105="Cancelled","",IF(COUNTIFS($D$5:$D$1004,D105,$B$5:$B$1004,"&lt;"&amp;C105,$C$5:$C$1004,"&gt;"&amp;B105,$T$5:$T$1004,"&lt;&gt;Cancelled")&gt;1,"Double-booked",""))))</f>
        <v/>
      </c>
      <c r="Z105" s="42" t="str">
        <f aca="false">IF(AND(AA105=1,ISNUMBER(C105)),C105+ROW()/100000,"")</f>
        <v/>
      </c>
      <c r="AA105" s="43" t="n">
        <f aca="false">IF(AND(D105&lt;&gt;"",ISNUMBER(B105),ISNUMBER(C105),N(H105)&gt;0,T105&lt;&gt;"Cancelled",J105&lt;&gt;""),1,0)</f>
        <v>0</v>
      </c>
      <c r="AB105" s="44" t="n">
        <f aca="false">IF(AA105=1,J105/H105,0)</f>
        <v>0</v>
      </c>
      <c r="AC105" s="44" t="n">
        <f aca="false">IF(AA105=1,Q105/H105,0)</f>
        <v>0</v>
      </c>
      <c r="AD105" s="44" t="n">
        <f aca="false">IF(AA105=1,R105/H105,0)</f>
        <v>0</v>
      </c>
      <c r="AE105" s="44" t="n">
        <f aca="false">IF(AA105=1,O105/H105,0)</f>
        <v>0</v>
      </c>
      <c r="AF105" s="44" t="n">
        <f aca="false">IF(AA105=1,K105/H105,0)</f>
        <v>0</v>
      </c>
      <c r="AG105" s="45" t="str">
        <f aca="false">IF(AA105=1,D105&amp;"|"&amp;TEXT(B105,"0"),"")</f>
        <v/>
      </c>
      <c r="AH105" s="43" t="n">
        <f aca="false">IF(AA105=1,H105,0)</f>
        <v>0</v>
      </c>
    </row>
    <row r="106" customFormat="false" ht="15" hidden="false" customHeight="false" outlineLevel="0" collapsed="false">
      <c r="A106" s="23" t="str">
        <f aca="false">IF(B106="","","B-"&amp;TEXT(ROW()-4,"0000"))</f>
        <v/>
      </c>
      <c r="B106" s="38"/>
      <c r="C106" s="38"/>
      <c r="D106" s="6"/>
      <c r="E106" s="6"/>
      <c r="F106" s="6"/>
      <c r="G106" s="11"/>
      <c r="H106" s="24" t="str">
        <f aca="false">IF(AND(ISNUMBER(B106),ISNUMBER(C106)),MAX(0,C106-B106),"")</f>
        <v/>
      </c>
      <c r="I106" s="37"/>
      <c r="J106" s="46" t="str">
        <f aca="false">IF(OR(D106="",N(H106)=0),"",IFERROR(IF(I106&lt;&gt;"",H106*I106,ROUND(((H106-(INT((WEEKDAY(B106-6)+H106-1)/7)+INT((WEEKDAY(B106-7)+H106-1)/7)))*INDEX(Properties!$E$5:$E$24,MATCH(D106,Properties!$A$5:$A$24,0))+(INT((WEEKDAY(B106-6)+H106-1)/7)+INT((WEEKDAY(B106-7)+H106-1)/7))*INDEX(Properties!$F$5:$F$24,MATCH(D106,Properties!$A$5:$A$24,0)))*(1-IF(H106&gt;=28,Settings!$B$10,IF(H106&gt;=7,Settings!$B$9,0))),2)),0))</f>
        <v/>
      </c>
      <c r="K106" s="46" t="str">
        <f aca="false">IF(J106="","",IFERROR(N(INDEX(Properties!$G$5:$G$24,MATCH(D106,Properties!$A$5:$A$24,0))),0))</f>
        <v/>
      </c>
      <c r="L106" s="46" t="str">
        <f aca="false">IF(J106="","",IFERROR(MAX(0,N(G106)-INDEX(Properties!$I$5:$I$24,MATCH(D106,Properties!$A$5:$A$24,0)))*N(INDEX(Properties!$J$5:$J$24,MATCH(D106,Properties!$A$5:$A$24,0)))*H106,0))</f>
        <v/>
      </c>
      <c r="M106" s="37"/>
      <c r="N106" s="46" t="str">
        <f aca="false">IF(J106="","",J106+K106+L106+N(M106))</f>
        <v/>
      </c>
      <c r="O106" s="46" t="str">
        <f aca="false">IF(N106="","",IF(P106&lt;&gt;"",N106-P106,ROUND(N106*IFERROR(INDEX(Settings!$E$5:$E$12,MATCH(F106,Settings!$D$5:$D$12,0)),0),2)))</f>
        <v/>
      </c>
      <c r="P106" s="37"/>
      <c r="Q106" s="46" t="str">
        <f aca="false">IF(N106="","",IF(P106&lt;&gt;"",P106,N106-O106))</f>
        <v/>
      </c>
      <c r="R106" s="46" t="str">
        <f aca="false">IF(J106="","",IFERROR(N(INDEX(Properties!$H$5:$H$24,MATCH(D106,Properties!$A$5:$A$24,0))),0))</f>
        <v/>
      </c>
      <c r="S106" s="46" t="str">
        <f aca="false">IF(Q106="","",Q106-R106)</f>
        <v/>
      </c>
      <c r="T106" s="6"/>
      <c r="U106" s="6"/>
      <c r="V106" s="6"/>
      <c r="W106" s="6"/>
      <c r="X106" s="6"/>
      <c r="Y106" s="8" t="str">
        <f aca="false">IF(OR(D106="",B106="",C106=""),"",IF(N(C106)&lt;=N(B106),"Check dates",IF(T106="Cancelled","",IF(COUNTIFS($D$5:$D$1004,D106,$B$5:$B$1004,"&lt;"&amp;C106,$C$5:$C$1004,"&gt;"&amp;B106,$T$5:$T$1004,"&lt;&gt;Cancelled")&gt;1,"Double-booked",""))))</f>
        <v/>
      </c>
      <c r="Z106" s="42" t="str">
        <f aca="false">IF(AND(AA106=1,ISNUMBER(C106)),C106+ROW()/100000,"")</f>
        <v/>
      </c>
      <c r="AA106" s="43" t="n">
        <f aca="false">IF(AND(D106&lt;&gt;"",ISNUMBER(B106),ISNUMBER(C106),N(H106)&gt;0,T106&lt;&gt;"Cancelled",J106&lt;&gt;""),1,0)</f>
        <v>0</v>
      </c>
      <c r="AB106" s="44" t="n">
        <f aca="false">IF(AA106=1,J106/H106,0)</f>
        <v>0</v>
      </c>
      <c r="AC106" s="44" t="n">
        <f aca="false">IF(AA106=1,Q106/H106,0)</f>
        <v>0</v>
      </c>
      <c r="AD106" s="44" t="n">
        <f aca="false">IF(AA106=1,R106/H106,0)</f>
        <v>0</v>
      </c>
      <c r="AE106" s="44" t="n">
        <f aca="false">IF(AA106=1,O106/H106,0)</f>
        <v>0</v>
      </c>
      <c r="AF106" s="44" t="n">
        <f aca="false">IF(AA106=1,K106/H106,0)</f>
        <v>0</v>
      </c>
      <c r="AG106" s="45" t="str">
        <f aca="false">IF(AA106=1,D106&amp;"|"&amp;TEXT(B106,"0"),"")</f>
        <v/>
      </c>
      <c r="AH106" s="43" t="n">
        <f aca="false">IF(AA106=1,H106,0)</f>
        <v>0</v>
      </c>
    </row>
    <row r="107" customFormat="false" ht="15" hidden="false" customHeight="false" outlineLevel="0" collapsed="false">
      <c r="A107" s="8" t="str">
        <f aca="false">IF(B107="","","B-"&amp;TEXT(ROW()-4,"0000"))</f>
        <v/>
      </c>
      <c r="B107" s="38"/>
      <c r="C107" s="38"/>
      <c r="D107" s="6"/>
      <c r="E107" s="6"/>
      <c r="F107" s="6"/>
      <c r="G107" s="11"/>
      <c r="H107" s="18" t="str">
        <f aca="false">IF(AND(ISNUMBER(B107),ISNUMBER(C107)),MAX(0,C107-B107),"")</f>
        <v/>
      </c>
      <c r="I107" s="37"/>
      <c r="J107" s="41" t="str">
        <f aca="false">IF(OR(D107="",N(H107)=0),"",IFERROR(IF(I107&lt;&gt;"",H107*I107,ROUND(((H107-(INT((WEEKDAY(B107-6)+H107-1)/7)+INT((WEEKDAY(B107-7)+H107-1)/7)))*INDEX(Properties!$E$5:$E$24,MATCH(D107,Properties!$A$5:$A$24,0))+(INT((WEEKDAY(B107-6)+H107-1)/7)+INT((WEEKDAY(B107-7)+H107-1)/7))*INDEX(Properties!$F$5:$F$24,MATCH(D107,Properties!$A$5:$A$24,0)))*(1-IF(H107&gt;=28,Settings!$B$10,IF(H107&gt;=7,Settings!$B$9,0))),2)),0))</f>
        <v/>
      </c>
      <c r="K107" s="41" t="str">
        <f aca="false">IF(J107="","",IFERROR(N(INDEX(Properties!$G$5:$G$24,MATCH(D107,Properties!$A$5:$A$24,0))),0))</f>
        <v/>
      </c>
      <c r="L107" s="41" t="str">
        <f aca="false">IF(J107="","",IFERROR(MAX(0,N(G107)-INDEX(Properties!$I$5:$I$24,MATCH(D107,Properties!$A$5:$A$24,0)))*N(INDEX(Properties!$J$5:$J$24,MATCH(D107,Properties!$A$5:$A$24,0)))*H107,0))</f>
        <v/>
      </c>
      <c r="M107" s="37"/>
      <c r="N107" s="41" t="str">
        <f aca="false">IF(J107="","",J107+K107+L107+N(M107))</f>
        <v/>
      </c>
      <c r="O107" s="41" t="str">
        <f aca="false">IF(N107="","",IF(P107&lt;&gt;"",N107-P107,ROUND(N107*IFERROR(INDEX(Settings!$E$5:$E$12,MATCH(F107,Settings!$D$5:$D$12,0)),0),2)))</f>
        <v/>
      </c>
      <c r="P107" s="37"/>
      <c r="Q107" s="41" t="str">
        <f aca="false">IF(N107="","",IF(P107&lt;&gt;"",P107,N107-O107))</f>
        <v/>
      </c>
      <c r="R107" s="41" t="str">
        <f aca="false">IF(J107="","",IFERROR(N(INDEX(Properties!$H$5:$H$24,MATCH(D107,Properties!$A$5:$A$24,0))),0))</f>
        <v/>
      </c>
      <c r="S107" s="41" t="str">
        <f aca="false">IF(Q107="","",Q107-R107)</f>
        <v/>
      </c>
      <c r="T107" s="6"/>
      <c r="U107" s="6"/>
      <c r="V107" s="6"/>
      <c r="W107" s="6"/>
      <c r="X107" s="6"/>
      <c r="Y107" s="8" t="str">
        <f aca="false">IF(OR(D107="",B107="",C107=""),"",IF(N(C107)&lt;=N(B107),"Check dates",IF(T107="Cancelled","",IF(COUNTIFS($D$5:$D$1004,D107,$B$5:$B$1004,"&lt;"&amp;C107,$C$5:$C$1004,"&gt;"&amp;B107,$T$5:$T$1004,"&lt;&gt;Cancelled")&gt;1,"Double-booked",""))))</f>
        <v/>
      </c>
      <c r="Z107" s="42" t="str">
        <f aca="false">IF(AND(AA107=1,ISNUMBER(C107)),C107+ROW()/100000,"")</f>
        <v/>
      </c>
      <c r="AA107" s="43" t="n">
        <f aca="false">IF(AND(D107&lt;&gt;"",ISNUMBER(B107),ISNUMBER(C107),N(H107)&gt;0,T107&lt;&gt;"Cancelled",J107&lt;&gt;""),1,0)</f>
        <v>0</v>
      </c>
      <c r="AB107" s="44" t="n">
        <f aca="false">IF(AA107=1,J107/H107,0)</f>
        <v>0</v>
      </c>
      <c r="AC107" s="44" t="n">
        <f aca="false">IF(AA107=1,Q107/H107,0)</f>
        <v>0</v>
      </c>
      <c r="AD107" s="44" t="n">
        <f aca="false">IF(AA107=1,R107/H107,0)</f>
        <v>0</v>
      </c>
      <c r="AE107" s="44" t="n">
        <f aca="false">IF(AA107=1,O107/H107,0)</f>
        <v>0</v>
      </c>
      <c r="AF107" s="44" t="n">
        <f aca="false">IF(AA107=1,K107/H107,0)</f>
        <v>0</v>
      </c>
      <c r="AG107" s="45" t="str">
        <f aca="false">IF(AA107=1,D107&amp;"|"&amp;TEXT(B107,"0"),"")</f>
        <v/>
      </c>
      <c r="AH107" s="43" t="n">
        <f aca="false">IF(AA107=1,H107,0)</f>
        <v>0</v>
      </c>
    </row>
    <row r="108" customFormat="false" ht="15" hidden="false" customHeight="false" outlineLevel="0" collapsed="false">
      <c r="A108" s="23" t="str">
        <f aca="false">IF(B108="","","B-"&amp;TEXT(ROW()-4,"0000"))</f>
        <v/>
      </c>
      <c r="B108" s="38"/>
      <c r="C108" s="38"/>
      <c r="D108" s="6"/>
      <c r="E108" s="6"/>
      <c r="F108" s="6"/>
      <c r="G108" s="11"/>
      <c r="H108" s="24" t="str">
        <f aca="false">IF(AND(ISNUMBER(B108),ISNUMBER(C108)),MAX(0,C108-B108),"")</f>
        <v/>
      </c>
      <c r="I108" s="37"/>
      <c r="J108" s="46" t="str">
        <f aca="false">IF(OR(D108="",N(H108)=0),"",IFERROR(IF(I108&lt;&gt;"",H108*I108,ROUND(((H108-(INT((WEEKDAY(B108-6)+H108-1)/7)+INT((WEEKDAY(B108-7)+H108-1)/7)))*INDEX(Properties!$E$5:$E$24,MATCH(D108,Properties!$A$5:$A$24,0))+(INT((WEEKDAY(B108-6)+H108-1)/7)+INT((WEEKDAY(B108-7)+H108-1)/7))*INDEX(Properties!$F$5:$F$24,MATCH(D108,Properties!$A$5:$A$24,0)))*(1-IF(H108&gt;=28,Settings!$B$10,IF(H108&gt;=7,Settings!$B$9,0))),2)),0))</f>
        <v/>
      </c>
      <c r="K108" s="46" t="str">
        <f aca="false">IF(J108="","",IFERROR(N(INDEX(Properties!$G$5:$G$24,MATCH(D108,Properties!$A$5:$A$24,0))),0))</f>
        <v/>
      </c>
      <c r="L108" s="46" t="str">
        <f aca="false">IF(J108="","",IFERROR(MAX(0,N(G108)-INDEX(Properties!$I$5:$I$24,MATCH(D108,Properties!$A$5:$A$24,0)))*N(INDEX(Properties!$J$5:$J$24,MATCH(D108,Properties!$A$5:$A$24,0)))*H108,0))</f>
        <v/>
      </c>
      <c r="M108" s="37"/>
      <c r="N108" s="46" t="str">
        <f aca="false">IF(J108="","",J108+K108+L108+N(M108))</f>
        <v/>
      </c>
      <c r="O108" s="46" t="str">
        <f aca="false">IF(N108="","",IF(P108&lt;&gt;"",N108-P108,ROUND(N108*IFERROR(INDEX(Settings!$E$5:$E$12,MATCH(F108,Settings!$D$5:$D$12,0)),0),2)))</f>
        <v/>
      </c>
      <c r="P108" s="37"/>
      <c r="Q108" s="46" t="str">
        <f aca="false">IF(N108="","",IF(P108&lt;&gt;"",P108,N108-O108))</f>
        <v/>
      </c>
      <c r="R108" s="46" t="str">
        <f aca="false">IF(J108="","",IFERROR(N(INDEX(Properties!$H$5:$H$24,MATCH(D108,Properties!$A$5:$A$24,0))),0))</f>
        <v/>
      </c>
      <c r="S108" s="46" t="str">
        <f aca="false">IF(Q108="","",Q108-R108)</f>
        <v/>
      </c>
      <c r="T108" s="6"/>
      <c r="U108" s="6"/>
      <c r="V108" s="6"/>
      <c r="W108" s="6"/>
      <c r="X108" s="6"/>
      <c r="Y108" s="8" t="str">
        <f aca="false">IF(OR(D108="",B108="",C108=""),"",IF(N(C108)&lt;=N(B108),"Check dates",IF(T108="Cancelled","",IF(COUNTIFS($D$5:$D$1004,D108,$B$5:$B$1004,"&lt;"&amp;C108,$C$5:$C$1004,"&gt;"&amp;B108,$T$5:$T$1004,"&lt;&gt;Cancelled")&gt;1,"Double-booked",""))))</f>
        <v/>
      </c>
      <c r="Z108" s="42" t="str">
        <f aca="false">IF(AND(AA108=1,ISNUMBER(C108)),C108+ROW()/100000,"")</f>
        <v/>
      </c>
      <c r="AA108" s="43" t="n">
        <f aca="false">IF(AND(D108&lt;&gt;"",ISNUMBER(B108),ISNUMBER(C108),N(H108)&gt;0,T108&lt;&gt;"Cancelled",J108&lt;&gt;""),1,0)</f>
        <v>0</v>
      </c>
      <c r="AB108" s="44" t="n">
        <f aca="false">IF(AA108=1,J108/H108,0)</f>
        <v>0</v>
      </c>
      <c r="AC108" s="44" t="n">
        <f aca="false">IF(AA108=1,Q108/H108,0)</f>
        <v>0</v>
      </c>
      <c r="AD108" s="44" t="n">
        <f aca="false">IF(AA108=1,R108/H108,0)</f>
        <v>0</v>
      </c>
      <c r="AE108" s="44" t="n">
        <f aca="false">IF(AA108=1,O108/H108,0)</f>
        <v>0</v>
      </c>
      <c r="AF108" s="44" t="n">
        <f aca="false">IF(AA108=1,K108/H108,0)</f>
        <v>0</v>
      </c>
      <c r="AG108" s="45" t="str">
        <f aca="false">IF(AA108=1,D108&amp;"|"&amp;TEXT(B108,"0"),"")</f>
        <v/>
      </c>
      <c r="AH108" s="43" t="n">
        <f aca="false">IF(AA108=1,H108,0)</f>
        <v>0</v>
      </c>
    </row>
    <row r="109" customFormat="false" ht="15" hidden="false" customHeight="false" outlineLevel="0" collapsed="false">
      <c r="A109" s="8" t="str">
        <f aca="false">IF(B109="","","B-"&amp;TEXT(ROW()-4,"0000"))</f>
        <v/>
      </c>
      <c r="B109" s="38"/>
      <c r="C109" s="38"/>
      <c r="D109" s="6"/>
      <c r="E109" s="6"/>
      <c r="F109" s="6"/>
      <c r="G109" s="11"/>
      <c r="H109" s="18" t="str">
        <f aca="false">IF(AND(ISNUMBER(B109),ISNUMBER(C109)),MAX(0,C109-B109),"")</f>
        <v/>
      </c>
      <c r="I109" s="37"/>
      <c r="J109" s="41" t="str">
        <f aca="false">IF(OR(D109="",N(H109)=0),"",IFERROR(IF(I109&lt;&gt;"",H109*I109,ROUND(((H109-(INT((WEEKDAY(B109-6)+H109-1)/7)+INT((WEEKDAY(B109-7)+H109-1)/7)))*INDEX(Properties!$E$5:$E$24,MATCH(D109,Properties!$A$5:$A$24,0))+(INT((WEEKDAY(B109-6)+H109-1)/7)+INT((WEEKDAY(B109-7)+H109-1)/7))*INDEX(Properties!$F$5:$F$24,MATCH(D109,Properties!$A$5:$A$24,0)))*(1-IF(H109&gt;=28,Settings!$B$10,IF(H109&gt;=7,Settings!$B$9,0))),2)),0))</f>
        <v/>
      </c>
      <c r="K109" s="41" t="str">
        <f aca="false">IF(J109="","",IFERROR(N(INDEX(Properties!$G$5:$G$24,MATCH(D109,Properties!$A$5:$A$24,0))),0))</f>
        <v/>
      </c>
      <c r="L109" s="41" t="str">
        <f aca="false">IF(J109="","",IFERROR(MAX(0,N(G109)-INDEX(Properties!$I$5:$I$24,MATCH(D109,Properties!$A$5:$A$24,0)))*N(INDEX(Properties!$J$5:$J$24,MATCH(D109,Properties!$A$5:$A$24,0)))*H109,0))</f>
        <v/>
      </c>
      <c r="M109" s="37"/>
      <c r="N109" s="41" t="str">
        <f aca="false">IF(J109="","",J109+K109+L109+N(M109))</f>
        <v/>
      </c>
      <c r="O109" s="41" t="str">
        <f aca="false">IF(N109="","",IF(P109&lt;&gt;"",N109-P109,ROUND(N109*IFERROR(INDEX(Settings!$E$5:$E$12,MATCH(F109,Settings!$D$5:$D$12,0)),0),2)))</f>
        <v/>
      </c>
      <c r="P109" s="37"/>
      <c r="Q109" s="41" t="str">
        <f aca="false">IF(N109="","",IF(P109&lt;&gt;"",P109,N109-O109))</f>
        <v/>
      </c>
      <c r="R109" s="41" t="str">
        <f aca="false">IF(J109="","",IFERROR(N(INDEX(Properties!$H$5:$H$24,MATCH(D109,Properties!$A$5:$A$24,0))),0))</f>
        <v/>
      </c>
      <c r="S109" s="41" t="str">
        <f aca="false">IF(Q109="","",Q109-R109)</f>
        <v/>
      </c>
      <c r="T109" s="6"/>
      <c r="U109" s="6"/>
      <c r="V109" s="6"/>
      <c r="W109" s="6"/>
      <c r="X109" s="6"/>
      <c r="Y109" s="8" t="str">
        <f aca="false">IF(OR(D109="",B109="",C109=""),"",IF(N(C109)&lt;=N(B109),"Check dates",IF(T109="Cancelled","",IF(COUNTIFS($D$5:$D$1004,D109,$B$5:$B$1004,"&lt;"&amp;C109,$C$5:$C$1004,"&gt;"&amp;B109,$T$5:$T$1004,"&lt;&gt;Cancelled")&gt;1,"Double-booked",""))))</f>
        <v/>
      </c>
      <c r="Z109" s="42" t="str">
        <f aca="false">IF(AND(AA109=1,ISNUMBER(C109)),C109+ROW()/100000,"")</f>
        <v/>
      </c>
      <c r="AA109" s="43" t="n">
        <f aca="false">IF(AND(D109&lt;&gt;"",ISNUMBER(B109),ISNUMBER(C109),N(H109)&gt;0,T109&lt;&gt;"Cancelled",J109&lt;&gt;""),1,0)</f>
        <v>0</v>
      </c>
      <c r="AB109" s="44" t="n">
        <f aca="false">IF(AA109=1,J109/H109,0)</f>
        <v>0</v>
      </c>
      <c r="AC109" s="44" t="n">
        <f aca="false">IF(AA109=1,Q109/H109,0)</f>
        <v>0</v>
      </c>
      <c r="AD109" s="44" t="n">
        <f aca="false">IF(AA109=1,R109/H109,0)</f>
        <v>0</v>
      </c>
      <c r="AE109" s="44" t="n">
        <f aca="false">IF(AA109=1,O109/H109,0)</f>
        <v>0</v>
      </c>
      <c r="AF109" s="44" t="n">
        <f aca="false">IF(AA109=1,K109/H109,0)</f>
        <v>0</v>
      </c>
      <c r="AG109" s="45" t="str">
        <f aca="false">IF(AA109=1,D109&amp;"|"&amp;TEXT(B109,"0"),"")</f>
        <v/>
      </c>
      <c r="AH109" s="43" t="n">
        <f aca="false">IF(AA109=1,H109,0)</f>
        <v>0</v>
      </c>
    </row>
    <row r="110" customFormat="false" ht="15" hidden="false" customHeight="false" outlineLevel="0" collapsed="false">
      <c r="A110" s="23" t="str">
        <f aca="false">IF(B110="","","B-"&amp;TEXT(ROW()-4,"0000"))</f>
        <v/>
      </c>
      <c r="B110" s="38"/>
      <c r="C110" s="38"/>
      <c r="D110" s="6"/>
      <c r="E110" s="6"/>
      <c r="F110" s="6"/>
      <c r="G110" s="11"/>
      <c r="H110" s="24" t="str">
        <f aca="false">IF(AND(ISNUMBER(B110),ISNUMBER(C110)),MAX(0,C110-B110),"")</f>
        <v/>
      </c>
      <c r="I110" s="37"/>
      <c r="J110" s="46" t="str">
        <f aca="false">IF(OR(D110="",N(H110)=0),"",IFERROR(IF(I110&lt;&gt;"",H110*I110,ROUND(((H110-(INT((WEEKDAY(B110-6)+H110-1)/7)+INT((WEEKDAY(B110-7)+H110-1)/7)))*INDEX(Properties!$E$5:$E$24,MATCH(D110,Properties!$A$5:$A$24,0))+(INT((WEEKDAY(B110-6)+H110-1)/7)+INT((WEEKDAY(B110-7)+H110-1)/7))*INDEX(Properties!$F$5:$F$24,MATCH(D110,Properties!$A$5:$A$24,0)))*(1-IF(H110&gt;=28,Settings!$B$10,IF(H110&gt;=7,Settings!$B$9,0))),2)),0))</f>
        <v/>
      </c>
      <c r="K110" s="46" t="str">
        <f aca="false">IF(J110="","",IFERROR(N(INDEX(Properties!$G$5:$G$24,MATCH(D110,Properties!$A$5:$A$24,0))),0))</f>
        <v/>
      </c>
      <c r="L110" s="46" t="str">
        <f aca="false">IF(J110="","",IFERROR(MAX(0,N(G110)-INDEX(Properties!$I$5:$I$24,MATCH(D110,Properties!$A$5:$A$24,0)))*N(INDEX(Properties!$J$5:$J$24,MATCH(D110,Properties!$A$5:$A$24,0)))*H110,0))</f>
        <v/>
      </c>
      <c r="M110" s="37"/>
      <c r="N110" s="46" t="str">
        <f aca="false">IF(J110="","",J110+K110+L110+N(M110))</f>
        <v/>
      </c>
      <c r="O110" s="46" t="str">
        <f aca="false">IF(N110="","",IF(P110&lt;&gt;"",N110-P110,ROUND(N110*IFERROR(INDEX(Settings!$E$5:$E$12,MATCH(F110,Settings!$D$5:$D$12,0)),0),2)))</f>
        <v/>
      </c>
      <c r="P110" s="37"/>
      <c r="Q110" s="46" t="str">
        <f aca="false">IF(N110="","",IF(P110&lt;&gt;"",P110,N110-O110))</f>
        <v/>
      </c>
      <c r="R110" s="46" t="str">
        <f aca="false">IF(J110="","",IFERROR(N(INDEX(Properties!$H$5:$H$24,MATCH(D110,Properties!$A$5:$A$24,0))),0))</f>
        <v/>
      </c>
      <c r="S110" s="46" t="str">
        <f aca="false">IF(Q110="","",Q110-R110)</f>
        <v/>
      </c>
      <c r="T110" s="6"/>
      <c r="U110" s="6"/>
      <c r="V110" s="6"/>
      <c r="W110" s="6"/>
      <c r="X110" s="6"/>
      <c r="Y110" s="8" t="str">
        <f aca="false">IF(OR(D110="",B110="",C110=""),"",IF(N(C110)&lt;=N(B110),"Check dates",IF(T110="Cancelled","",IF(COUNTIFS($D$5:$D$1004,D110,$B$5:$B$1004,"&lt;"&amp;C110,$C$5:$C$1004,"&gt;"&amp;B110,$T$5:$T$1004,"&lt;&gt;Cancelled")&gt;1,"Double-booked",""))))</f>
        <v/>
      </c>
      <c r="Z110" s="42" t="str">
        <f aca="false">IF(AND(AA110=1,ISNUMBER(C110)),C110+ROW()/100000,"")</f>
        <v/>
      </c>
      <c r="AA110" s="43" t="n">
        <f aca="false">IF(AND(D110&lt;&gt;"",ISNUMBER(B110),ISNUMBER(C110),N(H110)&gt;0,T110&lt;&gt;"Cancelled",J110&lt;&gt;""),1,0)</f>
        <v>0</v>
      </c>
      <c r="AB110" s="44" t="n">
        <f aca="false">IF(AA110=1,J110/H110,0)</f>
        <v>0</v>
      </c>
      <c r="AC110" s="44" t="n">
        <f aca="false">IF(AA110=1,Q110/H110,0)</f>
        <v>0</v>
      </c>
      <c r="AD110" s="44" t="n">
        <f aca="false">IF(AA110=1,R110/H110,0)</f>
        <v>0</v>
      </c>
      <c r="AE110" s="44" t="n">
        <f aca="false">IF(AA110=1,O110/H110,0)</f>
        <v>0</v>
      </c>
      <c r="AF110" s="44" t="n">
        <f aca="false">IF(AA110=1,K110/H110,0)</f>
        <v>0</v>
      </c>
      <c r="AG110" s="45" t="str">
        <f aca="false">IF(AA110=1,D110&amp;"|"&amp;TEXT(B110,"0"),"")</f>
        <v/>
      </c>
      <c r="AH110" s="43" t="n">
        <f aca="false">IF(AA110=1,H110,0)</f>
        <v>0</v>
      </c>
    </row>
    <row r="111" customFormat="false" ht="15" hidden="false" customHeight="false" outlineLevel="0" collapsed="false">
      <c r="A111" s="8" t="str">
        <f aca="false">IF(B111="","","B-"&amp;TEXT(ROW()-4,"0000"))</f>
        <v/>
      </c>
      <c r="B111" s="38"/>
      <c r="C111" s="38"/>
      <c r="D111" s="6"/>
      <c r="E111" s="6"/>
      <c r="F111" s="6"/>
      <c r="G111" s="11"/>
      <c r="H111" s="18" t="str">
        <f aca="false">IF(AND(ISNUMBER(B111),ISNUMBER(C111)),MAX(0,C111-B111),"")</f>
        <v/>
      </c>
      <c r="I111" s="37"/>
      <c r="J111" s="41" t="str">
        <f aca="false">IF(OR(D111="",N(H111)=0),"",IFERROR(IF(I111&lt;&gt;"",H111*I111,ROUND(((H111-(INT((WEEKDAY(B111-6)+H111-1)/7)+INT((WEEKDAY(B111-7)+H111-1)/7)))*INDEX(Properties!$E$5:$E$24,MATCH(D111,Properties!$A$5:$A$24,0))+(INT((WEEKDAY(B111-6)+H111-1)/7)+INT((WEEKDAY(B111-7)+H111-1)/7))*INDEX(Properties!$F$5:$F$24,MATCH(D111,Properties!$A$5:$A$24,0)))*(1-IF(H111&gt;=28,Settings!$B$10,IF(H111&gt;=7,Settings!$B$9,0))),2)),0))</f>
        <v/>
      </c>
      <c r="K111" s="41" t="str">
        <f aca="false">IF(J111="","",IFERROR(N(INDEX(Properties!$G$5:$G$24,MATCH(D111,Properties!$A$5:$A$24,0))),0))</f>
        <v/>
      </c>
      <c r="L111" s="41" t="str">
        <f aca="false">IF(J111="","",IFERROR(MAX(0,N(G111)-INDEX(Properties!$I$5:$I$24,MATCH(D111,Properties!$A$5:$A$24,0)))*N(INDEX(Properties!$J$5:$J$24,MATCH(D111,Properties!$A$5:$A$24,0)))*H111,0))</f>
        <v/>
      </c>
      <c r="M111" s="37"/>
      <c r="N111" s="41" t="str">
        <f aca="false">IF(J111="","",J111+K111+L111+N(M111))</f>
        <v/>
      </c>
      <c r="O111" s="41" t="str">
        <f aca="false">IF(N111="","",IF(P111&lt;&gt;"",N111-P111,ROUND(N111*IFERROR(INDEX(Settings!$E$5:$E$12,MATCH(F111,Settings!$D$5:$D$12,0)),0),2)))</f>
        <v/>
      </c>
      <c r="P111" s="37"/>
      <c r="Q111" s="41" t="str">
        <f aca="false">IF(N111="","",IF(P111&lt;&gt;"",P111,N111-O111))</f>
        <v/>
      </c>
      <c r="R111" s="41" t="str">
        <f aca="false">IF(J111="","",IFERROR(N(INDEX(Properties!$H$5:$H$24,MATCH(D111,Properties!$A$5:$A$24,0))),0))</f>
        <v/>
      </c>
      <c r="S111" s="41" t="str">
        <f aca="false">IF(Q111="","",Q111-R111)</f>
        <v/>
      </c>
      <c r="T111" s="6"/>
      <c r="U111" s="6"/>
      <c r="V111" s="6"/>
      <c r="W111" s="6"/>
      <c r="X111" s="6"/>
      <c r="Y111" s="8" t="str">
        <f aca="false">IF(OR(D111="",B111="",C111=""),"",IF(N(C111)&lt;=N(B111),"Check dates",IF(T111="Cancelled","",IF(COUNTIFS($D$5:$D$1004,D111,$B$5:$B$1004,"&lt;"&amp;C111,$C$5:$C$1004,"&gt;"&amp;B111,$T$5:$T$1004,"&lt;&gt;Cancelled")&gt;1,"Double-booked",""))))</f>
        <v/>
      </c>
      <c r="Z111" s="42" t="str">
        <f aca="false">IF(AND(AA111=1,ISNUMBER(C111)),C111+ROW()/100000,"")</f>
        <v/>
      </c>
      <c r="AA111" s="43" t="n">
        <f aca="false">IF(AND(D111&lt;&gt;"",ISNUMBER(B111),ISNUMBER(C111),N(H111)&gt;0,T111&lt;&gt;"Cancelled",J111&lt;&gt;""),1,0)</f>
        <v>0</v>
      </c>
      <c r="AB111" s="44" t="n">
        <f aca="false">IF(AA111=1,J111/H111,0)</f>
        <v>0</v>
      </c>
      <c r="AC111" s="44" t="n">
        <f aca="false">IF(AA111=1,Q111/H111,0)</f>
        <v>0</v>
      </c>
      <c r="AD111" s="44" t="n">
        <f aca="false">IF(AA111=1,R111/H111,0)</f>
        <v>0</v>
      </c>
      <c r="AE111" s="44" t="n">
        <f aca="false">IF(AA111=1,O111/H111,0)</f>
        <v>0</v>
      </c>
      <c r="AF111" s="44" t="n">
        <f aca="false">IF(AA111=1,K111/H111,0)</f>
        <v>0</v>
      </c>
      <c r="AG111" s="45" t="str">
        <f aca="false">IF(AA111=1,D111&amp;"|"&amp;TEXT(B111,"0"),"")</f>
        <v/>
      </c>
      <c r="AH111" s="43" t="n">
        <f aca="false">IF(AA111=1,H111,0)</f>
        <v>0</v>
      </c>
    </row>
    <row r="112" customFormat="false" ht="15" hidden="false" customHeight="false" outlineLevel="0" collapsed="false">
      <c r="A112" s="23" t="str">
        <f aca="false">IF(B112="","","B-"&amp;TEXT(ROW()-4,"0000"))</f>
        <v/>
      </c>
      <c r="B112" s="38"/>
      <c r="C112" s="38"/>
      <c r="D112" s="6"/>
      <c r="E112" s="6"/>
      <c r="F112" s="6"/>
      <c r="G112" s="11"/>
      <c r="H112" s="24" t="str">
        <f aca="false">IF(AND(ISNUMBER(B112),ISNUMBER(C112)),MAX(0,C112-B112),"")</f>
        <v/>
      </c>
      <c r="I112" s="37"/>
      <c r="J112" s="46" t="str">
        <f aca="false">IF(OR(D112="",N(H112)=0),"",IFERROR(IF(I112&lt;&gt;"",H112*I112,ROUND(((H112-(INT((WEEKDAY(B112-6)+H112-1)/7)+INT((WEEKDAY(B112-7)+H112-1)/7)))*INDEX(Properties!$E$5:$E$24,MATCH(D112,Properties!$A$5:$A$24,0))+(INT((WEEKDAY(B112-6)+H112-1)/7)+INT((WEEKDAY(B112-7)+H112-1)/7))*INDEX(Properties!$F$5:$F$24,MATCH(D112,Properties!$A$5:$A$24,0)))*(1-IF(H112&gt;=28,Settings!$B$10,IF(H112&gt;=7,Settings!$B$9,0))),2)),0))</f>
        <v/>
      </c>
      <c r="K112" s="46" t="str">
        <f aca="false">IF(J112="","",IFERROR(N(INDEX(Properties!$G$5:$G$24,MATCH(D112,Properties!$A$5:$A$24,0))),0))</f>
        <v/>
      </c>
      <c r="L112" s="46" t="str">
        <f aca="false">IF(J112="","",IFERROR(MAX(0,N(G112)-INDEX(Properties!$I$5:$I$24,MATCH(D112,Properties!$A$5:$A$24,0)))*N(INDEX(Properties!$J$5:$J$24,MATCH(D112,Properties!$A$5:$A$24,0)))*H112,0))</f>
        <v/>
      </c>
      <c r="M112" s="37"/>
      <c r="N112" s="46" t="str">
        <f aca="false">IF(J112="","",J112+K112+L112+N(M112))</f>
        <v/>
      </c>
      <c r="O112" s="46" t="str">
        <f aca="false">IF(N112="","",IF(P112&lt;&gt;"",N112-P112,ROUND(N112*IFERROR(INDEX(Settings!$E$5:$E$12,MATCH(F112,Settings!$D$5:$D$12,0)),0),2)))</f>
        <v/>
      </c>
      <c r="P112" s="37"/>
      <c r="Q112" s="46" t="str">
        <f aca="false">IF(N112="","",IF(P112&lt;&gt;"",P112,N112-O112))</f>
        <v/>
      </c>
      <c r="R112" s="46" t="str">
        <f aca="false">IF(J112="","",IFERROR(N(INDEX(Properties!$H$5:$H$24,MATCH(D112,Properties!$A$5:$A$24,0))),0))</f>
        <v/>
      </c>
      <c r="S112" s="46" t="str">
        <f aca="false">IF(Q112="","",Q112-R112)</f>
        <v/>
      </c>
      <c r="T112" s="6"/>
      <c r="U112" s="6"/>
      <c r="V112" s="6"/>
      <c r="W112" s="6"/>
      <c r="X112" s="6"/>
      <c r="Y112" s="8" t="str">
        <f aca="false">IF(OR(D112="",B112="",C112=""),"",IF(N(C112)&lt;=N(B112),"Check dates",IF(T112="Cancelled","",IF(COUNTIFS($D$5:$D$1004,D112,$B$5:$B$1004,"&lt;"&amp;C112,$C$5:$C$1004,"&gt;"&amp;B112,$T$5:$T$1004,"&lt;&gt;Cancelled")&gt;1,"Double-booked",""))))</f>
        <v/>
      </c>
      <c r="Z112" s="42" t="str">
        <f aca="false">IF(AND(AA112=1,ISNUMBER(C112)),C112+ROW()/100000,"")</f>
        <v/>
      </c>
      <c r="AA112" s="43" t="n">
        <f aca="false">IF(AND(D112&lt;&gt;"",ISNUMBER(B112),ISNUMBER(C112),N(H112)&gt;0,T112&lt;&gt;"Cancelled",J112&lt;&gt;""),1,0)</f>
        <v>0</v>
      </c>
      <c r="AB112" s="44" t="n">
        <f aca="false">IF(AA112=1,J112/H112,0)</f>
        <v>0</v>
      </c>
      <c r="AC112" s="44" t="n">
        <f aca="false">IF(AA112=1,Q112/H112,0)</f>
        <v>0</v>
      </c>
      <c r="AD112" s="44" t="n">
        <f aca="false">IF(AA112=1,R112/H112,0)</f>
        <v>0</v>
      </c>
      <c r="AE112" s="44" t="n">
        <f aca="false">IF(AA112=1,O112/H112,0)</f>
        <v>0</v>
      </c>
      <c r="AF112" s="44" t="n">
        <f aca="false">IF(AA112=1,K112/H112,0)</f>
        <v>0</v>
      </c>
      <c r="AG112" s="45" t="str">
        <f aca="false">IF(AA112=1,D112&amp;"|"&amp;TEXT(B112,"0"),"")</f>
        <v/>
      </c>
      <c r="AH112" s="43" t="n">
        <f aca="false">IF(AA112=1,H112,0)</f>
        <v>0</v>
      </c>
    </row>
    <row r="113" customFormat="false" ht="15" hidden="false" customHeight="false" outlineLevel="0" collapsed="false">
      <c r="A113" s="8" t="str">
        <f aca="false">IF(B113="","","B-"&amp;TEXT(ROW()-4,"0000"))</f>
        <v/>
      </c>
      <c r="B113" s="38"/>
      <c r="C113" s="38"/>
      <c r="D113" s="6"/>
      <c r="E113" s="6"/>
      <c r="F113" s="6"/>
      <c r="G113" s="11"/>
      <c r="H113" s="18" t="str">
        <f aca="false">IF(AND(ISNUMBER(B113),ISNUMBER(C113)),MAX(0,C113-B113),"")</f>
        <v/>
      </c>
      <c r="I113" s="37"/>
      <c r="J113" s="41" t="str">
        <f aca="false">IF(OR(D113="",N(H113)=0),"",IFERROR(IF(I113&lt;&gt;"",H113*I113,ROUND(((H113-(INT((WEEKDAY(B113-6)+H113-1)/7)+INT((WEEKDAY(B113-7)+H113-1)/7)))*INDEX(Properties!$E$5:$E$24,MATCH(D113,Properties!$A$5:$A$24,0))+(INT((WEEKDAY(B113-6)+H113-1)/7)+INT((WEEKDAY(B113-7)+H113-1)/7))*INDEX(Properties!$F$5:$F$24,MATCH(D113,Properties!$A$5:$A$24,0)))*(1-IF(H113&gt;=28,Settings!$B$10,IF(H113&gt;=7,Settings!$B$9,0))),2)),0))</f>
        <v/>
      </c>
      <c r="K113" s="41" t="str">
        <f aca="false">IF(J113="","",IFERROR(N(INDEX(Properties!$G$5:$G$24,MATCH(D113,Properties!$A$5:$A$24,0))),0))</f>
        <v/>
      </c>
      <c r="L113" s="41" t="str">
        <f aca="false">IF(J113="","",IFERROR(MAX(0,N(G113)-INDEX(Properties!$I$5:$I$24,MATCH(D113,Properties!$A$5:$A$24,0)))*N(INDEX(Properties!$J$5:$J$24,MATCH(D113,Properties!$A$5:$A$24,0)))*H113,0))</f>
        <v/>
      </c>
      <c r="M113" s="37"/>
      <c r="N113" s="41" t="str">
        <f aca="false">IF(J113="","",J113+K113+L113+N(M113))</f>
        <v/>
      </c>
      <c r="O113" s="41" t="str">
        <f aca="false">IF(N113="","",IF(P113&lt;&gt;"",N113-P113,ROUND(N113*IFERROR(INDEX(Settings!$E$5:$E$12,MATCH(F113,Settings!$D$5:$D$12,0)),0),2)))</f>
        <v/>
      </c>
      <c r="P113" s="37"/>
      <c r="Q113" s="41" t="str">
        <f aca="false">IF(N113="","",IF(P113&lt;&gt;"",P113,N113-O113))</f>
        <v/>
      </c>
      <c r="R113" s="41" t="str">
        <f aca="false">IF(J113="","",IFERROR(N(INDEX(Properties!$H$5:$H$24,MATCH(D113,Properties!$A$5:$A$24,0))),0))</f>
        <v/>
      </c>
      <c r="S113" s="41" t="str">
        <f aca="false">IF(Q113="","",Q113-R113)</f>
        <v/>
      </c>
      <c r="T113" s="6"/>
      <c r="U113" s="6"/>
      <c r="V113" s="6"/>
      <c r="W113" s="6"/>
      <c r="X113" s="6"/>
      <c r="Y113" s="8" t="str">
        <f aca="false">IF(OR(D113="",B113="",C113=""),"",IF(N(C113)&lt;=N(B113),"Check dates",IF(T113="Cancelled","",IF(COUNTIFS($D$5:$D$1004,D113,$B$5:$B$1004,"&lt;"&amp;C113,$C$5:$C$1004,"&gt;"&amp;B113,$T$5:$T$1004,"&lt;&gt;Cancelled")&gt;1,"Double-booked",""))))</f>
        <v/>
      </c>
      <c r="Z113" s="42" t="str">
        <f aca="false">IF(AND(AA113=1,ISNUMBER(C113)),C113+ROW()/100000,"")</f>
        <v/>
      </c>
      <c r="AA113" s="43" t="n">
        <f aca="false">IF(AND(D113&lt;&gt;"",ISNUMBER(B113),ISNUMBER(C113),N(H113)&gt;0,T113&lt;&gt;"Cancelled",J113&lt;&gt;""),1,0)</f>
        <v>0</v>
      </c>
      <c r="AB113" s="44" t="n">
        <f aca="false">IF(AA113=1,J113/H113,0)</f>
        <v>0</v>
      </c>
      <c r="AC113" s="44" t="n">
        <f aca="false">IF(AA113=1,Q113/H113,0)</f>
        <v>0</v>
      </c>
      <c r="AD113" s="44" t="n">
        <f aca="false">IF(AA113=1,R113/H113,0)</f>
        <v>0</v>
      </c>
      <c r="AE113" s="44" t="n">
        <f aca="false">IF(AA113=1,O113/H113,0)</f>
        <v>0</v>
      </c>
      <c r="AF113" s="44" t="n">
        <f aca="false">IF(AA113=1,K113/H113,0)</f>
        <v>0</v>
      </c>
      <c r="AG113" s="45" t="str">
        <f aca="false">IF(AA113=1,D113&amp;"|"&amp;TEXT(B113,"0"),"")</f>
        <v/>
      </c>
      <c r="AH113" s="43" t="n">
        <f aca="false">IF(AA113=1,H113,0)</f>
        <v>0</v>
      </c>
    </row>
    <row r="114" customFormat="false" ht="15" hidden="false" customHeight="false" outlineLevel="0" collapsed="false">
      <c r="A114" s="23" t="str">
        <f aca="false">IF(B114="","","B-"&amp;TEXT(ROW()-4,"0000"))</f>
        <v/>
      </c>
      <c r="B114" s="38"/>
      <c r="C114" s="38"/>
      <c r="D114" s="6"/>
      <c r="E114" s="6"/>
      <c r="F114" s="6"/>
      <c r="G114" s="11"/>
      <c r="H114" s="24" t="str">
        <f aca="false">IF(AND(ISNUMBER(B114),ISNUMBER(C114)),MAX(0,C114-B114),"")</f>
        <v/>
      </c>
      <c r="I114" s="37"/>
      <c r="J114" s="46" t="str">
        <f aca="false">IF(OR(D114="",N(H114)=0),"",IFERROR(IF(I114&lt;&gt;"",H114*I114,ROUND(((H114-(INT((WEEKDAY(B114-6)+H114-1)/7)+INT((WEEKDAY(B114-7)+H114-1)/7)))*INDEX(Properties!$E$5:$E$24,MATCH(D114,Properties!$A$5:$A$24,0))+(INT((WEEKDAY(B114-6)+H114-1)/7)+INT((WEEKDAY(B114-7)+H114-1)/7))*INDEX(Properties!$F$5:$F$24,MATCH(D114,Properties!$A$5:$A$24,0)))*(1-IF(H114&gt;=28,Settings!$B$10,IF(H114&gt;=7,Settings!$B$9,0))),2)),0))</f>
        <v/>
      </c>
      <c r="K114" s="46" t="str">
        <f aca="false">IF(J114="","",IFERROR(N(INDEX(Properties!$G$5:$G$24,MATCH(D114,Properties!$A$5:$A$24,0))),0))</f>
        <v/>
      </c>
      <c r="L114" s="46" t="str">
        <f aca="false">IF(J114="","",IFERROR(MAX(0,N(G114)-INDEX(Properties!$I$5:$I$24,MATCH(D114,Properties!$A$5:$A$24,0)))*N(INDEX(Properties!$J$5:$J$24,MATCH(D114,Properties!$A$5:$A$24,0)))*H114,0))</f>
        <v/>
      </c>
      <c r="M114" s="37"/>
      <c r="N114" s="46" t="str">
        <f aca="false">IF(J114="","",J114+K114+L114+N(M114))</f>
        <v/>
      </c>
      <c r="O114" s="46" t="str">
        <f aca="false">IF(N114="","",IF(P114&lt;&gt;"",N114-P114,ROUND(N114*IFERROR(INDEX(Settings!$E$5:$E$12,MATCH(F114,Settings!$D$5:$D$12,0)),0),2)))</f>
        <v/>
      </c>
      <c r="P114" s="37"/>
      <c r="Q114" s="46" t="str">
        <f aca="false">IF(N114="","",IF(P114&lt;&gt;"",P114,N114-O114))</f>
        <v/>
      </c>
      <c r="R114" s="46" t="str">
        <f aca="false">IF(J114="","",IFERROR(N(INDEX(Properties!$H$5:$H$24,MATCH(D114,Properties!$A$5:$A$24,0))),0))</f>
        <v/>
      </c>
      <c r="S114" s="46" t="str">
        <f aca="false">IF(Q114="","",Q114-R114)</f>
        <v/>
      </c>
      <c r="T114" s="6"/>
      <c r="U114" s="6"/>
      <c r="V114" s="6"/>
      <c r="W114" s="6"/>
      <c r="X114" s="6"/>
      <c r="Y114" s="8" t="str">
        <f aca="false">IF(OR(D114="",B114="",C114=""),"",IF(N(C114)&lt;=N(B114),"Check dates",IF(T114="Cancelled","",IF(COUNTIFS($D$5:$D$1004,D114,$B$5:$B$1004,"&lt;"&amp;C114,$C$5:$C$1004,"&gt;"&amp;B114,$T$5:$T$1004,"&lt;&gt;Cancelled")&gt;1,"Double-booked",""))))</f>
        <v/>
      </c>
      <c r="Z114" s="42" t="str">
        <f aca="false">IF(AND(AA114=1,ISNUMBER(C114)),C114+ROW()/100000,"")</f>
        <v/>
      </c>
      <c r="AA114" s="43" t="n">
        <f aca="false">IF(AND(D114&lt;&gt;"",ISNUMBER(B114),ISNUMBER(C114),N(H114)&gt;0,T114&lt;&gt;"Cancelled",J114&lt;&gt;""),1,0)</f>
        <v>0</v>
      </c>
      <c r="AB114" s="44" t="n">
        <f aca="false">IF(AA114=1,J114/H114,0)</f>
        <v>0</v>
      </c>
      <c r="AC114" s="44" t="n">
        <f aca="false">IF(AA114=1,Q114/H114,0)</f>
        <v>0</v>
      </c>
      <c r="AD114" s="44" t="n">
        <f aca="false">IF(AA114=1,R114/H114,0)</f>
        <v>0</v>
      </c>
      <c r="AE114" s="44" t="n">
        <f aca="false">IF(AA114=1,O114/H114,0)</f>
        <v>0</v>
      </c>
      <c r="AF114" s="44" t="n">
        <f aca="false">IF(AA114=1,K114/H114,0)</f>
        <v>0</v>
      </c>
      <c r="AG114" s="45" t="str">
        <f aca="false">IF(AA114=1,D114&amp;"|"&amp;TEXT(B114,"0"),"")</f>
        <v/>
      </c>
      <c r="AH114" s="43" t="n">
        <f aca="false">IF(AA114=1,H114,0)</f>
        <v>0</v>
      </c>
    </row>
    <row r="115" customFormat="false" ht="15" hidden="false" customHeight="false" outlineLevel="0" collapsed="false">
      <c r="A115" s="8" t="str">
        <f aca="false">IF(B115="","","B-"&amp;TEXT(ROW()-4,"0000"))</f>
        <v/>
      </c>
      <c r="B115" s="38"/>
      <c r="C115" s="38"/>
      <c r="D115" s="6"/>
      <c r="E115" s="6"/>
      <c r="F115" s="6"/>
      <c r="G115" s="11"/>
      <c r="H115" s="18" t="str">
        <f aca="false">IF(AND(ISNUMBER(B115),ISNUMBER(C115)),MAX(0,C115-B115),"")</f>
        <v/>
      </c>
      <c r="I115" s="37"/>
      <c r="J115" s="41" t="str">
        <f aca="false">IF(OR(D115="",N(H115)=0),"",IFERROR(IF(I115&lt;&gt;"",H115*I115,ROUND(((H115-(INT((WEEKDAY(B115-6)+H115-1)/7)+INT((WEEKDAY(B115-7)+H115-1)/7)))*INDEX(Properties!$E$5:$E$24,MATCH(D115,Properties!$A$5:$A$24,0))+(INT((WEEKDAY(B115-6)+H115-1)/7)+INT((WEEKDAY(B115-7)+H115-1)/7))*INDEX(Properties!$F$5:$F$24,MATCH(D115,Properties!$A$5:$A$24,0)))*(1-IF(H115&gt;=28,Settings!$B$10,IF(H115&gt;=7,Settings!$B$9,0))),2)),0))</f>
        <v/>
      </c>
      <c r="K115" s="41" t="str">
        <f aca="false">IF(J115="","",IFERROR(N(INDEX(Properties!$G$5:$G$24,MATCH(D115,Properties!$A$5:$A$24,0))),0))</f>
        <v/>
      </c>
      <c r="L115" s="41" t="str">
        <f aca="false">IF(J115="","",IFERROR(MAX(0,N(G115)-INDEX(Properties!$I$5:$I$24,MATCH(D115,Properties!$A$5:$A$24,0)))*N(INDEX(Properties!$J$5:$J$24,MATCH(D115,Properties!$A$5:$A$24,0)))*H115,0))</f>
        <v/>
      </c>
      <c r="M115" s="37"/>
      <c r="N115" s="41" t="str">
        <f aca="false">IF(J115="","",J115+K115+L115+N(M115))</f>
        <v/>
      </c>
      <c r="O115" s="41" t="str">
        <f aca="false">IF(N115="","",IF(P115&lt;&gt;"",N115-P115,ROUND(N115*IFERROR(INDEX(Settings!$E$5:$E$12,MATCH(F115,Settings!$D$5:$D$12,0)),0),2)))</f>
        <v/>
      </c>
      <c r="P115" s="37"/>
      <c r="Q115" s="41" t="str">
        <f aca="false">IF(N115="","",IF(P115&lt;&gt;"",P115,N115-O115))</f>
        <v/>
      </c>
      <c r="R115" s="41" t="str">
        <f aca="false">IF(J115="","",IFERROR(N(INDEX(Properties!$H$5:$H$24,MATCH(D115,Properties!$A$5:$A$24,0))),0))</f>
        <v/>
      </c>
      <c r="S115" s="41" t="str">
        <f aca="false">IF(Q115="","",Q115-R115)</f>
        <v/>
      </c>
      <c r="T115" s="6"/>
      <c r="U115" s="6"/>
      <c r="V115" s="6"/>
      <c r="W115" s="6"/>
      <c r="X115" s="6"/>
      <c r="Y115" s="8" t="str">
        <f aca="false">IF(OR(D115="",B115="",C115=""),"",IF(N(C115)&lt;=N(B115),"Check dates",IF(T115="Cancelled","",IF(COUNTIFS($D$5:$D$1004,D115,$B$5:$B$1004,"&lt;"&amp;C115,$C$5:$C$1004,"&gt;"&amp;B115,$T$5:$T$1004,"&lt;&gt;Cancelled")&gt;1,"Double-booked",""))))</f>
        <v/>
      </c>
      <c r="Z115" s="42" t="str">
        <f aca="false">IF(AND(AA115=1,ISNUMBER(C115)),C115+ROW()/100000,"")</f>
        <v/>
      </c>
      <c r="AA115" s="43" t="n">
        <f aca="false">IF(AND(D115&lt;&gt;"",ISNUMBER(B115),ISNUMBER(C115),N(H115)&gt;0,T115&lt;&gt;"Cancelled",J115&lt;&gt;""),1,0)</f>
        <v>0</v>
      </c>
      <c r="AB115" s="44" t="n">
        <f aca="false">IF(AA115=1,J115/H115,0)</f>
        <v>0</v>
      </c>
      <c r="AC115" s="44" t="n">
        <f aca="false">IF(AA115=1,Q115/H115,0)</f>
        <v>0</v>
      </c>
      <c r="AD115" s="44" t="n">
        <f aca="false">IF(AA115=1,R115/H115,0)</f>
        <v>0</v>
      </c>
      <c r="AE115" s="44" t="n">
        <f aca="false">IF(AA115=1,O115/H115,0)</f>
        <v>0</v>
      </c>
      <c r="AF115" s="44" t="n">
        <f aca="false">IF(AA115=1,K115/H115,0)</f>
        <v>0</v>
      </c>
      <c r="AG115" s="45" t="str">
        <f aca="false">IF(AA115=1,D115&amp;"|"&amp;TEXT(B115,"0"),"")</f>
        <v/>
      </c>
      <c r="AH115" s="43" t="n">
        <f aca="false">IF(AA115=1,H115,0)</f>
        <v>0</v>
      </c>
    </row>
    <row r="116" customFormat="false" ht="15" hidden="false" customHeight="false" outlineLevel="0" collapsed="false">
      <c r="A116" s="23" t="str">
        <f aca="false">IF(B116="","","B-"&amp;TEXT(ROW()-4,"0000"))</f>
        <v/>
      </c>
      <c r="B116" s="38"/>
      <c r="C116" s="38"/>
      <c r="D116" s="6"/>
      <c r="E116" s="6"/>
      <c r="F116" s="6"/>
      <c r="G116" s="11"/>
      <c r="H116" s="24" t="str">
        <f aca="false">IF(AND(ISNUMBER(B116),ISNUMBER(C116)),MAX(0,C116-B116),"")</f>
        <v/>
      </c>
      <c r="I116" s="37"/>
      <c r="J116" s="46" t="str">
        <f aca="false">IF(OR(D116="",N(H116)=0),"",IFERROR(IF(I116&lt;&gt;"",H116*I116,ROUND(((H116-(INT((WEEKDAY(B116-6)+H116-1)/7)+INT((WEEKDAY(B116-7)+H116-1)/7)))*INDEX(Properties!$E$5:$E$24,MATCH(D116,Properties!$A$5:$A$24,0))+(INT((WEEKDAY(B116-6)+H116-1)/7)+INT((WEEKDAY(B116-7)+H116-1)/7))*INDEX(Properties!$F$5:$F$24,MATCH(D116,Properties!$A$5:$A$24,0)))*(1-IF(H116&gt;=28,Settings!$B$10,IF(H116&gt;=7,Settings!$B$9,0))),2)),0))</f>
        <v/>
      </c>
      <c r="K116" s="46" t="str">
        <f aca="false">IF(J116="","",IFERROR(N(INDEX(Properties!$G$5:$G$24,MATCH(D116,Properties!$A$5:$A$24,0))),0))</f>
        <v/>
      </c>
      <c r="L116" s="46" t="str">
        <f aca="false">IF(J116="","",IFERROR(MAX(0,N(G116)-INDEX(Properties!$I$5:$I$24,MATCH(D116,Properties!$A$5:$A$24,0)))*N(INDEX(Properties!$J$5:$J$24,MATCH(D116,Properties!$A$5:$A$24,0)))*H116,0))</f>
        <v/>
      </c>
      <c r="M116" s="37"/>
      <c r="N116" s="46" t="str">
        <f aca="false">IF(J116="","",J116+K116+L116+N(M116))</f>
        <v/>
      </c>
      <c r="O116" s="46" t="str">
        <f aca="false">IF(N116="","",IF(P116&lt;&gt;"",N116-P116,ROUND(N116*IFERROR(INDEX(Settings!$E$5:$E$12,MATCH(F116,Settings!$D$5:$D$12,0)),0),2)))</f>
        <v/>
      </c>
      <c r="P116" s="37"/>
      <c r="Q116" s="46" t="str">
        <f aca="false">IF(N116="","",IF(P116&lt;&gt;"",P116,N116-O116))</f>
        <v/>
      </c>
      <c r="R116" s="46" t="str">
        <f aca="false">IF(J116="","",IFERROR(N(INDEX(Properties!$H$5:$H$24,MATCH(D116,Properties!$A$5:$A$24,0))),0))</f>
        <v/>
      </c>
      <c r="S116" s="46" t="str">
        <f aca="false">IF(Q116="","",Q116-R116)</f>
        <v/>
      </c>
      <c r="T116" s="6"/>
      <c r="U116" s="6"/>
      <c r="V116" s="6"/>
      <c r="W116" s="6"/>
      <c r="X116" s="6"/>
      <c r="Y116" s="8" t="str">
        <f aca="false">IF(OR(D116="",B116="",C116=""),"",IF(N(C116)&lt;=N(B116),"Check dates",IF(T116="Cancelled","",IF(COUNTIFS($D$5:$D$1004,D116,$B$5:$B$1004,"&lt;"&amp;C116,$C$5:$C$1004,"&gt;"&amp;B116,$T$5:$T$1004,"&lt;&gt;Cancelled")&gt;1,"Double-booked",""))))</f>
        <v/>
      </c>
      <c r="Z116" s="42" t="str">
        <f aca="false">IF(AND(AA116=1,ISNUMBER(C116)),C116+ROW()/100000,"")</f>
        <v/>
      </c>
      <c r="AA116" s="43" t="n">
        <f aca="false">IF(AND(D116&lt;&gt;"",ISNUMBER(B116),ISNUMBER(C116),N(H116)&gt;0,T116&lt;&gt;"Cancelled",J116&lt;&gt;""),1,0)</f>
        <v>0</v>
      </c>
      <c r="AB116" s="44" t="n">
        <f aca="false">IF(AA116=1,J116/H116,0)</f>
        <v>0</v>
      </c>
      <c r="AC116" s="44" t="n">
        <f aca="false">IF(AA116=1,Q116/H116,0)</f>
        <v>0</v>
      </c>
      <c r="AD116" s="44" t="n">
        <f aca="false">IF(AA116=1,R116/H116,0)</f>
        <v>0</v>
      </c>
      <c r="AE116" s="44" t="n">
        <f aca="false">IF(AA116=1,O116/H116,0)</f>
        <v>0</v>
      </c>
      <c r="AF116" s="44" t="n">
        <f aca="false">IF(AA116=1,K116/H116,0)</f>
        <v>0</v>
      </c>
      <c r="AG116" s="45" t="str">
        <f aca="false">IF(AA116=1,D116&amp;"|"&amp;TEXT(B116,"0"),"")</f>
        <v/>
      </c>
      <c r="AH116" s="43" t="n">
        <f aca="false">IF(AA116=1,H116,0)</f>
        <v>0</v>
      </c>
    </row>
    <row r="117" customFormat="false" ht="15" hidden="false" customHeight="false" outlineLevel="0" collapsed="false">
      <c r="A117" s="8" t="str">
        <f aca="false">IF(B117="","","B-"&amp;TEXT(ROW()-4,"0000"))</f>
        <v/>
      </c>
      <c r="B117" s="38"/>
      <c r="C117" s="38"/>
      <c r="D117" s="6"/>
      <c r="E117" s="6"/>
      <c r="F117" s="6"/>
      <c r="G117" s="11"/>
      <c r="H117" s="18" t="str">
        <f aca="false">IF(AND(ISNUMBER(B117),ISNUMBER(C117)),MAX(0,C117-B117),"")</f>
        <v/>
      </c>
      <c r="I117" s="37"/>
      <c r="J117" s="41" t="str">
        <f aca="false">IF(OR(D117="",N(H117)=0),"",IFERROR(IF(I117&lt;&gt;"",H117*I117,ROUND(((H117-(INT((WEEKDAY(B117-6)+H117-1)/7)+INT((WEEKDAY(B117-7)+H117-1)/7)))*INDEX(Properties!$E$5:$E$24,MATCH(D117,Properties!$A$5:$A$24,0))+(INT((WEEKDAY(B117-6)+H117-1)/7)+INT((WEEKDAY(B117-7)+H117-1)/7))*INDEX(Properties!$F$5:$F$24,MATCH(D117,Properties!$A$5:$A$24,0)))*(1-IF(H117&gt;=28,Settings!$B$10,IF(H117&gt;=7,Settings!$B$9,0))),2)),0))</f>
        <v/>
      </c>
      <c r="K117" s="41" t="str">
        <f aca="false">IF(J117="","",IFERROR(N(INDEX(Properties!$G$5:$G$24,MATCH(D117,Properties!$A$5:$A$24,0))),0))</f>
        <v/>
      </c>
      <c r="L117" s="41" t="str">
        <f aca="false">IF(J117="","",IFERROR(MAX(0,N(G117)-INDEX(Properties!$I$5:$I$24,MATCH(D117,Properties!$A$5:$A$24,0)))*N(INDEX(Properties!$J$5:$J$24,MATCH(D117,Properties!$A$5:$A$24,0)))*H117,0))</f>
        <v/>
      </c>
      <c r="M117" s="37"/>
      <c r="N117" s="41" t="str">
        <f aca="false">IF(J117="","",J117+K117+L117+N(M117))</f>
        <v/>
      </c>
      <c r="O117" s="41" t="str">
        <f aca="false">IF(N117="","",IF(P117&lt;&gt;"",N117-P117,ROUND(N117*IFERROR(INDEX(Settings!$E$5:$E$12,MATCH(F117,Settings!$D$5:$D$12,0)),0),2)))</f>
        <v/>
      </c>
      <c r="P117" s="37"/>
      <c r="Q117" s="41" t="str">
        <f aca="false">IF(N117="","",IF(P117&lt;&gt;"",P117,N117-O117))</f>
        <v/>
      </c>
      <c r="R117" s="41" t="str">
        <f aca="false">IF(J117="","",IFERROR(N(INDEX(Properties!$H$5:$H$24,MATCH(D117,Properties!$A$5:$A$24,0))),0))</f>
        <v/>
      </c>
      <c r="S117" s="41" t="str">
        <f aca="false">IF(Q117="","",Q117-R117)</f>
        <v/>
      </c>
      <c r="T117" s="6"/>
      <c r="U117" s="6"/>
      <c r="V117" s="6"/>
      <c r="W117" s="6"/>
      <c r="X117" s="6"/>
      <c r="Y117" s="8" t="str">
        <f aca="false">IF(OR(D117="",B117="",C117=""),"",IF(N(C117)&lt;=N(B117),"Check dates",IF(T117="Cancelled","",IF(COUNTIFS($D$5:$D$1004,D117,$B$5:$B$1004,"&lt;"&amp;C117,$C$5:$C$1004,"&gt;"&amp;B117,$T$5:$T$1004,"&lt;&gt;Cancelled")&gt;1,"Double-booked",""))))</f>
        <v/>
      </c>
      <c r="Z117" s="42" t="str">
        <f aca="false">IF(AND(AA117=1,ISNUMBER(C117)),C117+ROW()/100000,"")</f>
        <v/>
      </c>
      <c r="AA117" s="43" t="n">
        <f aca="false">IF(AND(D117&lt;&gt;"",ISNUMBER(B117),ISNUMBER(C117),N(H117)&gt;0,T117&lt;&gt;"Cancelled",J117&lt;&gt;""),1,0)</f>
        <v>0</v>
      </c>
      <c r="AB117" s="44" t="n">
        <f aca="false">IF(AA117=1,J117/H117,0)</f>
        <v>0</v>
      </c>
      <c r="AC117" s="44" t="n">
        <f aca="false">IF(AA117=1,Q117/H117,0)</f>
        <v>0</v>
      </c>
      <c r="AD117" s="44" t="n">
        <f aca="false">IF(AA117=1,R117/H117,0)</f>
        <v>0</v>
      </c>
      <c r="AE117" s="44" t="n">
        <f aca="false">IF(AA117=1,O117/H117,0)</f>
        <v>0</v>
      </c>
      <c r="AF117" s="44" t="n">
        <f aca="false">IF(AA117=1,K117/H117,0)</f>
        <v>0</v>
      </c>
      <c r="AG117" s="45" t="str">
        <f aca="false">IF(AA117=1,D117&amp;"|"&amp;TEXT(B117,"0"),"")</f>
        <v/>
      </c>
      <c r="AH117" s="43" t="n">
        <f aca="false">IF(AA117=1,H117,0)</f>
        <v>0</v>
      </c>
    </row>
    <row r="118" customFormat="false" ht="15" hidden="false" customHeight="false" outlineLevel="0" collapsed="false">
      <c r="A118" s="23" t="str">
        <f aca="false">IF(B118="","","B-"&amp;TEXT(ROW()-4,"0000"))</f>
        <v/>
      </c>
      <c r="B118" s="38"/>
      <c r="C118" s="38"/>
      <c r="D118" s="6"/>
      <c r="E118" s="6"/>
      <c r="F118" s="6"/>
      <c r="G118" s="11"/>
      <c r="H118" s="24" t="str">
        <f aca="false">IF(AND(ISNUMBER(B118),ISNUMBER(C118)),MAX(0,C118-B118),"")</f>
        <v/>
      </c>
      <c r="I118" s="37"/>
      <c r="J118" s="46" t="str">
        <f aca="false">IF(OR(D118="",N(H118)=0),"",IFERROR(IF(I118&lt;&gt;"",H118*I118,ROUND(((H118-(INT((WEEKDAY(B118-6)+H118-1)/7)+INT((WEEKDAY(B118-7)+H118-1)/7)))*INDEX(Properties!$E$5:$E$24,MATCH(D118,Properties!$A$5:$A$24,0))+(INT((WEEKDAY(B118-6)+H118-1)/7)+INT((WEEKDAY(B118-7)+H118-1)/7))*INDEX(Properties!$F$5:$F$24,MATCH(D118,Properties!$A$5:$A$24,0)))*(1-IF(H118&gt;=28,Settings!$B$10,IF(H118&gt;=7,Settings!$B$9,0))),2)),0))</f>
        <v/>
      </c>
      <c r="K118" s="46" t="str">
        <f aca="false">IF(J118="","",IFERROR(N(INDEX(Properties!$G$5:$G$24,MATCH(D118,Properties!$A$5:$A$24,0))),0))</f>
        <v/>
      </c>
      <c r="L118" s="46" t="str">
        <f aca="false">IF(J118="","",IFERROR(MAX(0,N(G118)-INDEX(Properties!$I$5:$I$24,MATCH(D118,Properties!$A$5:$A$24,0)))*N(INDEX(Properties!$J$5:$J$24,MATCH(D118,Properties!$A$5:$A$24,0)))*H118,0))</f>
        <v/>
      </c>
      <c r="M118" s="37"/>
      <c r="N118" s="46" t="str">
        <f aca="false">IF(J118="","",J118+K118+L118+N(M118))</f>
        <v/>
      </c>
      <c r="O118" s="46" t="str">
        <f aca="false">IF(N118="","",IF(P118&lt;&gt;"",N118-P118,ROUND(N118*IFERROR(INDEX(Settings!$E$5:$E$12,MATCH(F118,Settings!$D$5:$D$12,0)),0),2)))</f>
        <v/>
      </c>
      <c r="P118" s="37"/>
      <c r="Q118" s="46" t="str">
        <f aca="false">IF(N118="","",IF(P118&lt;&gt;"",P118,N118-O118))</f>
        <v/>
      </c>
      <c r="R118" s="46" t="str">
        <f aca="false">IF(J118="","",IFERROR(N(INDEX(Properties!$H$5:$H$24,MATCH(D118,Properties!$A$5:$A$24,0))),0))</f>
        <v/>
      </c>
      <c r="S118" s="46" t="str">
        <f aca="false">IF(Q118="","",Q118-R118)</f>
        <v/>
      </c>
      <c r="T118" s="6"/>
      <c r="U118" s="6"/>
      <c r="V118" s="6"/>
      <c r="W118" s="6"/>
      <c r="X118" s="6"/>
      <c r="Y118" s="8" t="str">
        <f aca="false">IF(OR(D118="",B118="",C118=""),"",IF(N(C118)&lt;=N(B118),"Check dates",IF(T118="Cancelled","",IF(COUNTIFS($D$5:$D$1004,D118,$B$5:$B$1004,"&lt;"&amp;C118,$C$5:$C$1004,"&gt;"&amp;B118,$T$5:$T$1004,"&lt;&gt;Cancelled")&gt;1,"Double-booked",""))))</f>
        <v/>
      </c>
      <c r="Z118" s="42" t="str">
        <f aca="false">IF(AND(AA118=1,ISNUMBER(C118)),C118+ROW()/100000,"")</f>
        <v/>
      </c>
      <c r="AA118" s="43" t="n">
        <f aca="false">IF(AND(D118&lt;&gt;"",ISNUMBER(B118),ISNUMBER(C118),N(H118)&gt;0,T118&lt;&gt;"Cancelled",J118&lt;&gt;""),1,0)</f>
        <v>0</v>
      </c>
      <c r="AB118" s="44" t="n">
        <f aca="false">IF(AA118=1,J118/H118,0)</f>
        <v>0</v>
      </c>
      <c r="AC118" s="44" t="n">
        <f aca="false">IF(AA118=1,Q118/H118,0)</f>
        <v>0</v>
      </c>
      <c r="AD118" s="44" t="n">
        <f aca="false">IF(AA118=1,R118/H118,0)</f>
        <v>0</v>
      </c>
      <c r="AE118" s="44" t="n">
        <f aca="false">IF(AA118=1,O118/H118,0)</f>
        <v>0</v>
      </c>
      <c r="AF118" s="44" t="n">
        <f aca="false">IF(AA118=1,K118/H118,0)</f>
        <v>0</v>
      </c>
      <c r="AG118" s="45" t="str">
        <f aca="false">IF(AA118=1,D118&amp;"|"&amp;TEXT(B118,"0"),"")</f>
        <v/>
      </c>
      <c r="AH118" s="43" t="n">
        <f aca="false">IF(AA118=1,H118,0)</f>
        <v>0</v>
      </c>
    </row>
    <row r="119" customFormat="false" ht="15" hidden="false" customHeight="false" outlineLevel="0" collapsed="false">
      <c r="A119" s="8" t="str">
        <f aca="false">IF(B119="","","B-"&amp;TEXT(ROW()-4,"0000"))</f>
        <v/>
      </c>
      <c r="B119" s="38"/>
      <c r="C119" s="38"/>
      <c r="D119" s="6"/>
      <c r="E119" s="6"/>
      <c r="F119" s="6"/>
      <c r="G119" s="11"/>
      <c r="H119" s="18" t="str">
        <f aca="false">IF(AND(ISNUMBER(B119),ISNUMBER(C119)),MAX(0,C119-B119),"")</f>
        <v/>
      </c>
      <c r="I119" s="37"/>
      <c r="J119" s="41" t="str">
        <f aca="false">IF(OR(D119="",N(H119)=0),"",IFERROR(IF(I119&lt;&gt;"",H119*I119,ROUND(((H119-(INT((WEEKDAY(B119-6)+H119-1)/7)+INT((WEEKDAY(B119-7)+H119-1)/7)))*INDEX(Properties!$E$5:$E$24,MATCH(D119,Properties!$A$5:$A$24,0))+(INT((WEEKDAY(B119-6)+H119-1)/7)+INT((WEEKDAY(B119-7)+H119-1)/7))*INDEX(Properties!$F$5:$F$24,MATCH(D119,Properties!$A$5:$A$24,0)))*(1-IF(H119&gt;=28,Settings!$B$10,IF(H119&gt;=7,Settings!$B$9,0))),2)),0))</f>
        <v/>
      </c>
      <c r="K119" s="41" t="str">
        <f aca="false">IF(J119="","",IFERROR(N(INDEX(Properties!$G$5:$G$24,MATCH(D119,Properties!$A$5:$A$24,0))),0))</f>
        <v/>
      </c>
      <c r="L119" s="41" t="str">
        <f aca="false">IF(J119="","",IFERROR(MAX(0,N(G119)-INDEX(Properties!$I$5:$I$24,MATCH(D119,Properties!$A$5:$A$24,0)))*N(INDEX(Properties!$J$5:$J$24,MATCH(D119,Properties!$A$5:$A$24,0)))*H119,0))</f>
        <v/>
      </c>
      <c r="M119" s="37"/>
      <c r="N119" s="41" t="str">
        <f aca="false">IF(J119="","",J119+K119+L119+N(M119))</f>
        <v/>
      </c>
      <c r="O119" s="41" t="str">
        <f aca="false">IF(N119="","",IF(P119&lt;&gt;"",N119-P119,ROUND(N119*IFERROR(INDEX(Settings!$E$5:$E$12,MATCH(F119,Settings!$D$5:$D$12,0)),0),2)))</f>
        <v/>
      </c>
      <c r="P119" s="37"/>
      <c r="Q119" s="41" t="str">
        <f aca="false">IF(N119="","",IF(P119&lt;&gt;"",P119,N119-O119))</f>
        <v/>
      </c>
      <c r="R119" s="41" t="str">
        <f aca="false">IF(J119="","",IFERROR(N(INDEX(Properties!$H$5:$H$24,MATCH(D119,Properties!$A$5:$A$24,0))),0))</f>
        <v/>
      </c>
      <c r="S119" s="41" t="str">
        <f aca="false">IF(Q119="","",Q119-R119)</f>
        <v/>
      </c>
      <c r="T119" s="6"/>
      <c r="U119" s="6"/>
      <c r="V119" s="6"/>
      <c r="W119" s="6"/>
      <c r="X119" s="6"/>
      <c r="Y119" s="8" t="str">
        <f aca="false">IF(OR(D119="",B119="",C119=""),"",IF(N(C119)&lt;=N(B119),"Check dates",IF(T119="Cancelled","",IF(COUNTIFS($D$5:$D$1004,D119,$B$5:$B$1004,"&lt;"&amp;C119,$C$5:$C$1004,"&gt;"&amp;B119,$T$5:$T$1004,"&lt;&gt;Cancelled")&gt;1,"Double-booked",""))))</f>
        <v/>
      </c>
      <c r="Z119" s="42" t="str">
        <f aca="false">IF(AND(AA119=1,ISNUMBER(C119)),C119+ROW()/100000,"")</f>
        <v/>
      </c>
      <c r="AA119" s="43" t="n">
        <f aca="false">IF(AND(D119&lt;&gt;"",ISNUMBER(B119),ISNUMBER(C119),N(H119)&gt;0,T119&lt;&gt;"Cancelled",J119&lt;&gt;""),1,0)</f>
        <v>0</v>
      </c>
      <c r="AB119" s="44" t="n">
        <f aca="false">IF(AA119=1,J119/H119,0)</f>
        <v>0</v>
      </c>
      <c r="AC119" s="44" t="n">
        <f aca="false">IF(AA119=1,Q119/H119,0)</f>
        <v>0</v>
      </c>
      <c r="AD119" s="44" t="n">
        <f aca="false">IF(AA119=1,R119/H119,0)</f>
        <v>0</v>
      </c>
      <c r="AE119" s="44" t="n">
        <f aca="false">IF(AA119=1,O119/H119,0)</f>
        <v>0</v>
      </c>
      <c r="AF119" s="44" t="n">
        <f aca="false">IF(AA119=1,K119/H119,0)</f>
        <v>0</v>
      </c>
      <c r="AG119" s="45" t="str">
        <f aca="false">IF(AA119=1,D119&amp;"|"&amp;TEXT(B119,"0"),"")</f>
        <v/>
      </c>
      <c r="AH119" s="43" t="n">
        <f aca="false">IF(AA119=1,H119,0)</f>
        <v>0</v>
      </c>
    </row>
    <row r="120" customFormat="false" ht="15" hidden="false" customHeight="false" outlineLevel="0" collapsed="false">
      <c r="A120" s="23" t="str">
        <f aca="false">IF(B120="","","B-"&amp;TEXT(ROW()-4,"0000"))</f>
        <v/>
      </c>
      <c r="B120" s="38"/>
      <c r="C120" s="38"/>
      <c r="D120" s="6"/>
      <c r="E120" s="6"/>
      <c r="F120" s="6"/>
      <c r="G120" s="11"/>
      <c r="H120" s="24" t="str">
        <f aca="false">IF(AND(ISNUMBER(B120),ISNUMBER(C120)),MAX(0,C120-B120),"")</f>
        <v/>
      </c>
      <c r="I120" s="37"/>
      <c r="J120" s="46" t="str">
        <f aca="false">IF(OR(D120="",N(H120)=0),"",IFERROR(IF(I120&lt;&gt;"",H120*I120,ROUND(((H120-(INT((WEEKDAY(B120-6)+H120-1)/7)+INT((WEEKDAY(B120-7)+H120-1)/7)))*INDEX(Properties!$E$5:$E$24,MATCH(D120,Properties!$A$5:$A$24,0))+(INT((WEEKDAY(B120-6)+H120-1)/7)+INT((WEEKDAY(B120-7)+H120-1)/7))*INDEX(Properties!$F$5:$F$24,MATCH(D120,Properties!$A$5:$A$24,0)))*(1-IF(H120&gt;=28,Settings!$B$10,IF(H120&gt;=7,Settings!$B$9,0))),2)),0))</f>
        <v/>
      </c>
      <c r="K120" s="46" t="str">
        <f aca="false">IF(J120="","",IFERROR(N(INDEX(Properties!$G$5:$G$24,MATCH(D120,Properties!$A$5:$A$24,0))),0))</f>
        <v/>
      </c>
      <c r="L120" s="46" t="str">
        <f aca="false">IF(J120="","",IFERROR(MAX(0,N(G120)-INDEX(Properties!$I$5:$I$24,MATCH(D120,Properties!$A$5:$A$24,0)))*N(INDEX(Properties!$J$5:$J$24,MATCH(D120,Properties!$A$5:$A$24,0)))*H120,0))</f>
        <v/>
      </c>
      <c r="M120" s="37"/>
      <c r="N120" s="46" t="str">
        <f aca="false">IF(J120="","",J120+K120+L120+N(M120))</f>
        <v/>
      </c>
      <c r="O120" s="46" t="str">
        <f aca="false">IF(N120="","",IF(P120&lt;&gt;"",N120-P120,ROUND(N120*IFERROR(INDEX(Settings!$E$5:$E$12,MATCH(F120,Settings!$D$5:$D$12,0)),0),2)))</f>
        <v/>
      </c>
      <c r="P120" s="37"/>
      <c r="Q120" s="46" t="str">
        <f aca="false">IF(N120="","",IF(P120&lt;&gt;"",P120,N120-O120))</f>
        <v/>
      </c>
      <c r="R120" s="46" t="str">
        <f aca="false">IF(J120="","",IFERROR(N(INDEX(Properties!$H$5:$H$24,MATCH(D120,Properties!$A$5:$A$24,0))),0))</f>
        <v/>
      </c>
      <c r="S120" s="46" t="str">
        <f aca="false">IF(Q120="","",Q120-R120)</f>
        <v/>
      </c>
      <c r="T120" s="6"/>
      <c r="U120" s="6"/>
      <c r="V120" s="6"/>
      <c r="W120" s="6"/>
      <c r="X120" s="6"/>
      <c r="Y120" s="8" t="str">
        <f aca="false">IF(OR(D120="",B120="",C120=""),"",IF(N(C120)&lt;=N(B120),"Check dates",IF(T120="Cancelled","",IF(COUNTIFS($D$5:$D$1004,D120,$B$5:$B$1004,"&lt;"&amp;C120,$C$5:$C$1004,"&gt;"&amp;B120,$T$5:$T$1004,"&lt;&gt;Cancelled")&gt;1,"Double-booked",""))))</f>
        <v/>
      </c>
      <c r="Z120" s="42" t="str">
        <f aca="false">IF(AND(AA120=1,ISNUMBER(C120)),C120+ROW()/100000,"")</f>
        <v/>
      </c>
      <c r="AA120" s="43" t="n">
        <f aca="false">IF(AND(D120&lt;&gt;"",ISNUMBER(B120),ISNUMBER(C120),N(H120)&gt;0,T120&lt;&gt;"Cancelled",J120&lt;&gt;""),1,0)</f>
        <v>0</v>
      </c>
      <c r="AB120" s="44" t="n">
        <f aca="false">IF(AA120=1,J120/H120,0)</f>
        <v>0</v>
      </c>
      <c r="AC120" s="44" t="n">
        <f aca="false">IF(AA120=1,Q120/H120,0)</f>
        <v>0</v>
      </c>
      <c r="AD120" s="44" t="n">
        <f aca="false">IF(AA120=1,R120/H120,0)</f>
        <v>0</v>
      </c>
      <c r="AE120" s="44" t="n">
        <f aca="false">IF(AA120=1,O120/H120,0)</f>
        <v>0</v>
      </c>
      <c r="AF120" s="44" t="n">
        <f aca="false">IF(AA120=1,K120/H120,0)</f>
        <v>0</v>
      </c>
      <c r="AG120" s="45" t="str">
        <f aca="false">IF(AA120=1,D120&amp;"|"&amp;TEXT(B120,"0"),"")</f>
        <v/>
      </c>
      <c r="AH120" s="43" t="n">
        <f aca="false">IF(AA120=1,H120,0)</f>
        <v>0</v>
      </c>
    </row>
    <row r="121" customFormat="false" ht="15" hidden="false" customHeight="false" outlineLevel="0" collapsed="false">
      <c r="A121" s="8" t="str">
        <f aca="false">IF(B121="","","B-"&amp;TEXT(ROW()-4,"0000"))</f>
        <v/>
      </c>
      <c r="B121" s="38"/>
      <c r="C121" s="38"/>
      <c r="D121" s="6"/>
      <c r="E121" s="6"/>
      <c r="F121" s="6"/>
      <c r="G121" s="11"/>
      <c r="H121" s="18" t="str">
        <f aca="false">IF(AND(ISNUMBER(B121),ISNUMBER(C121)),MAX(0,C121-B121),"")</f>
        <v/>
      </c>
      <c r="I121" s="37"/>
      <c r="J121" s="41" t="str">
        <f aca="false">IF(OR(D121="",N(H121)=0),"",IFERROR(IF(I121&lt;&gt;"",H121*I121,ROUND(((H121-(INT((WEEKDAY(B121-6)+H121-1)/7)+INT((WEEKDAY(B121-7)+H121-1)/7)))*INDEX(Properties!$E$5:$E$24,MATCH(D121,Properties!$A$5:$A$24,0))+(INT((WEEKDAY(B121-6)+H121-1)/7)+INT((WEEKDAY(B121-7)+H121-1)/7))*INDEX(Properties!$F$5:$F$24,MATCH(D121,Properties!$A$5:$A$24,0)))*(1-IF(H121&gt;=28,Settings!$B$10,IF(H121&gt;=7,Settings!$B$9,0))),2)),0))</f>
        <v/>
      </c>
      <c r="K121" s="41" t="str">
        <f aca="false">IF(J121="","",IFERROR(N(INDEX(Properties!$G$5:$G$24,MATCH(D121,Properties!$A$5:$A$24,0))),0))</f>
        <v/>
      </c>
      <c r="L121" s="41" t="str">
        <f aca="false">IF(J121="","",IFERROR(MAX(0,N(G121)-INDEX(Properties!$I$5:$I$24,MATCH(D121,Properties!$A$5:$A$24,0)))*N(INDEX(Properties!$J$5:$J$24,MATCH(D121,Properties!$A$5:$A$24,0)))*H121,0))</f>
        <v/>
      </c>
      <c r="M121" s="37"/>
      <c r="N121" s="41" t="str">
        <f aca="false">IF(J121="","",J121+K121+L121+N(M121))</f>
        <v/>
      </c>
      <c r="O121" s="41" t="str">
        <f aca="false">IF(N121="","",IF(P121&lt;&gt;"",N121-P121,ROUND(N121*IFERROR(INDEX(Settings!$E$5:$E$12,MATCH(F121,Settings!$D$5:$D$12,0)),0),2)))</f>
        <v/>
      </c>
      <c r="P121" s="37"/>
      <c r="Q121" s="41" t="str">
        <f aca="false">IF(N121="","",IF(P121&lt;&gt;"",P121,N121-O121))</f>
        <v/>
      </c>
      <c r="R121" s="41" t="str">
        <f aca="false">IF(J121="","",IFERROR(N(INDEX(Properties!$H$5:$H$24,MATCH(D121,Properties!$A$5:$A$24,0))),0))</f>
        <v/>
      </c>
      <c r="S121" s="41" t="str">
        <f aca="false">IF(Q121="","",Q121-R121)</f>
        <v/>
      </c>
      <c r="T121" s="6"/>
      <c r="U121" s="6"/>
      <c r="V121" s="6"/>
      <c r="W121" s="6"/>
      <c r="X121" s="6"/>
      <c r="Y121" s="8" t="str">
        <f aca="false">IF(OR(D121="",B121="",C121=""),"",IF(N(C121)&lt;=N(B121),"Check dates",IF(T121="Cancelled","",IF(COUNTIFS($D$5:$D$1004,D121,$B$5:$B$1004,"&lt;"&amp;C121,$C$5:$C$1004,"&gt;"&amp;B121,$T$5:$T$1004,"&lt;&gt;Cancelled")&gt;1,"Double-booked",""))))</f>
        <v/>
      </c>
      <c r="Z121" s="42" t="str">
        <f aca="false">IF(AND(AA121=1,ISNUMBER(C121)),C121+ROW()/100000,"")</f>
        <v/>
      </c>
      <c r="AA121" s="43" t="n">
        <f aca="false">IF(AND(D121&lt;&gt;"",ISNUMBER(B121),ISNUMBER(C121),N(H121)&gt;0,T121&lt;&gt;"Cancelled",J121&lt;&gt;""),1,0)</f>
        <v>0</v>
      </c>
      <c r="AB121" s="44" t="n">
        <f aca="false">IF(AA121=1,J121/H121,0)</f>
        <v>0</v>
      </c>
      <c r="AC121" s="44" t="n">
        <f aca="false">IF(AA121=1,Q121/H121,0)</f>
        <v>0</v>
      </c>
      <c r="AD121" s="44" t="n">
        <f aca="false">IF(AA121=1,R121/H121,0)</f>
        <v>0</v>
      </c>
      <c r="AE121" s="44" t="n">
        <f aca="false">IF(AA121=1,O121/H121,0)</f>
        <v>0</v>
      </c>
      <c r="AF121" s="44" t="n">
        <f aca="false">IF(AA121=1,K121/H121,0)</f>
        <v>0</v>
      </c>
      <c r="AG121" s="45" t="str">
        <f aca="false">IF(AA121=1,D121&amp;"|"&amp;TEXT(B121,"0"),"")</f>
        <v/>
      </c>
      <c r="AH121" s="43" t="n">
        <f aca="false">IF(AA121=1,H121,0)</f>
        <v>0</v>
      </c>
    </row>
    <row r="122" customFormat="false" ht="15" hidden="false" customHeight="false" outlineLevel="0" collapsed="false">
      <c r="A122" s="23" t="str">
        <f aca="false">IF(B122="","","B-"&amp;TEXT(ROW()-4,"0000"))</f>
        <v/>
      </c>
      <c r="B122" s="38"/>
      <c r="C122" s="38"/>
      <c r="D122" s="6"/>
      <c r="E122" s="6"/>
      <c r="F122" s="6"/>
      <c r="G122" s="11"/>
      <c r="H122" s="24" t="str">
        <f aca="false">IF(AND(ISNUMBER(B122),ISNUMBER(C122)),MAX(0,C122-B122),"")</f>
        <v/>
      </c>
      <c r="I122" s="37"/>
      <c r="J122" s="46" t="str">
        <f aca="false">IF(OR(D122="",N(H122)=0),"",IFERROR(IF(I122&lt;&gt;"",H122*I122,ROUND(((H122-(INT((WEEKDAY(B122-6)+H122-1)/7)+INT((WEEKDAY(B122-7)+H122-1)/7)))*INDEX(Properties!$E$5:$E$24,MATCH(D122,Properties!$A$5:$A$24,0))+(INT((WEEKDAY(B122-6)+H122-1)/7)+INT((WEEKDAY(B122-7)+H122-1)/7))*INDEX(Properties!$F$5:$F$24,MATCH(D122,Properties!$A$5:$A$24,0)))*(1-IF(H122&gt;=28,Settings!$B$10,IF(H122&gt;=7,Settings!$B$9,0))),2)),0))</f>
        <v/>
      </c>
      <c r="K122" s="46" t="str">
        <f aca="false">IF(J122="","",IFERROR(N(INDEX(Properties!$G$5:$G$24,MATCH(D122,Properties!$A$5:$A$24,0))),0))</f>
        <v/>
      </c>
      <c r="L122" s="46" t="str">
        <f aca="false">IF(J122="","",IFERROR(MAX(0,N(G122)-INDEX(Properties!$I$5:$I$24,MATCH(D122,Properties!$A$5:$A$24,0)))*N(INDEX(Properties!$J$5:$J$24,MATCH(D122,Properties!$A$5:$A$24,0)))*H122,0))</f>
        <v/>
      </c>
      <c r="M122" s="37"/>
      <c r="N122" s="46" t="str">
        <f aca="false">IF(J122="","",J122+K122+L122+N(M122))</f>
        <v/>
      </c>
      <c r="O122" s="46" t="str">
        <f aca="false">IF(N122="","",IF(P122&lt;&gt;"",N122-P122,ROUND(N122*IFERROR(INDEX(Settings!$E$5:$E$12,MATCH(F122,Settings!$D$5:$D$12,0)),0),2)))</f>
        <v/>
      </c>
      <c r="P122" s="37"/>
      <c r="Q122" s="46" t="str">
        <f aca="false">IF(N122="","",IF(P122&lt;&gt;"",P122,N122-O122))</f>
        <v/>
      </c>
      <c r="R122" s="46" t="str">
        <f aca="false">IF(J122="","",IFERROR(N(INDEX(Properties!$H$5:$H$24,MATCH(D122,Properties!$A$5:$A$24,0))),0))</f>
        <v/>
      </c>
      <c r="S122" s="46" t="str">
        <f aca="false">IF(Q122="","",Q122-R122)</f>
        <v/>
      </c>
      <c r="T122" s="6"/>
      <c r="U122" s="6"/>
      <c r="V122" s="6"/>
      <c r="W122" s="6"/>
      <c r="X122" s="6"/>
      <c r="Y122" s="8" t="str">
        <f aca="false">IF(OR(D122="",B122="",C122=""),"",IF(N(C122)&lt;=N(B122),"Check dates",IF(T122="Cancelled","",IF(COUNTIFS($D$5:$D$1004,D122,$B$5:$B$1004,"&lt;"&amp;C122,$C$5:$C$1004,"&gt;"&amp;B122,$T$5:$T$1004,"&lt;&gt;Cancelled")&gt;1,"Double-booked",""))))</f>
        <v/>
      </c>
      <c r="Z122" s="42" t="str">
        <f aca="false">IF(AND(AA122=1,ISNUMBER(C122)),C122+ROW()/100000,"")</f>
        <v/>
      </c>
      <c r="AA122" s="43" t="n">
        <f aca="false">IF(AND(D122&lt;&gt;"",ISNUMBER(B122),ISNUMBER(C122),N(H122)&gt;0,T122&lt;&gt;"Cancelled",J122&lt;&gt;""),1,0)</f>
        <v>0</v>
      </c>
      <c r="AB122" s="44" t="n">
        <f aca="false">IF(AA122=1,J122/H122,0)</f>
        <v>0</v>
      </c>
      <c r="AC122" s="44" t="n">
        <f aca="false">IF(AA122=1,Q122/H122,0)</f>
        <v>0</v>
      </c>
      <c r="AD122" s="44" t="n">
        <f aca="false">IF(AA122=1,R122/H122,0)</f>
        <v>0</v>
      </c>
      <c r="AE122" s="44" t="n">
        <f aca="false">IF(AA122=1,O122/H122,0)</f>
        <v>0</v>
      </c>
      <c r="AF122" s="44" t="n">
        <f aca="false">IF(AA122=1,K122/H122,0)</f>
        <v>0</v>
      </c>
      <c r="AG122" s="45" t="str">
        <f aca="false">IF(AA122=1,D122&amp;"|"&amp;TEXT(B122,"0"),"")</f>
        <v/>
      </c>
      <c r="AH122" s="43" t="n">
        <f aca="false">IF(AA122=1,H122,0)</f>
        <v>0</v>
      </c>
    </row>
    <row r="123" customFormat="false" ht="15" hidden="false" customHeight="false" outlineLevel="0" collapsed="false">
      <c r="A123" s="8" t="str">
        <f aca="false">IF(B123="","","B-"&amp;TEXT(ROW()-4,"0000"))</f>
        <v/>
      </c>
      <c r="B123" s="38"/>
      <c r="C123" s="38"/>
      <c r="D123" s="6"/>
      <c r="E123" s="6"/>
      <c r="F123" s="6"/>
      <c r="G123" s="11"/>
      <c r="H123" s="18" t="str">
        <f aca="false">IF(AND(ISNUMBER(B123),ISNUMBER(C123)),MAX(0,C123-B123),"")</f>
        <v/>
      </c>
      <c r="I123" s="37"/>
      <c r="J123" s="41" t="str">
        <f aca="false">IF(OR(D123="",N(H123)=0),"",IFERROR(IF(I123&lt;&gt;"",H123*I123,ROUND(((H123-(INT((WEEKDAY(B123-6)+H123-1)/7)+INT((WEEKDAY(B123-7)+H123-1)/7)))*INDEX(Properties!$E$5:$E$24,MATCH(D123,Properties!$A$5:$A$24,0))+(INT((WEEKDAY(B123-6)+H123-1)/7)+INT((WEEKDAY(B123-7)+H123-1)/7))*INDEX(Properties!$F$5:$F$24,MATCH(D123,Properties!$A$5:$A$24,0)))*(1-IF(H123&gt;=28,Settings!$B$10,IF(H123&gt;=7,Settings!$B$9,0))),2)),0))</f>
        <v/>
      </c>
      <c r="K123" s="41" t="str">
        <f aca="false">IF(J123="","",IFERROR(N(INDEX(Properties!$G$5:$G$24,MATCH(D123,Properties!$A$5:$A$24,0))),0))</f>
        <v/>
      </c>
      <c r="L123" s="41" t="str">
        <f aca="false">IF(J123="","",IFERROR(MAX(0,N(G123)-INDEX(Properties!$I$5:$I$24,MATCH(D123,Properties!$A$5:$A$24,0)))*N(INDEX(Properties!$J$5:$J$24,MATCH(D123,Properties!$A$5:$A$24,0)))*H123,0))</f>
        <v/>
      </c>
      <c r="M123" s="37"/>
      <c r="N123" s="41" t="str">
        <f aca="false">IF(J123="","",J123+K123+L123+N(M123))</f>
        <v/>
      </c>
      <c r="O123" s="41" t="str">
        <f aca="false">IF(N123="","",IF(P123&lt;&gt;"",N123-P123,ROUND(N123*IFERROR(INDEX(Settings!$E$5:$E$12,MATCH(F123,Settings!$D$5:$D$12,0)),0),2)))</f>
        <v/>
      </c>
      <c r="P123" s="37"/>
      <c r="Q123" s="41" t="str">
        <f aca="false">IF(N123="","",IF(P123&lt;&gt;"",P123,N123-O123))</f>
        <v/>
      </c>
      <c r="R123" s="41" t="str">
        <f aca="false">IF(J123="","",IFERROR(N(INDEX(Properties!$H$5:$H$24,MATCH(D123,Properties!$A$5:$A$24,0))),0))</f>
        <v/>
      </c>
      <c r="S123" s="41" t="str">
        <f aca="false">IF(Q123="","",Q123-R123)</f>
        <v/>
      </c>
      <c r="T123" s="6"/>
      <c r="U123" s="6"/>
      <c r="V123" s="6"/>
      <c r="W123" s="6"/>
      <c r="X123" s="6"/>
      <c r="Y123" s="8" t="str">
        <f aca="false">IF(OR(D123="",B123="",C123=""),"",IF(N(C123)&lt;=N(B123),"Check dates",IF(T123="Cancelled","",IF(COUNTIFS($D$5:$D$1004,D123,$B$5:$B$1004,"&lt;"&amp;C123,$C$5:$C$1004,"&gt;"&amp;B123,$T$5:$T$1004,"&lt;&gt;Cancelled")&gt;1,"Double-booked",""))))</f>
        <v/>
      </c>
      <c r="Z123" s="42" t="str">
        <f aca="false">IF(AND(AA123=1,ISNUMBER(C123)),C123+ROW()/100000,"")</f>
        <v/>
      </c>
      <c r="AA123" s="43" t="n">
        <f aca="false">IF(AND(D123&lt;&gt;"",ISNUMBER(B123),ISNUMBER(C123),N(H123)&gt;0,T123&lt;&gt;"Cancelled",J123&lt;&gt;""),1,0)</f>
        <v>0</v>
      </c>
      <c r="AB123" s="44" t="n">
        <f aca="false">IF(AA123=1,J123/H123,0)</f>
        <v>0</v>
      </c>
      <c r="AC123" s="44" t="n">
        <f aca="false">IF(AA123=1,Q123/H123,0)</f>
        <v>0</v>
      </c>
      <c r="AD123" s="44" t="n">
        <f aca="false">IF(AA123=1,R123/H123,0)</f>
        <v>0</v>
      </c>
      <c r="AE123" s="44" t="n">
        <f aca="false">IF(AA123=1,O123/H123,0)</f>
        <v>0</v>
      </c>
      <c r="AF123" s="44" t="n">
        <f aca="false">IF(AA123=1,K123/H123,0)</f>
        <v>0</v>
      </c>
      <c r="AG123" s="45" t="str">
        <f aca="false">IF(AA123=1,D123&amp;"|"&amp;TEXT(B123,"0"),"")</f>
        <v/>
      </c>
      <c r="AH123" s="43" t="n">
        <f aca="false">IF(AA123=1,H123,0)</f>
        <v>0</v>
      </c>
    </row>
    <row r="124" customFormat="false" ht="15" hidden="false" customHeight="false" outlineLevel="0" collapsed="false">
      <c r="A124" s="23" t="str">
        <f aca="false">IF(B124="","","B-"&amp;TEXT(ROW()-4,"0000"))</f>
        <v/>
      </c>
      <c r="B124" s="38"/>
      <c r="C124" s="38"/>
      <c r="D124" s="6"/>
      <c r="E124" s="6"/>
      <c r="F124" s="6"/>
      <c r="G124" s="11"/>
      <c r="H124" s="24" t="str">
        <f aca="false">IF(AND(ISNUMBER(B124),ISNUMBER(C124)),MAX(0,C124-B124),"")</f>
        <v/>
      </c>
      <c r="I124" s="37"/>
      <c r="J124" s="46" t="str">
        <f aca="false">IF(OR(D124="",N(H124)=0),"",IFERROR(IF(I124&lt;&gt;"",H124*I124,ROUND(((H124-(INT((WEEKDAY(B124-6)+H124-1)/7)+INT((WEEKDAY(B124-7)+H124-1)/7)))*INDEX(Properties!$E$5:$E$24,MATCH(D124,Properties!$A$5:$A$24,0))+(INT((WEEKDAY(B124-6)+H124-1)/7)+INT((WEEKDAY(B124-7)+H124-1)/7))*INDEX(Properties!$F$5:$F$24,MATCH(D124,Properties!$A$5:$A$24,0)))*(1-IF(H124&gt;=28,Settings!$B$10,IF(H124&gt;=7,Settings!$B$9,0))),2)),0))</f>
        <v/>
      </c>
      <c r="K124" s="46" t="str">
        <f aca="false">IF(J124="","",IFERROR(N(INDEX(Properties!$G$5:$G$24,MATCH(D124,Properties!$A$5:$A$24,0))),0))</f>
        <v/>
      </c>
      <c r="L124" s="46" t="str">
        <f aca="false">IF(J124="","",IFERROR(MAX(0,N(G124)-INDEX(Properties!$I$5:$I$24,MATCH(D124,Properties!$A$5:$A$24,0)))*N(INDEX(Properties!$J$5:$J$24,MATCH(D124,Properties!$A$5:$A$24,0)))*H124,0))</f>
        <v/>
      </c>
      <c r="M124" s="37"/>
      <c r="N124" s="46" t="str">
        <f aca="false">IF(J124="","",J124+K124+L124+N(M124))</f>
        <v/>
      </c>
      <c r="O124" s="46" t="str">
        <f aca="false">IF(N124="","",IF(P124&lt;&gt;"",N124-P124,ROUND(N124*IFERROR(INDEX(Settings!$E$5:$E$12,MATCH(F124,Settings!$D$5:$D$12,0)),0),2)))</f>
        <v/>
      </c>
      <c r="P124" s="37"/>
      <c r="Q124" s="46" t="str">
        <f aca="false">IF(N124="","",IF(P124&lt;&gt;"",P124,N124-O124))</f>
        <v/>
      </c>
      <c r="R124" s="46" t="str">
        <f aca="false">IF(J124="","",IFERROR(N(INDEX(Properties!$H$5:$H$24,MATCH(D124,Properties!$A$5:$A$24,0))),0))</f>
        <v/>
      </c>
      <c r="S124" s="46" t="str">
        <f aca="false">IF(Q124="","",Q124-R124)</f>
        <v/>
      </c>
      <c r="T124" s="6"/>
      <c r="U124" s="6"/>
      <c r="V124" s="6"/>
      <c r="W124" s="6"/>
      <c r="X124" s="6"/>
      <c r="Y124" s="8" t="str">
        <f aca="false">IF(OR(D124="",B124="",C124=""),"",IF(N(C124)&lt;=N(B124),"Check dates",IF(T124="Cancelled","",IF(COUNTIFS($D$5:$D$1004,D124,$B$5:$B$1004,"&lt;"&amp;C124,$C$5:$C$1004,"&gt;"&amp;B124,$T$5:$T$1004,"&lt;&gt;Cancelled")&gt;1,"Double-booked",""))))</f>
        <v/>
      </c>
      <c r="Z124" s="42" t="str">
        <f aca="false">IF(AND(AA124=1,ISNUMBER(C124)),C124+ROW()/100000,"")</f>
        <v/>
      </c>
      <c r="AA124" s="43" t="n">
        <f aca="false">IF(AND(D124&lt;&gt;"",ISNUMBER(B124),ISNUMBER(C124),N(H124)&gt;0,T124&lt;&gt;"Cancelled",J124&lt;&gt;""),1,0)</f>
        <v>0</v>
      </c>
      <c r="AB124" s="44" t="n">
        <f aca="false">IF(AA124=1,J124/H124,0)</f>
        <v>0</v>
      </c>
      <c r="AC124" s="44" t="n">
        <f aca="false">IF(AA124=1,Q124/H124,0)</f>
        <v>0</v>
      </c>
      <c r="AD124" s="44" t="n">
        <f aca="false">IF(AA124=1,R124/H124,0)</f>
        <v>0</v>
      </c>
      <c r="AE124" s="44" t="n">
        <f aca="false">IF(AA124=1,O124/H124,0)</f>
        <v>0</v>
      </c>
      <c r="AF124" s="44" t="n">
        <f aca="false">IF(AA124=1,K124/H124,0)</f>
        <v>0</v>
      </c>
      <c r="AG124" s="45" t="str">
        <f aca="false">IF(AA124=1,D124&amp;"|"&amp;TEXT(B124,"0"),"")</f>
        <v/>
      </c>
      <c r="AH124" s="43" t="n">
        <f aca="false">IF(AA124=1,H124,0)</f>
        <v>0</v>
      </c>
    </row>
    <row r="125" customFormat="false" ht="15" hidden="false" customHeight="false" outlineLevel="0" collapsed="false">
      <c r="A125" s="8" t="str">
        <f aca="false">IF(B125="","","B-"&amp;TEXT(ROW()-4,"0000"))</f>
        <v/>
      </c>
      <c r="B125" s="38"/>
      <c r="C125" s="38"/>
      <c r="D125" s="6"/>
      <c r="E125" s="6"/>
      <c r="F125" s="6"/>
      <c r="G125" s="11"/>
      <c r="H125" s="18" t="str">
        <f aca="false">IF(AND(ISNUMBER(B125),ISNUMBER(C125)),MAX(0,C125-B125),"")</f>
        <v/>
      </c>
      <c r="I125" s="37"/>
      <c r="J125" s="41" t="str">
        <f aca="false">IF(OR(D125="",N(H125)=0),"",IFERROR(IF(I125&lt;&gt;"",H125*I125,ROUND(((H125-(INT((WEEKDAY(B125-6)+H125-1)/7)+INT((WEEKDAY(B125-7)+H125-1)/7)))*INDEX(Properties!$E$5:$E$24,MATCH(D125,Properties!$A$5:$A$24,0))+(INT((WEEKDAY(B125-6)+H125-1)/7)+INT((WEEKDAY(B125-7)+H125-1)/7))*INDEX(Properties!$F$5:$F$24,MATCH(D125,Properties!$A$5:$A$24,0)))*(1-IF(H125&gt;=28,Settings!$B$10,IF(H125&gt;=7,Settings!$B$9,0))),2)),0))</f>
        <v/>
      </c>
      <c r="K125" s="41" t="str">
        <f aca="false">IF(J125="","",IFERROR(N(INDEX(Properties!$G$5:$G$24,MATCH(D125,Properties!$A$5:$A$24,0))),0))</f>
        <v/>
      </c>
      <c r="L125" s="41" t="str">
        <f aca="false">IF(J125="","",IFERROR(MAX(0,N(G125)-INDEX(Properties!$I$5:$I$24,MATCH(D125,Properties!$A$5:$A$24,0)))*N(INDEX(Properties!$J$5:$J$24,MATCH(D125,Properties!$A$5:$A$24,0)))*H125,0))</f>
        <v/>
      </c>
      <c r="M125" s="37"/>
      <c r="N125" s="41" t="str">
        <f aca="false">IF(J125="","",J125+K125+L125+N(M125))</f>
        <v/>
      </c>
      <c r="O125" s="41" t="str">
        <f aca="false">IF(N125="","",IF(P125&lt;&gt;"",N125-P125,ROUND(N125*IFERROR(INDEX(Settings!$E$5:$E$12,MATCH(F125,Settings!$D$5:$D$12,0)),0),2)))</f>
        <v/>
      </c>
      <c r="P125" s="37"/>
      <c r="Q125" s="41" t="str">
        <f aca="false">IF(N125="","",IF(P125&lt;&gt;"",P125,N125-O125))</f>
        <v/>
      </c>
      <c r="R125" s="41" t="str">
        <f aca="false">IF(J125="","",IFERROR(N(INDEX(Properties!$H$5:$H$24,MATCH(D125,Properties!$A$5:$A$24,0))),0))</f>
        <v/>
      </c>
      <c r="S125" s="41" t="str">
        <f aca="false">IF(Q125="","",Q125-R125)</f>
        <v/>
      </c>
      <c r="T125" s="6"/>
      <c r="U125" s="6"/>
      <c r="V125" s="6"/>
      <c r="W125" s="6"/>
      <c r="X125" s="6"/>
      <c r="Y125" s="8" t="str">
        <f aca="false">IF(OR(D125="",B125="",C125=""),"",IF(N(C125)&lt;=N(B125),"Check dates",IF(T125="Cancelled","",IF(COUNTIFS($D$5:$D$1004,D125,$B$5:$B$1004,"&lt;"&amp;C125,$C$5:$C$1004,"&gt;"&amp;B125,$T$5:$T$1004,"&lt;&gt;Cancelled")&gt;1,"Double-booked",""))))</f>
        <v/>
      </c>
      <c r="Z125" s="42" t="str">
        <f aca="false">IF(AND(AA125=1,ISNUMBER(C125)),C125+ROW()/100000,"")</f>
        <v/>
      </c>
      <c r="AA125" s="43" t="n">
        <f aca="false">IF(AND(D125&lt;&gt;"",ISNUMBER(B125),ISNUMBER(C125),N(H125)&gt;0,T125&lt;&gt;"Cancelled",J125&lt;&gt;""),1,0)</f>
        <v>0</v>
      </c>
      <c r="AB125" s="44" t="n">
        <f aca="false">IF(AA125=1,J125/H125,0)</f>
        <v>0</v>
      </c>
      <c r="AC125" s="44" t="n">
        <f aca="false">IF(AA125=1,Q125/H125,0)</f>
        <v>0</v>
      </c>
      <c r="AD125" s="44" t="n">
        <f aca="false">IF(AA125=1,R125/H125,0)</f>
        <v>0</v>
      </c>
      <c r="AE125" s="44" t="n">
        <f aca="false">IF(AA125=1,O125/H125,0)</f>
        <v>0</v>
      </c>
      <c r="AF125" s="44" t="n">
        <f aca="false">IF(AA125=1,K125/H125,0)</f>
        <v>0</v>
      </c>
      <c r="AG125" s="45" t="str">
        <f aca="false">IF(AA125=1,D125&amp;"|"&amp;TEXT(B125,"0"),"")</f>
        <v/>
      </c>
      <c r="AH125" s="43" t="n">
        <f aca="false">IF(AA125=1,H125,0)</f>
        <v>0</v>
      </c>
    </row>
    <row r="126" customFormat="false" ht="15" hidden="false" customHeight="false" outlineLevel="0" collapsed="false">
      <c r="A126" s="23" t="str">
        <f aca="false">IF(B126="","","B-"&amp;TEXT(ROW()-4,"0000"))</f>
        <v/>
      </c>
      <c r="B126" s="38"/>
      <c r="C126" s="38"/>
      <c r="D126" s="6"/>
      <c r="E126" s="6"/>
      <c r="F126" s="6"/>
      <c r="G126" s="11"/>
      <c r="H126" s="24" t="str">
        <f aca="false">IF(AND(ISNUMBER(B126),ISNUMBER(C126)),MAX(0,C126-B126),"")</f>
        <v/>
      </c>
      <c r="I126" s="37"/>
      <c r="J126" s="46" t="str">
        <f aca="false">IF(OR(D126="",N(H126)=0),"",IFERROR(IF(I126&lt;&gt;"",H126*I126,ROUND(((H126-(INT((WEEKDAY(B126-6)+H126-1)/7)+INT((WEEKDAY(B126-7)+H126-1)/7)))*INDEX(Properties!$E$5:$E$24,MATCH(D126,Properties!$A$5:$A$24,0))+(INT((WEEKDAY(B126-6)+H126-1)/7)+INT((WEEKDAY(B126-7)+H126-1)/7))*INDEX(Properties!$F$5:$F$24,MATCH(D126,Properties!$A$5:$A$24,0)))*(1-IF(H126&gt;=28,Settings!$B$10,IF(H126&gt;=7,Settings!$B$9,0))),2)),0))</f>
        <v/>
      </c>
      <c r="K126" s="46" t="str">
        <f aca="false">IF(J126="","",IFERROR(N(INDEX(Properties!$G$5:$G$24,MATCH(D126,Properties!$A$5:$A$24,0))),0))</f>
        <v/>
      </c>
      <c r="L126" s="46" t="str">
        <f aca="false">IF(J126="","",IFERROR(MAX(0,N(G126)-INDEX(Properties!$I$5:$I$24,MATCH(D126,Properties!$A$5:$A$24,0)))*N(INDEX(Properties!$J$5:$J$24,MATCH(D126,Properties!$A$5:$A$24,0)))*H126,0))</f>
        <v/>
      </c>
      <c r="M126" s="37"/>
      <c r="N126" s="46" t="str">
        <f aca="false">IF(J126="","",J126+K126+L126+N(M126))</f>
        <v/>
      </c>
      <c r="O126" s="46" t="str">
        <f aca="false">IF(N126="","",IF(P126&lt;&gt;"",N126-P126,ROUND(N126*IFERROR(INDEX(Settings!$E$5:$E$12,MATCH(F126,Settings!$D$5:$D$12,0)),0),2)))</f>
        <v/>
      </c>
      <c r="P126" s="37"/>
      <c r="Q126" s="46" t="str">
        <f aca="false">IF(N126="","",IF(P126&lt;&gt;"",P126,N126-O126))</f>
        <v/>
      </c>
      <c r="R126" s="46" t="str">
        <f aca="false">IF(J126="","",IFERROR(N(INDEX(Properties!$H$5:$H$24,MATCH(D126,Properties!$A$5:$A$24,0))),0))</f>
        <v/>
      </c>
      <c r="S126" s="46" t="str">
        <f aca="false">IF(Q126="","",Q126-R126)</f>
        <v/>
      </c>
      <c r="T126" s="6"/>
      <c r="U126" s="6"/>
      <c r="V126" s="6"/>
      <c r="W126" s="6"/>
      <c r="X126" s="6"/>
      <c r="Y126" s="8" t="str">
        <f aca="false">IF(OR(D126="",B126="",C126=""),"",IF(N(C126)&lt;=N(B126),"Check dates",IF(T126="Cancelled","",IF(COUNTIFS($D$5:$D$1004,D126,$B$5:$B$1004,"&lt;"&amp;C126,$C$5:$C$1004,"&gt;"&amp;B126,$T$5:$T$1004,"&lt;&gt;Cancelled")&gt;1,"Double-booked",""))))</f>
        <v/>
      </c>
      <c r="Z126" s="42" t="str">
        <f aca="false">IF(AND(AA126=1,ISNUMBER(C126)),C126+ROW()/100000,"")</f>
        <v/>
      </c>
      <c r="AA126" s="43" t="n">
        <f aca="false">IF(AND(D126&lt;&gt;"",ISNUMBER(B126),ISNUMBER(C126),N(H126)&gt;0,T126&lt;&gt;"Cancelled",J126&lt;&gt;""),1,0)</f>
        <v>0</v>
      </c>
      <c r="AB126" s="44" t="n">
        <f aca="false">IF(AA126=1,J126/H126,0)</f>
        <v>0</v>
      </c>
      <c r="AC126" s="44" t="n">
        <f aca="false">IF(AA126=1,Q126/H126,0)</f>
        <v>0</v>
      </c>
      <c r="AD126" s="44" t="n">
        <f aca="false">IF(AA126=1,R126/H126,0)</f>
        <v>0</v>
      </c>
      <c r="AE126" s="44" t="n">
        <f aca="false">IF(AA126=1,O126/H126,0)</f>
        <v>0</v>
      </c>
      <c r="AF126" s="44" t="n">
        <f aca="false">IF(AA126=1,K126/H126,0)</f>
        <v>0</v>
      </c>
      <c r="AG126" s="45" t="str">
        <f aca="false">IF(AA126=1,D126&amp;"|"&amp;TEXT(B126,"0"),"")</f>
        <v/>
      </c>
      <c r="AH126" s="43" t="n">
        <f aca="false">IF(AA126=1,H126,0)</f>
        <v>0</v>
      </c>
    </row>
    <row r="127" customFormat="false" ht="15" hidden="false" customHeight="false" outlineLevel="0" collapsed="false">
      <c r="A127" s="8" t="str">
        <f aca="false">IF(B127="","","B-"&amp;TEXT(ROW()-4,"0000"))</f>
        <v/>
      </c>
      <c r="B127" s="38"/>
      <c r="C127" s="38"/>
      <c r="D127" s="6"/>
      <c r="E127" s="6"/>
      <c r="F127" s="6"/>
      <c r="G127" s="11"/>
      <c r="H127" s="18" t="str">
        <f aca="false">IF(AND(ISNUMBER(B127),ISNUMBER(C127)),MAX(0,C127-B127),"")</f>
        <v/>
      </c>
      <c r="I127" s="37"/>
      <c r="J127" s="41" t="str">
        <f aca="false">IF(OR(D127="",N(H127)=0),"",IFERROR(IF(I127&lt;&gt;"",H127*I127,ROUND(((H127-(INT((WEEKDAY(B127-6)+H127-1)/7)+INT((WEEKDAY(B127-7)+H127-1)/7)))*INDEX(Properties!$E$5:$E$24,MATCH(D127,Properties!$A$5:$A$24,0))+(INT((WEEKDAY(B127-6)+H127-1)/7)+INT((WEEKDAY(B127-7)+H127-1)/7))*INDEX(Properties!$F$5:$F$24,MATCH(D127,Properties!$A$5:$A$24,0)))*(1-IF(H127&gt;=28,Settings!$B$10,IF(H127&gt;=7,Settings!$B$9,0))),2)),0))</f>
        <v/>
      </c>
      <c r="K127" s="41" t="str">
        <f aca="false">IF(J127="","",IFERROR(N(INDEX(Properties!$G$5:$G$24,MATCH(D127,Properties!$A$5:$A$24,0))),0))</f>
        <v/>
      </c>
      <c r="L127" s="41" t="str">
        <f aca="false">IF(J127="","",IFERROR(MAX(0,N(G127)-INDEX(Properties!$I$5:$I$24,MATCH(D127,Properties!$A$5:$A$24,0)))*N(INDEX(Properties!$J$5:$J$24,MATCH(D127,Properties!$A$5:$A$24,0)))*H127,0))</f>
        <v/>
      </c>
      <c r="M127" s="37"/>
      <c r="N127" s="41" t="str">
        <f aca="false">IF(J127="","",J127+K127+L127+N(M127))</f>
        <v/>
      </c>
      <c r="O127" s="41" t="str">
        <f aca="false">IF(N127="","",IF(P127&lt;&gt;"",N127-P127,ROUND(N127*IFERROR(INDEX(Settings!$E$5:$E$12,MATCH(F127,Settings!$D$5:$D$12,0)),0),2)))</f>
        <v/>
      </c>
      <c r="P127" s="37"/>
      <c r="Q127" s="41" t="str">
        <f aca="false">IF(N127="","",IF(P127&lt;&gt;"",P127,N127-O127))</f>
        <v/>
      </c>
      <c r="R127" s="41" t="str">
        <f aca="false">IF(J127="","",IFERROR(N(INDEX(Properties!$H$5:$H$24,MATCH(D127,Properties!$A$5:$A$24,0))),0))</f>
        <v/>
      </c>
      <c r="S127" s="41" t="str">
        <f aca="false">IF(Q127="","",Q127-R127)</f>
        <v/>
      </c>
      <c r="T127" s="6"/>
      <c r="U127" s="6"/>
      <c r="V127" s="6"/>
      <c r="W127" s="6"/>
      <c r="X127" s="6"/>
      <c r="Y127" s="8" t="str">
        <f aca="false">IF(OR(D127="",B127="",C127=""),"",IF(N(C127)&lt;=N(B127),"Check dates",IF(T127="Cancelled","",IF(COUNTIFS($D$5:$D$1004,D127,$B$5:$B$1004,"&lt;"&amp;C127,$C$5:$C$1004,"&gt;"&amp;B127,$T$5:$T$1004,"&lt;&gt;Cancelled")&gt;1,"Double-booked",""))))</f>
        <v/>
      </c>
      <c r="Z127" s="42" t="str">
        <f aca="false">IF(AND(AA127=1,ISNUMBER(C127)),C127+ROW()/100000,"")</f>
        <v/>
      </c>
      <c r="AA127" s="43" t="n">
        <f aca="false">IF(AND(D127&lt;&gt;"",ISNUMBER(B127),ISNUMBER(C127),N(H127)&gt;0,T127&lt;&gt;"Cancelled",J127&lt;&gt;""),1,0)</f>
        <v>0</v>
      </c>
      <c r="AB127" s="44" t="n">
        <f aca="false">IF(AA127=1,J127/H127,0)</f>
        <v>0</v>
      </c>
      <c r="AC127" s="44" t="n">
        <f aca="false">IF(AA127=1,Q127/H127,0)</f>
        <v>0</v>
      </c>
      <c r="AD127" s="44" t="n">
        <f aca="false">IF(AA127=1,R127/H127,0)</f>
        <v>0</v>
      </c>
      <c r="AE127" s="44" t="n">
        <f aca="false">IF(AA127=1,O127/H127,0)</f>
        <v>0</v>
      </c>
      <c r="AF127" s="44" t="n">
        <f aca="false">IF(AA127=1,K127/H127,0)</f>
        <v>0</v>
      </c>
      <c r="AG127" s="45" t="str">
        <f aca="false">IF(AA127=1,D127&amp;"|"&amp;TEXT(B127,"0"),"")</f>
        <v/>
      </c>
      <c r="AH127" s="43" t="n">
        <f aca="false">IF(AA127=1,H127,0)</f>
        <v>0</v>
      </c>
    </row>
    <row r="128" customFormat="false" ht="15" hidden="false" customHeight="false" outlineLevel="0" collapsed="false">
      <c r="A128" s="23" t="str">
        <f aca="false">IF(B128="","","B-"&amp;TEXT(ROW()-4,"0000"))</f>
        <v/>
      </c>
      <c r="B128" s="38"/>
      <c r="C128" s="38"/>
      <c r="D128" s="6"/>
      <c r="E128" s="6"/>
      <c r="F128" s="6"/>
      <c r="G128" s="11"/>
      <c r="H128" s="24" t="str">
        <f aca="false">IF(AND(ISNUMBER(B128),ISNUMBER(C128)),MAX(0,C128-B128),"")</f>
        <v/>
      </c>
      <c r="I128" s="37"/>
      <c r="J128" s="46" t="str">
        <f aca="false">IF(OR(D128="",N(H128)=0),"",IFERROR(IF(I128&lt;&gt;"",H128*I128,ROUND(((H128-(INT((WEEKDAY(B128-6)+H128-1)/7)+INT((WEEKDAY(B128-7)+H128-1)/7)))*INDEX(Properties!$E$5:$E$24,MATCH(D128,Properties!$A$5:$A$24,0))+(INT((WEEKDAY(B128-6)+H128-1)/7)+INT((WEEKDAY(B128-7)+H128-1)/7))*INDEX(Properties!$F$5:$F$24,MATCH(D128,Properties!$A$5:$A$24,0)))*(1-IF(H128&gt;=28,Settings!$B$10,IF(H128&gt;=7,Settings!$B$9,0))),2)),0))</f>
        <v/>
      </c>
      <c r="K128" s="46" t="str">
        <f aca="false">IF(J128="","",IFERROR(N(INDEX(Properties!$G$5:$G$24,MATCH(D128,Properties!$A$5:$A$24,0))),0))</f>
        <v/>
      </c>
      <c r="L128" s="46" t="str">
        <f aca="false">IF(J128="","",IFERROR(MAX(0,N(G128)-INDEX(Properties!$I$5:$I$24,MATCH(D128,Properties!$A$5:$A$24,0)))*N(INDEX(Properties!$J$5:$J$24,MATCH(D128,Properties!$A$5:$A$24,0)))*H128,0))</f>
        <v/>
      </c>
      <c r="M128" s="37"/>
      <c r="N128" s="46" t="str">
        <f aca="false">IF(J128="","",J128+K128+L128+N(M128))</f>
        <v/>
      </c>
      <c r="O128" s="46" t="str">
        <f aca="false">IF(N128="","",IF(P128&lt;&gt;"",N128-P128,ROUND(N128*IFERROR(INDEX(Settings!$E$5:$E$12,MATCH(F128,Settings!$D$5:$D$12,0)),0),2)))</f>
        <v/>
      </c>
      <c r="P128" s="37"/>
      <c r="Q128" s="46" t="str">
        <f aca="false">IF(N128="","",IF(P128&lt;&gt;"",P128,N128-O128))</f>
        <v/>
      </c>
      <c r="R128" s="46" t="str">
        <f aca="false">IF(J128="","",IFERROR(N(INDEX(Properties!$H$5:$H$24,MATCH(D128,Properties!$A$5:$A$24,0))),0))</f>
        <v/>
      </c>
      <c r="S128" s="46" t="str">
        <f aca="false">IF(Q128="","",Q128-R128)</f>
        <v/>
      </c>
      <c r="T128" s="6"/>
      <c r="U128" s="6"/>
      <c r="V128" s="6"/>
      <c r="W128" s="6"/>
      <c r="X128" s="6"/>
      <c r="Y128" s="8" t="str">
        <f aca="false">IF(OR(D128="",B128="",C128=""),"",IF(N(C128)&lt;=N(B128),"Check dates",IF(T128="Cancelled","",IF(COUNTIFS($D$5:$D$1004,D128,$B$5:$B$1004,"&lt;"&amp;C128,$C$5:$C$1004,"&gt;"&amp;B128,$T$5:$T$1004,"&lt;&gt;Cancelled")&gt;1,"Double-booked",""))))</f>
        <v/>
      </c>
      <c r="Z128" s="42" t="str">
        <f aca="false">IF(AND(AA128=1,ISNUMBER(C128)),C128+ROW()/100000,"")</f>
        <v/>
      </c>
      <c r="AA128" s="43" t="n">
        <f aca="false">IF(AND(D128&lt;&gt;"",ISNUMBER(B128),ISNUMBER(C128),N(H128)&gt;0,T128&lt;&gt;"Cancelled",J128&lt;&gt;""),1,0)</f>
        <v>0</v>
      </c>
      <c r="AB128" s="44" t="n">
        <f aca="false">IF(AA128=1,J128/H128,0)</f>
        <v>0</v>
      </c>
      <c r="AC128" s="44" t="n">
        <f aca="false">IF(AA128=1,Q128/H128,0)</f>
        <v>0</v>
      </c>
      <c r="AD128" s="44" t="n">
        <f aca="false">IF(AA128=1,R128/H128,0)</f>
        <v>0</v>
      </c>
      <c r="AE128" s="44" t="n">
        <f aca="false">IF(AA128=1,O128/H128,0)</f>
        <v>0</v>
      </c>
      <c r="AF128" s="44" t="n">
        <f aca="false">IF(AA128=1,K128/H128,0)</f>
        <v>0</v>
      </c>
      <c r="AG128" s="45" t="str">
        <f aca="false">IF(AA128=1,D128&amp;"|"&amp;TEXT(B128,"0"),"")</f>
        <v/>
      </c>
      <c r="AH128" s="43" t="n">
        <f aca="false">IF(AA128=1,H128,0)</f>
        <v>0</v>
      </c>
    </row>
    <row r="129" customFormat="false" ht="15" hidden="false" customHeight="false" outlineLevel="0" collapsed="false">
      <c r="A129" s="8" t="str">
        <f aca="false">IF(B129="","","B-"&amp;TEXT(ROW()-4,"0000"))</f>
        <v/>
      </c>
      <c r="B129" s="38"/>
      <c r="C129" s="38"/>
      <c r="D129" s="6"/>
      <c r="E129" s="6"/>
      <c r="F129" s="6"/>
      <c r="G129" s="11"/>
      <c r="H129" s="18" t="str">
        <f aca="false">IF(AND(ISNUMBER(B129),ISNUMBER(C129)),MAX(0,C129-B129),"")</f>
        <v/>
      </c>
      <c r="I129" s="37"/>
      <c r="J129" s="41" t="str">
        <f aca="false">IF(OR(D129="",N(H129)=0),"",IFERROR(IF(I129&lt;&gt;"",H129*I129,ROUND(((H129-(INT((WEEKDAY(B129-6)+H129-1)/7)+INT((WEEKDAY(B129-7)+H129-1)/7)))*INDEX(Properties!$E$5:$E$24,MATCH(D129,Properties!$A$5:$A$24,0))+(INT((WEEKDAY(B129-6)+H129-1)/7)+INT((WEEKDAY(B129-7)+H129-1)/7))*INDEX(Properties!$F$5:$F$24,MATCH(D129,Properties!$A$5:$A$24,0)))*(1-IF(H129&gt;=28,Settings!$B$10,IF(H129&gt;=7,Settings!$B$9,0))),2)),0))</f>
        <v/>
      </c>
      <c r="K129" s="41" t="str">
        <f aca="false">IF(J129="","",IFERROR(N(INDEX(Properties!$G$5:$G$24,MATCH(D129,Properties!$A$5:$A$24,0))),0))</f>
        <v/>
      </c>
      <c r="L129" s="41" t="str">
        <f aca="false">IF(J129="","",IFERROR(MAX(0,N(G129)-INDEX(Properties!$I$5:$I$24,MATCH(D129,Properties!$A$5:$A$24,0)))*N(INDEX(Properties!$J$5:$J$24,MATCH(D129,Properties!$A$5:$A$24,0)))*H129,0))</f>
        <v/>
      </c>
      <c r="M129" s="37"/>
      <c r="N129" s="41" t="str">
        <f aca="false">IF(J129="","",J129+K129+L129+N(M129))</f>
        <v/>
      </c>
      <c r="O129" s="41" t="str">
        <f aca="false">IF(N129="","",IF(P129&lt;&gt;"",N129-P129,ROUND(N129*IFERROR(INDEX(Settings!$E$5:$E$12,MATCH(F129,Settings!$D$5:$D$12,0)),0),2)))</f>
        <v/>
      </c>
      <c r="P129" s="37"/>
      <c r="Q129" s="41" t="str">
        <f aca="false">IF(N129="","",IF(P129&lt;&gt;"",P129,N129-O129))</f>
        <v/>
      </c>
      <c r="R129" s="41" t="str">
        <f aca="false">IF(J129="","",IFERROR(N(INDEX(Properties!$H$5:$H$24,MATCH(D129,Properties!$A$5:$A$24,0))),0))</f>
        <v/>
      </c>
      <c r="S129" s="41" t="str">
        <f aca="false">IF(Q129="","",Q129-R129)</f>
        <v/>
      </c>
      <c r="T129" s="6"/>
      <c r="U129" s="6"/>
      <c r="V129" s="6"/>
      <c r="W129" s="6"/>
      <c r="X129" s="6"/>
      <c r="Y129" s="8" t="str">
        <f aca="false">IF(OR(D129="",B129="",C129=""),"",IF(N(C129)&lt;=N(B129),"Check dates",IF(T129="Cancelled","",IF(COUNTIFS($D$5:$D$1004,D129,$B$5:$B$1004,"&lt;"&amp;C129,$C$5:$C$1004,"&gt;"&amp;B129,$T$5:$T$1004,"&lt;&gt;Cancelled")&gt;1,"Double-booked",""))))</f>
        <v/>
      </c>
      <c r="Z129" s="42" t="str">
        <f aca="false">IF(AND(AA129=1,ISNUMBER(C129)),C129+ROW()/100000,"")</f>
        <v/>
      </c>
      <c r="AA129" s="43" t="n">
        <f aca="false">IF(AND(D129&lt;&gt;"",ISNUMBER(B129),ISNUMBER(C129),N(H129)&gt;0,T129&lt;&gt;"Cancelled",J129&lt;&gt;""),1,0)</f>
        <v>0</v>
      </c>
      <c r="AB129" s="44" t="n">
        <f aca="false">IF(AA129=1,J129/H129,0)</f>
        <v>0</v>
      </c>
      <c r="AC129" s="44" t="n">
        <f aca="false">IF(AA129=1,Q129/H129,0)</f>
        <v>0</v>
      </c>
      <c r="AD129" s="44" t="n">
        <f aca="false">IF(AA129=1,R129/H129,0)</f>
        <v>0</v>
      </c>
      <c r="AE129" s="44" t="n">
        <f aca="false">IF(AA129=1,O129/H129,0)</f>
        <v>0</v>
      </c>
      <c r="AF129" s="44" t="n">
        <f aca="false">IF(AA129=1,K129/H129,0)</f>
        <v>0</v>
      </c>
      <c r="AG129" s="45" t="str">
        <f aca="false">IF(AA129=1,D129&amp;"|"&amp;TEXT(B129,"0"),"")</f>
        <v/>
      </c>
      <c r="AH129" s="43" t="n">
        <f aca="false">IF(AA129=1,H129,0)</f>
        <v>0</v>
      </c>
    </row>
    <row r="130" customFormat="false" ht="15" hidden="false" customHeight="false" outlineLevel="0" collapsed="false">
      <c r="A130" s="23" t="str">
        <f aca="false">IF(B130="","","B-"&amp;TEXT(ROW()-4,"0000"))</f>
        <v/>
      </c>
      <c r="B130" s="38"/>
      <c r="C130" s="38"/>
      <c r="D130" s="6"/>
      <c r="E130" s="6"/>
      <c r="F130" s="6"/>
      <c r="G130" s="11"/>
      <c r="H130" s="24" t="str">
        <f aca="false">IF(AND(ISNUMBER(B130),ISNUMBER(C130)),MAX(0,C130-B130),"")</f>
        <v/>
      </c>
      <c r="I130" s="37"/>
      <c r="J130" s="46" t="str">
        <f aca="false">IF(OR(D130="",N(H130)=0),"",IFERROR(IF(I130&lt;&gt;"",H130*I130,ROUND(((H130-(INT((WEEKDAY(B130-6)+H130-1)/7)+INT((WEEKDAY(B130-7)+H130-1)/7)))*INDEX(Properties!$E$5:$E$24,MATCH(D130,Properties!$A$5:$A$24,0))+(INT((WEEKDAY(B130-6)+H130-1)/7)+INT((WEEKDAY(B130-7)+H130-1)/7))*INDEX(Properties!$F$5:$F$24,MATCH(D130,Properties!$A$5:$A$24,0)))*(1-IF(H130&gt;=28,Settings!$B$10,IF(H130&gt;=7,Settings!$B$9,0))),2)),0))</f>
        <v/>
      </c>
      <c r="K130" s="46" t="str">
        <f aca="false">IF(J130="","",IFERROR(N(INDEX(Properties!$G$5:$G$24,MATCH(D130,Properties!$A$5:$A$24,0))),0))</f>
        <v/>
      </c>
      <c r="L130" s="46" t="str">
        <f aca="false">IF(J130="","",IFERROR(MAX(0,N(G130)-INDEX(Properties!$I$5:$I$24,MATCH(D130,Properties!$A$5:$A$24,0)))*N(INDEX(Properties!$J$5:$J$24,MATCH(D130,Properties!$A$5:$A$24,0)))*H130,0))</f>
        <v/>
      </c>
      <c r="M130" s="37"/>
      <c r="N130" s="46" t="str">
        <f aca="false">IF(J130="","",J130+K130+L130+N(M130))</f>
        <v/>
      </c>
      <c r="O130" s="46" t="str">
        <f aca="false">IF(N130="","",IF(P130&lt;&gt;"",N130-P130,ROUND(N130*IFERROR(INDEX(Settings!$E$5:$E$12,MATCH(F130,Settings!$D$5:$D$12,0)),0),2)))</f>
        <v/>
      </c>
      <c r="P130" s="37"/>
      <c r="Q130" s="46" t="str">
        <f aca="false">IF(N130="","",IF(P130&lt;&gt;"",P130,N130-O130))</f>
        <v/>
      </c>
      <c r="R130" s="46" t="str">
        <f aca="false">IF(J130="","",IFERROR(N(INDEX(Properties!$H$5:$H$24,MATCH(D130,Properties!$A$5:$A$24,0))),0))</f>
        <v/>
      </c>
      <c r="S130" s="46" t="str">
        <f aca="false">IF(Q130="","",Q130-R130)</f>
        <v/>
      </c>
      <c r="T130" s="6"/>
      <c r="U130" s="6"/>
      <c r="V130" s="6"/>
      <c r="W130" s="6"/>
      <c r="X130" s="6"/>
      <c r="Y130" s="8" t="str">
        <f aca="false">IF(OR(D130="",B130="",C130=""),"",IF(N(C130)&lt;=N(B130),"Check dates",IF(T130="Cancelled","",IF(COUNTIFS($D$5:$D$1004,D130,$B$5:$B$1004,"&lt;"&amp;C130,$C$5:$C$1004,"&gt;"&amp;B130,$T$5:$T$1004,"&lt;&gt;Cancelled")&gt;1,"Double-booked",""))))</f>
        <v/>
      </c>
      <c r="Z130" s="42" t="str">
        <f aca="false">IF(AND(AA130=1,ISNUMBER(C130)),C130+ROW()/100000,"")</f>
        <v/>
      </c>
      <c r="AA130" s="43" t="n">
        <f aca="false">IF(AND(D130&lt;&gt;"",ISNUMBER(B130),ISNUMBER(C130),N(H130)&gt;0,T130&lt;&gt;"Cancelled",J130&lt;&gt;""),1,0)</f>
        <v>0</v>
      </c>
      <c r="AB130" s="44" t="n">
        <f aca="false">IF(AA130=1,J130/H130,0)</f>
        <v>0</v>
      </c>
      <c r="AC130" s="44" t="n">
        <f aca="false">IF(AA130=1,Q130/H130,0)</f>
        <v>0</v>
      </c>
      <c r="AD130" s="44" t="n">
        <f aca="false">IF(AA130=1,R130/H130,0)</f>
        <v>0</v>
      </c>
      <c r="AE130" s="44" t="n">
        <f aca="false">IF(AA130=1,O130/H130,0)</f>
        <v>0</v>
      </c>
      <c r="AF130" s="44" t="n">
        <f aca="false">IF(AA130=1,K130/H130,0)</f>
        <v>0</v>
      </c>
      <c r="AG130" s="45" t="str">
        <f aca="false">IF(AA130=1,D130&amp;"|"&amp;TEXT(B130,"0"),"")</f>
        <v/>
      </c>
      <c r="AH130" s="43" t="n">
        <f aca="false">IF(AA130=1,H130,0)</f>
        <v>0</v>
      </c>
    </row>
    <row r="131" customFormat="false" ht="15" hidden="false" customHeight="false" outlineLevel="0" collapsed="false">
      <c r="A131" s="8" t="str">
        <f aca="false">IF(B131="","","B-"&amp;TEXT(ROW()-4,"0000"))</f>
        <v/>
      </c>
      <c r="B131" s="38"/>
      <c r="C131" s="38"/>
      <c r="D131" s="6"/>
      <c r="E131" s="6"/>
      <c r="F131" s="6"/>
      <c r="G131" s="11"/>
      <c r="H131" s="18" t="str">
        <f aca="false">IF(AND(ISNUMBER(B131),ISNUMBER(C131)),MAX(0,C131-B131),"")</f>
        <v/>
      </c>
      <c r="I131" s="37"/>
      <c r="J131" s="41" t="str">
        <f aca="false">IF(OR(D131="",N(H131)=0),"",IFERROR(IF(I131&lt;&gt;"",H131*I131,ROUND(((H131-(INT((WEEKDAY(B131-6)+H131-1)/7)+INT((WEEKDAY(B131-7)+H131-1)/7)))*INDEX(Properties!$E$5:$E$24,MATCH(D131,Properties!$A$5:$A$24,0))+(INT((WEEKDAY(B131-6)+H131-1)/7)+INT((WEEKDAY(B131-7)+H131-1)/7))*INDEX(Properties!$F$5:$F$24,MATCH(D131,Properties!$A$5:$A$24,0)))*(1-IF(H131&gt;=28,Settings!$B$10,IF(H131&gt;=7,Settings!$B$9,0))),2)),0))</f>
        <v/>
      </c>
      <c r="K131" s="41" t="str">
        <f aca="false">IF(J131="","",IFERROR(N(INDEX(Properties!$G$5:$G$24,MATCH(D131,Properties!$A$5:$A$24,0))),0))</f>
        <v/>
      </c>
      <c r="L131" s="41" t="str">
        <f aca="false">IF(J131="","",IFERROR(MAX(0,N(G131)-INDEX(Properties!$I$5:$I$24,MATCH(D131,Properties!$A$5:$A$24,0)))*N(INDEX(Properties!$J$5:$J$24,MATCH(D131,Properties!$A$5:$A$24,0)))*H131,0))</f>
        <v/>
      </c>
      <c r="M131" s="37"/>
      <c r="N131" s="41" t="str">
        <f aca="false">IF(J131="","",J131+K131+L131+N(M131))</f>
        <v/>
      </c>
      <c r="O131" s="41" t="str">
        <f aca="false">IF(N131="","",IF(P131&lt;&gt;"",N131-P131,ROUND(N131*IFERROR(INDEX(Settings!$E$5:$E$12,MATCH(F131,Settings!$D$5:$D$12,0)),0),2)))</f>
        <v/>
      </c>
      <c r="P131" s="37"/>
      <c r="Q131" s="41" t="str">
        <f aca="false">IF(N131="","",IF(P131&lt;&gt;"",P131,N131-O131))</f>
        <v/>
      </c>
      <c r="R131" s="41" t="str">
        <f aca="false">IF(J131="","",IFERROR(N(INDEX(Properties!$H$5:$H$24,MATCH(D131,Properties!$A$5:$A$24,0))),0))</f>
        <v/>
      </c>
      <c r="S131" s="41" t="str">
        <f aca="false">IF(Q131="","",Q131-R131)</f>
        <v/>
      </c>
      <c r="T131" s="6"/>
      <c r="U131" s="6"/>
      <c r="V131" s="6"/>
      <c r="W131" s="6"/>
      <c r="X131" s="6"/>
      <c r="Y131" s="8" t="str">
        <f aca="false">IF(OR(D131="",B131="",C131=""),"",IF(N(C131)&lt;=N(B131),"Check dates",IF(T131="Cancelled","",IF(COUNTIFS($D$5:$D$1004,D131,$B$5:$B$1004,"&lt;"&amp;C131,$C$5:$C$1004,"&gt;"&amp;B131,$T$5:$T$1004,"&lt;&gt;Cancelled")&gt;1,"Double-booked",""))))</f>
        <v/>
      </c>
      <c r="Z131" s="42" t="str">
        <f aca="false">IF(AND(AA131=1,ISNUMBER(C131)),C131+ROW()/100000,"")</f>
        <v/>
      </c>
      <c r="AA131" s="43" t="n">
        <f aca="false">IF(AND(D131&lt;&gt;"",ISNUMBER(B131),ISNUMBER(C131),N(H131)&gt;0,T131&lt;&gt;"Cancelled",J131&lt;&gt;""),1,0)</f>
        <v>0</v>
      </c>
      <c r="AB131" s="44" t="n">
        <f aca="false">IF(AA131=1,J131/H131,0)</f>
        <v>0</v>
      </c>
      <c r="AC131" s="44" t="n">
        <f aca="false">IF(AA131=1,Q131/H131,0)</f>
        <v>0</v>
      </c>
      <c r="AD131" s="44" t="n">
        <f aca="false">IF(AA131=1,R131/H131,0)</f>
        <v>0</v>
      </c>
      <c r="AE131" s="44" t="n">
        <f aca="false">IF(AA131=1,O131/H131,0)</f>
        <v>0</v>
      </c>
      <c r="AF131" s="44" t="n">
        <f aca="false">IF(AA131=1,K131/H131,0)</f>
        <v>0</v>
      </c>
      <c r="AG131" s="45" t="str">
        <f aca="false">IF(AA131=1,D131&amp;"|"&amp;TEXT(B131,"0"),"")</f>
        <v/>
      </c>
      <c r="AH131" s="43" t="n">
        <f aca="false">IF(AA131=1,H131,0)</f>
        <v>0</v>
      </c>
    </row>
    <row r="132" customFormat="false" ht="15" hidden="false" customHeight="false" outlineLevel="0" collapsed="false">
      <c r="A132" s="23" t="str">
        <f aca="false">IF(B132="","","B-"&amp;TEXT(ROW()-4,"0000"))</f>
        <v/>
      </c>
      <c r="B132" s="38"/>
      <c r="C132" s="38"/>
      <c r="D132" s="6"/>
      <c r="E132" s="6"/>
      <c r="F132" s="6"/>
      <c r="G132" s="11"/>
      <c r="H132" s="24" t="str">
        <f aca="false">IF(AND(ISNUMBER(B132),ISNUMBER(C132)),MAX(0,C132-B132),"")</f>
        <v/>
      </c>
      <c r="I132" s="37"/>
      <c r="J132" s="46" t="str">
        <f aca="false">IF(OR(D132="",N(H132)=0),"",IFERROR(IF(I132&lt;&gt;"",H132*I132,ROUND(((H132-(INT((WEEKDAY(B132-6)+H132-1)/7)+INT((WEEKDAY(B132-7)+H132-1)/7)))*INDEX(Properties!$E$5:$E$24,MATCH(D132,Properties!$A$5:$A$24,0))+(INT((WEEKDAY(B132-6)+H132-1)/7)+INT((WEEKDAY(B132-7)+H132-1)/7))*INDEX(Properties!$F$5:$F$24,MATCH(D132,Properties!$A$5:$A$24,0)))*(1-IF(H132&gt;=28,Settings!$B$10,IF(H132&gt;=7,Settings!$B$9,0))),2)),0))</f>
        <v/>
      </c>
      <c r="K132" s="46" t="str">
        <f aca="false">IF(J132="","",IFERROR(N(INDEX(Properties!$G$5:$G$24,MATCH(D132,Properties!$A$5:$A$24,0))),0))</f>
        <v/>
      </c>
      <c r="L132" s="46" t="str">
        <f aca="false">IF(J132="","",IFERROR(MAX(0,N(G132)-INDEX(Properties!$I$5:$I$24,MATCH(D132,Properties!$A$5:$A$24,0)))*N(INDEX(Properties!$J$5:$J$24,MATCH(D132,Properties!$A$5:$A$24,0)))*H132,0))</f>
        <v/>
      </c>
      <c r="M132" s="37"/>
      <c r="N132" s="46" t="str">
        <f aca="false">IF(J132="","",J132+K132+L132+N(M132))</f>
        <v/>
      </c>
      <c r="O132" s="46" t="str">
        <f aca="false">IF(N132="","",IF(P132&lt;&gt;"",N132-P132,ROUND(N132*IFERROR(INDEX(Settings!$E$5:$E$12,MATCH(F132,Settings!$D$5:$D$12,0)),0),2)))</f>
        <v/>
      </c>
      <c r="P132" s="37"/>
      <c r="Q132" s="46" t="str">
        <f aca="false">IF(N132="","",IF(P132&lt;&gt;"",P132,N132-O132))</f>
        <v/>
      </c>
      <c r="R132" s="46" t="str">
        <f aca="false">IF(J132="","",IFERROR(N(INDEX(Properties!$H$5:$H$24,MATCH(D132,Properties!$A$5:$A$24,0))),0))</f>
        <v/>
      </c>
      <c r="S132" s="46" t="str">
        <f aca="false">IF(Q132="","",Q132-R132)</f>
        <v/>
      </c>
      <c r="T132" s="6"/>
      <c r="U132" s="6"/>
      <c r="V132" s="6"/>
      <c r="W132" s="6"/>
      <c r="X132" s="6"/>
      <c r="Y132" s="8" t="str">
        <f aca="false">IF(OR(D132="",B132="",C132=""),"",IF(N(C132)&lt;=N(B132),"Check dates",IF(T132="Cancelled","",IF(COUNTIFS($D$5:$D$1004,D132,$B$5:$B$1004,"&lt;"&amp;C132,$C$5:$C$1004,"&gt;"&amp;B132,$T$5:$T$1004,"&lt;&gt;Cancelled")&gt;1,"Double-booked",""))))</f>
        <v/>
      </c>
      <c r="Z132" s="42" t="str">
        <f aca="false">IF(AND(AA132=1,ISNUMBER(C132)),C132+ROW()/100000,"")</f>
        <v/>
      </c>
      <c r="AA132" s="43" t="n">
        <f aca="false">IF(AND(D132&lt;&gt;"",ISNUMBER(B132),ISNUMBER(C132),N(H132)&gt;0,T132&lt;&gt;"Cancelled",J132&lt;&gt;""),1,0)</f>
        <v>0</v>
      </c>
      <c r="AB132" s="44" t="n">
        <f aca="false">IF(AA132=1,J132/H132,0)</f>
        <v>0</v>
      </c>
      <c r="AC132" s="44" t="n">
        <f aca="false">IF(AA132=1,Q132/H132,0)</f>
        <v>0</v>
      </c>
      <c r="AD132" s="44" t="n">
        <f aca="false">IF(AA132=1,R132/H132,0)</f>
        <v>0</v>
      </c>
      <c r="AE132" s="44" t="n">
        <f aca="false">IF(AA132=1,O132/H132,0)</f>
        <v>0</v>
      </c>
      <c r="AF132" s="44" t="n">
        <f aca="false">IF(AA132=1,K132/H132,0)</f>
        <v>0</v>
      </c>
      <c r="AG132" s="45" t="str">
        <f aca="false">IF(AA132=1,D132&amp;"|"&amp;TEXT(B132,"0"),"")</f>
        <v/>
      </c>
      <c r="AH132" s="43" t="n">
        <f aca="false">IF(AA132=1,H132,0)</f>
        <v>0</v>
      </c>
    </row>
    <row r="133" customFormat="false" ht="15" hidden="false" customHeight="false" outlineLevel="0" collapsed="false">
      <c r="A133" s="8" t="str">
        <f aca="false">IF(B133="","","B-"&amp;TEXT(ROW()-4,"0000"))</f>
        <v/>
      </c>
      <c r="B133" s="38"/>
      <c r="C133" s="38"/>
      <c r="D133" s="6"/>
      <c r="E133" s="6"/>
      <c r="F133" s="6"/>
      <c r="G133" s="11"/>
      <c r="H133" s="18" t="str">
        <f aca="false">IF(AND(ISNUMBER(B133),ISNUMBER(C133)),MAX(0,C133-B133),"")</f>
        <v/>
      </c>
      <c r="I133" s="37"/>
      <c r="J133" s="41" t="str">
        <f aca="false">IF(OR(D133="",N(H133)=0),"",IFERROR(IF(I133&lt;&gt;"",H133*I133,ROUND(((H133-(INT((WEEKDAY(B133-6)+H133-1)/7)+INT((WEEKDAY(B133-7)+H133-1)/7)))*INDEX(Properties!$E$5:$E$24,MATCH(D133,Properties!$A$5:$A$24,0))+(INT((WEEKDAY(B133-6)+H133-1)/7)+INT((WEEKDAY(B133-7)+H133-1)/7))*INDEX(Properties!$F$5:$F$24,MATCH(D133,Properties!$A$5:$A$24,0)))*(1-IF(H133&gt;=28,Settings!$B$10,IF(H133&gt;=7,Settings!$B$9,0))),2)),0))</f>
        <v/>
      </c>
      <c r="K133" s="41" t="str">
        <f aca="false">IF(J133="","",IFERROR(N(INDEX(Properties!$G$5:$G$24,MATCH(D133,Properties!$A$5:$A$24,0))),0))</f>
        <v/>
      </c>
      <c r="L133" s="41" t="str">
        <f aca="false">IF(J133="","",IFERROR(MAX(0,N(G133)-INDEX(Properties!$I$5:$I$24,MATCH(D133,Properties!$A$5:$A$24,0)))*N(INDEX(Properties!$J$5:$J$24,MATCH(D133,Properties!$A$5:$A$24,0)))*H133,0))</f>
        <v/>
      </c>
      <c r="M133" s="37"/>
      <c r="N133" s="41" t="str">
        <f aca="false">IF(J133="","",J133+K133+L133+N(M133))</f>
        <v/>
      </c>
      <c r="O133" s="41" t="str">
        <f aca="false">IF(N133="","",IF(P133&lt;&gt;"",N133-P133,ROUND(N133*IFERROR(INDEX(Settings!$E$5:$E$12,MATCH(F133,Settings!$D$5:$D$12,0)),0),2)))</f>
        <v/>
      </c>
      <c r="P133" s="37"/>
      <c r="Q133" s="41" t="str">
        <f aca="false">IF(N133="","",IF(P133&lt;&gt;"",P133,N133-O133))</f>
        <v/>
      </c>
      <c r="R133" s="41" t="str">
        <f aca="false">IF(J133="","",IFERROR(N(INDEX(Properties!$H$5:$H$24,MATCH(D133,Properties!$A$5:$A$24,0))),0))</f>
        <v/>
      </c>
      <c r="S133" s="41" t="str">
        <f aca="false">IF(Q133="","",Q133-R133)</f>
        <v/>
      </c>
      <c r="T133" s="6"/>
      <c r="U133" s="6"/>
      <c r="V133" s="6"/>
      <c r="W133" s="6"/>
      <c r="X133" s="6"/>
      <c r="Y133" s="8" t="str">
        <f aca="false">IF(OR(D133="",B133="",C133=""),"",IF(N(C133)&lt;=N(B133),"Check dates",IF(T133="Cancelled","",IF(COUNTIFS($D$5:$D$1004,D133,$B$5:$B$1004,"&lt;"&amp;C133,$C$5:$C$1004,"&gt;"&amp;B133,$T$5:$T$1004,"&lt;&gt;Cancelled")&gt;1,"Double-booked",""))))</f>
        <v/>
      </c>
      <c r="Z133" s="42" t="str">
        <f aca="false">IF(AND(AA133=1,ISNUMBER(C133)),C133+ROW()/100000,"")</f>
        <v/>
      </c>
      <c r="AA133" s="43" t="n">
        <f aca="false">IF(AND(D133&lt;&gt;"",ISNUMBER(B133),ISNUMBER(C133),N(H133)&gt;0,T133&lt;&gt;"Cancelled",J133&lt;&gt;""),1,0)</f>
        <v>0</v>
      </c>
      <c r="AB133" s="44" t="n">
        <f aca="false">IF(AA133=1,J133/H133,0)</f>
        <v>0</v>
      </c>
      <c r="AC133" s="44" t="n">
        <f aca="false">IF(AA133=1,Q133/H133,0)</f>
        <v>0</v>
      </c>
      <c r="AD133" s="44" t="n">
        <f aca="false">IF(AA133=1,R133/H133,0)</f>
        <v>0</v>
      </c>
      <c r="AE133" s="44" t="n">
        <f aca="false">IF(AA133=1,O133/H133,0)</f>
        <v>0</v>
      </c>
      <c r="AF133" s="44" t="n">
        <f aca="false">IF(AA133=1,K133/H133,0)</f>
        <v>0</v>
      </c>
      <c r="AG133" s="45" t="str">
        <f aca="false">IF(AA133=1,D133&amp;"|"&amp;TEXT(B133,"0"),"")</f>
        <v/>
      </c>
      <c r="AH133" s="43" t="n">
        <f aca="false">IF(AA133=1,H133,0)</f>
        <v>0</v>
      </c>
    </row>
    <row r="134" customFormat="false" ht="15" hidden="false" customHeight="false" outlineLevel="0" collapsed="false">
      <c r="A134" s="23" t="str">
        <f aca="false">IF(B134="","","B-"&amp;TEXT(ROW()-4,"0000"))</f>
        <v/>
      </c>
      <c r="B134" s="38"/>
      <c r="C134" s="38"/>
      <c r="D134" s="6"/>
      <c r="E134" s="6"/>
      <c r="F134" s="6"/>
      <c r="G134" s="11"/>
      <c r="H134" s="24" t="str">
        <f aca="false">IF(AND(ISNUMBER(B134),ISNUMBER(C134)),MAX(0,C134-B134),"")</f>
        <v/>
      </c>
      <c r="I134" s="37"/>
      <c r="J134" s="46" t="str">
        <f aca="false">IF(OR(D134="",N(H134)=0),"",IFERROR(IF(I134&lt;&gt;"",H134*I134,ROUND(((H134-(INT((WEEKDAY(B134-6)+H134-1)/7)+INT((WEEKDAY(B134-7)+H134-1)/7)))*INDEX(Properties!$E$5:$E$24,MATCH(D134,Properties!$A$5:$A$24,0))+(INT((WEEKDAY(B134-6)+H134-1)/7)+INT((WEEKDAY(B134-7)+H134-1)/7))*INDEX(Properties!$F$5:$F$24,MATCH(D134,Properties!$A$5:$A$24,0)))*(1-IF(H134&gt;=28,Settings!$B$10,IF(H134&gt;=7,Settings!$B$9,0))),2)),0))</f>
        <v/>
      </c>
      <c r="K134" s="46" t="str">
        <f aca="false">IF(J134="","",IFERROR(N(INDEX(Properties!$G$5:$G$24,MATCH(D134,Properties!$A$5:$A$24,0))),0))</f>
        <v/>
      </c>
      <c r="L134" s="46" t="str">
        <f aca="false">IF(J134="","",IFERROR(MAX(0,N(G134)-INDEX(Properties!$I$5:$I$24,MATCH(D134,Properties!$A$5:$A$24,0)))*N(INDEX(Properties!$J$5:$J$24,MATCH(D134,Properties!$A$5:$A$24,0)))*H134,0))</f>
        <v/>
      </c>
      <c r="M134" s="37"/>
      <c r="N134" s="46" t="str">
        <f aca="false">IF(J134="","",J134+K134+L134+N(M134))</f>
        <v/>
      </c>
      <c r="O134" s="46" t="str">
        <f aca="false">IF(N134="","",IF(P134&lt;&gt;"",N134-P134,ROUND(N134*IFERROR(INDEX(Settings!$E$5:$E$12,MATCH(F134,Settings!$D$5:$D$12,0)),0),2)))</f>
        <v/>
      </c>
      <c r="P134" s="37"/>
      <c r="Q134" s="46" t="str">
        <f aca="false">IF(N134="","",IF(P134&lt;&gt;"",P134,N134-O134))</f>
        <v/>
      </c>
      <c r="R134" s="46" t="str">
        <f aca="false">IF(J134="","",IFERROR(N(INDEX(Properties!$H$5:$H$24,MATCH(D134,Properties!$A$5:$A$24,0))),0))</f>
        <v/>
      </c>
      <c r="S134" s="46" t="str">
        <f aca="false">IF(Q134="","",Q134-R134)</f>
        <v/>
      </c>
      <c r="T134" s="6"/>
      <c r="U134" s="6"/>
      <c r="V134" s="6"/>
      <c r="W134" s="6"/>
      <c r="X134" s="6"/>
      <c r="Y134" s="8" t="str">
        <f aca="false">IF(OR(D134="",B134="",C134=""),"",IF(N(C134)&lt;=N(B134),"Check dates",IF(T134="Cancelled","",IF(COUNTIFS($D$5:$D$1004,D134,$B$5:$B$1004,"&lt;"&amp;C134,$C$5:$C$1004,"&gt;"&amp;B134,$T$5:$T$1004,"&lt;&gt;Cancelled")&gt;1,"Double-booked",""))))</f>
        <v/>
      </c>
      <c r="Z134" s="42" t="str">
        <f aca="false">IF(AND(AA134=1,ISNUMBER(C134)),C134+ROW()/100000,"")</f>
        <v/>
      </c>
      <c r="AA134" s="43" t="n">
        <f aca="false">IF(AND(D134&lt;&gt;"",ISNUMBER(B134),ISNUMBER(C134),N(H134)&gt;0,T134&lt;&gt;"Cancelled",J134&lt;&gt;""),1,0)</f>
        <v>0</v>
      </c>
      <c r="AB134" s="44" t="n">
        <f aca="false">IF(AA134=1,J134/H134,0)</f>
        <v>0</v>
      </c>
      <c r="AC134" s="44" t="n">
        <f aca="false">IF(AA134=1,Q134/H134,0)</f>
        <v>0</v>
      </c>
      <c r="AD134" s="44" t="n">
        <f aca="false">IF(AA134=1,R134/H134,0)</f>
        <v>0</v>
      </c>
      <c r="AE134" s="44" t="n">
        <f aca="false">IF(AA134=1,O134/H134,0)</f>
        <v>0</v>
      </c>
      <c r="AF134" s="44" t="n">
        <f aca="false">IF(AA134=1,K134/H134,0)</f>
        <v>0</v>
      </c>
      <c r="AG134" s="45" t="str">
        <f aca="false">IF(AA134=1,D134&amp;"|"&amp;TEXT(B134,"0"),"")</f>
        <v/>
      </c>
      <c r="AH134" s="43" t="n">
        <f aca="false">IF(AA134=1,H134,0)</f>
        <v>0</v>
      </c>
    </row>
    <row r="135" customFormat="false" ht="15" hidden="false" customHeight="false" outlineLevel="0" collapsed="false">
      <c r="A135" s="8" t="str">
        <f aca="false">IF(B135="","","B-"&amp;TEXT(ROW()-4,"0000"))</f>
        <v/>
      </c>
      <c r="B135" s="38"/>
      <c r="C135" s="38"/>
      <c r="D135" s="6"/>
      <c r="E135" s="6"/>
      <c r="F135" s="6"/>
      <c r="G135" s="11"/>
      <c r="H135" s="18" t="str">
        <f aca="false">IF(AND(ISNUMBER(B135),ISNUMBER(C135)),MAX(0,C135-B135),"")</f>
        <v/>
      </c>
      <c r="I135" s="37"/>
      <c r="J135" s="41" t="str">
        <f aca="false">IF(OR(D135="",N(H135)=0),"",IFERROR(IF(I135&lt;&gt;"",H135*I135,ROUND(((H135-(INT((WEEKDAY(B135-6)+H135-1)/7)+INT((WEEKDAY(B135-7)+H135-1)/7)))*INDEX(Properties!$E$5:$E$24,MATCH(D135,Properties!$A$5:$A$24,0))+(INT((WEEKDAY(B135-6)+H135-1)/7)+INT((WEEKDAY(B135-7)+H135-1)/7))*INDEX(Properties!$F$5:$F$24,MATCH(D135,Properties!$A$5:$A$24,0)))*(1-IF(H135&gt;=28,Settings!$B$10,IF(H135&gt;=7,Settings!$B$9,0))),2)),0))</f>
        <v/>
      </c>
      <c r="K135" s="41" t="str">
        <f aca="false">IF(J135="","",IFERROR(N(INDEX(Properties!$G$5:$G$24,MATCH(D135,Properties!$A$5:$A$24,0))),0))</f>
        <v/>
      </c>
      <c r="L135" s="41" t="str">
        <f aca="false">IF(J135="","",IFERROR(MAX(0,N(G135)-INDEX(Properties!$I$5:$I$24,MATCH(D135,Properties!$A$5:$A$24,0)))*N(INDEX(Properties!$J$5:$J$24,MATCH(D135,Properties!$A$5:$A$24,0)))*H135,0))</f>
        <v/>
      </c>
      <c r="M135" s="37"/>
      <c r="N135" s="41" t="str">
        <f aca="false">IF(J135="","",J135+K135+L135+N(M135))</f>
        <v/>
      </c>
      <c r="O135" s="41" t="str">
        <f aca="false">IF(N135="","",IF(P135&lt;&gt;"",N135-P135,ROUND(N135*IFERROR(INDEX(Settings!$E$5:$E$12,MATCH(F135,Settings!$D$5:$D$12,0)),0),2)))</f>
        <v/>
      </c>
      <c r="P135" s="37"/>
      <c r="Q135" s="41" t="str">
        <f aca="false">IF(N135="","",IF(P135&lt;&gt;"",P135,N135-O135))</f>
        <v/>
      </c>
      <c r="R135" s="41" t="str">
        <f aca="false">IF(J135="","",IFERROR(N(INDEX(Properties!$H$5:$H$24,MATCH(D135,Properties!$A$5:$A$24,0))),0))</f>
        <v/>
      </c>
      <c r="S135" s="41" t="str">
        <f aca="false">IF(Q135="","",Q135-R135)</f>
        <v/>
      </c>
      <c r="T135" s="6"/>
      <c r="U135" s="6"/>
      <c r="V135" s="6"/>
      <c r="W135" s="6"/>
      <c r="X135" s="6"/>
      <c r="Y135" s="8" t="str">
        <f aca="false">IF(OR(D135="",B135="",C135=""),"",IF(N(C135)&lt;=N(B135),"Check dates",IF(T135="Cancelled","",IF(COUNTIFS($D$5:$D$1004,D135,$B$5:$B$1004,"&lt;"&amp;C135,$C$5:$C$1004,"&gt;"&amp;B135,$T$5:$T$1004,"&lt;&gt;Cancelled")&gt;1,"Double-booked",""))))</f>
        <v/>
      </c>
      <c r="Z135" s="42" t="str">
        <f aca="false">IF(AND(AA135=1,ISNUMBER(C135)),C135+ROW()/100000,"")</f>
        <v/>
      </c>
      <c r="AA135" s="43" t="n">
        <f aca="false">IF(AND(D135&lt;&gt;"",ISNUMBER(B135),ISNUMBER(C135),N(H135)&gt;0,T135&lt;&gt;"Cancelled",J135&lt;&gt;""),1,0)</f>
        <v>0</v>
      </c>
      <c r="AB135" s="44" t="n">
        <f aca="false">IF(AA135=1,J135/H135,0)</f>
        <v>0</v>
      </c>
      <c r="AC135" s="44" t="n">
        <f aca="false">IF(AA135=1,Q135/H135,0)</f>
        <v>0</v>
      </c>
      <c r="AD135" s="44" t="n">
        <f aca="false">IF(AA135=1,R135/H135,0)</f>
        <v>0</v>
      </c>
      <c r="AE135" s="44" t="n">
        <f aca="false">IF(AA135=1,O135/H135,0)</f>
        <v>0</v>
      </c>
      <c r="AF135" s="44" t="n">
        <f aca="false">IF(AA135=1,K135/H135,0)</f>
        <v>0</v>
      </c>
      <c r="AG135" s="45" t="str">
        <f aca="false">IF(AA135=1,D135&amp;"|"&amp;TEXT(B135,"0"),"")</f>
        <v/>
      </c>
      <c r="AH135" s="43" t="n">
        <f aca="false">IF(AA135=1,H135,0)</f>
        <v>0</v>
      </c>
    </row>
    <row r="136" customFormat="false" ht="15" hidden="false" customHeight="false" outlineLevel="0" collapsed="false">
      <c r="A136" s="23" t="str">
        <f aca="false">IF(B136="","","B-"&amp;TEXT(ROW()-4,"0000"))</f>
        <v/>
      </c>
      <c r="B136" s="38"/>
      <c r="C136" s="38"/>
      <c r="D136" s="6"/>
      <c r="E136" s="6"/>
      <c r="F136" s="6"/>
      <c r="G136" s="11"/>
      <c r="H136" s="24" t="str">
        <f aca="false">IF(AND(ISNUMBER(B136),ISNUMBER(C136)),MAX(0,C136-B136),"")</f>
        <v/>
      </c>
      <c r="I136" s="37"/>
      <c r="J136" s="46" t="str">
        <f aca="false">IF(OR(D136="",N(H136)=0),"",IFERROR(IF(I136&lt;&gt;"",H136*I136,ROUND(((H136-(INT((WEEKDAY(B136-6)+H136-1)/7)+INT((WEEKDAY(B136-7)+H136-1)/7)))*INDEX(Properties!$E$5:$E$24,MATCH(D136,Properties!$A$5:$A$24,0))+(INT((WEEKDAY(B136-6)+H136-1)/7)+INT((WEEKDAY(B136-7)+H136-1)/7))*INDEX(Properties!$F$5:$F$24,MATCH(D136,Properties!$A$5:$A$24,0)))*(1-IF(H136&gt;=28,Settings!$B$10,IF(H136&gt;=7,Settings!$B$9,0))),2)),0))</f>
        <v/>
      </c>
      <c r="K136" s="46" t="str">
        <f aca="false">IF(J136="","",IFERROR(N(INDEX(Properties!$G$5:$G$24,MATCH(D136,Properties!$A$5:$A$24,0))),0))</f>
        <v/>
      </c>
      <c r="L136" s="46" t="str">
        <f aca="false">IF(J136="","",IFERROR(MAX(0,N(G136)-INDEX(Properties!$I$5:$I$24,MATCH(D136,Properties!$A$5:$A$24,0)))*N(INDEX(Properties!$J$5:$J$24,MATCH(D136,Properties!$A$5:$A$24,0)))*H136,0))</f>
        <v/>
      </c>
      <c r="M136" s="37"/>
      <c r="N136" s="46" t="str">
        <f aca="false">IF(J136="","",J136+K136+L136+N(M136))</f>
        <v/>
      </c>
      <c r="O136" s="46" t="str">
        <f aca="false">IF(N136="","",IF(P136&lt;&gt;"",N136-P136,ROUND(N136*IFERROR(INDEX(Settings!$E$5:$E$12,MATCH(F136,Settings!$D$5:$D$12,0)),0),2)))</f>
        <v/>
      </c>
      <c r="P136" s="37"/>
      <c r="Q136" s="46" t="str">
        <f aca="false">IF(N136="","",IF(P136&lt;&gt;"",P136,N136-O136))</f>
        <v/>
      </c>
      <c r="R136" s="46" t="str">
        <f aca="false">IF(J136="","",IFERROR(N(INDEX(Properties!$H$5:$H$24,MATCH(D136,Properties!$A$5:$A$24,0))),0))</f>
        <v/>
      </c>
      <c r="S136" s="46" t="str">
        <f aca="false">IF(Q136="","",Q136-R136)</f>
        <v/>
      </c>
      <c r="T136" s="6"/>
      <c r="U136" s="6"/>
      <c r="V136" s="6"/>
      <c r="W136" s="6"/>
      <c r="X136" s="6"/>
      <c r="Y136" s="8" t="str">
        <f aca="false">IF(OR(D136="",B136="",C136=""),"",IF(N(C136)&lt;=N(B136),"Check dates",IF(T136="Cancelled","",IF(COUNTIFS($D$5:$D$1004,D136,$B$5:$B$1004,"&lt;"&amp;C136,$C$5:$C$1004,"&gt;"&amp;B136,$T$5:$T$1004,"&lt;&gt;Cancelled")&gt;1,"Double-booked",""))))</f>
        <v/>
      </c>
      <c r="Z136" s="42" t="str">
        <f aca="false">IF(AND(AA136=1,ISNUMBER(C136)),C136+ROW()/100000,"")</f>
        <v/>
      </c>
      <c r="AA136" s="43" t="n">
        <f aca="false">IF(AND(D136&lt;&gt;"",ISNUMBER(B136),ISNUMBER(C136),N(H136)&gt;0,T136&lt;&gt;"Cancelled",J136&lt;&gt;""),1,0)</f>
        <v>0</v>
      </c>
      <c r="AB136" s="44" t="n">
        <f aca="false">IF(AA136=1,J136/H136,0)</f>
        <v>0</v>
      </c>
      <c r="AC136" s="44" t="n">
        <f aca="false">IF(AA136=1,Q136/H136,0)</f>
        <v>0</v>
      </c>
      <c r="AD136" s="44" t="n">
        <f aca="false">IF(AA136=1,R136/H136,0)</f>
        <v>0</v>
      </c>
      <c r="AE136" s="44" t="n">
        <f aca="false">IF(AA136=1,O136/H136,0)</f>
        <v>0</v>
      </c>
      <c r="AF136" s="44" t="n">
        <f aca="false">IF(AA136=1,K136/H136,0)</f>
        <v>0</v>
      </c>
      <c r="AG136" s="45" t="str">
        <f aca="false">IF(AA136=1,D136&amp;"|"&amp;TEXT(B136,"0"),"")</f>
        <v/>
      </c>
      <c r="AH136" s="43" t="n">
        <f aca="false">IF(AA136=1,H136,0)</f>
        <v>0</v>
      </c>
    </row>
    <row r="137" customFormat="false" ht="15" hidden="false" customHeight="false" outlineLevel="0" collapsed="false">
      <c r="A137" s="8" t="str">
        <f aca="false">IF(B137="","","B-"&amp;TEXT(ROW()-4,"0000"))</f>
        <v/>
      </c>
      <c r="B137" s="38"/>
      <c r="C137" s="38"/>
      <c r="D137" s="6"/>
      <c r="E137" s="6"/>
      <c r="F137" s="6"/>
      <c r="G137" s="11"/>
      <c r="H137" s="18" t="str">
        <f aca="false">IF(AND(ISNUMBER(B137),ISNUMBER(C137)),MAX(0,C137-B137),"")</f>
        <v/>
      </c>
      <c r="I137" s="37"/>
      <c r="J137" s="41" t="str">
        <f aca="false">IF(OR(D137="",N(H137)=0),"",IFERROR(IF(I137&lt;&gt;"",H137*I137,ROUND(((H137-(INT((WEEKDAY(B137-6)+H137-1)/7)+INT((WEEKDAY(B137-7)+H137-1)/7)))*INDEX(Properties!$E$5:$E$24,MATCH(D137,Properties!$A$5:$A$24,0))+(INT((WEEKDAY(B137-6)+H137-1)/7)+INT((WEEKDAY(B137-7)+H137-1)/7))*INDEX(Properties!$F$5:$F$24,MATCH(D137,Properties!$A$5:$A$24,0)))*(1-IF(H137&gt;=28,Settings!$B$10,IF(H137&gt;=7,Settings!$B$9,0))),2)),0))</f>
        <v/>
      </c>
      <c r="K137" s="41" t="str">
        <f aca="false">IF(J137="","",IFERROR(N(INDEX(Properties!$G$5:$G$24,MATCH(D137,Properties!$A$5:$A$24,0))),0))</f>
        <v/>
      </c>
      <c r="L137" s="41" t="str">
        <f aca="false">IF(J137="","",IFERROR(MAX(0,N(G137)-INDEX(Properties!$I$5:$I$24,MATCH(D137,Properties!$A$5:$A$24,0)))*N(INDEX(Properties!$J$5:$J$24,MATCH(D137,Properties!$A$5:$A$24,0)))*H137,0))</f>
        <v/>
      </c>
      <c r="M137" s="37"/>
      <c r="N137" s="41" t="str">
        <f aca="false">IF(J137="","",J137+K137+L137+N(M137))</f>
        <v/>
      </c>
      <c r="O137" s="41" t="str">
        <f aca="false">IF(N137="","",IF(P137&lt;&gt;"",N137-P137,ROUND(N137*IFERROR(INDEX(Settings!$E$5:$E$12,MATCH(F137,Settings!$D$5:$D$12,0)),0),2)))</f>
        <v/>
      </c>
      <c r="P137" s="37"/>
      <c r="Q137" s="41" t="str">
        <f aca="false">IF(N137="","",IF(P137&lt;&gt;"",P137,N137-O137))</f>
        <v/>
      </c>
      <c r="R137" s="41" t="str">
        <f aca="false">IF(J137="","",IFERROR(N(INDEX(Properties!$H$5:$H$24,MATCH(D137,Properties!$A$5:$A$24,0))),0))</f>
        <v/>
      </c>
      <c r="S137" s="41" t="str">
        <f aca="false">IF(Q137="","",Q137-R137)</f>
        <v/>
      </c>
      <c r="T137" s="6"/>
      <c r="U137" s="6"/>
      <c r="V137" s="6"/>
      <c r="W137" s="6"/>
      <c r="X137" s="6"/>
      <c r="Y137" s="8" t="str">
        <f aca="false">IF(OR(D137="",B137="",C137=""),"",IF(N(C137)&lt;=N(B137),"Check dates",IF(T137="Cancelled","",IF(COUNTIFS($D$5:$D$1004,D137,$B$5:$B$1004,"&lt;"&amp;C137,$C$5:$C$1004,"&gt;"&amp;B137,$T$5:$T$1004,"&lt;&gt;Cancelled")&gt;1,"Double-booked",""))))</f>
        <v/>
      </c>
      <c r="Z137" s="42" t="str">
        <f aca="false">IF(AND(AA137=1,ISNUMBER(C137)),C137+ROW()/100000,"")</f>
        <v/>
      </c>
      <c r="AA137" s="43" t="n">
        <f aca="false">IF(AND(D137&lt;&gt;"",ISNUMBER(B137),ISNUMBER(C137),N(H137)&gt;0,T137&lt;&gt;"Cancelled",J137&lt;&gt;""),1,0)</f>
        <v>0</v>
      </c>
      <c r="AB137" s="44" t="n">
        <f aca="false">IF(AA137=1,J137/H137,0)</f>
        <v>0</v>
      </c>
      <c r="AC137" s="44" t="n">
        <f aca="false">IF(AA137=1,Q137/H137,0)</f>
        <v>0</v>
      </c>
      <c r="AD137" s="44" t="n">
        <f aca="false">IF(AA137=1,R137/H137,0)</f>
        <v>0</v>
      </c>
      <c r="AE137" s="44" t="n">
        <f aca="false">IF(AA137=1,O137/H137,0)</f>
        <v>0</v>
      </c>
      <c r="AF137" s="44" t="n">
        <f aca="false">IF(AA137=1,K137/H137,0)</f>
        <v>0</v>
      </c>
      <c r="AG137" s="45" t="str">
        <f aca="false">IF(AA137=1,D137&amp;"|"&amp;TEXT(B137,"0"),"")</f>
        <v/>
      </c>
      <c r="AH137" s="43" t="n">
        <f aca="false">IF(AA137=1,H137,0)</f>
        <v>0</v>
      </c>
    </row>
    <row r="138" customFormat="false" ht="15" hidden="false" customHeight="false" outlineLevel="0" collapsed="false">
      <c r="A138" s="23" t="str">
        <f aca="false">IF(B138="","","B-"&amp;TEXT(ROW()-4,"0000"))</f>
        <v/>
      </c>
      <c r="B138" s="38"/>
      <c r="C138" s="38"/>
      <c r="D138" s="6"/>
      <c r="E138" s="6"/>
      <c r="F138" s="6"/>
      <c r="G138" s="11"/>
      <c r="H138" s="24" t="str">
        <f aca="false">IF(AND(ISNUMBER(B138),ISNUMBER(C138)),MAX(0,C138-B138),"")</f>
        <v/>
      </c>
      <c r="I138" s="37"/>
      <c r="J138" s="46" t="str">
        <f aca="false">IF(OR(D138="",N(H138)=0),"",IFERROR(IF(I138&lt;&gt;"",H138*I138,ROUND(((H138-(INT((WEEKDAY(B138-6)+H138-1)/7)+INT((WEEKDAY(B138-7)+H138-1)/7)))*INDEX(Properties!$E$5:$E$24,MATCH(D138,Properties!$A$5:$A$24,0))+(INT((WEEKDAY(B138-6)+H138-1)/7)+INT((WEEKDAY(B138-7)+H138-1)/7))*INDEX(Properties!$F$5:$F$24,MATCH(D138,Properties!$A$5:$A$24,0)))*(1-IF(H138&gt;=28,Settings!$B$10,IF(H138&gt;=7,Settings!$B$9,0))),2)),0))</f>
        <v/>
      </c>
      <c r="K138" s="46" t="str">
        <f aca="false">IF(J138="","",IFERROR(N(INDEX(Properties!$G$5:$G$24,MATCH(D138,Properties!$A$5:$A$24,0))),0))</f>
        <v/>
      </c>
      <c r="L138" s="46" t="str">
        <f aca="false">IF(J138="","",IFERROR(MAX(0,N(G138)-INDEX(Properties!$I$5:$I$24,MATCH(D138,Properties!$A$5:$A$24,0)))*N(INDEX(Properties!$J$5:$J$24,MATCH(D138,Properties!$A$5:$A$24,0)))*H138,0))</f>
        <v/>
      </c>
      <c r="M138" s="37"/>
      <c r="N138" s="46" t="str">
        <f aca="false">IF(J138="","",J138+K138+L138+N(M138))</f>
        <v/>
      </c>
      <c r="O138" s="46" t="str">
        <f aca="false">IF(N138="","",IF(P138&lt;&gt;"",N138-P138,ROUND(N138*IFERROR(INDEX(Settings!$E$5:$E$12,MATCH(F138,Settings!$D$5:$D$12,0)),0),2)))</f>
        <v/>
      </c>
      <c r="P138" s="37"/>
      <c r="Q138" s="46" t="str">
        <f aca="false">IF(N138="","",IF(P138&lt;&gt;"",P138,N138-O138))</f>
        <v/>
      </c>
      <c r="R138" s="46" t="str">
        <f aca="false">IF(J138="","",IFERROR(N(INDEX(Properties!$H$5:$H$24,MATCH(D138,Properties!$A$5:$A$24,0))),0))</f>
        <v/>
      </c>
      <c r="S138" s="46" t="str">
        <f aca="false">IF(Q138="","",Q138-R138)</f>
        <v/>
      </c>
      <c r="T138" s="6"/>
      <c r="U138" s="6"/>
      <c r="V138" s="6"/>
      <c r="W138" s="6"/>
      <c r="X138" s="6"/>
      <c r="Y138" s="8" t="str">
        <f aca="false">IF(OR(D138="",B138="",C138=""),"",IF(N(C138)&lt;=N(B138),"Check dates",IF(T138="Cancelled","",IF(COUNTIFS($D$5:$D$1004,D138,$B$5:$B$1004,"&lt;"&amp;C138,$C$5:$C$1004,"&gt;"&amp;B138,$T$5:$T$1004,"&lt;&gt;Cancelled")&gt;1,"Double-booked",""))))</f>
        <v/>
      </c>
      <c r="Z138" s="42" t="str">
        <f aca="false">IF(AND(AA138=1,ISNUMBER(C138)),C138+ROW()/100000,"")</f>
        <v/>
      </c>
      <c r="AA138" s="43" t="n">
        <f aca="false">IF(AND(D138&lt;&gt;"",ISNUMBER(B138),ISNUMBER(C138),N(H138)&gt;0,T138&lt;&gt;"Cancelled",J138&lt;&gt;""),1,0)</f>
        <v>0</v>
      </c>
      <c r="AB138" s="44" t="n">
        <f aca="false">IF(AA138=1,J138/H138,0)</f>
        <v>0</v>
      </c>
      <c r="AC138" s="44" t="n">
        <f aca="false">IF(AA138=1,Q138/H138,0)</f>
        <v>0</v>
      </c>
      <c r="AD138" s="44" t="n">
        <f aca="false">IF(AA138=1,R138/H138,0)</f>
        <v>0</v>
      </c>
      <c r="AE138" s="44" t="n">
        <f aca="false">IF(AA138=1,O138/H138,0)</f>
        <v>0</v>
      </c>
      <c r="AF138" s="44" t="n">
        <f aca="false">IF(AA138=1,K138/H138,0)</f>
        <v>0</v>
      </c>
      <c r="AG138" s="45" t="str">
        <f aca="false">IF(AA138=1,D138&amp;"|"&amp;TEXT(B138,"0"),"")</f>
        <v/>
      </c>
      <c r="AH138" s="43" t="n">
        <f aca="false">IF(AA138=1,H138,0)</f>
        <v>0</v>
      </c>
    </row>
    <row r="139" customFormat="false" ht="15" hidden="false" customHeight="false" outlineLevel="0" collapsed="false">
      <c r="A139" s="8" t="str">
        <f aca="false">IF(B139="","","B-"&amp;TEXT(ROW()-4,"0000"))</f>
        <v/>
      </c>
      <c r="B139" s="38"/>
      <c r="C139" s="38"/>
      <c r="D139" s="6"/>
      <c r="E139" s="6"/>
      <c r="F139" s="6"/>
      <c r="G139" s="11"/>
      <c r="H139" s="18" t="str">
        <f aca="false">IF(AND(ISNUMBER(B139),ISNUMBER(C139)),MAX(0,C139-B139),"")</f>
        <v/>
      </c>
      <c r="I139" s="37"/>
      <c r="J139" s="41" t="str">
        <f aca="false">IF(OR(D139="",N(H139)=0),"",IFERROR(IF(I139&lt;&gt;"",H139*I139,ROUND(((H139-(INT((WEEKDAY(B139-6)+H139-1)/7)+INT((WEEKDAY(B139-7)+H139-1)/7)))*INDEX(Properties!$E$5:$E$24,MATCH(D139,Properties!$A$5:$A$24,0))+(INT((WEEKDAY(B139-6)+H139-1)/7)+INT((WEEKDAY(B139-7)+H139-1)/7))*INDEX(Properties!$F$5:$F$24,MATCH(D139,Properties!$A$5:$A$24,0)))*(1-IF(H139&gt;=28,Settings!$B$10,IF(H139&gt;=7,Settings!$B$9,0))),2)),0))</f>
        <v/>
      </c>
      <c r="K139" s="41" t="str">
        <f aca="false">IF(J139="","",IFERROR(N(INDEX(Properties!$G$5:$G$24,MATCH(D139,Properties!$A$5:$A$24,0))),0))</f>
        <v/>
      </c>
      <c r="L139" s="41" t="str">
        <f aca="false">IF(J139="","",IFERROR(MAX(0,N(G139)-INDEX(Properties!$I$5:$I$24,MATCH(D139,Properties!$A$5:$A$24,0)))*N(INDEX(Properties!$J$5:$J$24,MATCH(D139,Properties!$A$5:$A$24,0)))*H139,0))</f>
        <v/>
      </c>
      <c r="M139" s="37"/>
      <c r="N139" s="41" t="str">
        <f aca="false">IF(J139="","",J139+K139+L139+N(M139))</f>
        <v/>
      </c>
      <c r="O139" s="41" t="str">
        <f aca="false">IF(N139="","",IF(P139&lt;&gt;"",N139-P139,ROUND(N139*IFERROR(INDEX(Settings!$E$5:$E$12,MATCH(F139,Settings!$D$5:$D$12,0)),0),2)))</f>
        <v/>
      </c>
      <c r="P139" s="37"/>
      <c r="Q139" s="41" t="str">
        <f aca="false">IF(N139="","",IF(P139&lt;&gt;"",P139,N139-O139))</f>
        <v/>
      </c>
      <c r="R139" s="41" t="str">
        <f aca="false">IF(J139="","",IFERROR(N(INDEX(Properties!$H$5:$H$24,MATCH(D139,Properties!$A$5:$A$24,0))),0))</f>
        <v/>
      </c>
      <c r="S139" s="41" t="str">
        <f aca="false">IF(Q139="","",Q139-R139)</f>
        <v/>
      </c>
      <c r="T139" s="6"/>
      <c r="U139" s="6"/>
      <c r="V139" s="6"/>
      <c r="W139" s="6"/>
      <c r="X139" s="6"/>
      <c r="Y139" s="8" t="str">
        <f aca="false">IF(OR(D139="",B139="",C139=""),"",IF(N(C139)&lt;=N(B139),"Check dates",IF(T139="Cancelled","",IF(COUNTIFS($D$5:$D$1004,D139,$B$5:$B$1004,"&lt;"&amp;C139,$C$5:$C$1004,"&gt;"&amp;B139,$T$5:$T$1004,"&lt;&gt;Cancelled")&gt;1,"Double-booked",""))))</f>
        <v/>
      </c>
      <c r="Z139" s="42" t="str">
        <f aca="false">IF(AND(AA139=1,ISNUMBER(C139)),C139+ROW()/100000,"")</f>
        <v/>
      </c>
      <c r="AA139" s="43" t="n">
        <f aca="false">IF(AND(D139&lt;&gt;"",ISNUMBER(B139),ISNUMBER(C139),N(H139)&gt;0,T139&lt;&gt;"Cancelled",J139&lt;&gt;""),1,0)</f>
        <v>0</v>
      </c>
      <c r="AB139" s="44" t="n">
        <f aca="false">IF(AA139=1,J139/H139,0)</f>
        <v>0</v>
      </c>
      <c r="AC139" s="44" t="n">
        <f aca="false">IF(AA139=1,Q139/H139,0)</f>
        <v>0</v>
      </c>
      <c r="AD139" s="44" t="n">
        <f aca="false">IF(AA139=1,R139/H139,0)</f>
        <v>0</v>
      </c>
      <c r="AE139" s="44" t="n">
        <f aca="false">IF(AA139=1,O139/H139,0)</f>
        <v>0</v>
      </c>
      <c r="AF139" s="44" t="n">
        <f aca="false">IF(AA139=1,K139/H139,0)</f>
        <v>0</v>
      </c>
      <c r="AG139" s="45" t="str">
        <f aca="false">IF(AA139=1,D139&amp;"|"&amp;TEXT(B139,"0"),"")</f>
        <v/>
      </c>
      <c r="AH139" s="43" t="n">
        <f aca="false">IF(AA139=1,H139,0)</f>
        <v>0</v>
      </c>
    </row>
    <row r="140" customFormat="false" ht="15" hidden="false" customHeight="false" outlineLevel="0" collapsed="false">
      <c r="A140" s="23" t="str">
        <f aca="false">IF(B140="","","B-"&amp;TEXT(ROW()-4,"0000"))</f>
        <v/>
      </c>
      <c r="B140" s="38"/>
      <c r="C140" s="38"/>
      <c r="D140" s="6"/>
      <c r="E140" s="6"/>
      <c r="F140" s="6"/>
      <c r="G140" s="11"/>
      <c r="H140" s="24" t="str">
        <f aca="false">IF(AND(ISNUMBER(B140),ISNUMBER(C140)),MAX(0,C140-B140),"")</f>
        <v/>
      </c>
      <c r="I140" s="37"/>
      <c r="J140" s="46" t="str">
        <f aca="false">IF(OR(D140="",N(H140)=0),"",IFERROR(IF(I140&lt;&gt;"",H140*I140,ROUND(((H140-(INT((WEEKDAY(B140-6)+H140-1)/7)+INT((WEEKDAY(B140-7)+H140-1)/7)))*INDEX(Properties!$E$5:$E$24,MATCH(D140,Properties!$A$5:$A$24,0))+(INT((WEEKDAY(B140-6)+H140-1)/7)+INT((WEEKDAY(B140-7)+H140-1)/7))*INDEX(Properties!$F$5:$F$24,MATCH(D140,Properties!$A$5:$A$24,0)))*(1-IF(H140&gt;=28,Settings!$B$10,IF(H140&gt;=7,Settings!$B$9,0))),2)),0))</f>
        <v/>
      </c>
      <c r="K140" s="46" t="str">
        <f aca="false">IF(J140="","",IFERROR(N(INDEX(Properties!$G$5:$G$24,MATCH(D140,Properties!$A$5:$A$24,0))),0))</f>
        <v/>
      </c>
      <c r="L140" s="46" t="str">
        <f aca="false">IF(J140="","",IFERROR(MAX(0,N(G140)-INDEX(Properties!$I$5:$I$24,MATCH(D140,Properties!$A$5:$A$24,0)))*N(INDEX(Properties!$J$5:$J$24,MATCH(D140,Properties!$A$5:$A$24,0)))*H140,0))</f>
        <v/>
      </c>
      <c r="M140" s="37"/>
      <c r="N140" s="46" t="str">
        <f aca="false">IF(J140="","",J140+K140+L140+N(M140))</f>
        <v/>
      </c>
      <c r="O140" s="46" t="str">
        <f aca="false">IF(N140="","",IF(P140&lt;&gt;"",N140-P140,ROUND(N140*IFERROR(INDEX(Settings!$E$5:$E$12,MATCH(F140,Settings!$D$5:$D$12,0)),0),2)))</f>
        <v/>
      </c>
      <c r="P140" s="37"/>
      <c r="Q140" s="46" t="str">
        <f aca="false">IF(N140="","",IF(P140&lt;&gt;"",P140,N140-O140))</f>
        <v/>
      </c>
      <c r="R140" s="46" t="str">
        <f aca="false">IF(J140="","",IFERROR(N(INDEX(Properties!$H$5:$H$24,MATCH(D140,Properties!$A$5:$A$24,0))),0))</f>
        <v/>
      </c>
      <c r="S140" s="46" t="str">
        <f aca="false">IF(Q140="","",Q140-R140)</f>
        <v/>
      </c>
      <c r="T140" s="6"/>
      <c r="U140" s="6"/>
      <c r="V140" s="6"/>
      <c r="W140" s="6"/>
      <c r="X140" s="6"/>
      <c r="Y140" s="8" t="str">
        <f aca="false">IF(OR(D140="",B140="",C140=""),"",IF(N(C140)&lt;=N(B140),"Check dates",IF(T140="Cancelled","",IF(COUNTIFS($D$5:$D$1004,D140,$B$5:$B$1004,"&lt;"&amp;C140,$C$5:$C$1004,"&gt;"&amp;B140,$T$5:$T$1004,"&lt;&gt;Cancelled")&gt;1,"Double-booked",""))))</f>
        <v/>
      </c>
      <c r="Z140" s="42" t="str">
        <f aca="false">IF(AND(AA140=1,ISNUMBER(C140)),C140+ROW()/100000,"")</f>
        <v/>
      </c>
      <c r="AA140" s="43" t="n">
        <f aca="false">IF(AND(D140&lt;&gt;"",ISNUMBER(B140),ISNUMBER(C140),N(H140)&gt;0,T140&lt;&gt;"Cancelled",J140&lt;&gt;""),1,0)</f>
        <v>0</v>
      </c>
      <c r="AB140" s="44" t="n">
        <f aca="false">IF(AA140=1,J140/H140,0)</f>
        <v>0</v>
      </c>
      <c r="AC140" s="44" t="n">
        <f aca="false">IF(AA140=1,Q140/H140,0)</f>
        <v>0</v>
      </c>
      <c r="AD140" s="44" t="n">
        <f aca="false">IF(AA140=1,R140/H140,0)</f>
        <v>0</v>
      </c>
      <c r="AE140" s="44" t="n">
        <f aca="false">IF(AA140=1,O140/H140,0)</f>
        <v>0</v>
      </c>
      <c r="AF140" s="44" t="n">
        <f aca="false">IF(AA140=1,K140/H140,0)</f>
        <v>0</v>
      </c>
      <c r="AG140" s="45" t="str">
        <f aca="false">IF(AA140=1,D140&amp;"|"&amp;TEXT(B140,"0"),"")</f>
        <v/>
      </c>
      <c r="AH140" s="43" t="n">
        <f aca="false">IF(AA140=1,H140,0)</f>
        <v>0</v>
      </c>
    </row>
    <row r="141" customFormat="false" ht="15" hidden="false" customHeight="false" outlineLevel="0" collapsed="false">
      <c r="A141" s="8" t="str">
        <f aca="false">IF(B141="","","B-"&amp;TEXT(ROW()-4,"0000"))</f>
        <v/>
      </c>
      <c r="B141" s="38"/>
      <c r="C141" s="38"/>
      <c r="D141" s="6"/>
      <c r="E141" s="6"/>
      <c r="F141" s="6"/>
      <c r="G141" s="11"/>
      <c r="H141" s="18" t="str">
        <f aca="false">IF(AND(ISNUMBER(B141),ISNUMBER(C141)),MAX(0,C141-B141),"")</f>
        <v/>
      </c>
      <c r="I141" s="37"/>
      <c r="J141" s="41" t="str">
        <f aca="false">IF(OR(D141="",N(H141)=0),"",IFERROR(IF(I141&lt;&gt;"",H141*I141,ROUND(((H141-(INT((WEEKDAY(B141-6)+H141-1)/7)+INT((WEEKDAY(B141-7)+H141-1)/7)))*INDEX(Properties!$E$5:$E$24,MATCH(D141,Properties!$A$5:$A$24,0))+(INT((WEEKDAY(B141-6)+H141-1)/7)+INT((WEEKDAY(B141-7)+H141-1)/7))*INDEX(Properties!$F$5:$F$24,MATCH(D141,Properties!$A$5:$A$24,0)))*(1-IF(H141&gt;=28,Settings!$B$10,IF(H141&gt;=7,Settings!$B$9,0))),2)),0))</f>
        <v/>
      </c>
      <c r="K141" s="41" t="str">
        <f aca="false">IF(J141="","",IFERROR(N(INDEX(Properties!$G$5:$G$24,MATCH(D141,Properties!$A$5:$A$24,0))),0))</f>
        <v/>
      </c>
      <c r="L141" s="41" t="str">
        <f aca="false">IF(J141="","",IFERROR(MAX(0,N(G141)-INDEX(Properties!$I$5:$I$24,MATCH(D141,Properties!$A$5:$A$24,0)))*N(INDEX(Properties!$J$5:$J$24,MATCH(D141,Properties!$A$5:$A$24,0)))*H141,0))</f>
        <v/>
      </c>
      <c r="M141" s="37"/>
      <c r="N141" s="41" t="str">
        <f aca="false">IF(J141="","",J141+K141+L141+N(M141))</f>
        <v/>
      </c>
      <c r="O141" s="41" t="str">
        <f aca="false">IF(N141="","",IF(P141&lt;&gt;"",N141-P141,ROUND(N141*IFERROR(INDEX(Settings!$E$5:$E$12,MATCH(F141,Settings!$D$5:$D$12,0)),0),2)))</f>
        <v/>
      </c>
      <c r="P141" s="37"/>
      <c r="Q141" s="41" t="str">
        <f aca="false">IF(N141="","",IF(P141&lt;&gt;"",P141,N141-O141))</f>
        <v/>
      </c>
      <c r="R141" s="41" t="str">
        <f aca="false">IF(J141="","",IFERROR(N(INDEX(Properties!$H$5:$H$24,MATCH(D141,Properties!$A$5:$A$24,0))),0))</f>
        <v/>
      </c>
      <c r="S141" s="41" t="str">
        <f aca="false">IF(Q141="","",Q141-R141)</f>
        <v/>
      </c>
      <c r="T141" s="6"/>
      <c r="U141" s="6"/>
      <c r="V141" s="6"/>
      <c r="W141" s="6"/>
      <c r="X141" s="6"/>
      <c r="Y141" s="8" t="str">
        <f aca="false">IF(OR(D141="",B141="",C141=""),"",IF(N(C141)&lt;=N(B141),"Check dates",IF(T141="Cancelled","",IF(COUNTIFS($D$5:$D$1004,D141,$B$5:$B$1004,"&lt;"&amp;C141,$C$5:$C$1004,"&gt;"&amp;B141,$T$5:$T$1004,"&lt;&gt;Cancelled")&gt;1,"Double-booked",""))))</f>
        <v/>
      </c>
      <c r="Z141" s="42" t="str">
        <f aca="false">IF(AND(AA141=1,ISNUMBER(C141)),C141+ROW()/100000,"")</f>
        <v/>
      </c>
      <c r="AA141" s="43" t="n">
        <f aca="false">IF(AND(D141&lt;&gt;"",ISNUMBER(B141),ISNUMBER(C141),N(H141)&gt;0,T141&lt;&gt;"Cancelled",J141&lt;&gt;""),1,0)</f>
        <v>0</v>
      </c>
      <c r="AB141" s="44" t="n">
        <f aca="false">IF(AA141=1,J141/H141,0)</f>
        <v>0</v>
      </c>
      <c r="AC141" s="44" t="n">
        <f aca="false">IF(AA141=1,Q141/H141,0)</f>
        <v>0</v>
      </c>
      <c r="AD141" s="44" t="n">
        <f aca="false">IF(AA141=1,R141/H141,0)</f>
        <v>0</v>
      </c>
      <c r="AE141" s="44" t="n">
        <f aca="false">IF(AA141=1,O141/H141,0)</f>
        <v>0</v>
      </c>
      <c r="AF141" s="44" t="n">
        <f aca="false">IF(AA141=1,K141/H141,0)</f>
        <v>0</v>
      </c>
      <c r="AG141" s="45" t="str">
        <f aca="false">IF(AA141=1,D141&amp;"|"&amp;TEXT(B141,"0"),"")</f>
        <v/>
      </c>
      <c r="AH141" s="43" t="n">
        <f aca="false">IF(AA141=1,H141,0)</f>
        <v>0</v>
      </c>
    </row>
    <row r="142" customFormat="false" ht="15" hidden="false" customHeight="false" outlineLevel="0" collapsed="false">
      <c r="A142" s="23" t="str">
        <f aca="false">IF(B142="","","B-"&amp;TEXT(ROW()-4,"0000"))</f>
        <v/>
      </c>
      <c r="B142" s="38"/>
      <c r="C142" s="38"/>
      <c r="D142" s="6"/>
      <c r="E142" s="6"/>
      <c r="F142" s="6"/>
      <c r="G142" s="11"/>
      <c r="H142" s="24" t="str">
        <f aca="false">IF(AND(ISNUMBER(B142),ISNUMBER(C142)),MAX(0,C142-B142),"")</f>
        <v/>
      </c>
      <c r="I142" s="37"/>
      <c r="J142" s="46" t="str">
        <f aca="false">IF(OR(D142="",N(H142)=0),"",IFERROR(IF(I142&lt;&gt;"",H142*I142,ROUND(((H142-(INT((WEEKDAY(B142-6)+H142-1)/7)+INT((WEEKDAY(B142-7)+H142-1)/7)))*INDEX(Properties!$E$5:$E$24,MATCH(D142,Properties!$A$5:$A$24,0))+(INT((WEEKDAY(B142-6)+H142-1)/7)+INT((WEEKDAY(B142-7)+H142-1)/7))*INDEX(Properties!$F$5:$F$24,MATCH(D142,Properties!$A$5:$A$24,0)))*(1-IF(H142&gt;=28,Settings!$B$10,IF(H142&gt;=7,Settings!$B$9,0))),2)),0))</f>
        <v/>
      </c>
      <c r="K142" s="46" t="str">
        <f aca="false">IF(J142="","",IFERROR(N(INDEX(Properties!$G$5:$G$24,MATCH(D142,Properties!$A$5:$A$24,0))),0))</f>
        <v/>
      </c>
      <c r="L142" s="46" t="str">
        <f aca="false">IF(J142="","",IFERROR(MAX(0,N(G142)-INDEX(Properties!$I$5:$I$24,MATCH(D142,Properties!$A$5:$A$24,0)))*N(INDEX(Properties!$J$5:$J$24,MATCH(D142,Properties!$A$5:$A$24,0)))*H142,0))</f>
        <v/>
      </c>
      <c r="M142" s="37"/>
      <c r="N142" s="46" t="str">
        <f aca="false">IF(J142="","",J142+K142+L142+N(M142))</f>
        <v/>
      </c>
      <c r="O142" s="46" t="str">
        <f aca="false">IF(N142="","",IF(P142&lt;&gt;"",N142-P142,ROUND(N142*IFERROR(INDEX(Settings!$E$5:$E$12,MATCH(F142,Settings!$D$5:$D$12,0)),0),2)))</f>
        <v/>
      </c>
      <c r="P142" s="37"/>
      <c r="Q142" s="46" t="str">
        <f aca="false">IF(N142="","",IF(P142&lt;&gt;"",P142,N142-O142))</f>
        <v/>
      </c>
      <c r="R142" s="46" t="str">
        <f aca="false">IF(J142="","",IFERROR(N(INDEX(Properties!$H$5:$H$24,MATCH(D142,Properties!$A$5:$A$24,0))),0))</f>
        <v/>
      </c>
      <c r="S142" s="46" t="str">
        <f aca="false">IF(Q142="","",Q142-R142)</f>
        <v/>
      </c>
      <c r="T142" s="6"/>
      <c r="U142" s="6"/>
      <c r="V142" s="6"/>
      <c r="W142" s="6"/>
      <c r="X142" s="6"/>
      <c r="Y142" s="8" t="str">
        <f aca="false">IF(OR(D142="",B142="",C142=""),"",IF(N(C142)&lt;=N(B142),"Check dates",IF(T142="Cancelled","",IF(COUNTIFS($D$5:$D$1004,D142,$B$5:$B$1004,"&lt;"&amp;C142,$C$5:$C$1004,"&gt;"&amp;B142,$T$5:$T$1004,"&lt;&gt;Cancelled")&gt;1,"Double-booked",""))))</f>
        <v/>
      </c>
      <c r="Z142" s="42" t="str">
        <f aca="false">IF(AND(AA142=1,ISNUMBER(C142)),C142+ROW()/100000,"")</f>
        <v/>
      </c>
      <c r="AA142" s="43" t="n">
        <f aca="false">IF(AND(D142&lt;&gt;"",ISNUMBER(B142),ISNUMBER(C142),N(H142)&gt;0,T142&lt;&gt;"Cancelled",J142&lt;&gt;""),1,0)</f>
        <v>0</v>
      </c>
      <c r="AB142" s="44" t="n">
        <f aca="false">IF(AA142=1,J142/H142,0)</f>
        <v>0</v>
      </c>
      <c r="AC142" s="44" t="n">
        <f aca="false">IF(AA142=1,Q142/H142,0)</f>
        <v>0</v>
      </c>
      <c r="AD142" s="44" t="n">
        <f aca="false">IF(AA142=1,R142/H142,0)</f>
        <v>0</v>
      </c>
      <c r="AE142" s="44" t="n">
        <f aca="false">IF(AA142=1,O142/H142,0)</f>
        <v>0</v>
      </c>
      <c r="AF142" s="44" t="n">
        <f aca="false">IF(AA142=1,K142/H142,0)</f>
        <v>0</v>
      </c>
      <c r="AG142" s="45" t="str">
        <f aca="false">IF(AA142=1,D142&amp;"|"&amp;TEXT(B142,"0"),"")</f>
        <v/>
      </c>
      <c r="AH142" s="43" t="n">
        <f aca="false">IF(AA142=1,H142,0)</f>
        <v>0</v>
      </c>
    </row>
    <row r="143" customFormat="false" ht="15" hidden="false" customHeight="false" outlineLevel="0" collapsed="false">
      <c r="A143" s="8" t="str">
        <f aca="false">IF(B143="","","B-"&amp;TEXT(ROW()-4,"0000"))</f>
        <v/>
      </c>
      <c r="B143" s="38"/>
      <c r="C143" s="38"/>
      <c r="D143" s="6"/>
      <c r="E143" s="6"/>
      <c r="F143" s="6"/>
      <c r="G143" s="11"/>
      <c r="H143" s="18" t="str">
        <f aca="false">IF(AND(ISNUMBER(B143),ISNUMBER(C143)),MAX(0,C143-B143),"")</f>
        <v/>
      </c>
      <c r="I143" s="37"/>
      <c r="J143" s="41" t="str">
        <f aca="false">IF(OR(D143="",N(H143)=0),"",IFERROR(IF(I143&lt;&gt;"",H143*I143,ROUND(((H143-(INT((WEEKDAY(B143-6)+H143-1)/7)+INT((WEEKDAY(B143-7)+H143-1)/7)))*INDEX(Properties!$E$5:$E$24,MATCH(D143,Properties!$A$5:$A$24,0))+(INT((WEEKDAY(B143-6)+H143-1)/7)+INT((WEEKDAY(B143-7)+H143-1)/7))*INDEX(Properties!$F$5:$F$24,MATCH(D143,Properties!$A$5:$A$24,0)))*(1-IF(H143&gt;=28,Settings!$B$10,IF(H143&gt;=7,Settings!$B$9,0))),2)),0))</f>
        <v/>
      </c>
      <c r="K143" s="41" t="str">
        <f aca="false">IF(J143="","",IFERROR(N(INDEX(Properties!$G$5:$G$24,MATCH(D143,Properties!$A$5:$A$24,0))),0))</f>
        <v/>
      </c>
      <c r="L143" s="41" t="str">
        <f aca="false">IF(J143="","",IFERROR(MAX(0,N(G143)-INDEX(Properties!$I$5:$I$24,MATCH(D143,Properties!$A$5:$A$24,0)))*N(INDEX(Properties!$J$5:$J$24,MATCH(D143,Properties!$A$5:$A$24,0)))*H143,0))</f>
        <v/>
      </c>
      <c r="M143" s="37"/>
      <c r="N143" s="41" t="str">
        <f aca="false">IF(J143="","",J143+K143+L143+N(M143))</f>
        <v/>
      </c>
      <c r="O143" s="41" t="str">
        <f aca="false">IF(N143="","",IF(P143&lt;&gt;"",N143-P143,ROUND(N143*IFERROR(INDEX(Settings!$E$5:$E$12,MATCH(F143,Settings!$D$5:$D$12,0)),0),2)))</f>
        <v/>
      </c>
      <c r="P143" s="37"/>
      <c r="Q143" s="41" t="str">
        <f aca="false">IF(N143="","",IF(P143&lt;&gt;"",P143,N143-O143))</f>
        <v/>
      </c>
      <c r="R143" s="41" t="str">
        <f aca="false">IF(J143="","",IFERROR(N(INDEX(Properties!$H$5:$H$24,MATCH(D143,Properties!$A$5:$A$24,0))),0))</f>
        <v/>
      </c>
      <c r="S143" s="41" t="str">
        <f aca="false">IF(Q143="","",Q143-R143)</f>
        <v/>
      </c>
      <c r="T143" s="6"/>
      <c r="U143" s="6"/>
      <c r="V143" s="6"/>
      <c r="W143" s="6"/>
      <c r="X143" s="6"/>
      <c r="Y143" s="8" t="str">
        <f aca="false">IF(OR(D143="",B143="",C143=""),"",IF(N(C143)&lt;=N(B143),"Check dates",IF(T143="Cancelled","",IF(COUNTIFS($D$5:$D$1004,D143,$B$5:$B$1004,"&lt;"&amp;C143,$C$5:$C$1004,"&gt;"&amp;B143,$T$5:$T$1004,"&lt;&gt;Cancelled")&gt;1,"Double-booked",""))))</f>
        <v/>
      </c>
      <c r="Z143" s="42" t="str">
        <f aca="false">IF(AND(AA143=1,ISNUMBER(C143)),C143+ROW()/100000,"")</f>
        <v/>
      </c>
      <c r="AA143" s="43" t="n">
        <f aca="false">IF(AND(D143&lt;&gt;"",ISNUMBER(B143),ISNUMBER(C143),N(H143)&gt;0,T143&lt;&gt;"Cancelled",J143&lt;&gt;""),1,0)</f>
        <v>0</v>
      </c>
      <c r="AB143" s="44" t="n">
        <f aca="false">IF(AA143=1,J143/H143,0)</f>
        <v>0</v>
      </c>
      <c r="AC143" s="44" t="n">
        <f aca="false">IF(AA143=1,Q143/H143,0)</f>
        <v>0</v>
      </c>
      <c r="AD143" s="44" t="n">
        <f aca="false">IF(AA143=1,R143/H143,0)</f>
        <v>0</v>
      </c>
      <c r="AE143" s="44" t="n">
        <f aca="false">IF(AA143=1,O143/H143,0)</f>
        <v>0</v>
      </c>
      <c r="AF143" s="44" t="n">
        <f aca="false">IF(AA143=1,K143/H143,0)</f>
        <v>0</v>
      </c>
      <c r="AG143" s="45" t="str">
        <f aca="false">IF(AA143=1,D143&amp;"|"&amp;TEXT(B143,"0"),"")</f>
        <v/>
      </c>
      <c r="AH143" s="43" t="n">
        <f aca="false">IF(AA143=1,H143,0)</f>
        <v>0</v>
      </c>
    </row>
    <row r="144" customFormat="false" ht="15" hidden="false" customHeight="false" outlineLevel="0" collapsed="false">
      <c r="A144" s="23" t="str">
        <f aca="false">IF(B144="","","B-"&amp;TEXT(ROW()-4,"0000"))</f>
        <v/>
      </c>
      <c r="B144" s="38"/>
      <c r="C144" s="38"/>
      <c r="D144" s="6"/>
      <c r="E144" s="6"/>
      <c r="F144" s="6"/>
      <c r="G144" s="11"/>
      <c r="H144" s="24" t="str">
        <f aca="false">IF(AND(ISNUMBER(B144),ISNUMBER(C144)),MAX(0,C144-B144),"")</f>
        <v/>
      </c>
      <c r="I144" s="37"/>
      <c r="J144" s="46" t="str">
        <f aca="false">IF(OR(D144="",N(H144)=0),"",IFERROR(IF(I144&lt;&gt;"",H144*I144,ROUND(((H144-(INT((WEEKDAY(B144-6)+H144-1)/7)+INT((WEEKDAY(B144-7)+H144-1)/7)))*INDEX(Properties!$E$5:$E$24,MATCH(D144,Properties!$A$5:$A$24,0))+(INT((WEEKDAY(B144-6)+H144-1)/7)+INT((WEEKDAY(B144-7)+H144-1)/7))*INDEX(Properties!$F$5:$F$24,MATCH(D144,Properties!$A$5:$A$24,0)))*(1-IF(H144&gt;=28,Settings!$B$10,IF(H144&gt;=7,Settings!$B$9,0))),2)),0))</f>
        <v/>
      </c>
      <c r="K144" s="46" t="str">
        <f aca="false">IF(J144="","",IFERROR(N(INDEX(Properties!$G$5:$G$24,MATCH(D144,Properties!$A$5:$A$24,0))),0))</f>
        <v/>
      </c>
      <c r="L144" s="46" t="str">
        <f aca="false">IF(J144="","",IFERROR(MAX(0,N(G144)-INDEX(Properties!$I$5:$I$24,MATCH(D144,Properties!$A$5:$A$24,0)))*N(INDEX(Properties!$J$5:$J$24,MATCH(D144,Properties!$A$5:$A$24,0)))*H144,0))</f>
        <v/>
      </c>
      <c r="M144" s="37"/>
      <c r="N144" s="46" t="str">
        <f aca="false">IF(J144="","",J144+K144+L144+N(M144))</f>
        <v/>
      </c>
      <c r="O144" s="46" t="str">
        <f aca="false">IF(N144="","",IF(P144&lt;&gt;"",N144-P144,ROUND(N144*IFERROR(INDEX(Settings!$E$5:$E$12,MATCH(F144,Settings!$D$5:$D$12,0)),0),2)))</f>
        <v/>
      </c>
      <c r="P144" s="37"/>
      <c r="Q144" s="46" t="str">
        <f aca="false">IF(N144="","",IF(P144&lt;&gt;"",P144,N144-O144))</f>
        <v/>
      </c>
      <c r="R144" s="46" t="str">
        <f aca="false">IF(J144="","",IFERROR(N(INDEX(Properties!$H$5:$H$24,MATCH(D144,Properties!$A$5:$A$24,0))),0))</f>
        <v/>
      </c>
      <c r="S144" s="46" t="str">
        <f aca="false">IF(Q144="","",Q144-R144)</f>
        <v/>
      </c>
      <c r="T144" s="6"/>
      <c r="U144" s="6"/>
      <c r="V144" s="6"/>
      <c r="W144" s="6"/>
      <c r="X144" s="6"/>
      <c r="Y144" s="8" t="str">
        <f aca="false">IF(OR(D144="",B144="",C144=""),"",IF(N(C144)&lt;=N(B144),"Check dates",IF(T144="Cancelled","",IF(COUNTIFS($D$5:$D$1004,D144,$B$5:$B$1004,"&lt;"&amp;C144,$C$5:$C$1004,"&gt;"&amp;B144,$T$5:$T$1004,"&lt;&gt;Cancelled")&gt;1,"Double-booked",""))))</f>
        <v/>
      </c>
      <c r="Z144" s="42" t="str">
        <f aca="false">IF(AND(AA144=1,ISNUMBER(C144)),C144+ROW()/100000,"")</f>
        <v/>
      </c>
      <c r="AA144" s="43" t="n">
        <f aca="false">IF(AND(D144&lt;&gt;"",ISNUMBER(B144),ISNUMBER(C144),N(H144)&gt;0,T144&lt;&gt;"Cancelled",J144&lt;&gt;""),1,0)</f>
        <v>0</v>
      </c>
      <c r="AB144" s="44" t="n">
        <f aca="false">IF(AA144=1,J144/H144,0)</f>
        <v>0</v>
      </c>
      <c r="AC144" s="44" t="n">
        <f aca="false">IF(AA144=1,Q144/H144,0)</f>
        <v>0</v>
      </c>
      <c r="AD144" s="44" t="n">
        <f aca="false">IF(AA144=1,R144/H144,0)</f>
        <v>0</v>
      </c>
      <c r="AE144" s="44" t="n">
        <f aca="false">IF(AA144=1,O144/H144,0)</f>
        <v>0</v>
      </c>
      <c r="AF144" s="44" t="n">
        <f aca="false">IF(AA144=1,K144/H144,0)</f>
        <v>0</v>
      </c>
      <c r="AG144" s="45" t="str">
        <f aca="false">IF(AA144=1,D144&amp;"|"&amp;TEXT(B144,"0"),"")</f>
        <v/>
      </c>
      <c r="AH144" s="43" t="n">
        <f aca="false">IF(AA144=1,H144,0)</f>
        <v>0</v>
      </c>
    </row>
    <row r="145" customFormat="false" ht="15" hidden="false" customHeight="false" outlineLevel="0" collapsed="false">
      <c r="A145" s="8" t="str">
        <f aca="false">IF(B145="","","B-"&amp;TEXT(ROW()-4,"0000"))</f>
        <v/>
      </c>
      <c r="B145" s="38"/>
      <c r="C145" s="38"/>
      <c r="D145" s="6"/>
      <c r="E145" s="6"/>
      <c r="F145" s="6"/>
      <c r="G145" s="11"/>
      <c r="H145" s="18" t="str">
        <f aca="false">IF(AND(ISNUMBER(B145),ISNUMBER(C145)),MAX(0,C145-B145),"")</f>
        <v/>
      </c>
      <c r="I145" s="37"/>
      <c r="J145" s="41" t="str">
        <f aca="false">IF(OR(D145="",N(H145)=0),"",IFERROR(IF(I145&lt;&gt;"",H145*I145,ROUND(((H145-(INT((WEEKDAY(B145-6)+H145-1)/7)+INT((WEEKDAY(B145-7)+H145-1)/7)))*INDEX(Properties!$E$5:$E$24,MATCH(D145,Properties!$A$5:$A$24,0))+(INT((WEEKDAY(B145-6)+H145-1)/7)+INT((WEEKDAY(B145-7)+H145-1)/7))*INDEX(Properties!$F$5:$F$24,MATCH(D145,Properties!$A$5:$A$24,0)))*(1-IF(H145&gt;=28,Settings!$B$10,IF(H145&gt;=7,Settings!$B$9,0))),2)),0))</f>
        <v/>
      </c>
      <c r="K145" s="41" t="str">
        <f aca="false">IF(J145="","",IFERROR(N(INDEX(Properties!$G$5:$G$24,MATCH(D145,Properties!$A$5:$A$24,0))),0))</f>
        <v/>
      </c>
      <c r="L145" s="41" t="str">
        <f aca="false">IF(J145="","",IFERROR(MAX(0,N(G145)-INDEX(Properties!$I$5:$I$24,MATCH(D145,Properties!$A$5:$A$24,0)))*N(INDEX(Properties!$J$5:$J$24,MATCH(D145,Properties!$A$5:$A$24,0)))*H145,0))</f>
        <v/>
      </c>
      <c r="M145" s="37"/>
      <c r="N145" s="41" t="str">
        <f aca="false">IF(J145="","",J145+K145+L145+N(M145))</f>
        <v/>
      </c>
      <c r="O145" s="41" t="str">
        <f aca="false">IF(N145="","",IF(P145&lt;&gt;"",N145-P145,ROUND(N145*IFERROR(INDEX(Settings!$E$5:$E$12,MATCH(F145,Settings!$D$5:$D$12,0)),0),2)))</f>
        <v/>
      </c>
      <c r="P145" s="37"/>
      <c r="Q145" s="41" t="str">
        <f aca="false">IF(N145="","",IF(P145&lt;&gt;"",P145,N145-O145))</f>
        <v/>
      </c>
      <c r="R145" s="41" t="str">
        <f aca="false">IF(J145="","",IFERROR(N(INDEX(Properties!$H$5:$H$24,MATCH(D145,Properties!$A$5:$A$24,0))),0))</f>
        <v/>
      </c>
      <c r="S145" s="41" t="str">
        <f aca="false">IF(Q145="","",Q145-R145)</f>
        <v/>
      </c>
      <c r="T145" s="6"/>
      <c r="U145" s="6"/>
      <c r="V145" s="6"/>
      <c r="W145" s="6"/>
      <c r="X145" s="6"/>
      <c r="Y145" s="8" t="str">
        <f aca="false">IF(OR(D145="",B145="",C145=""),"",IF(N(C145)&lt;=N(B145),"Check dates",IF(T145="Cancelled","",IF(COUNTIFS($D$5:$D$1004,D145,$B$5:$B$1004,"&lt;"&amp;C145,$C$5:$C$1004,"&gt;"&amp;B145,$T$5:$T$1004,"&lt;&gt;Cancelled")&gt;1,"Double-booked",""))))</f>
        <v/>
      </c>
      <c r="Z145" s="42" t="str">
        <f aca="false">IF(AND(AA145=1,ISNUMBER(C145)),C145+ROW()/100000,"")</f>
        <v/>
      </c>
      <c r="AA145" s="43" t="n">
        <f aca="false">IF(AND(D145&lt;&gt;"",ISNUMBER(B145),ISNUMBER(C145),N(H145)&gt;0,T145&lt;&gt;"Cancelled",J145&lt;&gt;""),1,0)</f>
        <v>0</v>
      </c>
      <c r="AB145" s="44" t="n">
        <f aca="false">IF(AA145=1,J145/H145,0)</f>
        <v>0</v>
      </c>
      <c r="AC145" s="44" t="n">
        <f aca="false">IF(AA145=1,Q145/H145,0)</f>
        <v>0</v>
      </c>
      <c r="AD145" s="44" t="n">
        <f aca="false">IF(AA145=1,R145/H145,0)</f>
        <v>0</v>
      </c>
      <c r="AE145" s="44" t="n">
        <f aca="false">IF(AA145=1,O145/H145,0)</f>
        <v>0</v>
      </c>
      <c r="AF145" s="44" t="n">
        <f aca="false">IF(AA145=1,K145/H145,0)</f>
        <v>0</v>
      </c>
      <c r="AG145" s="45" t="str">
        <f aca="false">IF(AA145=1,D145&amp;"|"&amp;TEXT(B145,"0"),"")</f>
        <v/>
      </c>
      <c r="AH145" s="43" t="n">
        <f aca="false">IF(AA145=1,H145,0)</f>
        <v>0</v>
      </c>
    </row>
    <row r="146" customFormat="false" ht="15" hidden="false" customHeight="false" outlineLevel="0" collapsed="false">
      <c r="A146" s="23" t="str">
        <f aca="false">IF(B146="","","B-"&amp;TEXT(ROW()-4,"0000"))</f>
        <v/>
      </c>
      <c r="B146" s="38"/>
      <c r="C146" s="38"/>
      <c r="D146" s="6"/>
      <c r="E146" s="6"/>
      <c r="F146" s="6"/>
      <c r="G146" s="11"/>
      <c r="H146" s="24" t="str">
        <f aca="false">IF(AND(ISNUMBER(B146),ISNUMBER(C146)),MAX(0,C146-B146),"")</f>
        <v/>
      </c>
      <c r="I146" s="37"/>
      <c r="J146" s="46" t="str">
        <f aca="false">IF(OR(D146="",N(H146)=0),"",IFERROR(IF(I146&lt;&gt;"",H146*I146,ROUND(((H146-(INT((WEEKDAY(B146-6)+H146-1)/7)+INT((WEEKDAY(B146-7)+H146-1)/7)))*INDEX(Properties!$E$5:$E$24,MATCH(D146,Properties!$A$5:$A$24,0))+(INT((WEEKDAY(B146-6)+H146-1)/7)+INT((WEEKDAY(B146-7)+H146-1)/7))*INDEX(Properties!$F$5:$F$24,MATCH(D146,Properties!$A$5:$A$24,0)))*(1-IF(H146&gt;=28,Settings!$B$10,IF(H146&gt;=7,Settings!$B$9,0))),2)),0))</f>
        <v/>
      </c>
      <c r="K146" s="46" t="str">
        <f aca="false">IF(J146="","",IFERROR(N(INDEX(Properties!$G$5:$G$24,MATCH(D146,Properties!$A$5:$A$24,0))),0))</f>
        <v/>
      </c>
      <c r="L146" s="46" t="str">
        <f aca="false">IF(J146="","",IFERROR(MAX(0,N(G146)-INDEX(Properties!$I$5:$I$24,MATCH(D146,Properties!$A$5:$A$24,0)))*N(INDEX(Properties!$J$5:$J$24,MATCH(D146,Properties!$A$5:$A$24,0)))*H146,0))</f>
        <v/>
      </c>
      <c r="M146" s="37"/>
      <c r="N146" s="46" t="str">
        <f aca="false">IF(J146="","",J146+K146+L146+N(M146))</f>
        <v/>
      </c>
      <c r="O146" s="46" t="str">
        <f aca="false">IF(N146="","",IF(P146&lt;&gt;"",N146-P146,ROUND(N146*IFERROR(INDEX(Settings!$E$5:$E$12,MATCH(F146,Settings!$D$5:$D$12,0)),0),2)))</f>
        <v/>
      </c>
      <c r="P146" s="37"/>
      <c r="Q146" s="46" t="str">
        <f aca="false">IF(N146="","",IF(P146&lt;&gt;"",P146,N146-O146))</f>
        <v/>
      </c>
      <c r="R146" s="46" t="str">
        <f aca="false">IF(J146="","",IFERROR(N(INDEX(Properties!$H$5:$H$24,MATCH(D146,Properties!$A$5:$A$24,0))),0))</f>
        <v/>
      </c>
      <c r="S146" s="46" t="str">
        <f aca="false">IF(Q146="","",Q146-R146)</f>
        <v/>
      </c>
      <c r="T146" s="6"/>
      <c r="U146" s="6"/>
      <c r="V146" s="6"/>
      <c r="W146" s="6"/>
      <c r="X146" s="6"/>
      <c r="Y146" s="8" t="str">
        <f aca="false">IF(OR(D146="",B146="",C146=""),"",IF(N(C146)&lt;=N(B146),"Check dates",IF(T146="Cancelled","",IF(COUNTIFS($D$5:$D$1004,D146,$B$5:$B$1004,"&lt;"&amp;C146,$C$5:$C$1004,"&gt;"&amp;B146,$T$5:$T$1004,"&lt;&gt;Cancelled")&gt;1,"Double-booked",""))))</f>
        <v/>
      </c>
      <c r="Z146" s="42" t="str">
        <f aca="false">IF(AND(AA146=1,ISNUMBER(C146)),C146+ROW()/100000,"")</f>
        <v/>
      </c>
      <c r="AA146" s="43" t="n">
        <f aca="false">IF(AND(D146&lt;&gt;"",ISNUMBER(B146),ISNUMBER(C146),N(H146)&gt;0,T146&lt;&gt;"Cancelled",J146&lt;&gt;""),1,0)</f>
        <v>0</v>
      </c>
      <c r="AB146" s="44" t="n">
        <f aca="false">IF(AA146=1,J146/H146,0)</f>
        <v>0</v>
      </c>
      <c r="AC146" s="44" t="n">
        <f aca="false">IF(AA146=1,Q146/H146,0)</f>
        <v>0</v>
      </c>
      <c r="AD146" s="44" t="n">
        <f aca="false">IF(AA146=1,R146/H146,0)</f>
        <v>0</v>
      </c>
      <c r="AE146" s="44" t="n">
        <f aca="false">IF(AA146=1,O146/H146,0)</f>
        <v>0</v>
      </c>
      <c r="AF146" s="44" t="n">
        <f aca="false">IF(AA146=1,K146/H146,0)</f>
        <v>0</v>
      </c>
      <c r="AG146" s="45" t="str">
        <f aca="false">IF(AA146=1,D146&amp;"|"&amp;TEXT(B146,"0"),"")</f>
        <v/>
      </c>
      <c r="AH146" s="43" t="n">
        <f aca="false">IF(AA146=1,H146,0)</f>
        <v>0</v>
      </c>
    </row>
    <row r="147" customFormat="false" ht="15" hidden="false" customHeight="false" outlineLevel="0" collapsed="false">
      <c r="A147" s="8" t="str">
        <f aca="false">IF(B147="","","B-"&amp;TEXT(ROW()-4,"0000"))</f>
        <v/>
      </c>
      <c r="B147" s="38"/>
      <c r="C147" s="38"/>
      <c r="D147" s="6"/>
      <c r="E147" s="6"/>
      <c r="F147" s="6"/>
      <c r="G147" s="11"/>
      <c r="H147" s="18" t="str">
        <f aca="false">IF(AND(ISNUMBER(B147),ISNUMBER(C147)),MAX(0,C147-B147),"")</f>
        <v/>
      </c>
      <c r="I147" s="37"/>
      <c r="J147" s="41" t="str">
        <f aca="false">IF(OR(D147="",N(H147)=0),"",IFERROR(IF(I147&lt;&gt;"",H147*I147,ROUND(((H147-(INT((WEEKDAY(B147-6)+H147-1)/7)+INT((WEEKDAY(B147-7)+H147-1)/7)))*INDEX(Properties!$E$5:$E$24,MATCH(D147,Properties!$A$5:$A$24,0))+(INT((WEEKDAY(B147-6)+H147-1)/7)+INT((WEEKDAY(B147-7)+H147-1)/7))*INDEX(Properties!$F$5:$F$24,MATCH(D147,Properties!$A$5:$A$24,0)))*(1-IF(H147&gt;=28,Settings!$B$10,IF(H147&gt;=7,Settings!$B$9,0))),2)),0))</f>
        <v/>
      </c>
      <c r="K147" s="41" t="str">
        <f aca="false">IF(J147="","",IFERROR(N(INDEX(Properties!$G$5:$G$24,MATCH(D147,Properties!$A$5:$A$24,0))),0))</f>
        <v/>
      </c>
      <c r="L147" s="41" t="str">
        <f aca="false">IF(J147="","",IFERROR(MAX(0,N(G147)-INDEX(Properties!$I$5:$I$24,MATCH(D147,Properties!$A$5:$A$24,0)))*N(INDEX(Properties!$J$5:$J$24,MATCH(D147,Properties!$A$5:$A$24,0)))*H147,0))</f>
        <v/>
      </c>
      <c r="M147" s="37"/>
      <c r="N147" s="41" t="str">
        <f aca="false">IF(J147="","",J147+K147+L147+N(M147))</f>
        <v/>
      </c>
      <c r="O147" s="41" t="str">
        <f aca="false">IF(N147="","",IF(P147&lt;&gt;"",N147-P147,ROUND(N147*IFERROR(INDEX(Settings!$E$5:$E$12,MATCH(F147,Settings!$D$5:$D$12,0)),0),2)))</f>
        <v/>
      </c>
      <c r="P147" s="37"/>
      <c r="Q147" s="41" t="str">
        <f aca="false">IF(N147="","",IF(P147&lt;&gt;"",P147,N147-O147))</f>
        <v/>
      </c>
      <c r="R147" s="41" t="str">
        <f aca="false">IF(J147="","",IFERROR(N(INDEX(Properties!$H$5:$H$24,MATCH(D147,Properties!$A$5:$A$24,0))),0))</f>
        <v/>
      </c>
      <c r="S147" s="41" t="str">
        <f aca="false">IF(Q147="","",Q147-R147)</f>
        <v/>
      </c>
      <c r="T147" s="6"/>
      <c r="U147" s="6"/>
      <c r="V147" s="6"/>
      <c r="W147" s="6"/>
      <c r="X147" s="6"/>
      <c r="Y147" s="8" t="str">
        <f aca="false">IF(OR(D147="",B147="",C147=""),"",IF(N(C147)&lt;=N(B147),"Check dates",IF(T147="Cancelled","",IF(COUNTIFS($D$5:$D$1004,D147,$B$5:$B$1004,"&lt;"&amp;C147,$C$5:$C$1004,"&gt;"&amp;B147,$T$5:$T$1004,"&lt;&gt;Cancelled")&gt;1,"Double-booked",""))))</f>
        <v/>
      </c>
      <c r="Z147" s="42" t="str">
        <f aca="false">IF(AND(AA147=1,ISNUMBER(C147)),C147+ROW()/100000,"")</f>
        <v/>
      </c>
      <c r="AA147" s="43" t="n">
        <f aca="false">IF(AND(D147&lt;&gt;"",ISNUMBER(B147),ISNUMBER(C147),N(H147)&gt;0,T147&lt;&gt;"Cancelled",J147&lt;&gt;""),1,0)</f>
        <v>0</v>
      </c>
      <c r="AB147" s="44" t="n">
        <f aca="false">IF(AA147=1,J147/H147,0)</f>
        <v>0</v>
      </c>
      <c r="AC147" s="44" t="n">
        <f aca="false">IF(AA147=1,Q147/H147,0)</f>
        <v>0</v>
      </c>
      <c r="AD147" s="44" t="n">
        <f aca="false">IF(AA147=1,R147/H147,0)</f>
        <v>0</v>
      </c>
      <c r="AE147" s="44" t="n">
        <f aca="false">IF(AA147=1,O147/H147,0)</f>
        <v>0</v>
      </c>
      <c r="AF147" s="44" t="n">
        <f aca="false">IF(AA147=1,K147/H147,0)</f>
        <v>0</v>
      </c>
      <c r="AG147" s="45" t="str">
        <f aca="false">IF(AA147=1,D147&amp;"|"&amp;TEXT(B147,"0"),"")</f>
        <v/>
      </c>
      <c r="AH147" s="43" t="n">
        <f aca="false">IF(AA147=1,H147,0)</f>
        <v>0</v>
      </c>
    </row>
    <row r="148" customFormat="false" ht="15" hidden="false" customHeight="false" outlineLevel="0" collapsed="false">
      <c r="A148" s="23" t="str">
        <f aca="false">IF(B148="","","B-"&amp;TEXT(ROW()-4,"0000"))</f>
        <v/>
      </c>
      <c r="B148" s="38"/>
      <c r="C148" s="38"/>
      <c r="D148" s="6"/>
      <c r="E148" s="6"/>
      <c r="F148" s="6"/>
      <c r="G148" s="11"/>
      <c r="H148" s="24" t="str">
        <f aca="false">IF(AND(ISNUMBER(B148),ISNUMBER(C148)),MAX(0,C148-B148),"")</f>
        <v/>
      </c>
      <c r="I148" s="37"/>
      <c r="J148" s="46" t="str">
        <f aca="false">IF(OR(D148="",N(H148)=0),"",IFERROR(IF(I148&lt;&gt;"",H148*I148,ROUND(((H148-(INT((WEEKDAY(B148-6)+H148-1)/7)+INT((WEEKDAY(B148-7)+H148-1)/7)))*INDEX(Properties!$E$5:$E$24,MATCH(D148,Properties!$A$5:$A$24,0))+(INT((WEEKDAY(B148-6)+H148-1)/7)+INT((WEEKDAY(B148-7)+H148-1)/7))*INDEX(Properties!$F$5:$F$24,MATCH(D148,Properties!$A$5:$A$24,0)))*(1-IF(H148&gt;=28,Settings!$B$10,IF(H148&gt;=7,Settings!$B$9,0))),2)),0))</f>
        <v/>
      </c>
      <c r="K148" s="46" t="str">
        <f aca="false">IF(J148="","",IFERROR(N(INDEX(Properties!$G$5:$G$24,MATCH(D148,Properties!$A$5:$A$24,0))),0))</f>
        <v/>
      </c>
      <c r="L148" s="46" t="str">
        <f aca="false">IF(J148="","",IFERROR(MAX(0,N(G148)-INDEX(Properties!$I$5:$I$24,MATCH(D148,Properties!$A$5:$A$24,0)))*N(INDEX(Properties!$J$5:$J$24,MATCH(D148,Properties!$A$5:$A$24,0)))*H148,0))</f>
        <v/>
      </c>
      <c r="M148" s="37"/>
      <c r="N148" s="46" t="str">
        <f aca="false">IF(J148="","",J148+K148+L148+N(M148))</f>
        <v/>
      </c>
      <c r="O148" s="46" t="str">
        <f aca="false">IF(N148="","",IF(P148&lt;&gt;"",N148-P148,ROUND(N148*IFERROR(INDEX(Settings!$E$5:$E$12,MATCH(F148,Settings!$D$5:$D$12,0)),0),2)))</f>
        <v/>
      </c>
      <c r="P148" s="37"/>
      <c r="Q148" s="46" t="str">
        <f aca="false">IF(N148="","",IF(P148&lt;&gt;"",P148,N148-O148))</f>
        <v/>
      </c>
      <c r="R148" s="46" t="str">
        <f aca="false">IF(J148="","",IFERROR(N(INDEX(Properties!$H$5:$H$24,MATCH(D148,Properties!$A$5:$A$24,0))),0))</f>
        <v/>
      </c>
      <c r="S148" s="46" t="str">
        <f aca="false">IF(Q148="","",Q148-R148)</f>
        <v/>
      </c>
      <c r="T148" s="6"/>
      <c r="U148" s="6"/>
      <c r="V148" s="6"/>
      <c r="W148" s="6"/>
      <c r="X148" s="6"/>
      <c r="Y148" s="8" t="str">
        <f aca="false">IF(OR(D148="",B148="",C148=""),"",IF(N(C148)&lt;=N(B148),"Check dates",IF(T148="Cancelled","",IF(COUNTIFS($D$5:$D$1004,D148,$B$5:$B$1004,"&lt;"&amp;C148,$C$5:$C$1004,"&gt;"&amp;B148,$T$5:$T$1004,"&lt;&gt;Cancelled")&gt;1,"Double-booked",""))))</f>
        <v/>
      </c>
      <c r="Z148" s="42" t="str">
        <f aca="false">IF(AND(AA148=1,ISNUMBER(C148)),C148+ROW()/100000,"")</f>
        <v/>
      </c>
      <c r="AA148" s="43" t="n">
        <f aca="false">IF(AND(D148&lt;&gt;"",ISNUMBER(B148),ISNUMBER(C148),N(H148)&gt;0,T148&lt;&gt;"Cancelled",J148&lt;&gt;""),1,0)</f>
        <v>0</v>
      </c>
      <c r="AB148" s="44" t="n">
        <f aca="false">IF(AA148=1,J148/H148,0)</f>
        <v>0</v>
      </c>
      <c r="AC148" s="44" t="n">
        <f aca="false">IF(AA148=1,Q148/H148,0)</f>
        <v>0</v>
      </c>
      <c r="AD148" s="44" t="n">
        <f aca="false">IF(AA148=1,R148/H148,0)</f>
        <v>0</v>
      </c>
      <c r="AE148" s="44" t="n">
        <f aca="false">IF(AA148=1,O148/H148,0)</f>
        <v>0</v>
      </c>
      <c r="AF148" s="44" t="n">
        <f aca="false">IF(AA148=1,K148/H148,0)</f>
        <v>0</v>
      </c>
      <c r="AG148" s="45" t="str">
        <f aca="false">IF(AA148=1,D148&amp;"|"&amp;TEXT(B148,"0"),"")</f>
        <v/>
      </c>
      <c r="AH148" s="43" t="n">
        <f aca="false">IF(AA148=1,H148,0)</f>
        <v>0</v>
      </c>
    </row>
    <row r="149" customFormat="false" ht="15" hidden="false" customHeight="false" outlineLevel="0" collapsed="false">
      <c r="A149" s="8" t="str">
        <f aca="false">IF(B149="","","B-"&amp;TEXT(ROW()-4,"0000"))</f>
        <v/>
      </c>
      <c r="B149" s="38"/>
      <c r="C149" s="38"/>
      <c r="D149" s="6"/>
      <c r="E149" s="6"/>
      <c r="F149" s="6"/>
      <c r="G149" s="11"/>
      <c r="H149" s="18" t="str">
        <f aca="false">IF(AND(ISNUMBER(B149),ISNUMBER(C149)),MAX(0,C149-B149),"")</f>
        <v/>
      </c>
      <c r="I149" s="37"/>
      <c r="J149" s="41" t="str">
        <f aca="false">IF(OR(D149="",N(H149)=0),"",IFERROR(IF(I149&lt;&gt;"",H149*I149,ROUND(((H149-(INT((WEEKDAY(B149-6)+H149-1)/7)+INT((WEEKDAY(B149-7)+H149-1)/7)))*INDEX(Properties!$E$5:$E$24,MATCH(D149,Properties!$A$5:$A$24,0))+(INT((WEEKDAY(B149-6)+H149-1)/7)+INT((WEEKDAY(B149-7)+H149-1)/7))*INDEX(Properties!$F$5:$F$24,MATCH(D149,Properties!$A$5:$A$24,0)))*(1-IF(H149&gt;=28,Settings!$B$10,IF(H149&gt;=7,Settings!$B$9,0))),2)),0))</f>
        <v/>
      </c>
      <c r="K149" s="41" t="str">
        <f aca="false">IF(J149="","",IFERROR(N(INDEX(Properties!$G$5:$G$24,MATCH(D149,Properties!$A$5:$A$24,0))),0))</f>
        <v/>
      </c>
      <c r="L149" s="41" t="str">
        <f aca="false">IF(J149="","",IFERROR(MAX(0,N(G149)-INDEX(Properties!$I$5:$I$24,MATCH(D149,Properties!$A$5:$A$24,0)))*N(INDEX(Properties!$J$5:$J$24,MATCH(D149,Properties!$A$5:$A$24,0)))*H149,0))</f>
        <v/>
      </c>
      <c r="M149" s="37"/>
      <c r="N149" s="41" t="str">
        <f aca="false">IF(J149="","",J149+K149+L149+N(M149))</f>
        <v/>
      </c>
      <c r="O149" s="41" t="str">
        <f aca="false">IF(N149="","",IF(P149&lt;&gt;"",N149-P149,ROUND(N149*IFERROR(INDEX(Settings!$E$5:$E$12,MATCH(F149,Settings!$D$5:$D$12,0)),0),2)))</f>
        <v/>
      </c>
      <c r="P149" s="37"/>
      <c r="Q149" s="41" t="str">
        <f aca="false">IF(N149="","",IF(P149&lt;&gt;"",P149,N149-O149))</f>
        <v/>
      </c>
      <c r="R149" s="41" t="str">
        <f aca="false">IF(J149="","",IFERROR(N(INDEX(Properties!$H$5:$H$24,MATCH(D149,Properties!$A$5:$A$24,0))),0))</f>
        <v/>
      </c>
      <c r="S149" s="41" t="str">
        <f aca="false">IF(Q149="","",Q149-R149)</f>
        <v/>
      </c>
      <c r="T149" s="6"/>
      <c r="U149" s="6"/>
      <c r="V149" s="6"/>
      <c r="W149" s="6"/>
      <c r="X149" s="6"/>
      <c r="Y149" s="8" t="str">
        <f aca="false">IF(OR(D149="",B149="",C149=""),"",IF(N(C149)&lt;=N(B149),"Check dates",IF(T149="Cancelled","",IF(COUNTIFS($D$5:$D$1004,D149,$B$5:$B$1004,"&lt;"&amp;C149,$C$5:$C$1004,"&gt;"&amp;B149,$T$5:$T$1004,"&lt;&gt;Cancelled")&gt;1,"Double-booked",""))))</f>
        <v/>
      </c>
      <c r="Z149" s="42" t="str">
        <f aca="false">IF(AND(AA149=1,ISNUMBER(C149)),C149+ROW()/100000,"")</f>
        <v/>
      </c>
      <c r="AA149" s="43" t="n">
        <f aca="false">IF(AND(D149&lt;&gt;"",ISNUMBER(B149),ISNUMBER(C149),N(H149)&gt;0,T149&lt;&gt;"Cancelled",J149&lt;&gt;""),1,0)</f>
        <v>0</v>
      </c>
      <c r="AB149" s="44" t="n">
        <f aca="false">IF(AA149=1,J149/H149,0)</f>
        <v>0</v>
      </c>
      <c r="AC149" s="44" t="n">
        <f aca="false">IF(AA149=1,Q149/H149,0)</f>
        <v>0</v>
      </c>
      <c r="AD149" s="44" t="n">
        <f aca="false">IF(AA149=1,R149/H149,0)</f>
        <v>0</v>
      </c>
      <c r="AE149" s="44" t="n">
        <f aca="false">IF(AA149=1,O149/H149,0)</f>
        <v>0</v>
      </c>
      <c r="AF149" s="44" t="n">
        <f aca="false">IF(AA149=1,K149/H149,0)</f>
        <v>0</v>
      </c>
      <c r="AG149" s="45" t="str">
        <f aca="false">IF(AA149=1,D149&amp;"|"&amp;TEXT(B149,"0"),"")</f>
        <v/>
      </c>
      <c r="AH149" s="43" t="n">
        <f aca="false">IF(AA149=1,H149,0)</f>
        <v>0</v>
      </c>
    </row>
    <row r="150" customFormat="false" ht="15" hidden="false" customHeight="false" outlineLevel="0" collapsed="false">
      <c r="A150" s="23" t="str">
        <f aca="false">IF(B150="","","B-"&amp;TEXT(ROW()-4,"0000"))</f>
        <v/>
      </c>
      <c r="B150" s="38"/>
      <c r="C150" s="38"/>
      <c r="D150" s="6"/>
      <c r="E150" s="6"/>
      <c r="F150" s="6"/>
      <c r="G150" s="11"/>
      <c r="H150" s="24" t="str">
        <f aca="false">IF(AND(ISNUMBER(B150),ISNUMBER(C150)),MAX(0,C150-B150),"")</f>
        <v/>
      </c>
      <c r="I150" s="37"/>
      <c r="J150" s="46" t="str">
        <f aca="false">IF(OR(D150="",N(H150)=0),"",IFERROR(IF(I150&lt;&gt;"",H150*I150,ROUND(((H150-(INT((WEEKDAY(B150-6)+H150-1)/7)+INT((WEEKDAY(B150-7)+H150-1)/7)))*INDEX(Properties!$E$5:$E$24,MATCH(D150,Properties!$A$5:$A$24,0))+(INT((WEEKDAY(B150-6)+H150-1)/7)+INT((WEEKDAY(B150-7)+H150-1)/7))*INDEX(Properties!$F$5:$F$24,MATCH(D150,Properties!$A$5:$A$24,0)))*(1-IF(H150&gt;=28,Settings!$B$10,IF(H150&gt;=7,Settings!$B$9,0))),2)),0))</f>
        <v/>
      </c>
      <c r="K150" s="46" t="str">
        <f aca="false">IF(J150="","",IFERROR(N(INDEX(Properties!$G$5:$G$24,MATCH(D150,Properties!$A$5:$A$24,0))),0))</f>
        <v/>
      </c>
      <c r="L150" s="46" t="str">
        <f aca="false">IF(J150="","",IFERROR(MAX(0,N(G150)-INDEX(Properties!$I$5:$I$24,MATCH(D150,Properties!$A$5:$A$24,0)))*N(INDEX(Properties!$J$5:$J$24,MATCH(D150,Properties!$A$5:$A$24,0)))*H150,0))</f>
        <v/>
      </c>
      <c r="M150" s="37"/>
      <c r="N150" s="46" t="str">
        <f aca="false">IF(J150="","",J150+K150+L150+N(M150))</f>
        <v/>
      </c>
      <c r="O150" s="46" t="str">
        <f aca="false">IF(N150="","",IF(P150&lt;&gt;"",N150-P150,ROUND(N150*IFERROR(INDEX(Settings!$E$5:$E$12,MATCH(F150,Settings!$D$5:$D$12,0)),0),2)))</f>
        <v/>
      </c>
      <c r="P150" s="37"/>
      <c r="Q150" s="46" t="str">
        <f aca="false">IF(N150="","",IF(P150&lt;&gt;"",P150,N150-O150))</f>
        <v/>
      </c>
      <c r="R150" s="46" t="str">
        <f aca="false">IF(J150="","",IFERROR(N(INDEX(Properties!$H$5:$H$24,MATCH(D150,Properties!$A$5:$A$24,0))),0))</f>
        <v/>
      </c>
      <c r="S150" s="46" t="str">
        <f aca="false">IF(Q150="","",Q150-R150)</f>
        <v/>
      </c>
      <c r="T150" s="6"/>
      <c r="U150" s="6"/>
      <c r="V150" s="6"/>
      <c r="W150" s="6"/>
      <c r="X150" s="6"/>
      <c r="Y150" s="8" t="str">
        <f aca="false">IF(OR(D150="",B150="",C150=""),"",IF(N(C150)&lt;=N(B150),"Check dates",IF(T150="Cancelled","",IF(COUNTIFS($D$5:$D$1004,D150,$B$5:$B$1004,"&lt;"&amp;C150,$C$5:$C$1004,"&gt;"&amp;B150,$T$5:$T$1004,"&lt;&gt;Cancelled")&gt;1,"Double-booked",""))))</f>
        <v/>
      </c>
      <c r="Z150" s="42" t="str">
        <f aca="false">IF(AND(AA150=1,ISNUMBER(C150)),C150+ROW()/100000,"")</f>
        <v/>
      </c>
      <c r="AA150" s="43" t="n">
        <f aca="false">IF(AND(D150&lt;&gt;"",ISNUMBER(B150),ISNUMBER(C150),N(H150)&gt;0,T150&lt;&gt;"Cancelled",J150&lt;&gt;""),1,0)</f>
        <v>0</v>
      </c>
      <c r="AB150" s="44" t="n">
        <f aca="false">IF(AA150=1,J150/H150,0)</f>
        <v>0</v>
      </c>
      <c r="AC150" s="44" t="n">
        <f aca="false">IF(AA150=1,Q150/H150,0)</f>
        <v>0</v>
      </c>
      <c r="AD150" s="44" t="n">
        <f aca="false">IF(AA150=1,R150/H150,0)</f>
        <v>0</v>
      </c>
      <c r="AE150" s="44" t="n">
        <f aca="false">IF(AA150=1,O150/H150,0)</f>
        <v>0</v>
      </c>
      <c r="AF150" s="44" t="n">
        <f aca="false">IF(AA150=1,K150/H150,0)</f>
        <v>0</v>
      </c>
      <c r="AG150" s="45" t="str">
        <f aca="false">IF(AA150=1,D150&amp;"|"&amp;TEXT(B150,"0"),"")</f>
        <v/>
      </c>
      <c r="AH150" s="43" t="n">
        <f aca="false">IF(AA150=1,H150,0)</f>
        <v>0</v>
      </c>
    </row>
    <row r="151" customFormat="false" ht="15" hidden="false" customHeight="false" outlineLevel="0" collapsed="false">
      <c r="A151" s="8" t="str">
        <f aca="false">IF(B151="","","B-"&amp;TEXT(ROW()-4,"0000"))</f>
        <v/>
      </c>
      <c r="B151" s="38"/>
      <c r="C151" s="38"/>
      <c r="D151" s="6"/>
      <c r="E151" s="6"/>
      <c r="F151" s="6"/>
      <c r="G151" s="11"/>
      <c r="H151" s="18" t="str">
        <f aca="false">IF(AND(ISNUMBER(B151),ISNUMBER(C151)),MAX(0,C151-B151),"")</f>
        <v/>
      </c>
      <c r="I151" s="37"/>
      <c r="J151" s="41" t="str">
        <f aca="false">IF(OR(D151="",N(H151)=0),"",IFERROR(IF(I151&lt;&gt;"",H151*I151,ROUND(((H151-(INT((WEEKDAY(B151-6)+H151-1)/7)+INT((WEEKDAY(B151-7)+H151-1)/7)))*INDEX(Properties!$E$5:$E$24,MATCH(D151,Properties!$A$5:$A$24,0))+(INT((WEEKDAY(B151-6)+H151-1)/7)+INT((WEEKDAY(B151-7)+H151-1)/7))*INDEX(Properties!$F$5:$F$24,MATCH(D151,Properties!$A$5:$A$24,0)))*(1-IF(H151&gt;=28,Settings!$B$10,IF(H151&gt;=7,Settings!$B$9,0))),2)),0))</f>
        <v/>
      </c>
      <c r="K151" s="41" t="str">
        <f aca="false">IF(J151="","",IFERROR(N(INDEX(Properties!$G$5:$G$24,MATCH(D151,Properties!$A$5:$A$24,0))),0))</f>
        <v/>
      </c>
      <c r="L151" s="41" t="str">
        <f aca="false">IF(J151="","",IFERROR(MAX(0,N(G151)-INDEX(Properties!$I$5:$I$24,MATCH(D151,Properties!$A$5:$A$24,0)))*N(INDEX(Properties!$J$5:$J$24,MATCH(D151,Properties!$A$5:$A$24,0)))*H151,0))</f>
        <v/>
      </c>
      <c r="M151" s="37"/>
      <c r="N151" s="41" t="str">
        <f aca="false">IF(J151="","",J151+K151+L151+N(M151))</f>
        <v/>
      </c>
      <c r="O151" s="41" t="str">
        <f aca="false">IF(N151="","",IF(P151&lt;&gt;"",N151-P151,ROUND(N151*IFERROR(INDEX(Settings!$E$5:$E$12,MATCH(F151,Settings!$D$5:$D$12,0)),0),2)))</f>
        <v/>
      </c>
      <c r="P151" s="37"/>
      <c r="Q151" s="41" t="str">
        <f aca="false">IF(N151="","",IF(P151&lt;&gt;"",P151,N151-O151))</f>
        <v/>
      </c>
      <c r="R151" s="41" t="str">
        <f aca="false">IF(J151="","",IFERROR(N(INDEX(Properties!$H$5:$H$24,MATCH(D151,Properties!$A$5:$A$24,0))),0))</f>
        <v/>
      </c>
      <c r="S151" s="41" t="str">
        <f aca="false">IF(Q151="","",Q151-R151)</f>
        <v/>
      </c>
      <c r="T151" s="6"/>
      <c r="U151" s="6"/>
      <c r="V151" s="6"/>
      <c r="W151" s="6"/>
      <c r="X151" s="6"/>
      <c r="Y151" s="8" t="str">
        <f aca="false">IF(OR(D151="",B151="",C151=""),"",IF(N(C151)&lt;=N(B151),"Check dates",IF(T151="Cancelled","",IF(COUNTIFS($D$5:$D$1004,D151,$B$5:$B$1004,"&lt;"&amp;C151,$C$5:$C$1004,"&gt;"&amp;B151,$T$5:$T$1004,"&lt;&gt;Cancelled")&gt;1,"Double-booked",""))))</f>
        <v/>
      </c>
      <c r="Z151" s="42" t="str">
        <f aca="false">IF(AND(AA151=1,ISNUMBER(C151)),C151+ROW()/100000,"")</f>
        <v/>
      </c>
      <c r="AA151" s="43" t="n">
        <f aca="false">IF(AND(D151&lt;&gt;"",ISNUMBER(B151),ISNUMBER(C151),N(H151)&gt;0,T151&lt;&gt;"Cancelled",J151&lt;&gt;""),1,0)</f>
        <v>0</v>
      </c>
      <c r="AB151" s="44" t="n">
        <f aca="false">IF(AA151=1,J151/H151,0)</f>
        <v>0</v>
      </c>
      <c r="AC151" s="44" t="n">
        <f aca="false">IF(AA151=1,Q151/H151,0)</f>
        <v>0</v>
      </c>
      <c r="AD151" s="44" t="n">
        <f aca="false">IF(AA151=1,R151/H151,0)</f>
        <v>0</v>
      </c>
      <c r="AE151" s="44" t="n">
        <f aca="false">IF(AA151=1,O151/H151,0)</f>
        <v>0</v>
      </c>
      <c r="AF151" s="44" t="n">
        <f aca="false">IF(AA151=1,K151/H151,0)</f>
        <v>0</v>
      </c>
      <c r="AG151" s="45" t="str">
        <f aca="false">IF(AA151=1,D151&amp;"|"&amp;TEXT(B151,"0"),"")</f>
        <v/>
      </c>
      <c r="AH151" s="43" t="n">
        <f aca="false">IF(AA151=1,H151,0)</f>
        <v>0</v>
      </c>
    </row>
    <row r="152" customFormat="false" ht="15" hidden="false" customHeight="false" outlineLevel="0" collapsed="false">
      <c r="A152" s="23" t="str">
        <f aca="false">IF(B152="","","B-"&amp;TEXT(ROW()-4,"0000"))</f>
        <v/>
      </c>
      <c r="B152" s="38"/>
      <c r="C152" s="38"/>
      <c r="D152" s="6"/>
      <c r="E152" s="6"/>
      <c r="F152" s="6"/>
      <c r="G152" s="11"/>
      <c r="H152" s="24" t="str">
        <f aca="false">IF(AND(ISNUMBER(B152),ISNUMBER(C152)),MAX(0,C152-B152),"")</f>
        <v/>
      </c>
      <c r="I152" s="37"/>
      <c r="J152" s="46" t="str">
        <f aca="false">IF(OR(D152="",N(H152)=0),"",IFERROR(IF(I152&lt;&gt;"",H152*I152,ROUND(((H152-(INT((WEEKDAY(B152-6)+H152-1)/7)+INT((WEEKDAY(B152-7)+H152-1)/7)))*INDEX(Properties!$E$5:$E$24,MATCH(D152,Properties!$A$5:$A$24,0))+(INT((WEEKDAY(B152-6)+H152-1)/7)+INT((WEEKDAY(B152-7)+H152-1)/7))*INDEX(Properties!$F$5:$F$24,MATCH(D152,Properties!$A$5:$A$24,0)))*(1-IF(H152&gt;=28,Settings!$B$10,IF(H152&gt;=7,Settings!$B$9,0))),2)),0))</f>
        <v/>
      </c>
      <c r="K152" s="46" t="str">
        <f aca="false">IF(J152="","",IFERROR(N(INDEX(Properties!$G$5:$G$24,MATCH(D152,Properties!$A$5:$A$24,0))),0))</f>
        <v/>
      </c>
      <c r="L152" s="46" t="str">
        <f aca="false">IF(J152="","",IFERROR(MAX(0,N(G152)-INDEX(Properties!$I$5:$I$24,MATCH(D152,Properties!$A$5:$A$24,0)))*N(INDEX(Properties!$J$5:$J$24,MATCH(D152,Properties!$A$5:$A$24,0)))*H152,0))</f>
        <v/>
      </c>
      <c r="M152" s="37"/>
      <c r="N152" s="46" t="str">
        <f aca="false">IF(J152="","",J152+K152+L152+N(M152))</f>
        <v/>
      </c>
      <c r="O152" s="46" t="str">
        <f aca="false">IF(N152="","",IF(P152&lt;&gt;"",N152-P152,ROUND(N152*IFERROR(INDEX(Settings!$E$5:$E$12,MATCH(F152,Settings!$D$5:$D$12,0)),0),2)))</f>
        <v/>
      </c>
      <c r="P152" s="37"/>
      <c r="Q152" s="46" t="str">
        <f aca="false">IF(N152="","",IF(P152&lt;&gt;"",P152,N152-O152))</f>
        <v/>
      </c>
      <c r="R152" s="46" t="str">
        <f aca="false">IF(J152="","",IFERROR(N(INDEX(Properties!$H$5:$H$24,MATCH(D152,Properties!$A$5:$A$24,0))),0))</f>
        <v/>
      </c>
      <c r="S152" s="46" t="str">
        <f aca="false">IF(Q152="","",Q152-R152)</f>
        <v/>
      </c>
      <c r="T152" s="6"/>
      <c r="U152" s="6"/>
      <c r="V152" s="6"/>
      <c r="W152" s="6"/>
      <c r="X152" s="6"/>
      <c r="Y152" s="8" t="str">
        <f aca="false">IF(OR(D152="",B152="",C152=""),"",IF(N(C152)&lt;=N(B152),"Check dates",IF(T152="Cancelled","",IF(COUNTIFS($D$5:$D$1004,D152,$B$5:$B$1004,"&lt;"&amp;C152,$C$5:$C$1004,"&gt;"&amp;B152,$T$5:$T$1004,"&lt;&gt;Cancelled")&gt;1,"Double-booked",""))))</f>
        <v/>
      </c>
      <c r="Z152" s="42" t="str">
        <f aca="false">IF(AND(AA152=1,ISNUMBER(C152)),C152+ROW()/100000,"")</f>
        <v/>
      </c>
      <c r="AA152" s="43" t="n">
        <f aca="false">IF(AND(D152&lt;&gt;"",ISNUMBER(B152),ISNUMBER(C152),N(H152)&gt;0,T152&lt;&gt;"Cancelled",J152&lt;&gt;""),1,0)</f>
        <v>0</v>
      </c>
      <c r="AB152" s="44" t="n">
        <f aca="false">IF(AA152=1,J152/H152,0)</f>
        <v>0</v>
      </c>
      <c r="AC152" s="44" t="n">
        <f aca="false">IF(AA152=1,Q152/H152,0)</f>
        <v>0</v>
      </c>
      <c r="AD152" s="44" t="n">
        <f aca="false">IF(AA152=1,R152/H152,0)</f>
        <v>0</v>
      </c>
      <c r="AE152" s="44" t="n">
        <f aca="false">IF(AA152=1,O152/H152,0)</f>
        <v>0</v>
      </c>
      <c r="AF152" s="44" t="n">
        <f aca="false">IF(AA152=1,K152/H152,0)</f>
        <v>0</v>
      </c>
      <c r="AG152" s="45" t="str">
        <f aca="false">IF(AA152=1,D152&amp;"|"&amp;TEXT(B152,"0"),"")</f>
        <v/>
      </c>
      <c r="AH152" s="43" t="n">
        <f aca="false">IF(AA152=1,H152,0)</f>
        <v>0</v>
      </c>
    </row>
    <row r="153" customFormat="false" ht="15" hidden="false" customHeight="false" outlineLevel="0" collapsed="false">
      <c r="A153" s="8" t="str">
        <f aca="false">IF(B153="","","B-"&amp;TEXT(ROW()-4,"0000"))</f>
        <v/>
      </c>
      <c r="B153" s="38"/>
      <c r="C153" s="38"/>
      <c r="D153" s="6"/>
      <c r="E153" s="6"/>
      <c r="F153" s="6"/>
      <c r="G153" s="11"/>
      <c r="H153" s="18" t="str">
        <f aca="false">IF(AND(ISNUMBER(B153),ISNUMBER(C153)),MAX(0,C153-B153),"")</f>
        <v/>
      </c>
      <c r="I153" s="37"/>
      <c r="J153" s="41" t="str">
        <f aca="false">IF(OR(D153="",N(H153)=0),"",IFERROR(IF(I153&lt;&gt;"",H153*I153,ROUND(((H153-(INT((WEEKDAY(B153-6)+H153-1)/7)+INT((WEEKDAY(B153-7)+H153-1)/7)))*INDEX(Properties!$E$5:$E$24,MATCH(D153,Properties!$A$5:$A$24,0))+(INT((WEEKDAY(B153-6)+H153-1)/7)+INT((WEEKDAY(B153-7)+H153-1)/7))*INDEX(Properties!$F$5:$F$24,MATCH(D153,Properties!$A$5:$A$24,0)))*(1-IF(H153&gt;=28,Settings!$B$10,IF(H153&gt;=7,Settings!$B$9,0))),2)),0))</f>
        <v/>
      </c>
      <c r="K153" s="41" t="str">
        <f aca="false">IF(J153="","",IFERROR(N(INDEX(Properties!$G$5:$G$24,MATCH(D153,Properties!$A$5:$A$24,0))),0))</f>
        <v/>
      </c>
      <c r="L153" s="41" t="str">
        <f aca="false">IF(J153="","",IFERROR(MAX(0,N(G153)-INDEX(Properties!$I$5:$I$24,MATCH(D153,Properties!$A$5:$A$24,0)))*N(INDEX(Properties!$J$5:$J$24,MATCH(D153,Properties!$A$5:$A$24,0)))*H153,0))</f>
        <v/>
      </c>
      <c r="M153" s="37"/>
      <c r="N153" s="41" t="str">
        <f aca="false">IF(J153="","",J153+K153+L153+N(M153))</f>
        <v/>
      </c>
      <c r="O153" s="41" t="str">
        <f aca="false">IF(N153="","",IF(P153&lt;&gt;"",N153-P153,ROUND(N153*IFERROR(INDEX(Settings!$E$5:$E$12,MATCH(F153,Settings!$D$5:$D$12,0)),0),2)))</f>
        <v/>
      </c>
      <c r="P153" s="37"/>
      <c r="Q153" s="41" t="str">
        <f aca="false">IF(N153="","",IF(P153&lt;&gt;"",P153,N153-O153))</f>
        <v/>
      </c>
      <c r="R153" s="41" t="str">
        <f aca="false">IF(J153="","",IFERROR(N(INDEX(Properties!$H$5:$H$24,MATCH(D153,Properties!$A$5:$A$24,0))),0))</f>
        <v/>
      </c>
      <c r="S153" s="41" t="str">
        <f aca="false">IF(Q153="","",Q153-R153)</f>
        <v/>
      </c>
      <c r="T153" s="6"/>
      <c r="U153" s="6"/>
      <c r="V153" s="6"/>
      <c r="W153" s="6"/>
      <c r="X153" s="6"/>
      <c r="Y153" s="8" t="str">
        <f aca="false">IF(OR(D153="",B153="",C153=""),"",IF(N(C153)&lt;=N(B153),"Check dates",IF(T153="Cancelled","",IF(COUNTIFS($D$5:$D$1004,D153,$B$5:$B$1004,"&lt;"&amp;C153,$C$5:$C$1004,"&gt;"&amp;B153,$T$5:$T$1004,"&lt;&gt;Cancelled")&gt;1,"Double-booked",""))))</f>
        <v/>
      </c>
      <c r="Z153" s="42" t="str">
        <f aca="false">IF(AND(AA153=1,ISNUMBER(C153)),C153+ROW()/100000,"")</f>
        <v/>
      </c>
      <c r="AA153" s="43" t="n">
        <f aca="false">IF(AND(D153&lt;&gt;"",ISNUMBER(B153),ISNUMBER(C153),N(H153)&gt;0,T153&lt;&gt;"Cancelled",J153&lt;&gt;""),1,0)</f>
        <v>0</v>
      </c>
      <c r="AB153" s="44" t="n">
        <f aca="false">IF(AA153=1,J153/H153,0)</f>
        <v>0</v>
      </c>
      <c r="AC153" s="44" t="n">
        <f aca="false">IF(AA153=1,Q153/H153,0)</f>
        <v>0</v>
      </c>
      <c r="AD153" s="44" t="n">
        <f aca="false">IF(AA153=1,R153/H153,0)</f>
        <v>0</v>
      </c>
      <c r="AE153" s="44" t="n">
        <f aca="false">IF(AA153=1,O153/H153,0)</f>
        <v>0</v>
      </c>
      <c r="AF153" s="44" t="n">
        <f aca="false">IF(AA153=1,K153/H153,0)</f>
        <v>0</v>
      </c>
      <c r="AG153" s="45" t="str">
        <f aca="false">IF(AA153=1,D153&amp;"|"&amp;TEXT(B153,"0"),"")</f>
        <v/>
      </c>
      <c r="AH153" s="43" t="n">
        <f aca="false">IF(AA153=1,H153,0)</f>
        <v>0</v>
      </c>
    </row>
    <row r="154" customFormat="false" ht="15" hidden="false" customHeight="false" outlineLevel="0" collapsed="false">
      <c r="A154" s="23" t="str">
        <f aca="false">IF(B154="","","B-"&amp;TEXT(ROW()-4,"0000"))</f>
        <v/>
      </c>
      <c r="B154" s="38"/>
      <c r="C154" s="38"/>
      <c r="D154" s="6"/>
      <c r="E154" s="6"/>
      <c r="F154" s="6"/>
      <c r="G154" s="11"/>
      <c r="H154" s="24" t="str">
        <f aca="false">IF(AND(ISNUMBER(B154),ISNUMBER(C154)),MAX(0,C154-B154),"")</f>
        <v/>
      </c>
      <c r="I154" s="37"/>
      <c r="J154" s="46" t="str">
        <f aca="false">IF(OR(D154="",N(H154)=0),"",IFERROR(IF(I154&lt;&gt;"",H154*I154,ROUND(((H154-(INT((WEEKDAY(B154-6)+H154-1)/7)+INT((WEEKDAY(B154-7)+H154-1)/7)))*INDEX(Properties!$E$5:$E$24,MATCH(D154,Properties!$A$5:$A$24,0))+(INT((WEEKDAY(B154-6)+H154-1)/7)+INT((WEEKDAY(B154-7)+H154-1)/7))*INDEX(Properties!$F$5:$F$24,MATCH(D154,Properties!$A$5:$A$24,0)))*(1-IF(H154&gt;=28,Settings!$B$10,IF(H154&gt;=7,Settings!$B$9,0))),2)),0))</f>
        <v/>
      </c>
      <c r="K154" s="46" t="str">
        <f aca="false">IF(J154="","",IFERROR(N(INDEX(Properties!$G$5:$G$24,MATCH(D154,Properties!$A$5:$A$24,0))),0))</f>
        <v/>
      </c>
      <c r="L154" s="46" t="str">
        <f aca="false">IF(J154="","",IFERROR(MAX(0,N(G154)-INDEX(Properties!$I$5:$I$24,MATCH(D154,Properties!$A$5:$A$24,0)))*N(INDEX(Properties!$J$5:$J$24,MATCH(D154,Properties!$A$5:$A$24,0)))*H154,0))</f>
        <v/>
      </c>
      <c r="M154" s="37"/>
      <c r="N154" s="46" t="str">
        <f aca="false">IF(J154="","",J154+K154+L154+N(M154))</f>
        <v/>
      </c>
      <c r="O154" s="46" t="str">
        <f aca="false">IF(N154="","",IF(P154&lt;&gt;"",N154-P154,ROUND(N154*IFERROR(INDEX(Settings!$E$5:$E$12,MATCH(F154,Settings!$D$5:$D$12,0)),0),2)))</f>
        <v/>
      </c>
      <c r="P154" s="37"/>
      <c r="Q154" s="46" t="str">
        <f aca="false">IF(N154="","",IF(P154&lt;&gt;"",P154,N154-O154))</f>
        <v/>
      </c>
      <c r="R154" s="46" t="str">
        <f aca="false">IF(J154="","",IFERROR(N(INDEX(Properties!$H$5:$H$24,MATCH(D154,Properties!$A$5:$A$24,0))),0))</f>
        <v/>
      </c>
      <c r="S154" s="46" t="str">
        <f aca="false">IF(Q154="","",Q154-R154)</f>
        <v/>
      </c>
      <c r="T154" s="6"/>
      <c r="U154" s="6"/>
      <c r="V154" s="6"/>
      <c r="W154" s="6"/>
      <c r="X154" s="6"/>
      <c r="Y154" s="8" t="str">
        <f aca="false">IF(OR(D154="",B154="",C154=""),"",IF(N(C154)&lt;=N(B154),"Check dates",IF(T154="Cancelled","",IF(COUNTIFS($D$5:$D$1004,D154,$B$5:$B$1004,"&lt;"&amp;C154,$C$5:$C$1004,"&gt;"&amp;B154,$T$5:$T$1004,"&lt;&gt;Cancelled")&gt;1,"Double-booked",""))))</f>
        <v/>
      </c>
      <c r="Z154" s="42" t="str">
        <f aca="false">IF(AND(AA154=1,ISNUMBER(C154)),C154+ROW()/100000,"")</f>
        <v/>
      </c>
      <c r="AA154" s="43" t="n">
        <f aca="false">IF(AND(D154&lt;&gt;"",ISNUMBER(B154),ISNUMBER(C154),N(H154)&gt;0,T154&lt;&gt;"Cancelled",J154&lt;&gt;""),1,0)</f>
        <v>0</v>
      </c>
      <c r="AB154" s="44" t="n">
        <f aca="false">IF(AA154=1,J154/H154,0)</f>
        <v>0</v>
      </c>
      <c r="AC154" s="44" t="n">
        <f aca="false">IF(AA154=1,Q154/H154,0)</f>
        <v>0</v>
      </c>
      <c r="AD154" s="44" t="n">
        <f aca="false">IF(AA154=1,R154/H154,0)</f>
        <v>0</v>
      </c>
      <c r="AE154" s="44" t="n">
        <f aca="false">IF(AA154=1,O154/H154,0)</f>
        <v>0</v>
      </c>
      <c r="AF154" s="44" t="n">
        <f aca="false">IF(AA154=1,K154/H154,0)</f>
        <v>0</v>
      </c>
      <c r="AG154" s="45" t="str">
        <f aca="false">IF(AA154=1,D154&amp;"|"&amp;TEXT(B154,"0"),"")</f>
        <v/>
      </c>
      <c r="AH154" s="43" t="n">
        <f aca="false">IF(AA154=1,H154,0)</f>
        <v>0</v>
      </c>
    </row>
    <row r="155" customFormat="false" ht="15" hidden="false" customHeight="false" outlineLevel="0" collapsed="false">
      <c r="A155" s="8" t="str">
        <f aca="false">IF(B155="","","B-"&amp;TEXT(ROW()-4,"0000"))</f>
        <v/>
      </c>
      <c r="B155" s="38"/>
      <c r="C155" s="38"/>
      <c r="D155" s="6"/>
      <c r="E155" s="6"/>
      <c r="F155" s="6"/>
      <c r="G155" s="11"/>
      <c r="H155" s="18" t="str">
        <f aca="false">IF(AND(ISNUMBER(B155),ISNUMBER(C155)),MAX(0,C155-B155),"")</f>
        <v/>
      </c>
      <c r="I155" s="37"/>
      <c r="J155" s="41" t="str">
        <f aca="false">IF(OR(D155="",N(H155)=0),"",IFERROR(IF(I155&lt;&gt;"",H155*I155,ROUND(((H155-(INT((WEEKDAY(B155-6)+H155-1)/7)+INT((WEEKDAY(B155-7)+H155-1)/7)))*INDEX(Properties!$E$5:$E$24,MATCH(D155,Properties!$A$5:$A$24,0))+(INT((WEEKDAY(B155-6)+H155-1)/7)+INT((WEEKDAY(B155-7)+H155-1)/7))*INDEX(Properties!$F$5:$F$24,MATCH(D155,Properties!$A$5:$A$24,0)))*(1-IF(H155&gt;=28,Settings!$B$10,IF(H155&gt;=7,Settings!$B$9,0))),2)),0))</f>
        <v/>
      </c>
      <c r="K155" s="41" t="str">
        <f aca="false">IF(J155="","",IFERROR(N(INDEX(Properties!$G$5:$G$24,MATCH(D155,Properties!$A$5:$A$24,0))),0))</f>
        <v/>
      </c>
      <c r="L155" s="41" t="str">
        <f aca="false">IF(J155="","",IFERROR(MAX(0,N(G155)-INDEX(Properties!$I$5:$I$24,MATCH(D155,Properties!$A$5:$A$24,0)))*N(INDEX(Properties!$J$5:$J$24,MATCH(D155,Properties!$A$5:$A$24,0)))*H155,0))</f>
        <v/>
      </c>
      <c r="M155" s="37"/>
      <c r="N155" s="41" t="str">
        <f aca="false">IF(J155="","",J155+K155+L155+N(M155))</f>
        <v/>
      </c>
      <c r="O155" s="41" t="str">
        <f aca="false">IF(N155="","",IF(P155&lt;&gt;"",N155-P155,ROUND(N155*IFERROR(INDEX(Settings!$E$5:$E$12,MATCH(F155,Settings!$D$5:$D$12,0)),0),2)))</f>
        <v/>
      </c>
      <c r="P155" s="37"/>
      <c r="Q155" s="41" t="str">
        <f aca="false">IF(N155="","",IF(P155&lt;&gt;"",P155,N155-O155))</f>
        <v/>
      </c>
      <c r="R155" s="41" t="str">
        <f aca="false">IF(J155="","",IFERROR(N(INDEX(Properties!$H$5:$H$24,MATCH(D155,Properties!$A$5:$A$24,0))),0))</f>
        <v/>
      </c>
      <c r="S155" s="41" t="str">
        <f aca="false">IF(Q155="","",Q155-R155)</f>
        <v/>
      </c>
      <c r="T155" s="6"/>
      <c r="U155" s="6"/>
      <c r="V155" s="6"/>
      <c r="W155" s="6"/>
      <c r="X155" s="6"/>
      <c r="Y155" s="8" t="str">
        <f aca="false">IF(OR(D155="",B155="",C155=""),"",IF(N(C155)&lt;=N(B155),"Check dates",IF(T155="Cancelled","",IF(COUNTIFS($D$5:$D$1004,D155,$B$5:$B$1004,"&lt;"&amp;C155,$C$5:$C$1004,"&gt;"&amp;B155,$T$5:$T$1004,"&lt;&gt;Cancelled")&gt;1,"Double-booked",""))))</f>
        <v/>
      </c>
      <c r="Z155" s="42" t="str">
        <f aca="false">IF(AND(AA155=1,ISNUMBER(C155)),C155+ROW()/100000,"")</f>
        <v/>
      </c>
      <c r="AA155" s="43" t="n">
        <f aca="false">IF(AND(D155&lt;&gt;"",ISNUMBER(B155),ISNUMBER(C155),N(H155)&gt;0,T155&lt;&gt;"Cancelled",J155&lt;&gt;""),1,0)</f>
        <v>0</v>
      </c>
      <c r="AB155" s="44" t="n">
        <f aca="false">IF(AA155=1,J155/H155,0)</f>
        <v>0</v>
      </c>
      <c r="AC155" s="44" t="n">
        <f aca="false">IF(AA155=1,Q155/H155,0)</f>
        <v>0</v>
      </c>
      <c r="AD155" s="44" t="n">
        <f aca="false">IF(AA155=1,R155/H155,0)</f>
        <v>0</v>
      </c>
      <c r="AE155" s="44" t="n">
        <f aca="false">IF(AA155=1,O155/H155,0)</f>
        <v>0</v>
      </c>
      <c r="AF155" s="44" t="n">
        <f aca="false">IF(AA155=1,K155/H155,0)</f>
        <v>0</v>
      </c>
      <c r="AG155" s="45" t="str">
        <f aca="false">IF(AA155=1,D155&amp;"|"&amp;TEXT(B155,"0"),"")</f>
        <v/>
      </c>
      <c r="AH155" s="43" t="n">
        <f aca="false">IF(AA155=1,H155,0)</f>
        <v>0</v>
      </c>
    </row>
    <row r="156" customFormat="false" ht="15" hidden="false" customHeight="false" outlineLevel="0" collapsed="false">
      <c r="A156" s="23" t="str">
        <f aca="false">IF(B156="","","B-"&amp;TEXT(ROW()-4,"0000"))</f>
        <v/>
      </c>
      <c r="B156" s="38"/>
      <c r="C156" s="38"/>
      <c r="D156" s="6"/>
      <c r="E156" s="6"/>
      <c r="F156" s="6"/>
      <c r="G156" s="11"/>
      <c r="H156" s="24" t="str">
        <f aca="false">IF(AND(ISNUMBER(B156),ISNUMBER(C156)),MAX(0,C156-B156),"")</f>
        <v/>
      </c>
      <c r="I156" s="37"/>
      <c r="J156" s="46" t="str">
        <f aca="false">IF(OR(D156="",N(H156)=0),"",IFERROR(IF(I156&lt;&gt;"",H156*I156,ROUND(((H156-(INT((WEEKDAY(B156-6)+H156-1)/7)+INT((WEEKDAY(B156-7)+H156-1)/7)))*INDEX(Properties!$E$5:$E$24,MATCH(D156,Properties!$A$5:$A$24,0))+(INT((WEEKDAY(B156-6)+H156-1)/7)+INT((WEEKDAY(B156-7)+H156-1)/7))*INDEX(Properties!$F$5:$F$24,MATCH(D156,Properties!$A$5:$A$24,0)))*(1-IF(H156&gt;=28,Settings!$B$10,IF(H156&gt;=7,Settings!$B$9,0))),2)),0))</f>
        <v/>
      </c>
      <c r="K156" s="46" t="str">
        <f aca="false">IF(J156="","",IFERROR(N(INDEX(Properties!$G$5:$G$24,MATCH(D156,Properties!$A$5:$A$24,0))),0))</f>
        <v/>
      </c>
      <c r="L156" s="46" t="str">
        <f aca="false">IF(J156="","",IFERROR(MAX(0,N(G156)-INDEX(Properties!$I$5:$I$24,MATCH(D156,Properties!$A$5:$A$24,0)))*N(INDEX(Properties!$J$5:$J$24,MATCH(D156,Properties!$A$5:$A$24,0)))*H156,0))</f>
        <v/>
      </c>
      <c r="M156" s="37"/>
      <c r="N156" s="46" t="str">
        <f aca="false">IF(J156="","",J156+K156+L156+N(M156))</f>
        <v/>
      </c>
      <c r="O156" s="46" t="str">
        <f aca="false">IF(N156="","",IF(P156&lt;&gt;"",N156-P156,ROUND(N156*IFERROR(INDEX(Settings!$E$5:$E$12,MATCH(F156,Settings!$D$5:$D$12,0)),0),2)))</f>
        <v/>
      </c>
      <c r="P156" s="37"/>
      <c r="Q156" s="46" t="str">
        <f aca="false">IF(N156="","",IF(P156&lt;&gt;"",P156,N156-O156))</f>
        <v/>
      </c>
      <c r="R156" s="46" t="str">
        <f aca="false">IF(J156="","",IFERROR(N(INDEX(Properties!$H$5:$H$24,MATCH(D156,Properties!$A$5:$A$24,0))),0))</f>
        <v/>
      </c>
      <c r="S156" s="46" t="str">
        <f aca="false">IF(Q156="","",Q156-R156)</f>
        <v/>
      </c>
      <c r="T156" s="6"/>
      <c r="U156" s="6"/>
      <c r="V156" s="6"/>
      <c r="W156" s="6"/>
      <c r="X156" s="6"/>
      <c r="Y156" s="8" t="str">
        <f aca="false">IF(OR(D156="",B156="",C156=""),"",IF(N(C156)&lt;=N(B156),"Check dates",IF(T156="Cancelled","",IF(COUNTIFS($D$5:$D$1004,D156,$B$5:$B$1004,"&lt;"&amp;C156,$C$5:$C$1004,"&gt;"&amp;B156,$T$5:$T$1004,"&lt;&gt;Cancelled")&gt;1,"Double-booked",""))))</f>
        <v/>
      </c>
      <c r="Z156" s="42" t="str">
        <f aca="false">IF(AND(AA156=1,ISNUMBER(C156)),C156+ROW()/100000,"")</f>
        <v/>
      </c>
      <c r="AA156" s="43" t="n">
        <f aca="false">IF(AND(D156&lt;&gt;"",ISNUMBER(B156),ISNUMBER(C156),N(H156)&gt;0,T156&lt;&gt;"Cancelled",J156&lt;&gt;""),1,0)</f>
        <v>0</v>
      </c>
      <c r="AB156" s="44" t="n">
        <f aca="false">IF(AA156=1,J156/H156,0)</f>
        <v>0</v>
      </c>
      <c r="AC156" s="44" t="n">
        <f aca="false">IF(AA156=1,Q156/H156,0)</f>
        <v>0</v>
      </c>
      <c r="AD156" s="44" t="n">
        <f aca="false">IF(AA156=1,R156/H156,0)</f>
        <v>0</v>
      </c>
      <c r="AE156" s="44" t="n">
        <f aca="false">IF(AA156=1,O156/H156,0)</f>
        <v>0</v>
      </c>
      <c r="AF156" s="44" t="n">
        <f aca="false">IF(AA156=1,K156/H156,0)</f>
        <v>0</v>
      </c>
      <c r="AG156" s="45" t="str">
        <f aca="false">IF(AA156=1,D156&amp;"|"&amp;TEXT(B156,"0"),"")</f>
        <v/>
      </c>
      <c r="AH156" s="43" t="n">
        <f aca="false">IF(AA156=1,H156,0)</f>
        <v>0</v>
      </c>
    </row>
    <row r="157" customFormat="false" ht="15" hidden="false" customHeight="false" outlineLevel="0" collapsed="false">
      <c r="A157" s="8" t="str">
        <f aca="false">IF(B157="","","B-"&amp;TEXT(ROW()-4,"0000"))</f>
        <v/>
      </c>
      <c r="B157" s="38"/>
      <c r="C157" s="38"/>
      <c r="D157" s="6"/>
      <c r="E157" s="6"/>
      <c r="F157" s="6"/>
      <c r="G157" s="11"/>
      <c r="H157" s="18" t="str">
        <f aca="false">IF(AND(ISNUMBER(B157),ISNUMBER(C157)),MAX(0,C157-B157),"")</f>
        <v/>
      </c>
      <c r="I157" s="37"/>
      <c r="J157" s="41" t="str">
        <f aca="false">IF(OR(D157="",N(H157)=0),"",IFERROR(IF(I157&lt;&gt;"",H157*I157,ROUND(((H157-(INT((WEEKDAY(B157-6)+H157-1)/7)+INT((WEEKDAY(B157-7)+H157-1)/7)))*INDEX(Properties!$E$5:$E$24,MATCH(D157,Properties!$A$5:$A$24,0))+(INT((WEEKDAY(B157-6)+H157-1)/7)+INT((WEEKDAY(B157-7)+H157-1)/7))*INDEX(Properties!$F$5:$F$24,MATCH(D157,Properties!$A$5:$A$24,0)))*(1-IF(H157&gt;=28,Settings!$B$10,IF(H157&gt;=7,Settings!$B$9,0))),2)),0))</f>
        <v/>
      </c>
      <c r="K157" s="41" t="str">
        <f aca="false">IF(J157="","",IFERROR(N(INDEX(Properties!$G$5:$G$24,MATCH(D157,Properties!$A$5:$A$24,0))),0))</f>
        <v/>
      </c>
      <c r="L157" s="41" t="str">
        <f aca="false">IF(J157="","",IFERROR(MAX(0,N(G157)-INDEX(Properties!$I$5:$I$24,MATCH(D157,Properties!$A$5:$A$24,0)))*N(INDEX(Properties!$J$5:$J$24,MATCH(D157,Properties!$A$5:$A$24,0)))*H157,0))</f>
        <v/>
      </c>
      <c r="M157" s="37"/>
      <c r="N157" s="41" t="str">
        <f aca="false">IF(J157="","",J157+K157+L157+N(M157))</f>
        <v/>
      </c>
      <c r="O157" s="41" t="str">
        <f aca="false">IF(N157="","",IF(P157&lt;&gt;"",N157-P157,ROUND(N157*IFERROR(INDEX(Settings!$E$5:$E$12,MATCH(F157,Settings!$D$5:$D$12,0)),0),2)))</f>
        <v/>
      </c>
      <c r="P157" s="37"/>
      <c r="Q157" s="41" t="str">
        <f aca="false">IF(N157="","",IF(P157&lt;&gt;"",P157,N157-O157))</f>
        <v/>
      </c>
      <c r="R157" s="41" t="str">
        <f aca="false">IF(J157="","",IFERROR(N(INDEX(Properties!$H$5:$H$24,MATCH(D157,Properties!$A$5:$A$24,0))),0))</f>
        <v/>
      </c>
      <c r="S157" s="41" t="str">
        <f aca="false">IF(Q157="","",Q157-R157)</f>
        <v/>
      </c>
      <c r="T157" s="6"/>
      <c r="U157" s="6"/>
      <c r="V157" s="6"/>
      <c r="W157" s="6"/>
      <c r="X157" s="6"/>
      <c r="Y157" s="8" t="str">
        <f aca="false">IF(OR(D157="",B157="",C157=""),"",IF(N(C157)&lt;=N(B157),"Check dates",IF(T157="Cancelled","",IF(COUNTIFS($D$5:$D$1004,D157,$B$5:$B$1004,"&lt;"&amp;C157,$C$5:$C$1004,"&gt;"&amp;B157,$T$5:$T$1004,"&lt;&gt;Cancelled")&gt;1,"Double-booked",""))))</f>
        <v/>
      </c>
      <c r="Z157" s="42" t="str">
        <f aca="false">IF(AND(AA157=1,ISNUMBER(C157)),C157+ROW()/100000,"")</f>
        <v/>
      </c>
      <c r="AA157" s="43" t="n">
        <f aca="false">IF(AND(D157&lt;&gt;"",ISNUMBER(B157),ISNUMBER(C157),N(H157)&gt;0,T157&lt;&gt;"Cancelled",J157&lt;&gt;""),1,0)</f>
        <v>0</v>
      </c>
      <c r="AB157" s="44" t="n">
        <f aca="false">IF(AA157=1,J157/H157,0)</f>
        <v>0</v>
      </c>
      <c r="AC157" s="44" t="n">
        <f aca="false">IF(AA157=1,Q157/H157,0)</f>
        <v>0</v>
      </c>
      <c r="AD157" s="44" t="n">
        <f aca="false">IF(AA157=1,R157/H157,0)</f>
        <v>0</v>
      </c>
      <c r="AE157" s="44" t="n">
        <f aca="false">IF(AA157=1,O157/H157,0)</f>
        <v>0</v>
      </c>
      <c r="AF157" s="44" t="n">
        <f aca="false">IF(AA157=1,K157/H157,0)</f>
        <v>0</v>
      </c>
      <c r="AG157" s="45" t="str">
        <f aca="false">IF(AA157=1,D157&amp;"|"&amp;TEXT(B157,"0"),"")</f>
        <v/>
      </c>
      <c r="AH157" s="43" t="n">
        <f aca="false">IF(AA157=1,H157,0)</f>
        <v>0</v>
      </c>
    </row>
    <row r="158" customFormat="false" ht="15" hidden="false" customHeight="false" outlineLevel="0" collapsed="false">
      <c r="A158" s="23" t="str">
        <f aca="false">IF(B158="","","B-"&amp;TEXT(ROW()-4,"0000"))</f>
        <v/>
      </c>
      <c r="B158" s="38"/>
      <c r="C158" s="38"/>
      <c r="D158" s="6"/>
      <c r="E158" s="6"/>
      <c r="F158" s="6"/>
      <c r="G158" s="11"/>
      <c r="H158" s="24" t="str">
        <f aca="false">IF(AND(ISNUMBER(B158),ISNUMBER(C158)),MAX(0,C158-B158),"")</f>
        <v/>
      </c>
      <c r="I158" s="37"/>
      <c r="J158" s="46" t="str">
        <f aca="false">IF(OR(D158="",N(H158)=0),"",IFERROR(IF(I158&lt;&gt;"",H158*I158,ROUND(((H158-(INT((WEEKDAY(B158-6)+H158-1)/7)+INT((WEEKDAY(B158-7)+H158-1)/7)))*INDEX(Properties!$E$5:$E$24,MATCH(D158,Properties!$A$5:$A$24,0))+(INT((WEEKDAY(B158-6)+H158-1)/7)+INT((WEEKDAY(B158-7)+H158-1)/7))*INDEX(Properties!$F$5:$F$24,MATCH(D158,Properties!$A$5:$A$24,0)))*(1-IF(H158&gt;=28,Settings!$B$10,IF(H158&gt;=7,Settings!$B$9,0))),2)),0))</f>
        <v/>
      </c>
      <c r="K158" s="46" t="str">
        <f aca="false">IF(J158="","",IFERROR(N(INDEX(Properties!$G$5:$G$24,MATCH(D158,Properties!$A$5:$A$24,0))),0))</f>
        <v/>
      </c>
      <c r="L158" s="46" t="str">
        <f aca="false">IF(J158="","",IFERROR(MAX(0,N(G158)-INDEX(Properties!$I$5:$I$24,MATCH(D158,Properties!$A$5:$A$24,0)))*N(INDEX(Properties!$J$5:$J$24,MATCH(D158,Properties!$A$5:$A$24,0)))*H158,0))</f>
        <v/>
      </c>
      <c r="M158" s="37"/>
      <c r="N158" s="46" t="str">
        <f aca="false">IF(J158="","",J158+K158+L158+N(M158))</f>
        <v/>
      </c>
      <c r="O158" s="46" t="str">
        <f aca="false">IF(N158="","",IF(P158&lt;&gt;"",N158-P158,ROUND(N158*IFERROR(INDEX(Settings!$E$5:$E$12,MATCH(F158,Settings!$D$5:$D$12,0)),0),2)))</f>
        <v/>
      </c>
      <c r="P158" s="37"/>
      <c r="Q158" s="46" t="str">
        <f aca="false">IF(N158="","",IF(P158&lt;&gt;"",P158,N158-O158))</f>
        <v/>
      </c>
      <c r="R158" s="46" t="str">
        <f aca="false">IF(J158="","",IFERROR(N(INDEX(Properties!$H$5:$H$24,MATCH(D158,Properties!$A$5:$A$24,0))),0))</f>
        <v/>
      </c>
      <c r="S158" s="46" t="str">
        <f aca="false">IF(Q158="","",Q158-R158)</f>
        <v/>
      </c>
      <c r="T158" s="6"/>
      <c r="U158" s="6"/>
      <c r="V158" s="6"/>
      <c r="W158" s="6"/>
      <c r="X158" s="6"/>
      <c r="Y158" s="8" t="str">
        <f aca="false">IF(OR(D158="",B158="",C158=""),"",IF(N(C158)&lt;=N(B158),"Check dates",IF(T158="Cancelled","",IF(COUNTIFS($D$5:$D$1004,D158,$B$5:$B$1004,"&lt;"&amp;C158,$C$5:$C$1004,"&gt;"&amp;B158,$T$5:$T$1004,"&lt;&gt;Cancelled")&gt;1,"Double-booked",""))))</f>
        <v/>
      </c>
      <c r="Z158" s="42" t="str">
        <f aca="false">IF(AND(AA158=1,ISNUMBER(C158)),C158+ROW()/100000,"")</f>
        <v/>
      </c>
      <c r="AA158" s="43" t="n">
        <f aca="false">IF(AND(D158&lt;&gt;"",ISNUMBER(B158),ISNUMBER(C158),N(H158)&gt;0,T158&lt;&gt;"Cancelled",J158&lt;&gt;""),1,0)</f>
        <v>0</v>
      </c>
      <c r="AB158" s="44" t="n">
        <f aca="false">IF(AA158=1,J158/H158,0)</f>
        <v>0</v>
      </c>
      <c r="AC158" s="44" t="n">
        <f aca="false">IF(AA158=1,Q158/H158,0)</f>
        <v>0</v>
      </c>
      <c r="AD158" s="44" t="n">
        <f aca="false">IF(AA158=1,R158/H158,0)</f>
        <v>0</v>
      </c>
      <c r="AE158" s="44" t="n">
        <f aca="false">IF(AA158=1,O158/H158,0)</f>
        <v>0</v>
      </c>
      <c r="AF158" s="44" t="n">
        <f aca="false">IF(AA158=1,K158/H158,0)</f>
        <v>0</v>
      </c>
      <c r="AG158" s="45" t="str">
        <f aca="false">IF(AA158=1,D158&amp;"|"&amp;TEXT(B158,"0"),"")</f>
        <v/>
      </c>
      <c r="AH158" s="43" t="n">
        <f aca="false">IF(AA158=1,H158,0)</f>
        <v>0</v>
      </c>
    </row>
    <row r="159" customFormat="false" ht="15" hidden="false" customHeight="false" outlineLevel="0" collapsed="false">
      <c r="A159" s="8" t="str">
        <f aca="false">IF(B159="","","B-"&amp;TEXT(ROW()-4,"0000"))</f>
        <v/>
      </c>
      <c r="B159" s="38"/>
      <c r="C159" s="38"/>
      <c r="D159" s="6"/>
      <c r="E159" s="6"/>
      <c r="F159" s="6"/>
      <c r="G159" s="11"/>
      <c r="H159" s="18" t="str">
        <f aca="false">IF(AND(ISNUMBER(B159),ISNUMBER(C159)),MAX(0,C159-B159),"")</f>
        <v/>
      </c>
      <c r="I159" s="37"/>
      <c r="J159" s="41" t="str">
        <f aca="false">IF(OR(D159="",N(H159)=0),"",IFERROR(IF(I159&lt;&gt;"",H159*I159,ROUND(((H159-(INT((WEEKDAY(B159-6)+H159-1)/7)+INT((WEEKDAY(B159-7)+H159-1)/7)))*INDEX(Properties!$E$5:$E$24,MATCH(D159,Properties!$A$5:$A$24,0))+(INT((WEEKDAY(B159-6)+H159-1)/7)+INT((WEEKDAY(B159-7)+H159-1)/7))*INDEX(Properties!$F$5:$F$24,MATCH(D159,Properties!$A$5:$A$24,0)))*(1-IF(H159&gt;=28,Settings!$B$10,IF(H159&gt;=7,Settings!$B$9,0))),2)),0))</f>
        <v/>
      </c>
      <c r="K159" s="41" t="str">
        <f aca="false">IF(J159="","",IFERROR(N(INDEX(Properties!$G$5:$G$24,MATCH(D159,Properties!$A$5:$A$24,0))),0))</f>
        <v/>
      </c>
      <c r="L159" s="41" t="str">
        <f aca="false">IF(J159="","",IFERROR(MAX(0,N(G159)-INDEX(Properties!$I$5:$I$24,MATCH(D159,Properties!$A$5:$A$24,0)))*N(INDEX(Properties!$J$5:$J$24,MATCH(D159,Properties!$A$5:$A$24,0)))*H159,0))</f>
        <v/>
      </c>
      <c r="M159" s="37"/>
      <c r="N159" s="41" t="str">
        <f aca="false">IF(J159="","",J159+K159+L159+N(M159))</f>
        <v/>
      </c>
      <c r="O159" s="41" t="str">
        <f aca="false">IF(N159="","",IF(P159&lt;&gt;"",N159-P159,ROUND(N159*IFERROR(INDEX(Settings!$E$5:$E$12,MATCH(F159,Settings!$D$5:$D$12,0)),0),2)))</f>
        <v/>
      </c>
      <c r="P159" s="37"/>
      <c r="Q159" s="41" t="str">
        <f aca="false">IF(N159="","",IF(P159&lt;&gt;"",P159,N159-O159))</f>
        <v/>
      </c>
      <c r="R159" s="41" t="str">
        <f aca="false">IF(J159="","",IFERROR(N(INDEX(Properties!$H$5:$H$24,MATCH(D159,Properties!$A$5:$A$24,0))),0))</f>
        <v/>
      </c>
      <c r="S159" s="41" t="str">
        <f aca="false">IF(Q159="","",Q159-R159)</f>
        <v/>
      </c>
      <c r="T159" s="6"/>
      <c r="U159" s="6"/>
      <c r="V159" s="6"/>
      <c r="W159" s="6"/>
      <c r="X159" s="6"/>
      <c r="Y159" s="8" t="str">
        <f aca="false">IF(OR(D159="",B159="",C159=""),"",IF(N(C159)&lt;=N(B159),"Check dates",IF(T159="Cancelled","",IF(COUNTIFS($D$5:$D$1004,D159,$B$5:$B$1004,"&lt;"&amp;C159,$C$5:$C$1004,"&gt;"&amp;B159,$T$5:$T$1004,"&lt;&gt;Cancelled")&gt;1,"Double-booked",""))))</f>
        <v/>
      </c>
      <c r="Z159" s="42" t="str">
        <f aca="false">IF(AND(AA159=1,ISNUMBER(C159)),C159+ROW()/100000,"")</f>
        <v/>
      </c>
      <c r="AA159" s="43" t="n">
        <f aca="false">IF(AND(D159&lt;&gt;"",ISNUMBER(B159),ISNUMBER(C159),N(H159)&gt;0,T159&lt;&gt;"Cancelled",J159&lt;&gt;""),1,0)</f>
        <v>0</v>
      </c>
      <c r="AB159" s="44" t="n">
        <f aca="false">IF(AA159=1,J159/H159,0)</f>
        <v>0</v>
      </c>
      <c r="AC159" s="44" t="n">
        <f aca="false">IF(AA159=1,Q159/H159,0)</f>
        <v>0</v>
      </c>
      <c r="AD159" s="44" t="n">
        <f aca="false">IF(AA159=1,R159/H159,0)</f>
        <v>0</v>
      </c>
      <c r="AE159" s="44" t="n">
        <f aca="false">IF(AA159=1,O159/H159,0)</f>
        <v>0</v>
      </c>
      <c r="AF159" s="44" t="n">
        <f aca="false">IF(AA159=1,K159/H159,0)</f>
        <v>0</v>
      </c>
      <c r="AG159" s="45" t="str">
        <f aca="false">IF(AA159=1,D159&amp;"|"&amp;TEXT(B159,"0"),"")</f>
        <v/>
      </c>
      <c r="AH159" s="43" t="n">
        <f aca="false">IF(AA159=1,H159,0)</f>
        <v>0</v>
      </c>
    </row>
    <row r="160" customFormat="false" ht="15" hidden="false" customHeight="false" outlineLevel="0" collapsed="false">
      <c r="A160" s="23" t="str">
        <f aca="false">IF(B160="","","B-"&amp;TEXT(ROW()-4,"0000"))</f>
        <v/>
      </c>
      <c r="B160" s="38"/>
      <c r="C160" s="38"/>
      <c r="D160" s="6"/>
      <c r="E160" s="6"/>
      <c r="F160" s="6"/>
      <c r="G160" s="11"/>
      <c r="H160" s="24" t="str">
        <f aca="false">IF(AND(ISNUMBER(B160),ISNUMBER(C160)),MAX(0,C160-B160),"")</f>
        <v/>
      </c>
      <c r="I160" s="37"/>
      <c r="J160" s="46" t="str">
        <f aca="false">IF(OR(D160="",N(H160)=0),"",IFERROR(IF(I160&lt;&gt;"",H160*I160,ROUND(((H160-(INT((WEEKDAY(B160-6)+H160-1)/7)+INT((WEEKDAY(B160-7)+H160-1)/7)))*INDEX(Properties!$E$5:$E$24,MATCH(D160,Properties!$A$5:$A$24,0))+(INT((WEEKDAY(B160-6)+H160-1)/7)+INT((WEEKDAY(B160-7)+H160-1)/7))*INDEX(Properties!$F$5:$F$24,MATCH(D160,Properties!$A$5:$A$24,0)))*(1-IF(H160&gt;=28,Settings!$B$10,IF(H160&gt;=7,Settings!$B$9,0))),2)),0))</f>
        <v/>
      </c>
      <c r="K160" s="46" t="str">
        <f aca="false">IF(J160="","",IFERROR(N(INDEX(Properties!$G$5:$G$24,MATCH(D160,Properties!$A$5:$A$24,0))),0))</f>
        <v/>
      </c>
      <c r="L160" s="46" t="str">
        <f aca="false">IF(J160="","",IFERROR(MAX(0,N(G160)-INDEX(Properties!$I$5:$I$24,MATCH(D160,Properties!$A$5:$A$24,0)))*N(INDEX(Properties!$J$5:$J$24,MATCH(D160,Properties!$A$5:$A$24,0)))*H160,0))</f>
        <v/>
      </c>
      <c r="M160" s="37"/>
      <c r="N160" s="46" t="str">
        <f aca="false">IF(J160="","",J160+K160+L160+N(M160))</f>
        <v/>
      </c>
      <c r="O160" s="46" t="str">
        <f aca="false">IF(N160="","",IF(P160&lt;&gt;"",N160-P160,ROUND(N160*IFERROR(INDEX(Settings!$E$5:$E$12,MATCH(F160,Settings!$D$5:$D$12,0)),0),2)))</f>
        <v/>
      </c>
      <c r="P160" s="37"/>
      <c r="Q160" s="46" t="str">
        <f aca="false">IF(N160="","",IF(P160&lt;&gt;"",P160,N160-O160))</f>
        <v/>
      </c>
      <c r="R160" s="46" t="str">
        <f aca="false">IF(J160="","",IFERROR(N(INDEX(Properties!$H$5:$H$24,MATCH(D160,Properties!$A$5:$A$24,0))),0))</f>
        <v/>
      </c>
      <c r="S160" s="46" t="str">
        <f aca="false">IF(Q160="","",Q160-R160)</f>
        <v/>
      </c>
      <c r="T160" s="6"/>
      <c r="U160" s="6"/>
      <c r="V160" s="6"/>
      <c r="W160" s="6"/>
      <c r="X160" s="6"/>
      <c r="Y160" s="8" t="str">
        <f aca="false">IF(OR(D160="",B160="",C160=""),"",IF(N(C160)&lt;=N(B160),"Check dates",IF(T160="Cancelled","",IF(COUNTIFS($D$5:$D$1004,D160,$B$5:$B$1004,"&lt;"&amp;C160,$C$5:$C$1004,"&gt;"&amp;B160,$T$5:$T$1004,"&lt;&gt;Cancelled")&gt;1,"Double-booked",""))))</f>
        <v/>
      </c>
      <c r="Z160" s="42" t="str">
        <f aca="false">IF(AND(AA160=1,ISNUMBER(C160)),C160+ROW()/100000,"")</f>
        <v/>
      </c>
      <c r="AA160" s="43" t="n">
        <f aca="false">IF(AND(D160&lt;&gt;"",ISNUMBER(B160),ISNUMBER(C160),N(H160)&gt;0,T160&lt;&gt;"Cancelled",J160&lt;&gt;""),1,0)</f>
        <v>0</v>
      </c>
      <c r="AB160" s="44" t="n">
        <f aca="false">IF(AA160=1,J160/H160,0)</f>
        <v>0</v>
      </c>
      <c r="AC160" s="44" t="n">
        <f aca="false">IF(AA160=1,Q160/H160,0)</f>
        <v>0</v>
      </c>
      <c r="AD160" s="44" t="n">
        <f aca="false">IF(AA160=1,R160/H160,0)</f>
        <v>0</v>
      </c>
      <c r="AE160" s="44" t="n">
        <f aca="false">IF(AA160=1,O160/H160,0)</f>
        <v>0</v>
      </c>
      <c r="AF160" s="44" t="n">
        <f aca="false">IF(AA160=1,K160/H160,0)</f>
        <v>0</v>
      </c>
      <c r="AG160" s="45" t="str">
        <f aca="false">IF(AA160=1,D160&amp;"|"&amp;TEXT(B160,"0"),"")</f>
        <v/>
      </c>
      <c r="AH160" s="43" t="n">
        <f aca="false">IF(AA160=1,H160,0)</f>
        <v>0</v>
      </c>
    </row>
    <row r="161" customFormat="false" ht="15" hidden="false" customHeight="false" outlineLevel="0" collapsed="false">
      <c r="A161" s="8" t="str">
        <f aca="false">IF(B161="","","B-"&amp;TEXT(ROW()-4,"0000"))</f>
        <v/>
      </c>
      <c r="B161" s="38"/>
      <c r="C161" s="38"/>
      <c r="D161" s="6"/>
      <c r="E161" s="6"/>
      <c r="F161" s="6"/>
      <c r="G161" s="11"/>
      <c r="H161" s="18" t="str">
        <f aca="false">IF(AND(ISNUMBER(B161),ISNUMBER(C161)),MAX(0,C161-B161),"")</f>
        <v/>
      </c>
      <c r="I161" s="37"/>
      <c r="J161" s="41" t="str">
        <f aca="false">IF(OR(D161="",N(H161)=0),"",IFERROR(IF(I161&lt;&gt;"",H161*I161,ROUND(((H161-(INT((WEEKDAY(B161-6)+H161-1)/7)+INT((WEEKDAY(B161-7)+H161-1)/7)))*INDEX(Properties!$E$5:$E$24,MATCH(D161,Properties!$A$5:$A$24,0))+(INT((WEEKDAY(B161-6)+H161-1)/7)+INT((WEEKDAY(B161-7)+H161-1)/7))*INDEX(Properties!$F$5:$F$24,MATCH(D161,Properties!$A$5:$A$24,0)))*(1-IF(H161&gt;=28,Settings!$B$10,IF(H161&gt;=7,Settings!$B$9,0))),2)),0))</f>
        <v/>
      </c>
      <c r="K161" s="41" t="str">
        <f aca="false">IF(J161="","",IFERROR(N(INDEX(Properties!$G$5:$G$24,MATCH(D161,Properties!$A$5:$A$24,0))),0))</f>
        <v/>
      </c>
      <c r="L161" s="41" t="str">
        <f aca="false">IF(J161="","",IFERROR(MAX(0,N(G161)-INDEX(Properties!$I$5:$I$24,MATCH(D161,Properties!$A$5:$A$24,0)))*N(INDEX(Properties!$J$5:$J$24,MATCH(D161,Properties!$A$5:$A$24,0)))*H161,0))</f>
        <v/>
      </c>
      <c r="M161" s="37"/>
      <c r="N161" s="41" t="str">
        <f aca="false">IF(J161="","",J161+K161+L161+N(M161))</f>
        <v/>
      </c>
      <c r="O161" s="41" t="str">
        <f aca="false">IF(N161="","",IF(P161&lt;&gt;"",N161-P161,ROUND(N161*IFERROR(INDEX(Settings!$E$5:$E$12,MATCH(F161,Settings!$D$5:$D$12,0)),0),2)))</f>
        <v/>
      </c>
      <c r="P161" s="37"/>
      <c r="Q161" s="41" t="str">
        <f aca="false">IF(N161="","",IF(P161&lt;&gt;"",P161,N161-O161))</f>
        <v/>
      </c>
      <c r="R161" s="41" t="str">
        <f aca="false">IF(J161="","",IFERROR(N(INDEX(Properties!$H$5:$H$24,MATCH(D161,Properties!$A$5:$A$24,0))),0))</f>
        <v/>
      </c>
      <c r="S161" s="41" t="str">
        <f aca="false">IF(Q161="","",Q161-R161)</f>
        <v/>
      </c>
      <c r="T161" s="6"/>
      <c r="U161" s="6"/>
      <c r="V161" s="6"/>
      <c r="W161" s="6"/>
      <c r="X161" s="6"/>
      <c r="Y161" s="8" t="str">
        <f aca="false">IF(OR(D161="",B161="",C161=""),"",IF(N(C161)&lt;=N(B161),"Check dates",IF(T161="Cancelled","",IF(COUNTIFS($D$5:$D$1004,D161,$B$5:$B$1004,"&lt;"&amp;C161,$C$5:$C$1004,"&gt;"&amp;B161,$T$5:$T$1004,"&lt;&gt;Cancelled")&gt;1,"Double-booked",""))))</f>
        <v/>
      </c>
      <c r="Z161" s="42" t="str">
        <f aca="false">IF(AND(AA161=1,ISNUMBER(C161)),C161+ROW()/100000,"")</f>
        <v/>
      </c>
      <c r="AA161" s="43" t="n">
        <f aca="false">IF(AND(D161&lt;&gt;"",ISNUMBER(B161),ISNUMBER(C161),N(H161)&gt;0,T161&lt;&gt;"Cancelled",J161&lt;&gt;""),1,0)</f>
        <v>0</v>
      </c>
      <c r="AB161" s="44" t="n">
        <f aca="false">IF(AA161=1,J161/H161,0)</f>
        <v>0</v>
      </c>
      <c r="AC161" s="44" t="n">
        <f aca="false">IF(AA161=1,Q161/H161,0)</f>
        <v>0</v>
      </c>
      <c r="AD161" s="44" t="n">
        <f aca="false">IF(AA161=1,R161/H161,0)</f>
        <v>0</v>
      </c>
      <c r="AE161" s="44" t="n">
        <f aca="false">IF(AA161=1,O161/H161,0)</f>
        <v>0</v>
      </c>
      <c r="AF161" s="44" t="n">
        <f aca="false">IF(AA161=1,K161/H161,0)</f>
        <v>0</v>
      </c>
      <c r="AG161" s="45" t="str">
        <f aca="false">IF(AA161=1,D161&amp;"|"&amp;TEXT(B161,"0"),"")</f>
        <v/>
      </c>
      <c r="AH161" s="43" t="n">
        <f aca="false">IF(AA161=1,H161,0)</f>
        <v>0</v>
      </c>
    </row>
    <row r="162" customFormat="false" ht="15" hidden="false" customHeight="false" outlineLevel="0" collapsed="false">
      <c r="A162" s="23" t="str">
        <f aca="false">IF(B162="","","B-"&amp;TEXT(ROW()-4,"0000"))</f>
        <v/>
      </c>
      <c r="B162" s="38"/>
      <c r="C162" s="38"/>
      <c r="D162" s="6"/>
      <c r="E162" s="6"/>
      <c r="F162" s="6"/>
      <c r="G162" s="11"/>
      <c r="H162" s="24" t="str">
        <f aca="false">IF(AND(ISNUMBER(B162),ISNUMBER(C162)),MAX(0,C162-B162),"")</f>
        <v/>
      </c>
      <c r="I162" s="37"/>
      <c r="J162" s="46" t="str">
        <f aca="false">IF(OR(D162="",N(H162)=0),"",IFERROR(IF(I162&lt;&gt;"",H162*I162,ROUND(((H162-(INT((WEEKDAY(B162-6)+H162-1)/7)+INT((WEEKDAY(B162-7)+H162-1)/7)))*INDEX(Properties!$E$5:$E$24,MATCH(D162,Properties!$A$5:$A$24,0))+(INT((WEEKDAY(B162-6)+H162-1)/7)+INT((WEEKDAY(B162-7)+H162-1)/7))*INDEX(Properties!$F$5:$F$24,MATCH(D162,Properties!$A$5:$A$24,0)))*(1-IF(H162&gt;=28,Settings!$B$10,IF(H162&gt;=7,Settings!$B$9,0))),2)),0))</f>
        <v/>
      </c>
      <c r="K162" s="46" t="str">
        <f aca="false">IF(J162="","",IFERROR(N(INDEX(Properties!$G$5:$G$24,MATCH(D162,Properties!$A$5:$A$24,0))),0))</f>
        <v/>
      </c>
      <c r="L162" s="46" t="str">
        <f aca="false">IF(J162="","",IFERROR(MAX(0,N(G162)-INDEX(Properties!$I$5:$I$24,MATCH(D162,Properties!$A$5:$A$24,0)))*N(INDEX(Properties!$J$5:$J$24,MATCH(D162,Properties!$A$5:$A$24,0)))*H162,0))</f>
        <v/>
      </c>
      <c r="M162" s="37"/>
      <c r="N162" s="46" t="str">
        <f aca="false">IF(J162="","",J162+K162+L162+N(M162))</f>
        <v/>
      </c>
      <c r="O162" s="46" t="str">
        <f aca="false">IF(N162="","",IF(P162&lt;&gt;"",N162-P162,ROUND(N162*IFERROR(INDEX(Settings!$E$5:$E$12,MATCH(F162,Settings!$D$5:$D$12,0)),0),2)))</f>
        <v/>
      </c>
      <c r="P162" s="37"/>
      <c r="Q162" s="46" t="str">
        <f aca="false">IF(N162="","",IF(P162&lt;&gt;"",P162,N162-O162))</f>
        <v/>
      </c>
      <c r="R162" s="46" t="str">
        <f aca="false">IF(J162="","",IFERROR(N(INDEX(Properties!$H$5:$H$24,MATCH(D162,Properties!$A$5:$A$24,0))),0))</f>
        <v/>
      </c>
      <c r="S162" s="46" t="str">
        <f aca="false">IF(Q162="","",Q162-R162)</f>
        <v/>
      </c>
      <c r="T162" s="6"/>
      <c r="U162" s="6"/>
      <c r="V162" s="6"/>
      <c r="W162" s="6"/>
      <c r="X162" s="6"/>
      <c r="Y162" s="8" t="str">
        <f aca="false">IF(OR(D162="",B162="",C162=""),"",IF(N(C162)&lt;=N(B162),"Check dates",IF(T162="Cancelled","",IF(COUNTIFS($D$5:$D$1004,D162,$B$5:$B$1004,"&lt;"&amp;C162,$C$5:$C$1004,"&gt;"&amp;B162,$T$5:$T$1004,"&lt;&gt;Cancelled")&gt;1,"Double-booked",""))))</f>
        <v/>
      </c>
      <c r="Z162" s="42" t="str">
        <f aca="false">IF(AND(AA162=1,ISNUMBER(C162)),C162+ROW()/100000,"")</f>
        <v/>
      </c>
      <c r="AA162" s="43" t="n">
        <f aca="false">IF(AND(D162&lt;&gt;"",ISNUMBER(B162),ISNUMBER(C162),N(H162)&gt;0,T162&lt;&gt;"Cancelled",J162&lt;&gt;""),1,0)</f>
        <v>0</v>
      </c>
      <c r="AB162" s="44" t="n">
        <f aca="false">IF(AA162=1,J162/H162,0)</f>
        <v>0</v>
      </c>
      <c r="AC162" s="44" t="n">
        <f aca="false">IF(AA162=1,Q162/H162,0)</f>
        <v>0</v>
      </c>
      <c r="AD162" s="44" t="n">
        <f aca="false">IF(AA162=1,R162/H162,0)</f>
        <v>0</v>
      </c>
      <c r="AE162" s="44" t="n">
        <f aca="false">IF(AA162=1,O162/H162,0)</f>
        <v>0</v>
      </c>
      <c r="AF162" s="44" t="n">
        <f aca="false">IF(AA162=1,K162/H162,0)</f>
        <v>0</v>
      </c>
      <c r="AG162" s="45" t="str">
        <f aca="false">IF(AA162=1,D162&amp;"|"&amp;TEXT(B162,"0"),"")</f>
        <v/>
      </c>
      <c r="AH162" s="43" t="n">
        <f aca="false">IF(AA162=1,H162,0)</f>
        <v>0</v>
      </c>
    </row>
    <row r="163" customFormat="false" ht="15" hidden="false" customHeight="false" outlineLevel="0" collapsed="false">
      <c r="A163" s="8" t="str">
        <f aca="false">IF(B163="","","B-"&amp;TEXT(ROW()-4,"0000"))</f>
        <v/>
      </c>
      <c r="B163" s="38"/>
      <c r="C163" s="38"/>
      <c r="D163" s="6"/>
      <c r="E163" s="6"/>
      <c r="F163" s="6"/>
      <c r="G163" s="11"/>
      <c r="H163" s="18" t="str">
        <f aca="false">IF(AND(ISNUMBER(B163),ISNUMBER(C163)),MAX(0,C163-B163),"")</f>
        <v/>
      </c>
      <c r="I163" s="37"/>
      <c r="J163" s="41" t="str">
        <f aca="false">IF(OR(D163="",N(H163)=0),"",IFERROR(IF(I163&lt;&gt;"",H163*I163,ROUND(((H163-(INT((WEEKDAY(B163-6)+H163-1)/7)+INT((WEEKDAY(B163-7)+H163-1)/7)))*INDEX(Properties!$E$5:$E$24,MATCH(D163,Properties!$A$5:$A$24,0))+(INT((WEEKDAY(B163-6)+H163-1)/7)+INT((WEEKDAY(B163-7)+H163-1)/7))*INDEX(Properties!$F$5:$F$24,MATCH(D163,Properties!$A$5:$A$24,0)))*(1-IF(H163&gt;=28,Settings!$B$10,IF(H163&gt;=7,Settings!$B$9,0))),2)),0))</f>
        <v/>
      </c>
      <c r="K163" s="41" t="str">
        <f aca="false">IF(J163="","",IFERROR(N(INDEX(Properties!$G$5:$G$24,MATCH(D163,Properties!$A$5:$A$24,0))),0))</f>
        <v/>
      </c>
      <c r="L163" s="41" t="str">
        <f aca="false">IF(J163="","",IFERROR(MAX(0,N(G163)-INDEX(Properties!$I$5:$I$24,MATCH(D163,Properties!$A$5:$A$24,0)))*N(INDEX(Properties!$J$5:$J$24,MATCH(D163,Properties!$A$5:$A$24,0)))*H163,0))</f>
        <v/>
      </c>
      <c r="M163" s="37"/>
      <c r="N163" s="41" t="str">
        <f aca="false">IF(J163="","",J163+K163+L163+N(M163))</f>
        <v/>
      </c>
      <c r="O163" s="41" t="str">
        <f aca="false">IF(N163="","",IF(P163&lt;&gt;"",N163-P163,ROUND(N163*IFERROR(INDEX(Settings!$E$5:$E$12,MATCH(F163,Settings!$D$5:$D$12,0)),0),2)))</f>
        <v/>
      </c>
      <c r="P163" s="37"/>
      <c r="Q163" s="41" t="str">
        <f aca="false">IF(N163="","",IF(P163&lt;&gt;"",P163,N163-O163))</f>
        <v/>
      </c>
      <c r="R163" s="41" t="str">
        <f aca="false">IF(J163="","",IFERROR(N(INDEX(Properties!$H$5:$H$24,MATCH(D163,Properties!$A$5:$A$24,0))),0))</f>
        <v/>
      </c>
      <c r="S163" s="41" t="str">
        <f aca="false">IF(Q163="","",Q163-R163)</f>
        <v/>
      </c>
      <c r="T163" s="6"/>
      <c r="U163" s="6"/>
      <c r="V163" s="6"/>
      <c r="W163" s="6"/>
      <c r="X163" s="6"/>
      <c r="Y163" s="8" t="str">
        <f aca="false">IF(OR(D163="",B163="",C163=""),"",IF(N(C163)&lt;=N(B163),"Check dates",IF(T163="Cancelled","",IF(COUNTIFS($D$5:$D$1004,D163,$B$5:$B$1004,"&lt;"&amp;C163,$C$5:$C$1004,"&gt;"&amp;B163,$T$5:$T$1004,"&lt;&gt;Cancelled")&gt;1,"Double-booked",""))))</f>
        <v/>
      </c>
      <c r="Z163" s="42" t="str">
        <f aca="false">IF(AND(AA163=1,ISNUMBER(C163)),C163+ROW()/100000,"")</f>
        <v/>
      </c>
      <c r="AA163" s="43" t="n">
        <f aca="false">IF(AND(D163&lt;&gt;"",ISNUMBER(B163),ISNUMBER(C163),N(H163)&gt;0,T163&lt;&gt;"Cancelled",J163&lt;&gt;""),1,0)</f>
        <v>0</v>
      </c>
      <c r="AB163" s="44" t="n">
        <f aca="false">IF(AA163=1,J163/H163,0)</f>
        <v>0</v>
      </c>
      <c r="AC163" s="44" t="n">
        <f aca="false">IF(AA163=1,Q163/H163,0)</f>
        <v>0</v>
      </c>
      <c r="AD163" s="44" t="n">
        <f aca="false">IF(AA163=1,R163/H163,0)</f>
        <v>0</v>
      </c>
      <c r="AE163" s="44" t="n">
        <f aca="false">IF(AA163=1,O163/H163,0)</f>
        <v>0</v>
      </c>
      <c r="AF163" s="44" t="n">
        <f aca="false">IF(AA163=1,K163/H163,0)</f>
        <v>0</v>
      </c>
      <c r="AG163" s="45" t="str">
        <f aca="false">IF(AA163=1,D163&amp;"|"&amp;TEXT(B163,"0"),"")</f>
        <v/>
      </c>
      <c r="AH163" s="43" t="n">
        <f aca="false">IF(AA163=1,H163,0)</f>
        <v>0</v>
      </c>
    </row>
    <row r="164" customFormat="false" ht="15" hidden="false" customHeight="false" outlineLevel="0" collapsed="false">
      <c r="A164" s="23" t="str">
        <f aca="false">IF(B164="","","B-"&amp;TEXT(ROW()-4,"0000"))</f>
        <v/>
      </c>
      <c r="B164" s="38"/>
      <c r="C164" s="38"/>
      <c r="D164" s="6"/>
      <c r="E164" s="6"/>
      <c r="F164" s="6"/>
      <c r="G164" s="11"/>
      <c r="H164" s="24" t="str">
        <f aca="false">IF(AND(ISNUMBER(B164),ISNUMBER(C164)),MAX(0,C164-B164),"")</f>
        <v/>
      </c>
      <c r="I164" s="37"/>
      <c r="J164" s="46" t="str">
        <f aca="false">IF(OR(D164="",N(H164)=0),"",IFERROR(IF(I164&lt;&gt;"",H164*I164,ROUND(((H164-(INT((WEEKDAY(B164-6)+H164-1)/7)+INT((WEEKDAY(B164-7)+H164-1)/7)))*INDEX(Properties!$E$5:$E$24,MATCH(D164,Properties!$A$5:$A$24,0))+(INT((WEEKDAY(B164-6)+H164-1)/7)+INT((WEEKDAY(B164-7)+H164-1)/7))*INDEX(Properties!$F$5:$F$24,MATCH(D164,Properties!$A$5:$A$24,0)))*(1-IF(H164&gt;=28,Settings!$B$10,IF(H164&gt;=7,Settings!$B$9,0))),2)),0))</f>
        <v/>
      </c>
      <c r="K164" s="46" t="str">
        <f aca="false">IF(J164="","",IFERROR(N(INDEX(Properties!$G$5:$G$24,MATCH(D164,Properties!$A$5:$A$24,0))),0))</f>
        <v/>
      </c>
      <c r="L164" s="46" t="str">
        <f aca="false">IF(J164="","",IFERROR(MAX(0,N(G164)-INDEX(Properties!$I$5:$I$24,MATCH(D164,Properties!$A$5:$A$24,0)))*N(INDEX(Properties!$J$5:$J$24,MATCH(D164,Properties!$A$5:$A$24,0)))*H164,0))</f>
        <v/>
      </c>
      <c r="M164" s="37"/>
      <c r="N164" s="46" t="str">
        <f aca="false">IF(J164="","",J164+K164+L164+N(M164))</f>
        <v/>
      </c>
      <c r="O164" s="46" t="str">
        <f aca="false">IF(N164="","",IF(P164&lt;&gt;"",N164-P164,ROUND(N164*IFERROR(INDEX(Settings!$E$5:$E$12,MATCH(F164,Settings!$D$5:$D$12,0)),0),2)))</f>
        <v/>
      </c>
      <c r="P164" s="37"/>
      <c r="Q164" s="46" t="str">
        <f aca="false">IF(N164="","",IF(P164&lt;&gt;"",P164,N164-O164))</f>
        <v/>
      </c>
      <c r="R164" s="46" t="str">
        <f aca="false">IF(J164="","",IFERROR(N(INDEX(Properties!$H$5:$H$24,MATCH(D164,Properties!$A$5:$A$24,0))),0))</f>
        <v/>
      </c>
      <c r="S164" s="46" t="str">
        <f aca="false">IF(Q164="","",Q164-R164)</f>
        <v/>
      </c>
      <c r="T164" s="6"/>
      <c r="U164" s="6"/>
      <c r="V164" s="6"/>
      <c r="W164" s="6"/>
      <c r="X164" s="6"/>
      <c r="Y164" s="8" t="str">
        <f aca="false">IF(OR(D164="",B164="",C164=""),"",IF(N(C164)&lt;=N(B164),"Check dates",IF(T164="Cancelled","",IF(COUNTIFS($D$5:$D$1004,D164,$B$5:$B$1004,"&lt;"&amp;C164,$C$5:$C$1004,"&gt;"&amp;B164,$T$5:$T$1004,"&lt;&gt;Cancelled")&gt;1,"Double-booked",""))))</f>
        <v/>
      </c>
      <c r="Z164" s="42" t="str">
        <f aca="false">IF(AND(AA164=1,ISNUMBER(C164)),C164+ROW()/100000,"")</f>
        <v/>
      </c>
      <c r="AA164" s="43" t="n">
        <f aca="false">IF(AND(D164&lt;&gt;"",ISNUMBER(B164),ISNUMBER(C164),N(H164)&gt;0,T164&lt;&gt;"Cancelled",J164&lt;&gt;""),1,0)</f>
        <v>0</v>
      </c>
      <c r="AB164" s="44" t="n">
        <f aca="false">IF(AA164=1,J164/H164,0)</f>
        <v>0</v>
      </c>
      <c r="AC164" s="44" t="n">
        <f aca="false">IF(AA164=1,Q164/H164,0)</f>
        <v>0</v>
      </c>
      <c r="AD164" s="44" t="n">
        <f aca="false">IF(AA164=1,R164/H164,0)</f>
        <v>0</v>
      </c>
      <c r="AE164" s="44" t="n">
        <f aca="false">IF(AA164=1,O164/H164,0)</f>
        <v>0</v>
      </c>
      <c r="AF164" s="44" t="n">
        <f aca="false">IF(AA164=1,K164/H164,0)</f>
        <v>0</v>
      </c>
      <c r="AG164" s="45" t="str">
        <f aca="false">IF(AA164=1,D164&amp;"|"&amp;TEXT(B164,"0"),"")</f>
        <v/>
      </c>
      <c r="AH164" s="43" t="n">
        <f aca="false">IF(AA164=1,H164,0)</f>
        <v>0</v>
      </c>
    </row>
    <row r="165" customFormat="false" ht="15" hidden="false" customHeight="false" outlineLevel="0" collapsed="false">
      <c r="A165" s="8" t="str">
        <f aca="false">IF(B165="","","B-"&amp;TEXT(ROW()-4,"0000"))</f>
        <v/>
      </c>
      <c r="B165" s="38"/>
      <c r="C165" s="38"/>
      <c r="D165" s="6"/>
      <c r="E165" s="6"/>
      <c r="F165" s="6"/>
      <c r="G165" s="11"/>
      <c r="H165" s="18" t="str">
        <f aca="false">IF(AND(ISNUMBER(B165),ISNUMBER(C165)),MAX(0,C165-B165),"")</f>
        <v/>
      </c>
      <c r="I165" s="37"/>
      <c r="J165" s="41" t="str">
        <f aca="false">IF(OR(D165="",N(H165)=0),"",IFERROR(IF(I165&lt;&gt;"",H165*I165,ROUND(((H165-(INT((WEEKDAY(B165-6)+H165-1)/7)+INT((WEEKDAY(B165-7)+H165-1)/7)))*INDEX(Properties!$E$5:$E$24,MATCH(D165,Properties!$A$5:$A$24,0))+(INT((WEEKDAY(B165-6)+H165-1)/7)+INT((WEEKDAY(B165-7)+H165-1)/7))*INDEX(Properties!$F$5:$F$24,MATCH(D165,Properties!$A$5:$A$24,0)))*(1-IF(H165&gt;=28,Settings!$B$10,IF(H165&gt;=7,Settings!$B$9,0))),2)),0))</f>
        <v/>
      </c>
      <c r="K165" s="41" t="str">
        <f aca="false">IF(J165="","",IFERROR(N(INDEX(Properties!$G$5:$G$24,MATCH(D165,Properties!$A$5:$A$24,0))),0))</f>
        <v/>
      </c>
      <c r="L165" s="41" t="str">
        <f aca="false">IF(J165="","",IFERROR(MAX(0,N(G165)-INDEX(Properties!$I$5:$I$24,MATCH(D165,Properties!$A$5:$A$24,0)))*N(INDEX(Properties!$J$5:$J$24,MATCH(D165,Properties!$A$5:$A$24,0)))*H165,0))</f>
        <v/>
      </c>
      <c r="M165" s="37"/>
      <c r="N165" s="41" t="str">
        <f aca="false">IF(J165="","",J165+K165+L165+N(M165))</f>
        <v/>
      </c>
      <c r="O165" s="41" t="str">
        <f aca="false">IF(N165="","",IF(P165&lt;&gt;"",N165-P165,ROUND(N165*IFERROR(INDEX(Settings!$E$5:$E$12,MATCH(F165,Settings!$D$5:$D$12,0)),0),2)))</f>
        <v/>
      </c>
      <c r="P165" s="37"/>
      <c r="Q165" s="41" t="str">
        <f aca="false">IF(N165="","",IF(P165&lt;&gt;"",P165,N165-O165))</f>
        <v/>
      </c>
      <c r="R165" s="41" t="str">
        <f aca="false">IF(J165="","",IFERROR(N(INDEX(Properties!$H$5:$H$24,MATCH(D165,Properties!$A$5:$A$24,0))),0))</f>
        <v/>
      </c>
      <c r="S165" s="41" t="str">
        <f aca="false">IF(Q165="","",Q165-R165)</f>
        <v/>
      </c>
      <c r="T165" s="6"/>
      <c r="U165" s="6"/>
      <c r="V165" s="6"/>
      <c r="W165" s="6"/>
      <c r="X165" s="6"/>
      <c r="Y165" s="8" t="str">
        <f aca="false">IF(OR(D165="",B165="",C165=""),"",IF(N(C165)&lt;=N(B165),"Check dates",IF(T165="Cancelled","",IF(COUNTIFS($D$5:$D$1004,D165,$B$5:$B$1004,"&lt;"&amp;C165,$C$5:$C$1004,"&gt;"&amp;B165,$T$5:$T$1004,"&lt;&gt;Cancelled")&gt;1,"Double-booked",""))))</f>
        <v/>
      </c>
      <c r="Z165" s="42" t="str">
        <f aca="false">IF(AND(AA165=1,ISNUMBER(C165)),C165+ROW()/100000,"")</f>
        <v/>
      </c>
      <c r="AA165" s="43" t="n">
        <f aca="false">IF(AND(D165&lt;&gt;"",ISNUMBER(B165),ISNUMBER(C165),N(H165)&gt;0,T165&lt;&gt;"Cancelled",J165&lt;&gt;""),1,0)</f>
        <v>0</v>
      </c>
      <c r="AB165" s="44" t="n">
        <f aca="false">IF(AA165=1,J165/H165,0)</f>
        <v>0</v>
      </c>
      <c r="AC165" s="44" t="n">
        <f aca="false">IF(AA165=1,Q165/H165,0)</f>
        <v>0</v>
      </c>
      <c r="AD165" s="44" t="n">
        <f aca="false">IF(AA165=1,R165/H165,0)</f>
        <v>0</v>
      </c>
      <c r="AE165" s="44" t="n">
        <f aca="false">IF(AA165=1,O165/H165,0)</f>
        <v>0</v>
      </c>
      <c r="AF165" s="44" t="n">
        <f aca="false">IF(AA165=1,K165/H165,0)</f>
        <v>0</v>
      </c>
      <c r="AG165" s="45" t="str">
        <f aca="false">IF(AA165=1,D165&amp;"|"&amp;TEXT(B165,"0"),"")</f>
        <v/>
      </c>
      <c r="AH165" s="43" t="n">
        <f aca="false">IF(AA165=1,H165,0)</f>
        <v>0</v>
      </c>
    </row>
    <row r="166" customFormat="false" ht="15" hidden="false" customHeight="false" outlineLevel="0" collapsed="false">
      <c r="A166" s="23" t="str">
        <f aca="false">IF(B166="","","B-"&amp;TEXT(ROW()-4,"0000"))</f>
        <v/>
      </c>
      <c r="B166" s="38"/>
      <c r="C166" s="38"/>
      <c r="D166" s="6"/>
      <c r="E166" s="6"/>
      <c r="F166" s="6"/>
      <c r="G166" s="11"/>
      <c r="H166" s="24" t="str">
        <f aca="false">IF(AND(ISNUMBER(B166),ISNUMBER(C166)),MAX(0,C166-B166),"")</f>
        <v/>
      </c>
      <c r="I166" s="37"/>
      <c r="J166" s="46" t="str">
        <f aca="false">IF(OR(D166="",N(H166)=0),"",IFERROR(IF(I166&lt;&gt;"",H166*I166,ROUND(((H166-(INT((WEEKDAY(B166-6)+H166-1)/7)+INT((WEEKDAY(B166-7)+H166-1)/7)))*INDEX(Properties!$E$5:$E$24,MATCH(D166,Properties!$A$5:$A$24,0))+(INT((WEEKDAY(B166-6)+H166-1)/7)+INT((WEEKDAY(B166-7)+H166-1)/7))*INDEX(Properties!$F$5:$F$24,MATCH(D166,Properties!$A$5:$A$24,0)))*(1-IF(H166&gt;=28,Settings!$B$10,IF(H166&gt;=7,Settings!$B$9,0))),2)),0))</f>
        <v/>
      </c>
      <c r="K166" s="46" t="str">
        <f aca="false">IF(J166="","",IFERROR(N(INDEX(Properties!$G$5:$G$24,MATCH(D166,Properties!$A$5:$A$24,0))),0))</f>
        <v/>
      </c>
      <c r="L166" s="46" t="str">
        <f aca="false">IF(J166="","",IFERROR(MAX(0,N(G166)-INDEX(Properties!$I$5:$I$24,MATCH(D166,Properties!$A$5:$A$24,0)))*N(INDEX(Properties!$J$5:$J$24,MATCH(D166,Properties!$A$5:$A$24,0)))*H166,0))</f>
        <v/>
      </c>
      <c r="M166" s="37"/>
      <c r="N166" s="46" t="str">
        <f aca="false">IF(J166="","",J166+K166+L166+N(M166))</f>
        <v/>
      </c>
      <c r="O166" s="46" t="str">
        <f aca="false">IF(N166="","",IF(P166&lt;&gt;"",N166-P166,ROUND(N166*IFERROR(INDEX(Settings!$E$5:$E$12,MATCH(F166,Settings!$D$5:$D$12,0)),0),2)))</f>
        <v/>
      </c>
      <c r="P166" s="37"/>
      <c r="Q166" s="46" t="str">
        <f aca="false">IF(N166="","",IF(P166&lt;&gt;"",P166,N166-O166))</f>
        <v/>
      </c>
      <c r="R166" s="46" t="str">
        <f aca="false">IF(J166="","",IFERROR(N(INDEX(Properties!$H$5:$H$24,MATCH(D166,Properties!$A$5:$A$24,0))),0))</f>
        <v/>
      </c>
      <c r="S166" s="46" t="str">
        <f aca="false">IF(Q166="","",Q166-R166)</f>
        <v/>
      </c>
      <c r="T166" s="6"/>
      <c r="U166" s="6"/>
      <c r="V166" s="6"/>
      <c r="W166" s="6"/>
      <c r="X166" s="6"/>
      <c r="Y166" s="8" t="str">
        <f aca="false">IF(OR(D166="",B166="",C166=""),"",IF(N(C166)&lt;=N(B166),"Check dates",IF(T166="Cancelled","",IF(COUNTIFS($D$5:$D$1004,D166,$B$5:$B$1004,"&lt;"&amp;C166,$C$5:$C$1004,"&gt;"&amp;B166,$T$5:$T$1004,"&lt;&gt;Cancelled")&gt;1,"Double-booked",""))))</f>
        <v/>
      </c>
      <c r="Z166" s="42" t="str">
        <f aca="false">IF(AND(AA166=1,ISNUMBER(C166)),C166+ROW()/100000,"")</f>
        <v/>
      </c>
      <c r="AA166" s="43" t="n">
        <f aca="false">IF(AND(D166&lt;&gt;"",ISNUMBER(B166),ISNUMBER(C166),N(H166)&gt;0,T166&lt;&gt;"Cancelled",J166&lt;&gt;""),1,0)</f>
        <v>0</v>
      </c>
      <c r="AB166" s="44" t="n">
        <f aca="false">IF(AA166=1,J166/H166,0)</f>
        <v>0</v>
      </c>
      <c r="AC166" s="44" t="n">
        <f aca="false">IF(AA166=1,Q166/H166,0)</f>
        <v>0</v>
      </c>
      <c r="AD166" s="44" t="n">
        <f aca="false">IF(AA166=1,R166/H166,0)</f>
        <v>0</v>
      </c>
      <c r="AE166" s="44" t="n">
        <f aca="false">IF(AA166=1,O166/H166,0)</f>
        <v>0</v>
      </c>
      <c r="AF166" s="44" t="n">
        <f aca="false">IF(AA166=1,K166/H166,0)</f>
        <v>0</v>
      </c>
      <c r="AG166" s="45" t="str">
        <f aca="false">IF(AA166=1,D166&amp;"|"&amp;TEXT(B166,"0"),"")</f>
        <v/>
      </c>
      <c r="AH166" s="43" t="n">
        <f aca="false">IF(AA166=1,H166,0)</f>
        <v>0</v>
      </c>
    </row>
    <row r="167" customFormat="false" ht="15" hidden="false" customHeight="false" outlineLevel="0" collapsed="false">
      <c r="A167" s="8" t="str">
        <f aca="false">IF(B167="","","B-"&amp;TEXT(ROW()-4,"0000"))</f>
        <v/>
      </c>
      <c r="B167" s="38"/>
      <c r="C167" s="38"/>
      <c r="D167" s="6"/>
      <c r="E167" s="6"/>
      <c r="F167" s="6"/>
      <c r="G167" s="11"/>
      <c r="H167" s="18" t="str">
        <f aca="false">IF(AND(ISNUMBER(B167),ISNUMBER(C167)),MAX(0,C167-B167),"")</f>
        <v/>
      </c>
      <c r="I167" s="37"/>
      <c r="J167" s="41" t="str">
        <f aca="false">IF(OR(D167="",N(H167)=0),"",IFERROR(IF(I167&lt;&gt;"",H167*I167,ROUND(((H167-(INT((WEEKDAY(B167-6)+H167-1)/7)+INT((WEEKDAY(B167-7)+H167-1)/7)))*INDEX(Properties!$E$5:$E$24,MATCH(D167,Properties!$A$5:$A$24,0))+(INT((WEEKDAY(B167-6)+H167-1)/7)+INT((WEEKDAY(B167-7)+H167-1)/7))*INDEX(Properties!$F$5:$F$24,MATCH(D167,Properties!$A$5:$A$24,0)))*(1-IF(H167&gt;=28,Settings!$B$10,IF(H167&gt;=7,Settings!$B$9,0))),2)),0))</f>
        <v/>
      </c>
      <c r="K167" s="41" t="str">
        <f aca="false">IF(J167="","",IFERROR(N(INDEX(Properties!$G$5:$G$24,MATCH(D167,Properties!$A$5:$A$24,0))),0))</f>
        <v/>
      </c>
      <c r="L167" s="41" t="str">
        <f aca="false">IF(J167="","",IFERROR(MAX(0,N(G167)-INDEX(Properties!$I$5:$I$24,MATCH(D167,Properties!$A$5:$A$24,0)))*N(INDEX(Properties!$J$5:$J$24,MATCH(D167,Properties!$A$5:$A$24,0)))*H167,0))</f>
        <v/>
      </c>
      <c r="M167" s="37"/>
      <c r="N167" s="41" t="str">
        <f aca="false">IF(J167="","",J167+K167+L167+N(M167))</f>
        <v/>
      </c>
      <c r="O167" s="41" t="str">
        <f aca="false">IF(N167="","",IF(P167&lt;&gt;"",N167-P167,ROUND(N167*IFERROR(INDEX(Settings!$E$5:$E$12,MATCH(F167,Settings!$D$5:$D$12,0)),0),2)))</f>
        <v/>
      </c>
      <c r="P167" s="37"/>
      <c r="Q167" s="41" t="str">
        <f aca="false">IF(N167="","",IF(P167&lt;&gt;"",P167,N167-O167))</f>
        <v/>
      </c>
      <c r="R167" s="41" t="str">
        <f aca="false">IF(J167="","",IFERROR(N(INDEX(Properties!$H$5:$H$24,MATCH(D167,Properties!$A$5:$A$24,0))),0))</f>
        <v/>
      </c>
      <c r="S167" s="41" t="str">
        <f aca="false">IF(Q167="","",Q167-R167)</f>
        <v/>
      </c>
      <c r="T167" s="6"/>
      <c r="U167" s="6"/>
      <c r="V167" s="6"/>
      <c r="W167" s="6"/>
      <c r="X167" s="6"/>
      <c r="Y167" s="8" t="str">
        <f aca="false">IF(OR(D167="",B167="",C167=""),"",IF(N(C167)&lt;=N(B167),"Check dates",IF(T167="Cancelled","",IF(COUNTIFS($D$5:$D$1004,D167,$B$5:$B$1004,"&lt;"&amp;C167,$C$5:$C$1004,"&gt;"&amp;B167,$T$5:$T$1004,"&lt;&gt;Cancelled")&gt;1,"Double-booked",""))))</f>
        <v/>
      </c>
      <c r="Z167" s="42" t="str">
        <f aca="false">IF(AND(AA167=1,ISNUMBER(C167)),C167+ROW()/100000,"")</f>
        <v/>
      </c>
      <c r="AA167" s="43" t="n">
        <f aca="false">IF(AND(D167&lt;&gt;"",ISNUMBER(B167),ISNUMBER(C167),N(H167)&gt;0,T167&lt;&gt;"Cancelled",J167&lt;&gt;""),1,0)</f>
        <v>0</v>
      </c>
      <c r="AB167" s="44" t="n">
        <f aca="false">IF(AA167=1,J167/H167,0)</f>
        <v>0</v>
      </c>
      <c r="AC167" s="44" t="n">
        <f aca="false">IF(AA167=1,Q167/H167,0)</f>
        <v>0</v>
      </c>
      <c r="AD167" s="44" t="n">
        <f aca="false">IF(AA167=1,R167/H167,0)</f>
        <v>0</v>
      </c>
      <c r="AE167" s="44" t="n">
        <f aca="false">IF(AA167=1,O167/H167,0)</f>
        <v>0</v>
      </c>
      <c r="AF167" s="44" t="n">
        <f aca="false">IF(AA167=1,K167/H167,0)</f>
        <v>0</v>
      </c>
      <c r="AG167" s="45" t="str">
        <f aca="false">IF(AA167=1,D167&amp;"|"&amp;TEXT(B167,"0"),"")</f>
        <v/>
      </c>
      <c r="AH167" s="43" t="n">
        <f aca="false">IF(AA167=1,H167,0)</f>
        <v>0</v>
      </c>
    </row>
    <row r="168" customFormat="false" ht="15" hidden="false" customHeight="false" outlineLevel="0" collapsed="false">
      <c r="A168" s="23" t="str">
        <f aca="false">IF(B168="","","B-"&amp;TEXT(ROW()-4,"0000"))</f>
        <v/>
      </c>
      <c r="B168" s="38"/>
      <c r="C168" s="38"/>
      <c r="D168" s="6"/>
      <c r="E168" s="6"/>
      <c r="F168" s="6"/>
      <c r="G168" s="11"/>
      <c r="H168" s="24" t="str">
        <f aca="false">IF(AND(ISNUMBER(B168),ISNUMBER(C168)),MAX(0,C168-B168),"")</f>
        <v/>
      </c>
      <c r="I168" s="37"/>
      <c r="J168" s="46" t="str">
        <f aca="false">IF(OR(D168="",N(H168)=0),"",IFERROR(IF(I168&lt;&gt;"",H168*I168,ROUND(((H168-(INT((WEEKDAY(B168-6)+H168-1)/7)+INT((WEEKDAY(B168-7)+H168-1)/7)))*INDEX(Properties!$E$5:$E$24,MATCH(D168,Properties!$A$5:$A$24,0))+(INT((WEEKDAY(B168-6)+H168-1)/7)+INT((WEEKDAY(B168-7)+H168-1)/7))*INDEX(Properties!$F$5:$F$24,MATCH(D168,Properties!$A$5:$A$24,0)))*(1-IF(H168&gt;=28,Settings!$B$10,IF(H168&gt;=7,Settings!$B$9,0))),2)),0))</f>
        <v/>
      </c>
      <c r="K168" s="46" t="str">
        <f aca="false">IF(J168="","",IFERROR(N(INDEX(Properties!$G$5:$G$24,MATCH(D168,Properties!$A$5:$A$24,0))),0))</f>
        <v/>
      </c>
      <c r="L168" s="46" t="str">
        <f aca="false">IF(J168="","",IFERROR(MAX(0,N(G168)-INDEX(Properties!$I$5:$I$24,MATCH(D168,Properties!$A$5:$A$24,0)))*N(INDEX(Properties!$J$5:$J$24,MATCH(D168,Properties!$A$5:$A$24,0)))*H168,0))</f>
        <v/>
      </c>
      <c r="M168" s="37"/>
      <c r="N168" s="46" t="str">
        <f aca="false">IF(J168="","",J168+K168+L168+N(M168))</f>
        <v/>
      </c>
      <c r="O168" s="46" t="str">
        <f aca="false">IF(N168="","",IF(P168&lt;&gt;"",N168-P168,ROUND(N168*IFERROR(INDEX(Settings!$E$5:$E$12,MATCH(F168,Settings!$D$5:$D$12,0)),0),2)))</f>
        <v/>
      </c>
      <c r="P168" s="37"/>
      <c r="Q168" s="46" t="str">
        <f aca="false">IF(N168="","",IF(P168&lt;&gt;"",P168,N168-O168))</f>
        <v/>
      </c>
      <c r="R168" s="46" t="str">
        <f aca="false">IF(J168="","",IFERROR(N(INDEX(Properties!$H$5:$H$24,MATCH(D168,Properties!$A$5:$A$24,0))),0))</f>
        <v/>
      </c>
      <c r="S168" s="46" t="str">
        <f aca="false">IF(Q168="","",Q168-R168)</f>
        <v/>
      </c>
      <c r="T168" s="6"/>
      <c r="U168" s="6"/>
      <c r="V168" s="6"/>
      <c r="W168" s="6"/>
      <c r="X168" s="6"/>
      <c r="Y168" s="8" t="str">
        <f aca="false">IF(OR(D168="",B168="",C168=""),"",IF(N(C168)&lt;=N(B168),"Check dates",IF(T168="Cancelled","",IF(COUNTIFS($D$5:$D$1004,D168,$B$5:$B$1004,"&lt;"&amp;C168,$C$5:$C$1004,"&gt;"&amp;B168,$T$5:$T$1004,"&lt;&gt;Cancelled")&gt;1,"Double-booked",""))))</f>
        <v/>
      </c>
      <c r="Z168" s="42" t="str">
        <f aca="false">IF(AND(AA168=1,ISNUMBER(C168)),C168+ROW()/100000,"")</f>
        <v/>
      </c>
      <c r="AA168" s="43" t="n">
        <f aca="false">IF(AND(D168&lt;&gt;"",ISNUMBER(B168),ISNUMBER(C168),N(H168)&gt;0,T168&lt;&gt;"Cancelled",J168&lt;&gt;""),1,0)</f>
        <v>0</v>
      </c>
      <c r="AB168" s="44" t="n">
        <f aca="false">IF(AA168=1,J168/H168,0)</f>
        <v>0</v>
      </c>
      <c r="AC168" s="44" t="n">
        <f aca="false">IF(AA168=1,Q168/H168,0)</f>
        <v>0</v>
      </c>
      <c r="AD168" s="44" t="n">
        <f aca="false">IF(AA168=1,R168/H168,0)</f>
        <v>0</v>
      </c>
      <c r="AE168" s="44" t="n">
        <f aca="false">IF(AA168=1,O168/H168,0)</f>
        <v>0</v>
      </c>
      <c r="AF168" s="44" t="n">
        <f aca="false">IF(AA168=1,K168/H168,0)</f>
        <v>0</v>
      </c>
      <c r="AG168" s="45" t="str">
        <f aca="false">IF(AA168=1,D168&amp;"|"&amp;TEXT(B168,"0"),"")</f>
        <v/>
      </c>
      <c r="AH168" s="43" t="n">
        <f aca="false">IF(AA168=1,H168,0)</f>
        <v>0</v>
      </c>
    </row>
    <row r="169" customFormat="false" ht="15" hidden="false" customHeight="false" outlineLevel="0" collapsed="false">
      <c r="A169" s="8" t="str">
        <f aca="false">IF(B169="","","B-"&amp;TEXT(ROW()-4,"0000"))</f>
        <v/>
      </c>
      <c r="B169" s="38"/>
      <c r="C169" s="38"/>
      <c r="D169" s="6"/>
      <c r="E169" s="6"/>
      <c r="F169" s="6"/>
      <c r="G169" s="11"/>
      <c r="H169" s="18" t="str">
        <f aca="false">IF(AND(ISNUMBER(B169),ISNUMBER(C169)),MAX(0,C169-B169),"")</f>
        <v/>
      </c>
      <c r="I169" s="37"/>
      <c r="J169" s="41" t="str">
        <f aca="false">IF(OR(D169="",N(H169)=0),"",IFERROR(IF(I169&lt;&gt;"",H169*I169,ROUND(((H169-(INT((WEEKDAY(B169-6)+H169-1)/7)+INT((WEEKDAY(B169-7)+H169-1)/7)))*INDEX(Properties!$E$5:$E$24,MATCH(D169,Properties!$A$5:$A$24,0))+(INT((WEEKDAY(B169-6)+H169-1)/7)+INT((WEEKDAY(B169-7)+H169-1)/7))*INDEX(Properties!$F$5:$F$24,MATCH(D169,Properties!$A$5:$A$24,0)))*(1-IF(H169&gt;=28,Settings!$B$10,IF(H169&gt;=7,Settings!$B$9,0))),2)),0))</f>
        <v/>
      </c>
      <c r="K169" s="41" t="str">
        <f aca="false">IF(J169="","",IFERROR(N(INDEX(Properties!$G$5:$G$24,MATCH(D169,Properties!$A$5:$A$24,0))),0))</f>
        <v/>
      </c>
      <c r="L169" s="41" t="str">
        <f aca="false">IF(J169="","",IFERROR(MAX(0,N(G169)-INDEX(Properties!$I$5:$I$24,MATCH(D169,Properties!$A$5:$A$24,0)))*N(INDEX(Properties!$J$5:$J$24,MATCH(D169,Properties!$A$5:$A$24,0)))*H169,0))</f>
        <v/>
      </c>
      <c r="M169" s="37"/>
      <c r="N169" s="41" t="str">
        <f aca="false">IF(J169="","",J169+K169+L169+N(M169))</f>
        <v/>
      </c>
      <c r="O169" s="41" t="str">
        <f aca="false">IF(N169="","",IF(P169&lt;&gt;"",N169-P169,ROUND(N169*IFERROR(INDEX(Settings!$E$5:$E$12,MATCH(F169,Settings!$D$5:$D$12,0)),0),2)))</f>
        <v/>
      </c>
      <c r="P169" s="37"/>
      <c r="Q169" s="41" t="str">
        <f aca="false">IF(N169="","",IF(P169&lt;&gt;"",P169,N169-O169))</f>
        <v/>
      </c>
      <c r="R169" s="41" t="str">
        <f aca="false">IF(J169="","",IFERROR(N(INDEX(Properties!$H$5:$H$24,MATCH(D169,Properties!$A$5:$A$24,0))),0))</f>
        <v/>
      </c>
      <c r="S169" s="41" t="str">
        <f aca="false">IF(Q169="","",Q169-R169)</f>
        <v/>
      </c>
      <c r="T169" s="6"/>
      <c r="U169" s="6"/>
      <c r="V169" s="6"/>
      <c r="W169" s="6"/>
      <c r="X169" s="6"/>
      <c r="Y169" s="8" t="str">
        <f aca="false">IF(OR(D169="",B169="",C169=""),"",IF(N(C169)&lt;=N(B169),"Check dates",IF(T169="Cancelled","",IF(COUNTIFS($D$5:$D$1004,D169,$B$5:$B$1004,"&lt;"&amp;C169,$C$5:$C$1004,"&gt;"&amp;B169,$T$5:$T$1004,"&lt;&gt;Cancelled")&gt;1,"Double-booked",""))))</f>
        <v/>
      </c>
      <c r="Z169" s="42" t="str">
        <f aca="false">IF(AND(AA169=1,ISNUMBER(C169)),C169+ROW()/100000,"")</f>
        <v/>
      </c>
      <c r="AA169" s="43" t="n">
        <f aca="false">IF(AND(D169&lt;&gt;"",ISNUMBER(B169),ISNUMBER(C169),N(H169)&gt;0,T169&lt;&gt;"Cancelled",J169&lt;&gt;""),1,0)</f>
        <v>0</v>
      </c>
      <c r="AB169" s="44" t="n">
        <f aca="false">IF(AA169=1,J169/H169,0)</f>
        <v>0</v>
      </c>
      <c r="AC169" s="44" t="n">
        <f aca="false">IF(AA169=1,Q169/H169,0)</f>
        <v>0</v>
      </c>
      <c r="AD169" s="44" t="n">
        <f aca="false">IF(AA169=1,R169/H169,0)</f>
        <v>0</v>
      </c>
      <c r="AE169" s="44" t="n">
        <f aca="false">IF(AA169=1,O169/H169,0)</f>
        <v>0</v>
      </c>
      <c r="AF169" s="44" t="n">
        <f aca="false">IF(AA169=1,K169/H169,0)</f>
        <v>0</v>
      </c>
      <c r="AG169" s="45" t="str">
        <f aca="false">IF(AA169=1,D169&amp;"|"&amp;TEXT(B169,"0"),"")</f>
        <v/>
      </c>
      <c r="AH169" s="43" t="n">
        <f aca="false">IF(AA169=1,H169,0)</f>
        <v>0</v>
      </c>
    </row>
    <row r="170" customFormat="false" ht="15" hidden="false" customHeight="false" outlineLevel="0" collapsed="false">
      <c r="A170" s="23" t="str">
        <f aca="false">IF(B170="","","B-"&amp;TEXT(ROW()-4,"0000"))</f>
        <v/>
      </c>
      <c r="B170" s="38"/>
      <c r="C170" s="38"/>
      <c r="D170" s="6"/>
      <c r="E170" s="6"/>
      <c r="F170" s="6"/>
      <c r="G170" s="11"/>
      <c r="H170" s="24" t="str">
        <f aca="false">IF(AND(ISNUMBER(B170),ISNUMBER(C170)),MAX(0,C170-B170),"")</f>
        <v/>
      </c>
      <c r="I170" s="37"/>
      <c r="J170" s="46" t="str">
        <f aca="false">IF(OR(D170="",N(H170)=0),"",IFERROR(IF(I170&lt;&gt;"",H170*I170,ROUND(((H170-(INT((WEEKDAY(B170-6)+H170-1)/7)+INT((WEEKDAY(B170-7)+H170-1)/7)))*INDEX(Properties!$E$5:$E$24,MATCH(D170,Properties!$A$5:$A$24,0))+(INT((WEEKDAY(B170-6)+H170-1)/7)+INT((WEEKDAY(B170-7)+H170-1)/7))*INDEX(Properties!$F$5:$F$24,MATCH(D170,Properties!$A$5:$A$24,0)))*(1-IF(H170&gt;=28,Settings!$B$10,IF(H170&gt;=7,Settings!$B$9,0))),2)),0))</f>
        <v/>
      </c>
      <c r="K170" s="46" t="str">
        <f aca="false">IF(J170="","",IFERROR(N(INDEX(Properties!$G$5:$G$24,MATCH(D170,Properties!$A$5:$A$24,0))),0))</f>
        <v/>
      </c>
      <c r="L170" s="46" t="str">
        <f aca="false">IF(J170="","",IFERROR(MAX(0,N(G170)-INDEX(Properties!$I$5:$I$24,MATCH(D170,Properties!$A$5:$A$24,0)))*N(INDEX(Properties!$J$5:$J$24,MATCH(D170,Properties!$A$5:$A$24,0)))*H170,0))</f>
        <v/>
      </c>
      <c r="M170" s="37"/>
      <c r="N170" s="46" t="str">
        <f aca="false">IF(J170="","",J170+K170+L170+N(M170))</f>
        <v/>
      </c>
      <c r="O170" s="46" t="str">
        <f aca="false">IF(N170="","",IF(P170&lt;&gt;"",N170-P170,ROUND(N170*IFERROR(INDEX(Settings!$E$5:$E$12,MATCH(F170,Settings!$D$5:$D$12,0)),0),2)))</f>
        <v/>
      </c>
      <c r="P170" s="37"/>
      <c r="Q170" s="46" t="str">
        <f aca="false">IF(N170="","",IF(P170&lt;&gt;"",P170,N170-O170))</f>
        <v/>
      </c>
      <c r="R170" s="46" t="str">
        <f aca="false">IF(J170="","",IFERROR(N(INDEX(Properties!$H$5:$H$24,MATCH(D170,Properties!$A$5:$A$24,0))),0))</f>
        <v/>
      </c>
      <c r="S170" s="46" t="str">
        <f aca="false">IF(Q170="","",Q170-R170)</f>
        <v/>
      </c>
      <c r="T170" s="6"/>
      <c r="U170" s="6"/>
      <c r="V170" s="6"/>
      <c r="W170" s="6"/>
      <c r="X170" s="6"/>
      <c r="Y170" s="8" t="str">
        <f aca="false">IF(OR(D170="",B170="",C170=""),"",IF(N(C170)&lt;=N(B170),"Check dates",IF(T170="Cancelled","",IF(COUNTIFS($D$5:$D$1004,D170,$B$5:$B$1004,"&lt;"&amp;C170,$C$5:$C$1004,"&gt;"&amp;B170,$T$5:$T$1004,"&lt;&gt;Cancelled")&gt;1,"Double-booked",""))))</f>
        <v/>
      </c>
      <c r="Z170" s="42" t="str">
        <f aca="false">IF(AND(AA170=1,ISNUMBER(C170)),C170+ROW()/100000,"")</f>
        <v/>
      </c>
      <c r="AA170" s="43" t="n">
        <f aca="false">IF(AND(D170&lt;&gt;"",ISNUMBER(B170),ISNUMBER(C170),N(H170)&gt;0,T170&lt;&gt;"Cancelled",J170&lt;&gt;""),1,0)</f>
        <v>0</v>
      </c>
      <c r="AB170" s="44" t="n">
        <f aca="false">IF(AA170=1,J170/H170,0)</f>
        <v>0</v>
      </c>
      <c r="AC170" s="44" t="n">
        <f aca="false">IF(AA170=1,Q170/H170,0)</f>
        <v>0</v>
      </c>
      <c r="AD170" s="44" t="n">
        <f aca="false">IF(AA170=1,R170/H170,0)</f>
        <v>0</v>
      </c>
      <c r="AE170" s="44" t="n">
        <f aca="false">IF(AA170=1,O170/H170,0)</f>
        <v>0</v>
      </c>
      <c r="AF170" s="44" t="n">
        <f aca="false">IF(AA170=1,K170/H170,0)</f>
        <v>0</v>
      </c>
      <c r="AG170" s="45" t="str">
        <f aca="false">IF(AA170=1,D170&amp;"|"&amp;TEXT(B170,"0"),"")</f>
        <v/>
      </c>
      <c r="AH170" s="43" t="n">
        <f aca="false">IF(AA170=1,H170,0)</f>
        <v>0</v>
      </c>
    </row>
    <row r="171" customFormat="false" ht="15" hidden="false" customHeight="false" outlineLevel="0" collapsed="false">
      <c r="A171" s="8" t="str">
        <f aca="false">IF(B171="","","B-"&amp;TEXT(ROW()-4,"0000"))</f>
        <v/>
      </c>
      <c r="B171" s="38"/>
      <c r="C171" s="38"/>
      <c r="D171" s="6"/>
      <c r="E171" s="6"/>
      <c r="F171" s="6"/>
      <c r="G171" s="11"/>
      <c r="H171" s="18" t="str">
        <f aca="false">IF(AND(ISNUMBER(B171),ISNUMBER(C171)),MAX(0,C171-B171),"")</f>
        <v/>
      </c>
      <c r="I171" s="37"/>
      <c r="J171" s="41" t="str">
        <f aca="false">IF(OR(D171="",N(H171)=0),"",IFERROR(IF(I171&lt;&gt;"",H171*I171,ROUND(((H171-(INT((WEEKDAY(B171-6)+H171-1)/7)+INT((WEEKDAY(B171-7)+H171-1)/7)))*INDEX(Properties!$E$5:$E$24,MATCH(D171,Properties!$A$5:$A$24,0))+(INT((WEEKDAY(B171-6)+H171-1)/7)+INT((WEEKDAY(B171-7)+H171-1)/7))*INDEX(Properties!$F$5:$F$24,MATCH(D171,Properties!$A$5:$A$24,0)))*(1-IF(H171&gt;=28,Settings!$B$10,IF(H171&gt;=7,Settings!$B$9,0))),2)),0))</f>
        <v/>
      </c>
      <c r="K171" s="41" t="str">
        <f aca="false">IF(J171="","",IFERROR(N(INDEX(Properties!$G$5:$G$24,MATCH(D171,Properties!$A$5:$A$24,0))),0))</f>
        <v/>
      </c>
      <c r="L171" s="41" t="str">
        <f aca="false">IF(J171="","",IFERROR(MAX(0,N(G171)-INDEX(Properties!$I$5:$I$24,MATCH(D171,Properties!$A$5:$A$24,0)))*N(INDEX(Properties!$J$5:$J$24,MATCH(D171,Properties!$A$5:$A$24,0)))*H171,0))</f>
        <v/>
      </c>
      <c r="M171" s="37"/>
      <c r="N171" s="41" t="str">
        <f aca="false">IF(J171="","",J171+K171+L171+N(M171))</f>
        <v/>
      </c>
      <c r="O171" s="41" t="str">
        <f aca="false">IF(N171="","",IF(P171&lt;&gt;"",N171-P171,ROUND(N171*IFERROR(INDEX(Settings!$E$5:$E$12,MATCH(F171,Settings!$D$5:$D$12,0)),0),2)))</f>
        <v/>
      </c>
      <c r="P171" s="37"/>
      <c r="Q171" s="41" t="str">
        <f aca="false">IF(N171="","",IF(P171&lt;&gt;"",P171,N171-O171))</f>
        <v/>
      </c>
      <c r="R171" s="41" t="str">
        <f aca="false">IF(J171="","",IFERROR(N(INDEX(Properties!$H$5:$H$24,MATCH(D171,Properties!$A$5:$A$24,0))),0))</f>
        <v/>
      </c>
      <c r="S171" s="41" t="str">
        <f aca="false">IF(Q171="","",Q171-R171)</f>
        <v/>
      </c>
      <c r="T171" s="6"/>
      <c r="U171" s="6"/>
      <c r="V171" s="6"/>
      <c r="W171" s="6"/>
      <c r="X171" s="6"/>
      <c r="Y171" s="8" t="str">
        <f aca="false">IF(OR(D171="",B171="",C171=""),"",IF(N(C171)&lt;=N(B171),"Check dates",IF(T171="Cancelled","",IF(COUNTIFS($D$5:$D$1004,D171,$B$5:$B$1004,"&lt;"&amp;C171,$C$5:$C$1004,"&gt;"&amp;B171,$T$5:$T$1004,"&lt;&gt;Cancelled")&gt;1,"Double-booked",""))))</f>
        <v/>
      </c>
      <c r="Z171" s="42" t="str">
        <f aca="false">IF(AND(AA171=1,ISNUMBER(C171)),C171+ROW()/100000,"")</f>
        <v/>
      </c>
      <c r="AA171" s="43" t="n">
        <f aca="false">IF(AND(D171&lt;&gt;"",ISNUMBER(B171),ISNUMBER(C171),N(H171)&gt;0,T171&lt;&gt;"Cancelled",J171&lt;&gt;""),1,0)</f>
        <v>0</v>
      </c>
      <c r="AB171" s="44" t="n">
        <f aca="false">IF(AA171=1,J171/H171,0)</f>
        <v>0</v>
      </c>
      <c r="AC171" s="44" t="n">
        <f aca="false">IF(AA171=1,Q171/H171,0)</f>
        <v>0</v>
      </c>
      <c r="AD171" s="44" t="n">
        <f aca="false">IF(AA171=1,R171/H171,0)</f>
        <v>0</v>
      </c>
      <c r="AE171" s="44" t="n">
        <f aca="false">IF(AA171=1,O171/H171,0)</f>
        <v>0</v>
      </c>
      <c r="AF171" s="44" t="n">
        <f aca="false">IF(AA171=1,K171/H171,0)</f>
        <v>0</v>
      </c>
      <c r="AG171" s="45" t="str">
        <f aca="false">IF(AA171=1,D171&amp;"|"&amp;TEXT(B171,"0"),"")</f>
        <v/>
      </c>
      <c r="AH171" s="43" t="n">
        <f aca="false">IF(AA171=1,H171,0)</f>
        <v>0</v>
      </c>
    </row>
    <row r="172" customFormat="false" ht="15" hidden="false" customHeight="false" outlineLevel="0" collapsed="false">
      <c r="A172" s="23" t="str">
        <f aca="false">IF(B172="","","B-"&amp;TEXT(ROW()-4,"0000"))</f>
        <v/>
      </c>
      <c r="B172" s="38"/>
      <c r="C172" s="38"/>
      <c r="D172" s="6"/>
      <c r="E172" s="6"/>
      <c r="F172" s="6"/>
      <c r="G172" s="11"/>
      <c r="H172" s="24" t="str">
        <f aca="false">IF(AND(ISNUMBER(B172),ISNUMBER(C172)),MAX(0,C172-B172),"")</f>
        <v/>
      </c>
      <c r="I172" s="37"/>
      <c r="J172" s="46" t="str">
        <f aca="false">IF(OR(D172="",N(H172)=0),"",IFERROR(IF(I172&lt;&gt;"",H172*I172,ROUND(((H172-(INT((WEEKDAY(B172-6)+H172-1)/7)+INT((WEEKDAY(B172-7)+H172-1)/7)))*INDEX(Properties!$E$5:$E$24,MATCH(D172,Properties!$A$5:$A$24,0))+(INT((WEEKDAY(B172-6)+H172-1)/7)+INT((WEEKDAY(B172-7)+H172-1)/7))*INDEX(Properties!$F$5:$F$24,MATCH(D172,Properties!$A$5:$A$24,0)))*(1-IF(H172&gt;=28,Settings!$B$10,IF(H172&gt;=7,Settings!$B$9,0))),2)),0))</f>
        <v/>
      </c>
      <c r="K172" s="46" t="str">
        <f aca="false">IF(J172="","",IFERROR(N(INDEX(Properties!$G$5:$G$24,MATCH(D172,Properties!$A$5:$A$24,0))),0))</f>
        <v/>
      </c>
      <c r="L172" s="46" t="str">
        <f aca="false">IF(J172="","",IFERROR(MAX(0,N(G172)-INDEX(Properties!$I$5:$I$24,MATCH(D172,Properties!$A$5:$A$24,0)))*N(INDEX(Properties!$J$5:$J$24,MATCH(D172,Properties!$A$5:$A$24,0)))*H172,0))</f>
        <v/>
      </c>
      <c r="M172" s="37"/>
      <c r="N172" s="46" t="str">
        <f aca="false">IF(J172="","",J172+K172+L172+N(M172))</f>
        <v/>
      </c>
      <c r="O172" s="46" t="str">
        <f aca="false">IF(N172="","",IF(P172&lt;&gt;"",N172-P172,ROUND(N172*IFERROR(INDEX(Settings!$E$5:$E$12,MATCH(F172,Settings!$D$5:$D$12,0)),0),2)))</f>
        <v/>
      </c>
      <c r="P172" s="37"/>
      <c r="Q172" s="46" t="str">
        <f aca="false">IF(N172="","",IF(P172&lt;&gt;"",P172,N172-O172))</f>
        <v/>
      </c>
      <c r="R172" s="46" t="str">
        <f aca="false">IF(J172="","",IFERROR(N(INDEX(Properties!$H$5:$H$24,MATCH(D172,Properties!$A$5:$A$24,0))),0))</f>
        <v/>
      </c>
      <c r="S172" s="46" t="str">
        <f aca="false">IF(Q172="","",Q172-R172)</f>
        <v/>
      </c>
      <c r="T172" s="6"/>
      <c r="U172" s="6"/>
      <c r="V172" s="6"/>
      <c r="W172" s="6"/>
      <c r="X172" s="6"/>
      <c r="Y172" s="8" t="str">
        <f aca="false">IF(OR(D172="",B172="",C172=""),"",IF(N(C172)&lt;=N(B172),"Check dates",IF(T172="Cancelled","",IF(COUNTIFS($D$5:$D$1004,D172,$B$5:$B$1004,"&lt;"&amp;C172,$C$5:$C$1004,"&gt;"&amp;B172,$T$5:$T$1004,"&lt;&gt;Cancelled")&gt;1,"Double-booked",""))))</f>
        <v/>
      </c>
      <c r="Z172" s="42" t="str">
        <f aca="false">IF(AND(AA172=1,ISNUMBER(C172)),C172+ROW()/100000,"")</f>
        <v/>
      </c>
      <c r="AA172" s="43" t="n">
        <f aca="false">IF(AND(D172&lt;&gt;"",ISNUMBER(B172),ISNUMBER(C172),N(H172)&gt;0,T172&lt;&gt;"Cancelled",J172&lt;&gt;""),1,0)</f>
        <v>0</v>
      </c>
      <c r="AB172" s="44" t="n">
        <f aca="false">IF(AA172=1,J172/H172,0)</f>
        <v>0</v>
      </c>
      <c r="AC172" s="44" t="n">
        <f aca="false">IF(AA172=1,Q172/H172,0)</f>
        <v>0</v>
      </c>
      <c r="AD172" s="44" t="n">
        <f aca="false">IF(AA172=1,R172/H172,0)</f>
        <v>0</v>
      </c>
      <c r="AE172" s="44" t="n">
        <f aca="false">IF(AA172=1,O172/H172,0)</f>
        <v>0</v>
      </c>
      <c r="AF172" s="44" t="n">
        <f aca="false">IF(AA172=1,K172/H172,0)</f>
        <v>0</v>
      </c>
      <c r="AG172" s="45" t="str">
        <f aca="false">IF(AA172=1,D172&amp;"|"&amp;TEXT(B172,"0"),"")</f>
        <v/>
      </c>
      <c r="AH172" s="43" t="n">
        <f aca="false">IF(AA172=1,H172,0)</f>
        <v>0</v>
      </c>
    </row>
    <row r="173" customFormat="false" ht="15" hidden="false" customHeight="false" outlineLevel="0" collapsed="false">
      <c r="A173" s="8" t="str">
        <f aca="false">IF(B173="","","B-"&amp;TEXT(ROW()-4,"0000"))</f>
        <v/>
      </c>
      <c r="B173" s="38"/>
      <c r="C173" s="38"/>
      <c r="D173" s="6"/>
      <c r="E173" s="6"/>
      <c r="F173" s="6"/>
      <c r="G173" s="11"/>
      <c r="H173" s="18" t="str">
        <f aca="false">IF(AND(ISNUMBER(B173),ISNUMBER(C173)),MAX(0,C173-B173),"")</f>
        <v/>
      </c>
      <c r="I173" s="37"/>
      <c r="J173" s="41" t="str">
        <f aca="false">IF(OR(D173="",N(H173)=0),"",IFERROR(IF(I173&lt;&gt;"",H173*I173,ROUND(((H173-(INT((WEEKDAY(B173-6)+H173-1)/7)+INT((WEEKDAY(B173-7)+H173-1)/7)))*INDEX(Properties!$E$5:$E$24,MATCH(D173,Properties!$A$5:$A$24,0))+(INT((WEEKDAY(B173-6)+H173-1)/7)+INT((WEEKDAY(B173-7)+H173-1)/7))*INDEX(Properties!$F$5:$F$24,MATCH(D173,Properties!$A$5:$A$24,0)))*(1-IF(H173&gt;=28,Settings!$B$10,IF(H173&gt;=7,Settings!$B$9,0))),2)),0))</f>
        <v/>
      </c>
      <c r="K173" s="41" t="str">
        <f aca="false">IF(J173="","",IFERROR(N(INDEX(Properties!$G$5:$G$24,MATCH(D173,Properties!$A$5:$A$24,0))),0))</f>
        <v/>
      </c>
      <c r="L173" s="41" t="str">
        <f aca="false">IF(J173="","",IFERROR(MAX(0,N(G173)-INDEX(Properties!$I$5:$I$24,MATCH(D173,Properties!$A$5:$A$24,0)))*N(INDEX(Properties!$J$5:$J$24,MATCH(D173,Properties!$A$5:$A$24,0)))*H173,0))</f>
        <v/>
      </c>
      <c r="M173" s="37"/>
      <c r="N173" s="41" t="str">
        <f aca="false">IF(J173="","",J173+K173+L173+N(M173))</f>
        <v/>
      </c>
      <c r="O173" s="41" t="str">
        <f aca="false">IF(N173="","",IF(P173&lt;&gt;"",N173-P173,ROUND(N173*IFERROR(INDEX(Settings!$E$5:$E$12,MATCH(F173,Settings!$D$5:$D$12,0)),0),2)))</f>
        <v/>
      </c>
      <c r="P173" s="37"/>
      <c r="Q173" s="41" t="str">
        <f aca="false">IF(N173="","",IF(P173&lt;&gt;"",P173,N173-O173))</f>
        <v/>
      </c>
      <c r="R173" s="41" t="str">
        <f aca="false">IF(J173="","",IFERROR(N(INDEX(Properties!$H$5:$H$24,MATCH(D173,Properties!$A$5:$A$24,0))),0))</f>
        <v/>
      </c>
      <c r="S173" s="41" t="str">
        <f aca="false">IF(Q173="","",Q173-R173)</f>
        <v/>
      </c>
      <c r="T173" s="6"/>
      <c r="U173" s="6"/>
      <c r="V173" s="6"/>
      <c r="W173" s="6"/>
      <c r="X173" s="6"/>
      <c r="Y173" s="8" t="str">
        <f aca="false">IF(OR(D173="",B173="",C173=""),"",IF(N(C173)&lt;=N(B173),"Check dates",IF(T173="Cancelled","",IF(COUNTIFS($D$5:$D$1004,D173,$B$5:$B$1004,"&lt;"&amp;C173,$C$5:$C$1004,"&gt;"&amp;B173,$T$5:$T$1004,"&lt;&gt;Cancelled")&gt;1,"Double-booked",""))))</f>
        <v/>
      </c>
      <c r="Z173" s="42" t="str">
        <f aca="false">IF(AND(AA173=1,ISNUMBER(C173)),C173+ROW()/100000,"")</f>
        <v/>
      </c>
      <c r="AA173" s="43" t="n">
        <f aca="false">IF(AND(D173&lt;&gt;"",ISNUMBER(B173),ISNUMBER(C173),N(H173)&gt;0,T173&lt;&gt;"Cancelled",J173&lt;&gt;""),1,0)</f>
        <v>0</v>
      </c>
      <c r="AB173" s="44" t="n">
        <f aca="false">IF(AA173=1,J173/H173,0)</f>
        <v>0</v>
      </c>
      <c r="AC173" s="44" t="n">
        <f aca="false">IF(AA173=1,Q173/H173,0)</f>
        <v>0</v>
      </c>
      <c r="AD173" s="44" t="n">
        <f aca="false">IF(AA173=1,R173/H173,0)</f>
        <v>0</v>
      </c>
      <c r="AE173" s="44" t="n">
        <f aca="false">IF(AA173=1,O173/H173,0)</f>
        <v>0</v>
      </c>
      <c r="AF173" s="44" t="n">
        <f aca="false">IF(AA173=1,K173/H173,0)</f>
        <v>0</v>
      </c>
      <c r="AG173" s="45" t="str">
        <f aca="false">IF(AA173=1,D173&amp;"|"&amp;TEXT(B173,"0"),"")</f>
        <v/>
      </c>
      <c r="AH173" s="43" t="n">
        <f aca="false">IF(AA173=1,H173,0)</f>
        <v>0</v>
      </c>
    </row>
    <row r="174" customFormat="false" ht="15" hidden="false" customHeight="false" outlineLevel="0" collapsed="false">
      <c r="A174" s="23" t="str">
        <f aca="false">IF(B174="","","B-"&amp;TEXT(ROW()-4,"0000"))</f>
        <v/>
      </c>
      <c r="B174" s="38"/>
      <c r="C174" s="38"/>
      <c r="D174" s="6"/>
      <c r="E174" s="6"/>
      <c r="F174" s="6"/>
      <c r="G174" s="11"/>
      <c r="H174" s="24" t="str">
        <f aca="false">IF(AND(ISNUMBER(B174),ISNUMBER(C174)),MAX(0,C174-B174),"")</f>
        <v/>
      </c>
      <c r="I174" s="37"/>
      <c r="J174" s="46" t="str">
        <f aca="false">IF(OR(D174="",N(H174)=0),"",IFERROR(IF(I174&lt;&gt;"",H174*I174,ROUND(((H174-(INT((WEEKDAY(B174-6)+H174-1)/7)+INT((WEEKDAY(B174-7)+H174-1)/7)))*INDEX(Properties!$E$5:$E$24,MATCH(D174,Properties!$A$5:$A$24,0))+(INT((WEEKDAY(B174-6)+H174-1)/7)+INT((WEEKDAY(B174-7)+H174-1)/7))*INDEX(Properties!$F$5:$F$24,MATCH(D174,Properties!$A$5:$A$24,0)))*(1-IF(H174&gt;=28,Settings!$B$10,IF(H174&gt;=7,Settings!$B$9,0))),2)),0))</f>
        <v/>
      </c>
      <c r="K174" s="46" t="str">
        <f aca="false">IF(J174="","",IFERROR(N(INDEX(Properties!$G$5:$G$24,MATCH(D174,Properties!$A$5:$A$24,0))),0))</f>
        <v/>
      </c>
      <c r="L174" s="46" t="str">
        <f aca="false">IF(J174="","",IFERROR(MAX(0,N(G174)-INDEX(Properties!$I$5:$I$24,MATCH(D174,Properties!$A$5:$A$24,0)))*N(INDEX(Properties!$J$5:$J$24,MATCH(D174,Properties!$A$5:$A$24,0)))*H174,0))</f>
        <v/>
      </c>
      <c r="M174" s="37"/>
      <c r="N174" s="46" t="str">
        <f aca="false">IF(J174="","",J174+K174+L174+N(M174))</f>
        <v/>
      </c>
      <c r="O174" s="46" t="str">
        <f aca="false">IF(N174="","",IF(P174&lt;&gt;"",N174-P174,ROUND(N174*IFERROR(INDEX(Settings!$E$5:$E$12,MATCH(F174,Settings!$D$5:$D$12,0)),0),2)))</f>
        <v/>
      </c>
      <c r="P174" s="37"/>
      <c r="Q174" s="46" t="str">
        <f aca="false">IF(N174="","",IF(P174&lt;&gt;"",P174,N174-O174))</f>
        <v/>
      </c>
      <c r="R174" s="46" t="str">
        <f aca="false">IF(J174="","",IFERROR(N(INDEX(Properties!$H$5:$H$24,MATCH(D174,Properties!$A$5:$A$24,0))),0))</f>
        <v/>
      </c>
      <c r="S174" s="46" t="str">
        <f aca="false">IF(Q174="","",Q174-R174)</f>
        <v/>
      </c>
      <c r="T174" s="6"/>
      <c r="U174" s="6"/>
      <c r="V174" s="6"/>
      <c r="W174" s="6"/>
      <c r="X174" s="6"/>
      <c r="Y174" s="8" t="str">
        <f aca="false">IF(OR(D174="",B174="",C174=""),"",IF(N(C174)&lt;=N(B174),"Check dates",IF(T174="Cancelled","",IF(COUNTIFS($D$5:$D$1004,D174,$B$5:$B$1004,"&lt;"&amp;C174,$C$5:$C$1004,"&gt;"&amp;B174,$T$5:$T$1004,"&lt;&gt;Cancelled")&gt;1,"Double-booked",""))))</f>
        <v/>
      </c>
      <c r="Z174" s="42" t="str">
        <f aca="false">IF(AND(AA174=1,ISNUMBER(C174)),C174+ROW()/100000,"")</f>
        <v/>
      </c>
      <c r="AA174" s="43" t="n">
        <f aca="false">IF(AND(D174&lt;&gt;"",ISNUMBER(B174),ISNUMBER(C174),N(H174)&gt;0,T174&lt;&gt;"Cancelled",J174&lt;&gt;""),1,0)</f>
        <v>0</v>
      </c>
      <c r="AB174" s="44" t="n">
        <f aca="false">IF(AA174=1,J174/H174,0)</f>
        <v>0</v>
      </c>
      <c r="AC174" s="44" t="n">
        <f aca="false">IF(AA174=1,Q174/H174,0)</f>
        <v>0</v>
      </c>
      <c r="AD174" s="44" t="n">
        <f aca="false">IF(AA174=1,R174/H174,0)</f>
        <v>0</v>
      </c>
      <c r="AE174" s="44" t="n">
        <f aca="false">IF(AA174=1,O174/H174,0)</f>
        <v>0</v>
      </c>
      <c r="AF174" s="44" t="n">
        <f aca="false">IF(AA174=1,K174/H174,0)</f>
        <v>0</v>
      </c>
      <c r="AG174" s="45" t="str">
        <f aca="false">IF(AA174=1,D174&amp;"|"&amp;TEXT(B174,"0"),"")</f>
        <v/>
      </c>
      <c r="AH174" s="43" t="n">
        <f aca="false">IF(AA174=1,H174,0)</f>
        <v>0</v>
      </c>
    </row>
    <row r="175" customFormat="false" ht="15" hidden="false" customHeight="false" outlineLevel="0" collapsed="false">
      <c r="A175" s="8" t="str">
        <f aca="false">IF(B175="","","B-"&amp;TEXT(ROW()-4,"0000"))</f>
        <v/>
      </c>
      <c r="B175" s="38"/>
      <c r="C175" s="38"/>
      <c r="D175" s="6"/>
      <c r="E175" s="6"/>
      <c r="F175" s="6"/>
      <c r="G175" s="11"/>
      <c r="H175" s="18" t="str">
        <f aca="false">IF(AND(ISNUMBER(B175),ISNUMBER(C175)),MAX(0,C175-B175),"")</f>
        <v/>
      </c>
      <c r="I175" s="37"/>
      <c r="J175" s="41" t="str">
        <f aca="false">IF(OR(D175="",N(H175)=0),"",IFERROR(IF(I175&lt;&gt;"",H175*I175,ROUND(((H175-(INT((WEEKDAY(B175-6)+H175-1)/7)+INT((WEEKDAY(B175-7)+H175-1)/7)))*INDEX(Properties!$E$5:$E$24,MATCH(D175,Properties!$A$5:$A$24,0))+(INT((WEEKDAY(B175-6)+H175-1)/7)+INT((WEEKDAY(B175-7)+H175-1)/7))*INDEX(Properties!$F$5:$F$24,MATCH(D175,Properties!$A$5:$A$24,0)))*(1-IF(H175&gt;=28,Settings!$B$10,IF(H175&gt;=7,Settings!$B$9,0))),2)),0))</f>
        <v/>
      </c>
      <c r="K175" s="41" t="str">
        <f aca="false">IF(J175="","",IFERROR(N(INDEX(Properties!$G$5:$G$24,MATCH(D175,Properties!$A$5:$A$24,0))),0))</f>
        <v/>
      </c>
      <c r="L175" s="41" t="str">
        <f aca="false">IF(J175="","",IFERROR(MAX(0,N(G175)-INDEX(Properties!$I$5:$I$24,MATCH(D175,Properties!$A$5:$A$24,0)))*N(INDEX(Properties!$J$5:$J$24,MATCH(D175,Properties!$A$5:$A$24,0)))*H175,0))</f>
        <v/>
      </c>
      <c r="M175" s="37"/>
      <c r="N175" s="41" t="str">
        <f aca="false">IF(J175="","",J175+K175+L175+N(M175))</f>
        <v/>
      </c>
      <c r="O175" s="41" t="str">
        <f aca="false">IF(N175="","",IF(P175&lt;&gt;"",N175-P175,ROUND(N175*IFERROR(INDEX(Settings!$E$5:$E$12,MATCH(F175,Settings!$D$5:$D$12,0)),0),2)))</f>
        <v/>
      </c>
      <c r="P175" s="37"/>
      <c r="Q175" s="41" t="str">
        <f aca="false">IF(N175="","",IF(P175&lt;&gt;"",P175,N175-O175))</f>
        <v/>
      </c>
      <c r="R175" s="41" t="str">
        <f aca="false">IF(J175="","",IFERROR(N(INDEX(Properties!$H$5:$H$24,MATCH(D175,Properties!$A$5:$A$24,0))),0))</f>
        <v/>
      </c>
      <c r="S175" s="41" t="str">
        <f aca="false">IF(Q175="","",Q175-R175)</f>
        <v/>
      </c>
      <c r="T175" s="6"/>
      <c r="U175" s="6"/>
      <c r="V175" s="6"/>
      <c r="W175" s="6"/>
      <c r="X175" s="6"/>
      <c r="Y175" s="8" t="str">
        <f aca="false">IF(OR(D175="",B175="",C175=""),"",IF(N(C175)&lt;=N(B175),"Check dates",IF(T175="Cancelled","",IF(COUNTIFS($D$5:$D$1004,D175,$B$5:$B$1004,"&lt;"&amp;C175,$C$5:$C$1004,"&gt;"&amp;B175,$T$5:$T$1004,"&lt;&gt;Cancelled")&gt;1,"Double-booked",""))))</f>
        <v/>
      </c>
      <c r="Z175" s="42" t="str">
        <f aca="false">IF(AND(AA175=1,ISNUMBER(C175)),C175+ROW()/100000,"")</f>
        <v/>
      </c>
      <c r="AA175" s="43" t="n">
        <f aca="false">IF(AND(D175&lt;&gt;"",ISNUMBER(B175),ISNUMBER(C175),N(H175)&gt;0,T175&lt;&gt;"Cancelled",J175&lt;&gt;""),1,0)</f>
        <v>0</v>
      </c>
      <c r="AB175" s="44" t="n">
        <f aca="false">IF(AA175=1,J175/H175,0)</f>
        <v>0</v>
      </c>
      <c r="AC175" s="44" t="n">
        <f aca="false">IF(AA175=1,Q175/H175,0)</f>
        <v>0</v>
      </c>
      <c r="AD175" s="44" t="n">
        <f aca="false">IF(AA175=1,R175/H175,0)</f>
        <v>0</v>
      </c>
      <c r="AE175" s="44" t="n">
        <f aca="false">IF(AA175=1,O175/H175,0)</f>
        <v>0</v>
      </c>
      <c r="AF175" s="44" t="n">
        <f aca="false">IF(AA175=1,K175/H175,0)</f>
        <v>0</v>
      </c>
      <c r="AG175" s="45" t="str">
        <f aca="false">IF(AA175=1,D175&amp;"|"&amp;TEXT(B175,"0"),"")</f>
        <v/>
      </c>
      <c r="AH175" s="43" t="n">
        <f aca="false">IF(AA175=1,H175,0)</f>
        <v>0</v>
      </c>
    </row>
    <row r="176" customFormat="false" ht="15" hidden="false" customHeight="false" outlineLevel="0" collapsed="false">
      <c r="A176" s="23" t="str">
        <f aca="false">IF(B176="","","B-"&amp;TEXT(ROW()-4,"0000"))</f>
        <v/>
      </c>
      <c r="B176" s="38"/>
      <c r="C176" s="38"/>
      <c r="D176" s="6"/>
      <c r="E176" s="6"/>
      <c r="F176" s="6"/>
      <c r="G176" s="11"/>
      <c r="H176" s="24" t="str">
        <f aca="false">IF(AND(ISNUMBER(B176),ISNUMBER(C176)),MAX(0,C176-B176),"")</f>
        <v/>
      </c>
      <c r="I176" s="37"/>
      <c r="J176" s="46" t="str">
        <f aca="false">IF(OR(D176="",N(H176)=0),"",IFERROR(IF(I176&lt;&gt;"",H176*I176,ROUND(((H176-(INT((WEEKDAY(B176-6)+H176-1)/7)+INT((WEEKDAY(B176-7)+H176-1)/7)))*INDEX(Properties!$E$5:$E$24,MATCH(D176,Properties!$A$5:$A$24,0))+(INT((WEEKDAY(B176-6)+H176-1)/7)+INT((WEEKDAY(B176-7)+H176-1)/7))*INDEX(Properties!$F$5:$F$24,MATCH(D176,Properties!$A$5:$A$24,0)))*(1-IF(H176&gt;=28,Settings!$B$10,IF(H176&gt;=7,Settings!$B$9,0))),2)),0))</f>
        <v/>
      </c>
      <c r="K176" s="46" t="str">
        <f aca="false">IF(J176="","",IFERROR(N(INDEX(Properties!$G$5:$G$24,MATCH(D176,Properties!$A$5:$A$24,0))),0))</f>
        <v/>
      </c>
      <c r="L176" s="46" t="str">
        <f aca="false">IF(J176="","",IFERROR(MAX(0,N(G176)-INDEX(Properties!$I$5:$I$24,MATCH(D176,Properties!$A$5:$A$24,0)))*N(INDEX(Properties!$J$5:$J$24,MATCH(D176,Properties!$A$5:$A$24,0)))*H176,0))</f>
        <v/>
      </c>
      <c r="M176" s="37"/>
      <c r="N176" s="46" t="str">
        <f aca="false">IF(J176="","",J176+K176+L176+N(M176))</f>
        <v/>
      </c>
      <c r="O176" s="46" t="str">
        <f aca="false">IF(N176="","",IF(P176&lt;&gt;"",N176-P176,ROUND(N176*IFERROR(INDEX(Settings!$E$5:$E$12,MATCH(F176,Settings!$D$5:$D$12,0)),0),2)))</f>
        <v/>
      </c>
      <c r="P176" s="37"/>
      <c r="Q176" s="46" t="str">
        <f aca="false">IF(N176="","",IF(P176&lt;&gt;"",P176,N176-O176))</f>
        <v/>
      </c>
      <c r="R176" s="46" t="str">
        <f aca="false">IF(J176="","",IFERROR(N(INDEX(Properties!$H$5:$H$24,MATCH(D176,Properties!$A$5:$A$24,0))),0))</f>
        <v/>
      </c>
      <c r="S176" s="46" t="str">
        <f aca="false">IF(Q176="","",Q176-R176)</f>
        <v/>
      </c>
      <c r="T176" s="6"/>
      <c r="U176" s="6"/>
      <c r="V176" s="6"/>
      <c r="W176" s="6"/>
      <c r="X176" s="6"/>
      <c r="Y176" s="8" t="str">
        <f aca="false">IF(OR(D176="",B176="",C176=""),"",IF(N(C176)&lt;=N(B176),"Check dates",IF(T176="Cancelled","",IF(COUNTIFS($D$5:$D$1004,D176,$B$5:$B$1004,"&lt;"&amp;C176,$C$5:$C$1004,"&gt;"&amp;B176,$T$5:$T$1004,"&lt;&gt;Cancelled")&gt;1,"Double-booked",""))))</f>
        <v/>
      </c>
      <c r="Z176" s="42" t="str">
        <f aca="false">IF(AND(AA176=1,ISNUMBER(C176)),C176+ROW()/100000,"")</f>
        <v/>
      </c>
      <c r="AA176" s="43" t="n">
        <f aca="false">IF(AND(D176&lt;&gt;"",ISNUMBER(B176),ISNUMBER(C176),N(H176)&gt;0,T176&lt;&gt;"Cancelled",J176&lt;&gt;""),1,0)</f>
        <v>0</v>
      </c>
      <c r="AB176" s="44" t="n">
        <f aca="false">IF(AA176=1,J176/H176,0)</f>
        <v>0</v>
      </c>
      <c r="AC176" s="44" t="n">
        <f aca="false">IF(AA176=1,Q176/H176,0)</f>
        <v>0</v>
      </c>
      <c r="AD176" s="44" t="n">
        <f aca="false">IF(AA176=1,R176/H176,0)</f>
        <v>0</v>
      </c>
      <c r="AE176" s="44" t="n">
        <f aca="false">IF(AA176=1,O176/H176,0)</f>
        <v>0</v>
      </c>
      <c r="AF176" s="44" t="n">
        <f aca="false">IF(AA176=1,K176/H176,0)</f>
        <v>0</v>
      </c>
      <c r="AG176" s="45" t="str">
        <f aca="false">IF(AA176=1,D176&amp;"|"&amp;TEXT(B176,"0"),"")</f>
        <v/>
      </c>
      <c r="AH176" s="43" t="n">
        <f aca="false">IF(AA176=1,H176,0)</f>
        <v>0</v>
      </c>
    </row>
    <row r="177" customFormat="false" ht="15" hidden="false" customHeight="false" outlineLevel="0" collapsed="false">
      <c r="A177" s="8" t="str">
        <f aca="false">IF(B177="","","B-"&amp;TEXT(ROW()-4,"0000"))</f>
        <v/>
      </c>
      <c r="B177" s="38"/>
      <c r="C177" s="38"/>
      <c r="D177" s="6"/>
      <c r="E177" s="6"/>
      <c r="F177" s="6"/>
      <c r="G177" s="11"/>
      <c r="H177" s="18" t="str">
        <f aca="false">IF(AND(ISNUMBER(B177),ISNUMBER(C177)),MAX(0,C177-B177),"")</f>
        <v/>
      </c>
      <c r="I177" s="37"/>
      <c r="J177" s="41" t="str">
        <f aca="false">IF(OR(D177="",N(H177)=0),"",IFERROR(IF(I177&lt;&gt;"",H177*I177,ROUND(((H177-(INT((WEEKDAY(B177-6)+H177-1)/7)+INT((WEEKDAY(B177-7)+H177-1)/7)))*INDEX(Properties!$E$5:$E$24,MATCH(D177,Properties!$A$5:$A$24,0))+(INT((WEEKDAY(B177-6)+H177-1)/7)+INT((WEEKDAY(B177-7)+H177-1)/7))*INDEX(Properties!$F$5:$F$24,MATCH(D177,Properties!$A$5:$A$24,0)))*(1-IF(H177&gt;=28,Settings!$B$10,IF(H177&gt;=7,Settings!$B$9,0))),2)),0))</f>
        <v/>
      </c>
      <c r="K177" s="41" t="str">
        <f aca="false">IF(J177="","",IFERROR(N(INDEX(Properties!$G$5:$G$24,MATCH(D177,Properties!$A$5:$A$24,0))),0))</f>
        <v/>
      </c>
      <c r="L177" s="41" t="str">
        <f aca="false">IF(J177="","",IFERROR(MAX(0,N(G177)-INDEX(Properties!$I$5:$I$24,MATCH(D177,Properties!$A$5:$A$24,0)))*N(INDEX(Properties!$J$5:$J$24,MATCH(D177,Properties!$A$5:$A$24,0)))*H177,0))</f>
        <v/>
      </c>
      <c r="M177" s="37"/>
      <c r="N177" s="41" t="str">
        <f aca="false">IF(J177="","",J177+K177+L177+N(M177))</f>
        <v/>
      </c>
      <c r="O177" s="41" t="str">
        <f aca="false">IF(N177="","",IF(P177&lt;&gt;"",N177-P177,ROUND(N177*IFERROR(INDEX(Settings!$E$5:$E$12,MATCH(F177,Settings!$D$5:$D$12,0)),0),2)))</f>
        <v/>
      </c>
      <c r="P177" s="37"/>
      <c r="Q177" s="41" t="str">
        <f aca="false">IF(N177="","",IF(P177&lt;&gt;"",P177,N177-O177))</f>
        <v/>
      </c>
      <c r="R177" s="41" t="str">
        <f aca="false">IF(J177="","",IFERROR(N(INDEX(Properties!$H$5:$H$24,MATCH(D177,Properties!$A$5:$A$24,0))),0))</f>
        <v/>
      </c>
      <c r="S177" s="41" t="str">
        <f aca="false">IF(Q177="","",Q177-R177)</f>
        <v/>
      </c>
      <c r="T177" s="6"/>
      <c r="U177" s="6"/>
      <c r="V177" s="6"/>
      <c r="W177" s="6"/>
      <c r="X177" s="6"/>
      <c r="Y177" s="8" t="str">
        <f aca="false">IF(OR(D177="",B177="",C177=""),"",IF(N(C177)&lt;=N(B177),"Check dates",IF(T177="Cancelled","",IF(COUNTIFS($D$5:$D$1004,D177,$B$5:$B$1004,"&lt;"&amp;C177,$C$5:$C$1004,"&gt;"&amp;B177,$T$5:$T$1004,"&lt;&gt;Cancelled")&gt;1,"Double-booked",""))))</f>
        <v/>
      </c>
      <c r="Z177" s="42" t="str">
        <f aca="false">IF(AND(AA177=1,ISNUMBER(C177)),C177+ROW()/100000,"")</f>
        <v/>
      </c>
      <c r="AA177" s="43" t="n">
        <f aca="false">IF(AND(D177&lt;&gt;"",ISNUMBER(B177),ISNUMBER(C177),N(H177)&gt;0,T177&lt;&gt;"Cancelled",J177&lt;&gt;""),1,0)</f>
        <v>0</v>
      </c>
      <c r="AB177" s="44" t="n">
        <f aca="false">IF(AA177=1,J177/H177,0)</f>
        <v>0</v>
      </c>
      <c r="AC177" s="44" t="n">
        <f aca="false">IF(AA177=1,Q177/H177,0)</f>
        <v>0</v>
      </c>
      <c r="AD177" s="44" t="n">
        <f aca="false">IF(AA177=1,R177/H177,0)</f>
        <v>0</v>
      </c>
      <c r="AE177" s="44" t="n">
        <f aca="false">IF(AA177=1,O177/H177,0)</f>
        <v>0</v>
      </c>
      <c r="AF177" s="44" t="n">
        <f aca="false">IF(AA177=1,K177/H177,0)</f>
        <v>0</v>
      </c>
      <c r="AG177" s="45" t="str">
        <f aca="false">IF(AA177=1,D177&amp;"|"&amp;TEXT(B177,"0"),"")</f>
        <v/>
      </c>
      <c r="AH177" s="43" t="n">
        <f aca="false">IF(AA177=1,H177,0)</f>
        <v>0</v>
      </c>
    </row>
    <row r="178" customFormat="false" ht="15" hidden="false" customHeight="false" outlineLevel="0" collapsed="false">
      <c r="A178" s="23" t="str">
        <f aca="false">IF(B178="","","B-"&amp;TEXT(ROW()-4,"0000"))</f>
        <v/>
      </c>
      <c r="B178" s="38"/>
      <c r="C178" s="38"/>
      <c r="D178" s="6"/>
      <c r="E178" s="6"/>
      <c r="F178" s="6"/>
      <c r="G178" s="11"/>
      <c r="H178" s="24" t="str">
        <f aca="false">IF(AND(ISNUMBER(B178),ISNUMBER(C178)),MAX(0,C178-B178),"")</f>
        <v/>
      </c>
      <c r="I178" s="37"/>
      <c r="J178" s="46" t="str">
        <f aca="false">IF(OR(D178="",N(H178)=0),"",IFERROR(IF(I178&lt;&gt;"",H178*I178,ROUND(((H178-(INT((WEEKDAY(B178-6)+H178-1)/7)+INT((WEEKDAY(B178-7)+H178-1)/7)))*INDEX(Properties!$E$5:$E$24,MATCH(D178,Properties!$A$5:$A$24,0))+(INT((WEEKDAY(B178-6)+H178-1)/7)+INT((WEEKDAY(B178-7)+H178-1)/7))*INDEX(Properties!$F$5:$F$24,MATCH(D178,Properties!$A$5:$A$24,0)))*(1-IF(H178&gt;=28,Settings!$B$10,IF(H178&gt;=7,Settings!$B$9,0))),2)),0))</f>
        <v/>
      </c>
      <c r="K178" s="46" t="str">
        <f aca="false">IF(J178="","",IFERROR(N(INDEX(Properties!$G$5:$G$24,MATCH(D178,Properties!$A$5:$A$24,0))),0))</f>
        <v/>
      </c>
      <c r="L178" s="46" t="str">
        <f aca="false">IF(J178="","",IFERROR(MAX(0,N(G178)-INDEX(Properties!$I$5:$I$24,MATCH(D178,Properties!$A$5:$A$24,0)))*N(INDEX(Properties!$J$5:$J$24,MATCH(D178,Properties!$A$5:$A$24,0)))*H178,0))</f>
        <v/>
      </c>
      <c r="M178" s="37"/>
      <c r="N178" s="46" t="str">
        <f aca="false">IF(J178="","",J178+K178+L178+N(M178))</f>
        <v/>
      </c>
      <c r="O178" s="46" t="str">
        <f aca="false">IF(N178="","",IF(P178&lt;&gt;"",N178-P178,ROUND(N178*IFERROR(INDEX(Settings!$E$5:$E$12,MATCH(F178,Settings!$D$5:$D$12,0)),0),2)))</f>
        <v/>
      </c>
      <c r="P178" s="37"/>
      <c r="Q178" s="46" t="str">
        <f aca="false">IF(N178="","",IF(P178&lt;&gt;"",P178,N178-O178))</f>
        <v/>
      </c>
      <c r="R178" s="46" t="str">
        <f aca="false">IF(J178="","",IFERROR(N(INDEX(Properties!$H$5:$H$24,MATCH(D178,Properties!$A$5:$A$24,0))),0))</f>
        <v/>
      </c>
      <c r="S178" s="46" t="str">
        <f aca="false">IF(Q178="","",Q178-R178)</f>
        <v/>
      </c>
      <c r="T178" s="6"/>
      <c r="U178" s="6"/>
      <c r="V178" s="6"/>
      <c r="W178" s="6"/>
      <c r="X178" s="6"/>
      <c r="Y178" s="8" t="str">
        <f aca="false">IF(OR(D178="",B178="",C178=""),"",IF(N(C178)&lt;=N(B178),"Check dates",IF(T178="Cancelled","",IF(COUNTIFS($D$5:$D$1004,D178,$B$5:$B$1004,"&lt;"&amp;C178,$C$5:$C$1004,"&gt;"&amp;B178,$T$5:$T$1004,"&lt;&gt;Cancelled")&gt;1,"Double-booked",""))))</f>
        <v/>
      </c>
      <c r="Z178" s="42" t="str">
        <f aca="false">IF(AND(AA178=1,ISNUMBER(C178)),C178+ROW()/100000,"")</f>
        <v/>
      </c>
      <c r="AA178" s="43" t="n">
        <f aca="false">IF(AND(D178&lt;&gt;"",ISNUMBER(B178),ISNUMBER(C178),N(H178)&gt;0,T178&lt;&gt;"Cancelled",J178&lt;&gt;""),1,0)</f>
        <v>0</v>
      </c>
      <c r="AB178" s="44" t="n">
        <f aca="false">IF(AA178=1,J178/H178,0)</f>
        <v>0</v>
      </c>
      <c r="AC178" s="44" t="n">
        <f aca="false">IF(AA178=1,Q178/H178,0)</f>
        <v>0</v>
      </c>
      <c r="AD178" s="44" t="n">
        <f aca="false">IF(AA178=1,R178/H178,0)</f>
        <v>0</v>
      </c>
      <c r="AE178" s="44" t="n">
        <f aca="false">IF(AA178=1,O178/H178,0)</f>
        <v>0</v>
      </c>
      <c r="AF178" s="44" t="n">
        <f aca="false">IF(AA178=1,K178/H178,0)</f>
        <v>0</v>
      </c>
      <c r="AG178" s="45" t="str">
        <f aca="false">IF(AA178=1,D178&amp;"|"&amp;TEXT(B178,"0"),"")</f>
        <v/>
      </c>
      <c r="AH178" s="43" t="n">
        <f aca="false">IF(AA178=1,H178,0)</f>
        <v>0</v>
      </c>
    </row>
    <row r="179" customFormat="false" ht="15" hidden="false" customHeight="false" outlineLevel="0" collapsed="false">
      <c r="A179" s="8" t="str">
        <f aca="false">IF(B179="","","B-"&amp;TEXT(ROW()-4,"0000"))</f>
        <v/>
      </c>
      <c r="B179" s="38"/>
      <c r="C179" s="38"/>
      <c r="D179" s="6"/>
      <c r="E179" s="6"/>
      <c r="F179" s="6"/>
      <c r="G179" s="11"/>
      <c r="H179" s="18" t="str">
        <f aca="false">IF(AND(ISNUMBER(B179),ISNUMBER(C179)),MAX(0,C179-B179),"")</f>
        <v/>
      </c>
      <c r="I179" s="37"/>
      <c r="J179" s="41" t="str">
        <f aca="false">IF(OR(D179="",N(H179)=0),"",IFERROR(IF(I179&lt;&gt;"",H179*I179,ROUND(((H179-(INT((WEEKDAY(B179-6)+H179-1)/7)+INT((WEEKDAY(B179-7)+H179-1)/7)))*INDEX(Properties!$E$5:$E$24,MATCH(D179,Properties!$A$5:$A$24,0))+(INT((WEEKDAY(B179-6)+H179-1)/7)+INT((WEEKDAY(B179-7)+H179-1)/7))*INDEX(Properties!$F$5:$F$24,MATCH(D179,Properties!$A$5:$A$24,0)))*(1-IF(H179&gt;=28,Settings!$B$10,IF(H179&gt;=7,Settings!$B$9,0))),2)),0))</f>
        <v/>
      </c>
      <c r="K179" s="41" t="str">
        <f aca="false">IF(J179="","",IFERROR(N(INDEX(Properties!$G$5:$G$24,MATCH(D179,Properties!$A$5:$A$24,0))),0))</f>
        <v/>
      </c>
      <c r="L179" s="41" t="str">
        <f aca="false">IF(J179="","",IFERROR(MAX(0,N(G179)-INDEX(Properties!$I$5:$I$24,MATCH(D179,Properties!$A$5:$A$24,0)))*N(INDEX(Properties!$J$5:$J$24,MATCH(D179,Properties!$A$5:$A$24,0)))*H179,0))</f>
        <v/>
      </c>
      <c r="M179" s="37"/>
      <c r="N179" s="41" t="str">
        <f aca="false">IF(J179="","",J179+K179+L179+N(M179))</f>
        <v/>
      </c>
      <c r="O179" s="41" t="str">
        <f aca="false">IF(N179="","",IF(P179&lt;&gt;"",N179-P179,ROUND(N179*IFERROR(INDEX(Settings!$E$5:$E$12,MATCH(F179,Settings!$D$5:$D$12,0)),0),2)))</f>
        <v/>
      </c>
      <c r="P179" s="37"/>
      <c r="Q179" s="41" t="str">
        <f aca="false">IF(N179="","",IF(P179&lt;&gt;"",P179,N179-O179))</f>
        <v/>
      </c>
      <c r="R179" s="41" t="str">
        <f aca="false">IF(J179="","",IFERROR(N(INDEX(Properties!$H$5:$H$24,MATCH(D179,Properties!$A$5:$A$24,0))),0))</f>
        <v/>
      </c>
      <c r="S179" s="41" t="str">
        <f aca="false">IF(Q179="","",Q179-R179)</f>
        <v/>
      </c>
      <c r="T179" s="6"/>
      <c r="U179" s="6"/>
      <c r="V179" s="6"/>
      <c r="W179" s="6"/>
      <c r="X179" s="6"/>
      <c r="Y179" s="8" t="str">
        <f aca="false">IF(OR(D179="",B179="",C179=""),"",IF(N(C179)&lt;=N(B179),"Check dates",IF(T179="Cancelled","",IF(COUNTIFS($D$5:$D$1004,D179,$B$5:$B$1004,"&lt;"&amp;C179,$C$5:$C$1004,"&gt;"&amp;B179,$T$5:$T$1004,"&lt;&gt;Cancelled")&gt;1,"Double-booked",""))))</f>
        <v/>
      </c>
      <c r="Z179" s="42" t="str">
        <f aca="false">IF(AND(AA179=1,ISNUMBER(C179)),C179+ROW()/100000,"")</f>
        <v/>
      </c>
      <c r="AA179" s="43" t="n">
        <f aca="false">IF(AND(D179&lt;&gt;"",ISNUMBER(B179),ISNUMBER(C179),N(H179)&gt;0,T179&lt;&gt;"Cancelled",J179&lt;&gt;""),1,0)</f>
        <v>0</v>
      </c>
      <c r="AB179" s="44" t="n">
        <f aca="false">IF(AA179=1,J179/H179,0)</f>
        <v>0</v>
      </c>
      <c r="AC179" s="44" t="n">
        <f aca="false">IF(AA179=1,Q179/H179,0)</f>
        <v>0</v>
      </c>
      <c r="AD179" s="44" t="n">
        <f aca="false">IF(AA179=1,R179/H179,0)</f>
        <v>0</v>
      </c>
      <c r="AE179" s="44" t="n">
        <f aca="false">IF(AA179=1,O179/H179,0)</f>
        <v>0</v>
      </c>
      <c r="AF179" s="44" t="n">
        <f aca="false">IF(AA179=1,K179/H179,0)</f>
        <v>0</v>
      </c>
      <c r="AG179" s="45" t="str">
        <f aca="false">IF(AA179=1,D179&amp;"|"&amp;TEXT(B179,"0"),"")</f>
        <v/>
      </c>
      <c r="AH179" s="43" t="n">
        <f aca="false">IF(AA179=1,H179,0)</f>
        <v>0</v>
      </c>
    </row>
    <row r="180" customFormat="false" ht="15" hidden="false" customHeight="false" outlineLevel="0" collapsed="false">
      <c r="A180" s="23" t="str">
        <f aca="false">IF(B180="","","B-"&amp;TEXT(ROW()-4,"0000"))</f>
        <v/>
      </c>
      <c r="B180" s="38"/>
      <c r="C180" s="38"/>
      <c r="D180" s="6"/>
      <c r="E180" s="6"/>
      <c r="F180" s="6"/>
      <c r="G180" s="11"/>
      <c r="H180" s="24" t="str">
        <f aca="false">IF(AND(ISNUMBER(B180),ISNUMBER(C180)),MAX(0,C180-B180),"")</f>
        <v/>
      </c>
      <c r="I180" s="37"/>
      <c r="J180" s="46" t="str">
        <f aca="false">IF(OR(D180="",N(H180)=0),"",IFERROR(IF(I180&lt;&gt;"",H180*I180,ROUND(((H180-(INT((WEEKDAY(B180-6)+H180-1)/7)+INT((WEEKDAY(B180-7)+H180-1)/7)))*INDEX(Properties!$E$5:$E$24,MATCH(D180,Properties!$A$5:$A$24,0))+(INT((WEEKDAY(B180-6)+H180-1)/7)+INT((WEEKDAY(B180-7)+H180-1)/7))*INDEX(Properties!$F$5:$F$24,MATCH(D180,Properties!$A$5:$A$24,0)))*(1-IF(H180&gt;=28,Settings!$B$10,IF(H180&gt;=7,Settings!$B$9,0))),2)),0))</f>
        <v/>
      </c>
      <c r="K180" s="46" t="str">
        <f aca="false">IF(J180="","",IFERROR(N(INDEX(Properties!$G$5:$G$24,MATCH(D180,Properties!$A$5:$A$24,0))),0))</f>
        <v/>
      </c>
      <c r="L180" s="46" t="str">
        <f aca="false">IF(J180="","",IFERROR(MAX(0,N(G180)-INDEX(Properties!$I$5:$I$24,MATCH(D180,Properties!$A$5:$A$24,0)))*N(INDEX(Properties!$J$5:$J$24,MATCH(D180,Properties!$A$5:$A$24,0)))*H180,0))</f>
        <v/>
      </c>
      <c r="M180" s="37"/>
      <c r="N180" s="46" t="str">
        <f aca="false">IF(J180="","",J180+K180+L180+N(M180))</f>
        <v/>
      </c>
      <c r="O180" s="46" t="str">
        <f aca="false">IF(N180="","",IF(P180&lt;&gt;"",N180-P180,ROUND(N180*IFERROR(INDEX(Settings!$E$5:$E$12,MATCH(F180,Settings!$D$5:$D$12,0)),0),2)))</f>
        <v/>
      </c>
      <c r="P180" s="37"/>
      <c r="Q180" s="46" t="str">
        <f aca="false">IF(N180="","",IF(P180&lt;&gt;"",P180,N180-O180))</f>
        <v/>
      </c>
      <c r="R180" s="46" t="str">
        <f aca="false">IF(J180="","",IFERROR(N(INDEX(Properties!$H$5:$H$24,MATCH(D180,Properties!$A$5:$A$24,0))),0))</f>
        <v/>
      </c>
      <c r="S180" s="46" t="str">
        <f aca="false">IF(Q180="","",Q180-R180)</f>
        <v/>
      </c>
      <c r="T180" s="6"/>
      <c r="U180" s="6"/>
      <c r="V180" s="6"/>
      <c r="W180" s="6"/>
      <c r="X180" s="6"/>
      <c r="Y180" s="8" t="str">
        <f aca="false">IF(OR(D180="",B180="",C180=""),"",IF(N(C180)&lt;=N(B180),"Check dates",IF(T180="Cancelled","",IF(COUNTIFS($D$5:$D$1004,D180,$B$5:$B$1004,"&lt;"&amp;C180,$C$5:$C$1004,"&gt;"&amp;B180,$T$5:$T$1004,"&lt;&gt;Cancelled")&gt;1,"Double-booked",""))))</f>
        <v/>
      </c>
      <c r="Z180" s="42" t="str">
        <f aca="false">IF(AND(AA180=1,ISNUMBER(C180)),C180+ROW()/100000,"")</f>
        <v/>
      </c>
      <c r="AA180" s="43" t="n">
        <f aca="false">IF(AND(D180&lt;&gt;"",ISNUMBER(B180),ISNUMBER(C180),N(H180)&gt;0,T180&lt;&gt;"Cancelled",J180&lt;&gt;""),1,0)</f>
        <v>0</v>
      </c>
      <c r="AB180" s="44" t="n">
        <f aca="false">IF(AA180=1,J180/H180,0)</f>
        <v>0</v>
      </c>
      <c r="AC180" s="44" t="n">
        <f aca="false">IF(AA180=1,Q180/H180,0)</f>
        <v>0</v>
      </c>
      <c r="AD180" s="44" t="n">
        <f aca="false">IF(AA180=1,R180/H180,0)</f>
        <v>0</v>
      </c>
      <c r="AE180" s="44" t="n">
        <f aca="false">IF(AA180=1,O180/H180,0)</f>
        <v>0</v>
      </c>
      <c r="AF180" s="44" t="n">
        <f aca="false">IF(AA180=1,K180/H180,0)</f>
        <v>0</v>
      </c>
      <c r="AG180" s="45" t="str">
        <f aca="false">IF(AA180=1,D180&amp;"|"&amp;TEXT(B180,"0"),"")</f>
        <v/>
      </c>
      <c r="AH180" s="43" t="n">
        <f aca="false">IF(AA180=1,H180,0)</f>
        <v>0</v>
      </c>
    </row>
    <row r="181" customFormat="false" ht="15" hidden="false" customHeight="false" outlineLevel="0" collapsed="false">
      <c r="A181" s="8" t="str">
        <f aca="false">IF(B181="","","B-"&amp;TEXT(ROW()-4,"0000"))</f>
        <v/>
      </c>
      <c r="B181" s="38"/>
      <c r="C181" s="38"/>
      <c r="D181" s="6"/>
      <c r="E181" s="6"/>
      <c r="F181" s="6"/>
      <c r="G181" s="11"/>
      <c r="H181" s="18" t="str">
        <f aca="false">IF(AND(ISNUMBER(B181),ISNUMBER(C181)),MAX(0,C181-B181),"")</f>
        <v/>
      </c>
      <c r="I181" s="37"/>
      <c r="J181" s="41" t="str">
        <f aca="false">IF(OR(D181="",N(H181)=0),"",IFERROR(IF(I181&lt;&gt;"",H181*I181,ROUND(((H181-(INT((WEEKDAY(B181-6)+H181-1)/7)+INT((WEEKDAY(B181-7)+H181-1)/7)))*INDEX(Properties!$E$5:$E$24,MATCH(D181,Properties!$A$5:$A$24,0))+(INT((WEEKDAY(B181-6)+H181-1)/7)+INT((WEEKDAY(B181-7)+H181-1)/7))*INDEX(Properties!$F$5:$F$24,MATCH(D181,Properties!$A$5:$A$24,0)))*(1-IF(H181&gt;=28,Settings!$B$10,IF(H181&gt;=7,Settings!$B$9,0))),2)),0))</f>
        <v/>
      </c>
      <c r="K181" s="41" t="str">
        <f aca="false">IF(J181="","",IFERROR(N(INDEX(Properties!$G$5:$G$24,MATCH(D181,Properties!$A$5:$A$24,0))),0))</f>
        <v/>
      </c>
      <c r="L181" s="41" t="str">
        <f aca="false">IF(J181="","",IFERROR(MAX(0,N(G181)-INDEX(Properties!$I$5:$I$24,MATCH(D181,Properties!$A$5:$A$24,0)))*N(INDEX(Properties!$J$5:$J$24,MATCH(D181,Properties!$A$5:$A$24,0)))*H181,0))</f>
        <v/>
      </c>
      <c r="M181" s="37"/>
      <c r="N181" s="41" t="str">
        <f aca="false">IF(J181="","",J181+K181+L181+N(M181))</f>
        <v/>
      </c>
      <c r="O181" s="41" t="str">
        <f aca="false">IF(N181="","",IF(P181&lt;&gt;"",N181-P181,ROUND(N181*IFERROR(INDEX(Settings!$E$5:$E$12,MATCH(F181,Settings!$D$5:$D$12,0)),0),2)))</f>
        <v/>
      </c>
      <c r="P181" s="37"/>
      <c r="Q181" s="41" t="str">
        <f aca="false">IF(N181="","",IF(P181&lt;&gt;"",P181,N181-O181))</f>
        <v/>
      </c>
      <c r="R181" s="41" t="str">
        <f aca="false">IF(J181="","",IFERROR(N(INDEX(Properties!$H$5:$H$24,MATCH(D181,Properties!$A$5:$A$24,0))),0))</f>
        <v/>
      </c>
      <c r="S181" s="41" t="str">
        <f aca="false">IF(Q181="","",Q181-R181)</f>
        <v/>
      </c>
      <c r="T181" s="6"/>
      <c r="U181" s="6"/>
      <c r="V181" s="6"/>
      <c r="W181" s="6"/>
      <c r="X181" s="6"/>
      <c r="Y181" s="8" t="str">
        <f aca="false">IF(OR(D181="",B181="",C181=""),"",IF(N(C181)&lt;=N(B181),"Check dates",IF(T181="Cancelled","",IF(COUNTIFS($D$5:$D$1004,D181,$B$5:$B$1004,"&lt;"&amp;C181,$C$5:$C$1004,"&gt;"&amp;B181,$T$5:$T$1004,"&lt;&gt;Cancelled")&gt;1,"Double-booked",""))))</f>
        <v/>
      </c>
      <c r="Z181" s="42" t="str">
        <f aca="false">IF(AND(AA181=1,ISNUMBER(C181)),C181+ROW()/100000,"")</f>
        <v/>
      </c>
      <c r="AA181" s="43" t="n">
        <f aca="false">IF(AND(D181&lt;&gt;"",ISNUMBER(B181),ISNUMBER(C181),N(H181)&gt;0,T181&lt;&gt;"Cancelled",J181&lt;&gt;""),1,0)</f>
        <v>0</v>
      </c>
      <c r="AB181" s="44" t="n">
        <f aca="false">IF(AA181=1,J181/H181,0)</f>
        <v>0</v>
      </c>
      <c r="AC181" s="44" t="n">
        <f aca="false">IF(AA181=1,Q181/H181,0)</f>
        <v>0</v>
      </c>
      <c r="AD181" s="44" t="n">
        <f aca="false">IF(AA181=1,R181/H181,0)</f>
        <v>0</v>
      </c>
      <c r="AE181" s="44" t="n">
        <f aca="false">IF(AA181=1,O181/H181,0)</f>
        <v>0</v>
      </c>
      <c r="AF181" s="44" t="n">
        <f aca="false">IF(AA181=1,K181/H181,0)</f>
        <v>0</v>
      </c>
      <c r="AG181" s="45" t="str">
        <f aca="false">IF(AA181=1,D181&amp;"|"&amp;TEXT(B181,"0"),"")</f>
        <v/>
      </c>
      <c r="AH181" s="43" t="n">
        <f aca="false">IF(AA181=1,H181,0)</f>
        <v>0</v>
      </c>
    </row>
    <row r="182" customFormat="false" ht="15" hidden="false" customHeight="false" outlineLevel="0" collapsed="false">
      <c r="A182" s="23" t="str">
        <f aca="false">IF(B182="","","B-"&amp;TEXT(ROW()-4,"0000"))</f>
        <v/>
      </c>
      <c r="B182" s="38"/>
      <c r="C182" s="38"/>
      <c r="D182" s="6"/>
      <c r="E182" s="6"/>
      <c r="F182" s="6"/>
      <c r="G182" s="11"/>
      <c r="H182" s="24" t="str">
        <f aca="false">IF(AND(ISNUMBER(B182),ISNUMBER(C182)),MAX(0,C182-B182),"")</f>
        <v/>
      </c>
      <c r="I182" s="37"/>
      <c r="J182" s="46" t="str">
        <f aca="false">IF(OR(D182="",N(H182)=0),"",IFERROR(IF(I182&lt;&gt;"",H182*I182,ROUND(((H182-(INT((WEEKDAY(B182-6)+H182-1)/7)+INT((WEEKDAY(B182-7)+H182-1)/7)))*INDEX(Properties!$E$5:$E$24,MATCH(D182,Properties!$A$5:$A$24,0))+(INT((WEEKDAY(B182-6)+H182-1)/7)+INT((WEEKDAY(B182-7)+H182-1)/7))*INDEX(Properties!$F$5:$F$24,MATCH(D182,Properties!$A$5:$A$24,0)))*(1-IF(H182&gt;=28,Settings!$B$10,IF(H182&gt;=7,Settings!$B$9,0))),2)),0))</f>
        <v/>
      </c>
      <c r="K182" s="46" t="str">
        <f aca="false">IF(J182="","",IFERROR(N(INDEX(Properties!$G$5:$G$24,MATCH(D182,Properties!$A$5:$A$24,0))),0))</f>
        <v/>
      </c>
      <c r="L182" s="46" t="str">
        <f aca="false">IF(J182="","",IFERROR(MAX(0,N(G182)-INDEX(Properties!$I$5:$I$24,MATCH(D182,Properties!$A$5:$A$24,0)))*N(INDEX(Properties!$J$5:$J$24,MATCH(D182,Properties!$A$5:$A$24,0)))*H182,0))</f>
        <v/>
      </c>
      <c r="M182" s="37"/>
      <c r="N182" s="46" t="str">
        <f aca="false">IF(J182="","",J182+K182+L182+N(M182))</f>
        <v/>
      </c>
      <c r="O182" s="46" t="str">
        <f aca="false">IF(N182="","",IF(P182&lt;&gt;"",N182-P182,ROUND(N182*IFERROR(INDEX(Settings!$E$5:$E$12,MATCH(F182,Settings!$D$5:$D$12,0)),0),2)))</f>
        <v/>
      </c>
      <c r="P182" s="37"/>
      <c r="Q182" s="46" t="str">
        <f aca="false">IF(N182="","",IF(P182&lt;&gt;"",P182,N182-O182))</f>
        <v/>
      </c>
      <c r="R182" s="46" t="str">
        <f aca="false">IF(J182="","",IFERROR(N(INDEX(Properties!$H$5:$H$24,MATCH(D182,Properties!$A$5:$A$24,0))),0))</f>
        <v/>
      </c>
      <c r="S182" s="46" t="str">
        <f aca="false">IF(Q182="","",Q182-R182)</f>
        <v/>
      </c>
      <c r="T182" s="6"/>
      <c r="U182" s="6"/>
      <c r="V182" s="6"/>
      <c r="W182" s="6"/>
      <c r="X182" s="6"/>
      <c r="Y182" s="8" t="str">
        <f aca="false">IF(OR(D182="",B182="",C182=""),"",IF(N(C182)&lt;=N(B182),"Check dates",IF(T182="Cancelled","",IF(COUNTIFS($D$5:$D$1004,D182,$B$5:$B$1004,"&lt;"&amp;C182,$C$5:$C$1004,"&gt;"&amp;B182,$T$5:$T$1004,"&lt;&gt;Cancelled")&gt;1,"Double-booked",""))))</f>
        <v/>
      </c>
      <c r="Z182" s="42" t="str">
        <f aca="false">IF(AND(AA182=1,ISNUMBER(C182)),C182+ROW()/100000,"")</f>
        <v/>
      </c>
      <c r="AA182" s="43" t="n">
        <f aca="false">IF(AND(D182&lt;&gt;"",ISNUMBER(B182),ISNUMBER(C182),N(H182)&gt;0,T182&lt;&gt;"Cancelled",J182&lt;&gt;""),1,0)</f>
        <v>0</v>
      </c>
      <c r="AB182" s="44" t="n">
        <f aca="false">IF(AA182=1,J182/H182,0)</f>
        <v>0</v>
      </c>
      <c r="AC182" s="44" t="n">
        <f aca="false">IF(AA182=1,Q182/H182,0)</f>
        <v>0</v>
      </c>
      <c r="AD182" s="44" t="n">
        <f aca="false">IF(AA182=1,R182/H182,0)</f>
        <v>0</v>
      </c>
      <c r="AE182" s="44" t="n">
        <f aca="false">IF(AA182=1,O182/H182,0)</f>
        <v>0</v>
      </c>
      <c r="AF182" s="44" t="n">
        <f aca="false">IF(AA182=1,K182/H182,0)</f>
        <v>0</v>
      </c>
      <c r="AG182" s="45" t="str">
        <f aca="false">IF(AA182=1,D182&amp;"|"&amp;TEXT(B182,"0"),"")</f>
        <v/>
      </c>
      <c r="AH182" s="43" t="n">
        <f aca="false">IF(AA182=1,H182,0)</f>
        <v>0</v>
      </c>
    </row>
    <row r="183" customFormat="false" ht="15" hidden="false" customHeight="false" outlineLevel="0" collapsed="false">
      <c r="A183" s="8" t="str">
        <f aca="false">IF(B183="","","B-"&amp;TEXT(ROW()-4,"0000"))</f>
        <v/>
      </c>
      <c r="B183" s="38"/>
      <c r="C183" s="38"/>
      <c r="D183" s="6"/>
      <c r="E183" s="6"/>
      <c r="F183" s="6"/>
      <c r="G183" s="11"/>
      <c r="H183" s="18" t="str">
        <f aca="false">IF(AND(ISNUMBER(B183),ISNUMBER(C183)),MAX(0,C183-B183),"")</f>
        <v/>
      </c>
      <c r="I183" s="37"/>
      <c r="J183" s="41" t="str">
        <f aca="false">IF(OR(D183="",N(H183)=0),"",IFERROR(IF(I183&lt;&gt;"",H183*I183,ROUND(((H183-(INT((WEEKDAY(B183-6)+H183-1)/7)+INT((WEEKDAY(B183-7)+H183-1)/7)))*INDEX(Properties!$E$5:$E$24,MATCH(D183,Properties!$A$5:$A$24,0))+(INT((WEEKDAY(B183-6)+H183-1)/7)+INT((WEEKDAY(B183-7)+H183-1)/7))*INDEX(Properties!$F$5:$F$24,MATCH(D183,Properties!$A$5:$A$24,0)))*(1-IF(H183&gt;=28,Settings!$B$10,IF(H183&gt;=7,Settings!$B$9,0))),2)),0))</f>
        <v/>
      </c>
      <c r="K183" s="41" t="str">
        <f aca="false">IF(J183="","",IFERROR(N(INDEX(Properties!$G$5:$G$24,MATCH(D183,Properties!$A$5:$A$24,0))),0))</f>
        <v/>
      </c>
      <c r="L183" s="41" t="str">
        <f aca="false">IF(J183="","",IFERROR(MAX(0,N(G183)-INDEX(Properties!$I$5:$I$24,MATCH(D183,Properties!$A$5:$A$24,0)))*N(INDEX(Properties!$J$5:$J$24,MATCH(D183,Properties!$A$5:$A$24,0)))*H183,0))</f>
        <v/>
      </c>
      <c r="M183" s="37"/>
      <c r="N183" s="41" t="str">
        <f aca="false">IF(J183="","",J183+K183+L183+N(M183))</f>
        <v/>
      </c>
      <c r="O183" s="41" t="str">
        <f aca="false">IF(N183="","",IF(P183&lt;&gt;"",N183-P183,ROUND(N183*IFERROR(INDEX(Settings!$E$5:$E$12,MATCH(F183,Settings!$D$5:$D$12,0)),0),2)))</f>
        <v/>
      </c>
      <c r="P183" s="37"/>
      <c r="Q183" s="41" t="str">
        <f aca="false">IF(N183="","",IF(P183&lt;&gt;"",P183,N183-O183))</f>
        <v/>
      </c>
      <c r="R183" s="41" t="str">
        <f aca="false">IF(J183="","",IFERROR(N(INDEX(Properties!$H$5:$H$24,MATCH(D183,Properties!$A$5:$A$24,0))),0))</f>
        <v/>
      </c>
      <c r="S183" s="41" t="str">
        <f aca="false">IF(Q183="","",Q183-R183)</f>
        <v/>
      </c>
      <c r="T183" s="6"/>
      <c r="U183" s="6"/>
      <c r="V183" s="6"/>
      <c r="W183" s="6"/>
      <c r="X183" s="6"/>
      <c r="Y183" s="8" t="str">
        <f aca="false">IF(OR(D183="",B183="",C183=""),"",IF(N(C183)&lt;=N(B183),"Check dates",IF(T183="Cancelled","",IF(COUNTIFS($D$5:$D$1004,D183,$B$5:$B$1004,"&lt;"&amp;C183,$C$5:$C$1004,"&gt;"&amp;B183,$T$5:$T$1004,"&lt;&gt;Cancelled")&gt;1,"Double-booked",""))))</f>
        <v/>
      </c>
      <c r="Z183" s="42" t="str">
        <f aca="false">IF(AND(AA183=1,ISNUMBER(C183)),C183+ROW()/100000,"")</f>
        <v/>
      </c>
      <c r="AA183" s="43" t="n">
        <f aca="false">IF(AND(D183&lt;&gt;"",ISNUMBER(B183),ISNUMBER(C183),N(H183)&gt;0,T183&lt;&gt;"Cancelled",J183&lt;&gt;""),1,0)</f>
        <v>0</v>
      </c>
      <c r="AB183" s="44" t="n">
        <f aca="false">IF(AA183=1,J183/H183,0)</f>
        <v>0</v>
      </c>
      <c r="AC183" s="44" t="n">
        <f aca="false">IF(AA183=1,Q183/H183,0)</f>
        <v>0</v>
      </c>
      <c r="AD183" s="44" t="n">
        <f aca="false">IF(AA183=1,R183/H183,0)</f>
        <v>0</v>
      </c>
      <c r="AE183" s="44" t="n">
        <f aca="false">IF(AA183=1,O183/H183,0)</f>
        <v>0</v>
      </c>
      <c r="AF183" s="44" t="n">
        <f aca="false">IF(AA183=1,K183/H183,0)</f>
        <v>0</v>
      </c>
      <c r="AG183" s="45" t="str">
        <f aca="false">IF(AA183=1,D183&amp;"|"&amp;TEXT(B183,"0"),"")</f>
        <v/>
      </c>
      <c r="AH183" s="43" t="n">
        <f aca="false">IF(AA183=1,H183,0)</f>
        <v>0</v>
      </c>
    </row>
    <row r="184" customFormat="false" ht="15" hidden="false" customHeight="false" outlineLevel="0" collapsed="false">
      <c r="A184" s="23" t="str">
        <f aca="false">IF(B184="","","B-"&amp;TEXT(ROW()-4,"0000"))</f>
        <v/>
      </c>
      <c r="B184" s="38"/>
      <c r="C184" s="38"/>
      <c r="D184" s="6"/>
      <c r="E184" s="6"/>
      <c r="F184" s="6"/>
      <c r="G184" s="11"/>
      <c r="H184" s="24" t="str">
        <f aca="false">IF(AND(ISNUMBER(B184),ISNUMBER(C184)),MAX(0,C184-B184),"")</f>
        <v/>
      </c>
      <c r="I184" s="37"/>
      <c r="J184" s="46" t="str">
        <f aca="false">IF(OR(D184="",N(H184)=0),"",IFERROR(IF(I184&lt;&gt;"",H184*I184,ROUND(((H184-(INT((WEEKDAY(B184-6)+H184-1)/7)+INT((WEEKDAY(B184-7)+H184-1)/7)))*INDEX(Properties!$E$5:$E$24,MATCH(D184,Properties!$A$5:$A$24,0))+(INT((WEEKDAY(B184-6)+H184-1)/7)+INT((WEEKDAY(B184-7)+H184-1)/7))*INDEX(Properties!$F$5:$F$24,MATCH(D184,Properties!$A$5:$A$24,0)))*(1-IF(H184&gt;=28,Settings!$B$10,IF(H184&gt;=7,Settings!$B$9,0))),2)),0))</f>
        <v/>
      </c>
      <c r="K184" s="46" t="str">
        <f aca="false">IF(J184="","",IFERROR(N(INDEX(Properties!$G$5:$G$24,MATCH(D184,Properties!$A$5:$A$24,0))),0))</f>
        <v/>
      </c>
      <c r="L184" s="46" t="str">
        <f aca="false">IF(J184="","",IFERROR(MAX(0,N(G184)-INDEX(Properties!$I$5:$I$24,MATCH(D184,Properties!$A$5:$A$24,0)))*N(INDEX(Properties!$J$5:$J$24,MATCH(D184,Properties!$A$5:$A$24,0)))*H184,0))</f>
        <v/>
      </c>
      <c r="M184" s="37"/>
      <c r="N184" s="46" t="str">
        <f aca="false">IF(J184="","",J184+K184+L184+N(M184))</f>
        <v/>
      </c>
      <c r="O184" s="46" t="str">
        <f aca="false">IF(N184="","",IF(P184&lt;&gt;"",N184-P184,ROUND(N184*IFERROR(INDEX(Settings!$E$5:$E$12,MATCH(F184,Settings!$D$5:$D$12,0)),0),2)))</f>
        <v/>
      </c>
      <c r="P184" s="37"/>
      <c r="Q184" s="46" t="str">
        <f aca="false">IF(N184="","",IF(P184&lt;&gt;"",P184,N184-O184))</f>
        <v/>
      </c>
      <c r="R184" s="46" t="str">
        <f aca="false">IF(J184="","",IFERROR(N(INDEX(Properties!$H$5:$H$24,MATCH(D184,Properties!$A$5:$A$24,0))),0))</f>
        <v/>
      </c>
      <c r="S184" s="46" t="str">
        <f aca="false">IF(Q184="","",Q184-R184)</f>
        <v/>
      </c>
      <c r="T184" s="6"/>
      <c r="U184" s="6"/>
      <c r="V184" s="6"/>
      <c r="W184" s="6"/>
      <c r="X184" s="6"/>
      <c r="Y184" s="8" t="str">
        <f aca="false">IF(OR(D184="",B184="",C184=""),"",IF(N(C184)&lt;=N(B184),"Check dates",IF(T184="Cancelled","",IF(COUNTIFS($D$5:$D$1004,D184,$B$5:$B$1004,"&lt;"&amp;C184,$C$5:$C$1004,"&gt;"&amp;B184,$T$5:$T$1004,"&lt;&gt;Cancelled")&gt;1,"Double-booked",""))))</f>
        <v/>
      </c>
      <c r="Z184" s="42" t="str">
        <f aca="false">IF(AND(AA184=1,ISNUMBER(C184)),C184+ROW()/100000,"")</f>
        <v/>
      </c>
      <c r="AA184" s="43" t="n">
        <f aca="false">IF(AND(D184&lt;&gt;"",ISNUMBER(B184),ISNUMBER(C184),N(H184)&gt;0,T184&lt;&gt;"Cancelled",J184&lt;&gt;""),1,0)</f>
        <v>0</v>
      </c>
      <c r="AB184" s="44" t="n">
        <f aca="false">IF(AA184=1,J184/H184,0)</f>
        <v>0</v>
      </c>
      <c r="AC184" s="44" t="n">
        <f aca="false">IF(AA184=1,Q184/H184,0)</f>
        <v>0</v>
      </c>
      <c r="AD184" s="44" t="n">
        <f aca="false">IF(AA184=1,R184/H184,0)</f>
        <v>0</v>
      </c>
      <c r="AE184" s="44" t="n">
        <f aca="false">IF(AA184=1,O184/H184,0)</f>
        <v>0</v>
      </c>
      <c r="AF184" s="44" t="n">
        <f aca="false">IF(AA184=1,K184/H184,0)</f>
        <v>0</v>
      </c>
      <c r="AG184" s="45" t="str">
        <f aca="false">IF(AA184=1,D184&amp;"|"&amp;TEXT(B184,"0"),"")</f>
        <v/>
      </c>
      <c r="AH184" s="43" t="n">
        <f aca="false">IF(AA184=1,H184,0)</f>
        <v>0</v>
      </c>
    </row>
    <row r="185" customFormat="false" ht="15" hidden="false" customHeight="false" outlineLevel="0" collapsed="false">
      <c r="A185" s="8" t="str">
        <f aca="false">IF(B185="","","B-"&amp;TEXT(ROW()-4,"0000"))</f>
        <v/>
      </c>
      <c r="B185" s="38"/>
      <c r="C185" s="38"/>
      <c r="D185" s="6"/>
      <c r="E185" s="6"/>
      <c r="F185" s="6"/>
      <c r="G185" s="11"/>
      <c r="H185" s="18" t="str">
        <f aca="false">IF(AND(ISNUMBER(B185),ISNUMBER(C185)),MAX(0,C185-B185),"")</f>
        <v/>
      </c>
      <c r="I185" s="37"/>
      <c r="J185" s="41" t="str">
        <f aca="false">IF(OR(D185="",N(H185)=0),"",IFERROR(IF(I185&lt;&gt;"",H185*I185,ROUND(((H185-(INT((WEEKDAY(B185-6)+H185-1)/7)+INT((WEEKDAY(B185-7)+H185-1)/7)))*INDEX(Properties!$E$5:$E$24,MATCH(D185,Properties!$A$5:$A$24,0))+(INT((WEEKDAY(B185-6)+H185-1)/7)+INT((WEEKDAY(B185-7)+H185-1)/7))*INDEX(Properties!$F$5:$F$24,MATCH(D185,Properties!$A$5:$A$24,0)))*(1-IF(H185&gt;=28,Settings!$B$10,IF(H185&gt;=7,Settings!$B$9,0))),2)),0))</f>
        <v/>
      </c>
      <c r="K185" s="41" t="str">
        <f aca="false">IF(J185="","",IFERROR(N(INDEX(Properties!$G$5:$G$24,MATCH(D185,Properties!$A$5:$A$24,0))),0))</f>
        <v/>
      </c>
      <c r="L185" s="41" t="str">
        <f aca="false">IF(J185="","",IFERROR(MAX(0,N(G185)-INDEX(Properties!$I$5:$I$24,MATCH(D185,Properties!$A$5:$A$24,0)))*N(INDEX(Properties!$J$5:$J$24,MATCH(D185,Properties!$A$5:$A$24,0)))*H185,0))</f>
        <v/>
      </c>
      <c r="M185" s="37"/>
      <c r="N185" s="41" t="str">
        <f aca="false">IF(J185="","",J185+K185+L185+N(M185))</f>
        <v/>
      </c>
      <c r="O185" s="41" t="str">
        <f aca="false">IF(N185="","",IF(P185&lt;&gt;"",N185-P185,ROUND(N185*IFERROR(INDEX(Settings!$E$5:$E$12,MATCH(F185,Settings!$D$5:$D$12,0)),0),2)))</f>
        <v/>
      </c>
      <c r="P185" s="37"/>
      <c r="Q185" s="41" t="str">
        <f aca="false">IF(N185="","",IF(P185&lt;&gt;"",P185,N185-O185))</f>
        <v/>
      </c>
      <c r="R185" s="41" t="str">
        <f aca="false">IF(J185="","",IFERROR(N(INDEX(Properties!$H$5:$H$24,MATCH(D185,Properties!$A$5:$A$24,0))),0))</f>
        <v/>
      </c>
      <c r="S185" s="41" t="str">
        <f aca="false">IF(Q185="","",Q185-R185)</f>
        <v/>
      </c>
      <c r="T185" s="6"/>
      <c r="U185" s="6"/>
      <c r="V185" s="6"/>
      <c r="W185" s="6"/>
      <c r="X185" s="6"/>
      <c r="Y185" s="8" t="str">
        <f aca="false">IF(OR(D185="",B185="",C185=""),"",IF(N(C185)&lt;=N(B185),"Check dates",IF(T185="Cancelled","",IF(COUNTIFS($D$5:$D$1004,D185,$B$5:$B$1004,"&lt;"&amp;C185,$C$5:$C$1004,"&gt;"&amp;B185,$T$5:$T$1004,"&lt;&gt;Cancelled")&gt;1,"Double-booked",""))))</f>
        <v/>
      </c>
      <c r="Z185" s="42" t="str">
        <f aca="false">IF(AND(AA185=1,ISNUMBER(C185)),C185+ROW()/100000,"")</f>
        <v/>
      </c>
      <c r="AA185" s="43" t="n">
        <f aca="false">IF(AND(D185&lt;&gt;"",ISNUMBER(B185),ISNUMBER(C185),N(H185)&gt;0,T185&lt;&gt;"Cancelled",J185&lt;&gt;""),1,0)</f>
        <v>0</v>
      </c>
      <c r="AB185" s="44" t="n">
        <f aca="false">IF(AA185=1,J185/H185,0)</f>
        <v>0</v>
      </c>
      <c r="AC185" s="44" t="n">
        <f aca="false">IF(AA185=1,Q185/H185,0)</f>
        <v>0</v>
      </c>
      <c r="AD185" s="44" t="n">
        <f aca="false">IF(AA185=1,R185/H185,0)</f>
        <v>0</v>
      </c>
      <c r="AE185" s="44" t="n">
        <f aca="false">IF(AA185=1,O185/H185,0)</f>
        <v>0</v>
      </c>
      <c r="AF185" s="44" t="n">
        <f aca="false">IF(AA185=1,K185/H185,0)</f>
        <v>0</v>
      </c>
      <c r="AG185" s="45" t="str">
        <f aca="false">IF(AA185=1,D185&amp;"|"&amp;TEXT(B185,"0"),"")</f>
        <v/>
      </c>
      <c r="AH185" s="43" t="n">
        <f aca="false">IF(AA185=1,H185,0)</f>
        <v>0</v>
      </c>
    </row>
    <row r="186" customFormat="false" ht="15" hidden="false" customHeight="false" outlineLevel="0" collapsed="false">
      <c r="A186" s="23" t="str">
        <f aca="false">IF(B186="","","B-"&amp;TEXT(ROW()-4,"0000"))</f>
        <v/>
      </c>
      <c r="B186" s="38"/>
      <c r="C186" s="38"/>
      <c r="D186" s="6"/>
      <c r="E186" s="6"/>
      <c r="F186" s="6"/>
      <c r="G186" s="11"/>
      <c r="H186" s="24" t="str">
        <f aca="false">IF(AND(ISNUMBER(B186),ISNUMBER(C186)),MAX(0,C186-B186),"")</f>
        <v/>
      </c>
      <c r="I186" s="37"/>
      <c r="J186" s="46" t="str">
        <f aca="false">IF(OR(D186="",N(H186)=0),"",IFERROR(IF(I186&lt;&gt;"",H186*I186,ROUND(((H186-(INT((WEEKDAY(B186-6)+H186-1)/7)+INT((WEEKDAY(B186-7)+H186-1)/7)))*INDEX(Properties!$E$5:$E$24,MATCH(D186,Properties!$A$5:$A$24,0))+(INT((WEEKDAY(B186-6)+H186-1)/7)+INT((WEEKDAY(B186-7)+H186-1)/7))*INDEX(Properties!$F$5:$F$24,MATCH(D186,Properties!$A$5:$A$24,0)))*(1-IF(H186&gt;=28,Settings!$B$10,IF(H186&gt;=7,Settings!$B$9,0))),2)),0))</f>
        <v/>
      </c>
      <c r="K186" s="46" t="str">
        <f aca="false">IF(J186="","",IFERROR(N(INDEX(Properties!$G$5:$G$24,MATCH(D186,Properties!$A$5:$A$24,0))),0))</f>
        <v/>
      </c>
      <c r="L186" s="46" t="str">
        <f aca="false">IF(J186="","",IFERROR(MAX(0,N(G186)-INDEX(Properties!$I$5:$I$24,MATCH(D186,Properties!$A$5:$A$24,0)))*N(INDEX(Properties!$J$5:$J$24,MATCH(D186,Properties!$A$5:$A$24,0)))*H186,0))</f>
        <v/>
      </c>
      <c r="M186" s="37"/>
      <c r="N186" s="46" t="str">
        <f aca="false">IF(J186="","",J186+K186+L186+N(M186))</f>
        <v/>
      </c>
      <c r="O186" s="46" t="str">
        <f aca="false">IF(N186="","",IF(P186&lt;&gt;"",N186-P186,ROUND(N186*IFERROR(INDEX(Settings!$E$5:$E$12,MATCH(F186,Settings!$D$5:$D$12,0)),0),2)))</f>
        <v/>
      </c>
      <c r="P186" s="37"/>
      <c r="Q186" s="46" t="str">
        <f aca="false">IF(N186="","",IF(P186&lt;&gt;"",P186,N186-O186))</f>
        <v/>
      </c>
      <c r="R186" s="46" t="str">
        <f aca="false">IF(J186="","",IFERROR(N(INDEX(Properties!$H$5:$H$24,MATCH(D186,Properties!$A$5:$A$24,0))),0))</f>
        <v/>
      </c>
      <c r="S186" s="46" t="str">
        <f aca="false">IF(Q186="","",Q186-R186)</f>
        <v/>
      </c>
      <c r="T186" s="6"/>
      <c r="U186" s="6"/>
      <c r="V186" s="6"/>
      <c r="W186" s="6"/>
      <c r="X186" s="6"/>
      <c r="Y186" s="8" t="str">
        <f aca="false">IF(OR(D186="",B186="",C186=""),"",IF(N(C186)&lt;=N(B186),"Check dates",IF(T186="Cancelled","",IF(COUNTIFS($D$5:$D$1004,D186,$B$5:$B$1004,"&lt;"&amp;C186,$C$5:$C$1004,"&gt;"&amp;B186,$T$5:$T$1004,"&lt;&gt;Cancelled")&gt;1,"Double-booked",""))))</f>
        <v/>
      </c>
      <c r="Z186" s="42" t="str">
        <f aca="false">IF(AND(AA186=1,ISNUMBER(C186)),C186+ROW()/100000,"")</f>
        <v/>
      </c>
      <c r="AA186" s="43" t="n">
        <f aca="false">IF(AND(D186&lt;&gt;"",ISNUMBER(B186),ISNUMBER(C186),N(H186)&gt;0,T186&lt;&gt;"Cancelled",J186&lt;&gt;""),1,0)</f>
        <v>0</v>
      </c>
      <c r="AB186" s="44" t="n">
        <f aca="false">IF(AA186=1,J186/H186,0)</f>
        <v>0</v>
      </c>
      <c r="AC186" s="44" t="n">
        <f aca="false">IF(AA186=1,Q186/H186,0)</f>
        <v>0</v>
      </c>
      <c r="AD186" s="44" t="n">
        <f aca="false">IF(AA186=1,R186/H186,0)</f>
        <v>0</v>
      </c>
      <c r="AE186" s="44" t="n">
        <f aca="false">IF(AA186=1,O186/H186,0)</f>
        <v>0</v>
      </c>
      <c r="AF186" s="44" t="n">
        <f aca="false">IF(AA186=1,K186/H186,0)</f>
        <v>0</v>
      </c>
      <c r="AG186" s="45" t="str">
        <f aca="false">IF(AA186=1,D186&amp;"|"&amp;TEXT(B186,"0"),"")</f>
        <v/>
      </c>
      <c r="AH186" s="43" t="n">
        <f aca="false">IF(AA186=1,H186,0)</f>
        <v>0</v>
      </c>
    </row>
    <row r="187" customFormat="false" ht="15" hidden="false" customHeight="false" outlineLevel="0" collapsed="false">
      <c r="A187" s="8" t="str">
        <f aca="false">IF(B187="","","B-"&amp;TEXT(ROW()-4,"0000"))</f>
        <v/>
      </c>
      <c r="B187" s="38"/>
      <c r="C187" s="38"/>
      <c r="D187" s="6"/>
      <c r="E187" s="6"/>
      <c r="F187" s="6"/>
      <c r="G187" s="11"/>
      <c r="H187" s="18" t="str">
        <f aca="false">IF(AND(ISNUMBER(B187),ISNUMBER(C187)),MAX(0,C187-B187),"")</f>
        <v/>
      </c>
      <c r="I187" s="37"/>
      <c r="J187" s="41" t="str">
        <f aca="false">IF(OR(D187="",N(H187)=0),"",IFERROR(IF(I187&lt;&gt;"",H187*I187,ROUND(((H187-(INT((WEEKDAY(B187-6)+H187-1)/7)+INT((WEEKDAY(B187-7)+H187-1)/7)))*INDEX(Properties!$E$5:$E$24,MATCH(D187,Properties!$A$5:$A$24,0))+(INT((WEEKDAY(B187-6)+H187-1)/7)+INT((WEEKDAY(B187-7)+H187-1)/7))*INDEX(Properties!$F$5:$F$24,MATCH(D187,Properties!$A$5:$A$24,0)))*(1-IF(H187&gt;=28,Settings!$B$10,IF(H187&gt;=7,Settings!$B$9,0))),2)),0))</f>
        <v/>
      </c>
      <c r="K187" s="41" t="str">
        <f aca="false">IF(J187="","",IFERROR(N(INDEX(Properties!$G$5:$G$24,MATCH(D187,Properties!$A$5:$A$24,0))),0))</f>
        <v/>
      </c>
      <c r="L187" s="41" t="str">
        <f aca="false">IF(J187="","",IFERROR(MAX(0,N(G187)-INDEX(Properties!$I$5:$I$24,MATCH(D187,Properties!$A$5:$A$24,0)))*N(INDEX(Properties!$J$5:$J$24,MATCH(D187,Properties!$A$5:$A$24,0)))*H187,0))</f>
        <v/>
      </c>
      <c r="M187" s="37"/>
      <c r="N187" s="41" t="str">
        <f aca="false">IF(J187="","",J187+K187+L187+N(M187))</f>
        <v/>
      </c>
      <c r="O187" s="41" t="str">
        <f aca="false">IF(N187="","",IF(P187&lt;&gt;"",N187-P187,ROUND(N187*IFERROR(INDEX(Settings!$E$5:$E$12,MATCH(F187,Settings!$D$5:$D$12,0)),0),2)))</f>
        <v/>
      </c>
      <c r="P187" s="37"/>
      <c r="Q187" s="41" t="str">
        <f aca="false">IF(N187="","",IF(P187&lt;&gt;"",P187,N187-O187))</f>
        <v/>
      </c>
      <c r="R187" s="41" t="str">
        <f aca="false">IF(J187="","",IFERROR(N(INDEX(Properties!$H$5:$H$24,MATCH(D187,Properties!$A$5:$A$24,0))),0))</f>
        <v/>
      </c>
      <c r="S187" s="41" t="str">
        <f aca="false">IF(Q187="","",Q187-R187)</f>
        <v/>
      </c>
      <c r="T187" s="6"/>
      <c r="U187" s="6"/>
      <c r="V187" s="6"/>
      <c r="W187" s="6"/>
      <c r="X187" s="6"/>
      <c r="Y187" s="8" t="str">
        <f aca="false">IF(OR(D187="",B187="",C187=""),"",IF(N(C187)&lt;=N(B187),"Check dates",IF(T187="Cancelled","",IF(COUNTIFS($D$5:$D$1004,D187,$B$5:$B$1004,"&lt;"&amp;C187,$C$5:$C$1004,"&gt;"&amp;B187,$T$5:$T$1004,"&lt;&gt;Cancelled")&gt;1,"Double-booked",""))))</f>
        <v/>
      </c>
      <c r="Z187" s="42" t="str">
        <f aca="false">IF(AND(AA187=1,ISNUMBER(C187)),C187+ROW()/100000,"")</f>
        <v/>
      </c>
      <c r="AA187" s="43" t="n">
        <f aca="false">IF(AND(D187&lt;&gt;"",ISNUMBER(B187),ISNUMBER(C187),N(H187)&gt;0,T187&lt;&gt;"Cancelled",J187&lt;&gt;""),1,0)</f>
        <v>0</v>
      </c>
      <c r="AB187" s="44" t="n">
        <f aca="false">IF(AA187=1,J187/H187,0)</f>
        <v>0</v>
      </c>
      <c r="AC187" s="44" t="n">
        <f aca="false">IF(AA187=1,Q187/H187,0)</f>
        <v>0</v>
      </c>
      <c r="AD187" s="44" t="n">
        <f aca="false">IF(AA187=1,R187/H187,0)</f>
        <v>0</v>
      </c>
      <c r="AE187" s="44" t="n">
        <f aca="false">IF(AA187=1,O187/H187,0)</f>
        <v>0</v>
      </c>
      <c r="AF187" s="44" t="n">
        <f aca="false">IF(AA187=1,K187/H187,0)</f>
        <v>0</v>
      </c>
      <c r="AG187" s="45" t="str">
        <f aca="false">IF(AA187=1,D187&amp;"|"&amp;TEXT(B187,"0"),"")</f>
        <v/>
      </c>
      <c r="AH187" s="43" t="n">
        <f aca="false">IF(AA187=1,H187,0)</f>
        <v>0</v>
      </c>
    </row>
    <row r="188" customFormat="false" ht="15" hidden="false" customHeight="false" outlineLevel="0" collapsed="false">
      <c r="A188" s="23" t="str">
        <f aca="false">IF(B188="","","B-"&amp;TEXT(ROW()-4,"0000"))</f>
        <v/>
      </c>
      <c r="B188" s="38"/>
      <c r="C188" s="38"/>
      <c r="D188" s="6"/>
      <c r="E188" s="6"/>
      <c r="F188" s="6"/>
      <c r="G188" s="11"/>
      <c r="H188" s="24" t="str">
        <f aca="false">IF(AND(ISNUMBER(B188),ISNUMBER(C188)),MAX(0,C188-B188),"")</f>
        <v/>
      </c>
      <c r="I188" s="37"/>
      <c r="J188" s="46" t="str">
        <f aca="false">IF(OR(D188="",N(H188)=0),"",IFERROR(IF(I188&lt;&gt;"",H188*I188,ROUND(((H188-(INT((WEEKDAY(B188-6)+H188-1)/7)+INT((WEEKDAY(B188-7)+H188-1)/7)))*INDEX(Properties!$E$5:$E$24,MATCH(D188,Properties!$A$5:$A$24,0))+(INT((WEEKDAY(B188-6)+H188-1)/7)+INT((WEEKDAY(B188-7)+H188-1)/7))*INDEX(Properties!$F$5:$F$24,MATCH(D188,Properties!$A$5:$A$24,0)))*(1-IF(H188&gt;=28,Settings!$B$10,IF(H188&gt;=7,Settings!$B$9,0))),2)),0))</f>
        <v/>
      </c>
      <c r="K188" s="46" t="str">
        <f aca="false">IF(J188="","",IFERROR(N(INDEX(Properties!$G$5:$G$24,MATCH(D188,Properties!$A$5:$A$24,0))),0))</f>
        <v/>
      </c>
      <c r="L188" s="46" t="str">
        <f aca="false">IF(J188="","",IFERROR(MAX(0,N(G188)-INDEX(Properties!$I$5:$I$24,MATCH(D188,Properties!$A$5:$A$24,0)))*N(INDEX(Properties!$J$5:$J$24,MATCH(D188,Properties!$A$5:$A$24,0)))*H188,0))</f>
        <v/>
      </c>
      <c r="M188" s="37"/>
      <c r="N188" s="46" t="str">
        <f aca="false">IF(J188="","",J188+K188+L188+N(M188))</f>
        <v/>
      </c>
      <c r="O188" s="46" t="str">
        <f aca="false">IF(N188="","",IF(P188&lt;&gt;"",N188-P188,ROUND(N188*IFERROR(INDEX(Settings!$E$5:$E$12,MATCH(F188,Settings!$D$5:$D$12,0)),0),2)))</f>
        <v/>
      </c>
      <c r="P188" s="37"/>
      <c r="Q188" s="46" t="str">
        <f aca="false">IF(N188="","",IF(P188&lt;&gt;"",P188,N188-O188))</f>
        <v/>
      </c>
      <c r="R188" s="46" t="str">
        <f aca="false">IF(J188="","",IFERROR(N(INDEX(Properties!$H$5:$H$24,MATCH(D188,Properties!$A$5:$A$24,0))),0))</f>
        <v/>
      </c>
      <c r="S188" s="46" t="str">
        <f aca="false">IF(Q188="","",Q188-R188)</f>
        <v/>
      </c>
      <c r="T188" s="6"/>
      <c r="U188" s="6"/>
      <c r="V188" s="6"/>
      <c r="W188" s="6"/>
      <c r="X188" s="6"/>
      <c r="Y188" s="8" t="str">
        <f aca="false">IF(OR(D188="",B188="",C188=""),"",IF(N(C188)&lt;=N(B188),"Check dates",IF(T188="Cancelled","",IF(COUNTIFS($D$5:$D$1004,D188,$B$5:$B$1004,"&lt;"&amp;C188,$C$5:$C$1004,"&gt;"&amp;B188,$T$5:$T$1004,"&lt;&gt;Cancelled")&gt;1,"Double-booked",""))))</f>
        <v/>
      </c>
      <c r="Z188" s="42" t="str">
        <f aca="false">IF(AND(AA188=1,ISNUMBER(C188)),C188+ROW()/100000,"")</f>
        <v/>
      </c>
      <c r="AA188" s="43" t="n">
        <f aca="false">IF(AND(D188&lt;&gt;"",ISNUMBER(B188),ISNUMBER(C188),N(H188)&gt;0,T188&lt;&gt;"Cancelled",J188&lt;&gt;""),1,0)</f>
        <v>0</v>
      </c>
      <c r="AB188" s="44" t="n">
        <f aca="false">IF(AA188=1,J188/H188,0)</f>
        <v>0</v>
      </c>
      <c r="AC188" s="44" t="n">
        <f aca="false">IF(AA188=1,Q188/H188,0)</f>
        <v>0</v>
      </c>
      <c r="AD188" s="44" t="n">
        <f aca="false">IF(AA188=1,R188/H188,0)</f>
        <v>0</v>
      </c>
      <c r="AE188" s="44" t="n">
        <f aca="false">IF(AA188=1,O188/H188,0)</f>
        <v>0</v>
      </c>
      <c r="AF188" s="44" t="n">
        <f aca="false">IF(AA188=1,K188/H188,0)</f>
        <v>0</v>
      </c>
      <c r="AG188" s="45" t="str">
        <f aca="false">IF(AA188=1,D188&amp;"|"&amp;TEXT(B188,"0"),"")</f>
        <v/>
      </c>
      <c r="AH188" s="43" t="n">
        <f aca="false">IF(AA188=1,H188,0)</f>
        <v>0</v>
      </c>
    </row>
    <row r="189" customFormat="false" ht="15" hidden="false" customHeight="false" outlineLevel="0" collapsed="false">
      <c r="A189" s="8" t="str">
        <f aca="false">IF(B189="","","B-"&amp;TEXT(ROW()-4,"0000"))</f>
        <v/>
      </c>
      <c r="B189" s="38"/>
      <c r="C189" s="38"/>
      <c r="D189" s="6"/>
      <c r="E189" s="6"/>
      <c r="F189" s="6"/>
      <c r="G189" s="11"/>
      <c r="H189" s="18" t="str">
        <f aca="false">IF(AND(ISNUMBER(B189),ISNUMBER(C189)),MAX(0,C189-B189),"")</f>
        <v/>
      </c>
      <c r="I189" s="37"/>
      <c r="J189" s="41" t="str">
        <f aca="false">IF(OR(D189="",N(H189)=0),"",IFERROR(IF(I189&lt;&gt;"",H189*I189,ROUND(((H189-(INT((WEEKDAY(B189-6)+H189-1)/7)+INT((WEEKDAY(B189-7)+H189-1)/7)))*INDEX(Properties!$E$5:$E$24,MATCH(D189,Properties!$A$5:$A$24,0))+(INT((WEEKDAY(B189-6)+H189-1)/7)+INT((WEEKDAY(B189-7)+H189-1)/7))*INDEX(Properties!$F$5:$F$24,MATCH(D189,Properties!$A$5:$A$24,0)))*(1-IF(H189&gt;=28,Settings!$B$10,IF(H189&gt;=7,Settings!$B$9,0))),2)),0))</f>
        <v/>
      </c>
      <c r="K189" s="41" t="str">
        <f aca="false">IF(J189="","",IFERROR(N(INDEX(Properties!$G$5:$G$24,MATCH(D189,Properties!$A$5:$A$24,0))),0))</f>
        <v/>
      </c>
      <c r="L189" s="41" t="str">
        <f aca="false">IF(J189="","",IFERROR(MAX(0,N(G189)-INDEX(Properties!$I$5:$I$24,MATCH(D189,Properties!$A$5:$A$24,0)))*N(INDEX(Properties!$J$5:$J$24,MATCH(D189,Properties!$A$5:$A$24,0)))*H189,0))</f>
        <v/>
      </c>
      <c r="M189" s="37"/>
      <c r="N189" s="41" t="str">
        <f aca="false">IF(J189="","",J189+K189+L189+N(M189))</f>
        <v/>
      </c>
      <c r="O189" s="41" t="str">
        <f aca="false">IF(N189="","",IF(P189&lt;&gt;"",N189-P189,ROUND(N189*IFERROR(INDEX(Settings!$E$5:$E$12,MATCH(F189,Settings!$D$5:$D$12,0)),0),2)))</f>
        <v/>
      </c>
      <c r="P189" s="37"/>
      <c r="Q189" s="41" t="str">
        <f aca="false">IF(N189="","",IF(P189&lt;&gt;"",P189,N189-O189))</f>
        <v/>
      </c>
      <c r="R189" s="41" t="str">
        <f aca="false">IF(J189="","",IFERROR(N(INDEX(Properties!$H$5:$H$24,MATCH(D189,Properties!$A$5:$A$24,0))),0))</f>
        <v/>
      </c>
      <c r="S189" s="41" t="str">
        <f aca="false">IF(Q189="","",Q189-R189)</f>
        <v/>
      </c>
      <c r="T189" s="6"/>
      <c r="U189" s="6"/>
      <c r="V189" s="6"/>
      <c r="W189" s="6"/>
      <c r="X189" s="6"/>
      <c r="Y189" s="8" t="str">
        <f aca="false">IF(OR(D189="",B189="",C189=""),"",IF(N(C189)&lt;=N(B189),"Check dates",IF(T189="Cancelled","",IF(COUNTIFS($D$5:$D$1004,D189,$B$5:$B$1004,"&lt;"&amp;C189,$C$5:$C$1004,"&gt;"&amp;B189,$T$5:$T$1004,"&lt;&gt;Cancelled")&gt;1,"Double-booked",""))))</f>
        <v/>
      </c>
      <c r="Z189" s="42" t="str">
        <f aca="false">IF(AND(AA189=1,ISNUMBER(C189)),C189+ROW()/100000,"")</f>
        <v/>
      </c>
      <c r="AA189" s="43" t="n">
        <f aca="false">IF(AND(D189&lt;&gt;"",ISNUMBER(B189),ISNUMBER(C189),N(H189)&gt;0,T189&lt;&gt;"Cancelled",J189&lt;&gt;""),1,0)</f>
        <v>0</v>
      </c>
      <c r="AB189" s="44" t="n">
        <f aca="false">IF(AA189=1,J189/H189,0)</f>
        <v>0</v>
      </c>
      <c r="AC189" s="44" t="n">
        <f aca="false">IF(AA189=1,Q189/H189,0)</f>
        <v>0</v>
      </c>
      <c r="AD189" s="44" t="n">
        <f aca="false">IF(AA189=1,R189/H189,0)</f>
        <v>0</v>
      </c>
      <c r="AE189" s="44" t="n">
        <f aca="false">IF(AA189=1,O189/H189,0)</f>
        <v>0</v>
      </c>
      <c r="AF189" s="44" t="n">
        <f aca="false">IF(AA189=1,K189/H189,0)</f>
        <v>0</v>
      </c>
      <c r="AG189" s="45" t="str">
        <f aca="false">IF(AA189=1,D189&amp;"|"&amp;TEXT(B189,"0"),"")</f>
        <v/>
      </c>
      <c r="AH189" s="43" t="n">
        <f aca="false">IF(AA189=1,H189,0)</f>
        <v>0</v>
      </c>
    </row>
    <row r="190" customFormat="false" ht="15" hidden="false" customHeight="false" outlineLevel="0" collapsed="false">
      <c r="A190" s="23" t="str">
        <f aca="false">IF(B190="","","B-"&amp;TEXT(ROW()-4,"0000"))</f>
        <v/>
      </c>
      <c r="B190" s="38"/>
      <c r="C190" s="38"/>
      <c r="D190" s="6"/>
      <c r="E190" s="6"/>
      <c r="F190" s="6"/>
      <c r="G190" s="11"/>
      <c r="H190" s="24" t="str">
        <f aca="false">IF(AND(ISNUMBER(B190),ISNUMBER(C190)),MAX(0,C190-B190),"")</f>
        <v/>
      </c>
      <c r="I190" s="37"/>
      <c r="J190" s="46" t="str">
        <f aca="false">IF(OR(D190="",N(H190)=0),"",IFERROR(IF(I190&lt;&gt;"",H190*I190,ROUND(((H190-(INT((WEEKDAY(B190-6)+H190-1)/7)+INT((WEEKDAY(B190-7)+H190-1)/7)))*INDEX(Properties!$E$5:$E$24,MATCH(D190,Properties!$A$5:$A$24,0))+(INT((WEEKDAY(B190-6)+H190-1)/7)+INT((WEEKDAY(B190-7)+H190-1)/7))*INDEX(Properties!$F$5:$F$24,MATCH(D190,Properties!$A$5:$A$24,0)))*(1-IF(H190&gt;=28,Settings!$B$10,IF(H190&gt;=7,Settings!$B$9,0))),2)),0))</f>
        <v/>
      </c>
      <c r="K190" s="46" t="str">
        <f aca="false">IF(J190="","",IFERROR(N(INDEX(Properties!$G$5:$G$24,MATCH(D190,Properties!$A$5:$A$24,0))),0))</f>
        <v/>
      </c>
      <c r="L190" s="46" t="str">
        <f aca="false">IF(J190="","",IFERROR(MAX(0,N(G190)-INDEX(Properties!$I$5:$I$24,MATCH(D190,Properties!$A$5:$A$24,0)))*N(INDEX(Properties!$J$5:$J$24,MATCH(D190,Properties!$A$5:$A$24,0)))*H190,0))</f>
        <v/>
      </c>
      <c r="M190" s="37"/>
      <c r="N190" s="46" t="str">
        <f aca="false">IF(J190="","",J190+K190+L190+N(M190))</f>
        <v/>
      </c>
      <c r="O190" s="46" t="str">
        <f aca="false">IF(N190="","",IF(P190&lt;&gt;"",N190-P190,ROUND(N190*IFERROR(INDEX(Settings!$E$5:$E$12,MATCH(F190,Settings!$D$5:$D$12,0)),0),2)))</f>
        <v/>
      </c>
      <c r="P190" s="37"/>
      <c r="Q190" s="46" t="str">
        <f aca="false">IF(N190="","",IF(P190&lt;&gt;"",P190,N190-O190))</f>
        <v/>
      </c>
      <c r="R190" s="46" t="str">
        <f aca="false">IF(J190="","",IFERROR(N(INDEX(Properties!$H$5:$H$24,MATCH(D190,Properties!$A$5:$A$24,0))),0))</f>
        <v/>
      </c>
      <c r="S190" s="46" t="str">
        <f aca="false">IF(Q190="","",Q190-R190)</f>
        <v/>
      </c>
      <c r="T190" s="6"/>
      <c r="U190" s="6"/>
      <c r="V190" s="6"/>
      <c r="W190" s="6"/>
      <c r="X190" s="6"/>
      <c r="Y190" s="8" t="str">
        <f aca="false">IF(OR(D190="",B190="",C190=""),"",IF(N(C190)&lt;=N(B190),"Check dates",IF(T190="Cancelled","",IF(COUNTIFS($D$5:$D$1004,D190,$B$5:$B$1004,"&lt;"&amp;C190,$C$5:$C$1004,"&gt;"&amp;B190,$T$5:$T$1004,"&lt;&gt;Cancelled")&gt;1,"Double-booked",""))))</f>
        <v/>
      </c>
      <c r="Z190" s="42" t="str">
        <f aca="false">IF(AND(AA190=1,ISNUMBER(C190)),C190+ROW()/100000,"")</f>
        <v/>
      </c>
      <c r="AA190" s="43" t="n">
        <f aca="false">IF(AND(D190&lt;&gt;"",ISNUMBER(B190),ISNUMBER(C190),N(H190)&gt;0,T190&lt;&gt;"Cancelled",J190&lt;&gt;""),1,0)</f>
        <v>0</v>
      </c>
      <c r="AB190" s="44" t="n">
        <f aca="false">IF(AA190=1,J190/H190,0)</f>
        <v>0</v>
      </c>
      <c r="AC190" s="44" t="n">
        <f aca="false">IF(AA190=1,Q190/H190,0)</f>
        <v>0</v>
      </c>
      <c r="AD190" s="44" t="n">
        <f aca="false">IF(AA190=1,R190/H190,0)</f>
        <v>0</v>
      </c>
      <c r="AE190" s="44" t="n">
        <f aca="false">IF(AA190=1,O190/H190,0)</f>
        <v>0</v>
      </c>
      <c r="AF190" s="44" t="n">
        <f aca="false">IF(AA190=1,K190/H190,0)</f>
        <v>0</v>
      </c>
      <c r="AG190" s="45" t="str">
        <f aca="false">IF(AA190=1,D190&amp;"|"&amp;TEXT(B190,"0"),"")</f>
        <v/>
      </c>
      <c r="AH190" s="43" t="n">
        <f aca="false">IF(AA190=1,H190,0)</f>
        <v>0</v>
      </c>
    </row>
    <row r="191" customFormat="false" ht="15" hidden="false" customHeight="false" outlineLevel="0" collapsed="false">
      <c r="A191" s="8" t="str">
        <f aca="false">IF(B191="","","B-"&amp;TEXT(ROW()-4,"0000"))</f>
        <v/>
      </c>
      <c r="B191" s="38"/>
      <c r="C191" s="38"/>
      <c r="D191" s="6"/>
      <c r="E191" s="6"/>
      <c r="F191" s="6"/>
      <c r="G191" s="11"/>
      <c r="H191" s="18" t="str">
        <f aca="false">IF(AND(ISNUMBER(B191),ISNUMBER(C191)),MAX(0,C191-B191),"")</f>
        <v/>
      </c>
      <c r="I191" s="37"/>
      <c r="J191" s="41" t="str">
        <f aca="false">IF(OR(D191="",N(H191)=0),"",IFERROR(IF(I191&lt;&gt;"",H191*I191,ROUND(((H191-(INT((WEEKDAY(B191-6)+H191-1)/7)+INT((WEEKDAY(B191-7)+H191-1)/7)))*INDEX(Properties!$E$5:$E$24,MATCH(D191,Properties!$A$5:$A$24,0))+(INT((WEEKDAY(B191-6)+H191-1)/7)+INT((WEEKDAY(B191-7)+H191-1)/7))*INDEX(Properties!$F$5:$F$24,MATCH(D191,Properties!$A$5:$A$24,0)))*(1-IF(H191&gt;=28,Settings!$B$10,IF(H191&gt;=7,Settings!$B$9,0))),2)),0))</f>
        <v/>
      </c>
      <c r="K191" s="41" t="str">
        <f aca="false">IF(J191="","",IFERROR(N(INDEX(Properties!$G$5:$G$24,MATCH(D191,Properties!$A$5:$A$24,0))),0))</f>
        <v/>
      </c>
      <c r="L191" s="41" t="str">
        <f aca="false">IF(J191="","",IFERROR(MAX(0,N(G191)-INDEX(Properties!$I$5:$I$24,MATCH(D191,Properties!$A$5:$A$24,0)))*N(INDEX(Properties!$J$5:$J$24,MATCH(D191,Properties!$A$5:$A$24,0)))*H191,0))</f>
        <v/>
      </c>
      <c r="M191" s="37"/>
      <c r="N191" s="41" t="str">
        <f aca="false">IF(J191="","",J191+K191+L191+N(M191))</f>
        <v/>
      </c>
      <c r="O191" s="41" t="str">
        <f aca="false">IF(N191="","",IF(P191&lt;&gt;"",N191-P191,ROUND(N191*IFERROR(INDEX(Settings!$E$5:$E$12,MATCH(F191,Settings!$D$5:$D$12,0)),0),2)))</f>
        <v/>
      </c>
      <c r="P191" s="37"/>
      <c r="Q191" s="41" t="str">
        <f aca="false">IF(N191="","",IF(P191&lt;&gt;"",P191,N191-O191))</f>
        <v/>
      </c>
      <c r="R191" s="41" t="str">
        <f aca="false">IF(J191="","",IFERROR(N(INDEX(Properties!$H$5:$H$24,MATCH(D191,Properties!$A$5:$A$24,0))),0))</f>
        <v/>
      </c>
      <c r="S191" s="41" t="str">
        <f aca="false">IF(Q191="","",Q191-R191)</f>
        <v/>
      </c>
      <c r="T191" s="6"/>
      <c r="U191" s="6"/>
      <c r="V191" s="6"/>
      <c r="W191" s="6"/>
      <c r="X191" s="6"/>
      <c r="Y191" s="8" t="str">
        <f aca="false">IF(OR(D191="",B191="",C191=""),"",IF(N(C191)&lt;=N(B191),"Check dates",IF(T191="Cancelled","",IF(COUNTIFS($D$5:$D$1004,D191,$B$5:$B$1004,"&lt;"&amp;C191,$C$5:$C$1004,"&gt;"&amp;B191,$T$5:$T$1004,"&lt;&gt;Cancelled")&gt;1,"Double-booked",""))))</f>
        <v/>
      </c>
      <c r="Z191" s="42" t="str">
        <f aca="false">IF(AND(AA191=1,ISNUMBER(C191)),C191+ROW()/100000,"")</f>
        <v/>
      </c>
      <c r="AA191" s="43" t="n">
        <f aca="false">IF(AND(D191&lt;&gt;"",ISNUMBER(B191),ISNUMBER(C191),N(H191)&gt;0,T191&lt;&gt;"Cancelled",J191&lt;&gt;""),1,0)</f>
        <v>0</v>
      </c>
      <c r="AB191" s="44" t="n">
        <f aca="false">IF(AA191=1,J191/H191,0)</f>
        <v>0</v>
      </c>
      <c r="AC191" s="44" t="n">
        <f aca="false">IF(AA191=1,Q191/H191,0)</f>
        <v>0</v>
      </c>
      <c r="AD191" s="44" t="n">
        <f aca="false">IF(AA191=1,R191/H191,0)</f>
        <v>0</v>
      </c>
      <c r="AE191" s="44" t="n">
        <f aca="false">IF(AA191=1,O191/H191,0)</f>
        <v>0</v>
      </c>
      <c r="AF191" s="44" t="n">
        <f aca="false">IF(AA191=1,K191/H191,0)</f>
        <v>0</v>
      </c>
      <c r="AG191" s="45" t="str">
        <f aca="false">IF(AA191=1,D191&amp;"|"&amp;TEXT(B191,"0"),"")</f>
        <v/>
      </c>
      <c r="AH191" s="43" t="n">
        <f aca="false">IF(AA191=1,H191,0)</f>
        <v>0</v>
      </c>
    </row>
    <row r="192" customFormat="false" ht="15" hidden="false" customHeight="false" outlineLevel="0" collapsed="false">
      <c r="A192" s="23" t="str">
        <f aca="false">IF(B192="","","B-"&amp;TEXT(ROW()-4,"0000"))</f>
        <v/>
      </c>
      <c r="B192" s="38"/>
      <c r="C192" s="38"/>
      <c r="D192" s="6"/>
      <c r="E192" s="6"/>
      <c r="F192" s="6"/>
      <c r="G192" s="11"/>
      <c r="H192" s="24" t="str">
        <f aca="false">IF(AND(ISNUMBER(B192),ISNUMBER(C192)),MAX(0,C192-B192),"")</f>
        <v/>
      </c>
      <c r="I192" s="37"/>
      <c r="J192" s="46" t="str">
        <f aca="false">IF(OR(D192="",N(H192)=0),"",IFERROR(IF(I192&lt;&gt;"",H192*I192,ROUND(((H192-(INT((WEEKDAY(B192-6)+H192-1)/7)+INT((WEEKDAY(B192-7)+H192-1)/7)))*INDEX(Properties!$E$5:$E$24,MATCH(D192,Properties!$A$5:$A$24,0))+(INT((WEEKDAY(B192-6)+H192-1)/7)+INT((WEEKDAY(B192-7)+H192-1)/7))*INDEX(Properties!$F$5:$F$24,MATCH(D192,Properties!$A$5:$A$24,0)))*(1-IF(H192&gt;=28,Settings!$B$10,IF(H192&gt;=7,Settings!$B$9,0))),2)),0))</f>
        <v/>
      </c>
      <c r="K192" s="46" t="str">
        <f aca="false">IF(J192="","",IFERROR(N(INDEX(Properties!$G$5:$G$24,MATCH(D192,Properties!$A$5:$A$24,0))),0))</f>
        <v/>
      </c>
      <c r="L192" s="46" t="str">
        <f aca="false">IF(J192="","",IFERROR(MAX(0,N(G192)-INDEX(Properties!$I$5:$I$24,MATCH(D192,Properties!$A$5:$A$24,0)))*N(INDEX(Properties!$J$5:$J$24,MATCH(D192,Properties!$A$5:$A$24,0)))*H192,0))</f>
        <v/>
      </c>
      <c r="M192" s="37"/>
      <c r="N192" s="46" t="str">
        <f aca="false">IF(J192="","",J192+K192+L192+N(M192))</f>
        <v/>
      </c>
      <c r="O192" s="46" t="str">
        <f aca="false">IF(N192="","",IF(P192&lt;&gt;"",N192-P192,ROUND(N192*IFERROR(INDEX(Settings!$E$5:$E$12,MATCH(F192,Settings!$D$5:$D$12,0)),0),2)))</f>
        <v/>
      </c>
      <c r="P192" s="37"/>
      <c r="Q192" s="46" t="str">
        <f aca="false">IF(N192="","",IF(P192&lt;&gt;"",P192,N192-O192))</f>
        <v/>
      </c>
      <c r="R192" s="46" t="str">
        <f aca="false">IF(J192="","",IFERROR(N(INDEX(Properties!$H$5:$H$24,MATCH(D192,Properties!$A$5:$A$24,0))),0))</f>
        <v/>
      </c>
      <c r="S192" s="46" t="str">
        <f aca="false">IF(Q192="","",Q192-R192)</f>
        <v/>
      </c>
      <c r="T192" s="6"/>
      <c r="U192" s="6"/>
      <c r="V192" s="6"/>
      <c r="W192" s="6"/>
      <c r="X192" s="6"/>
      <c r="Y192" s="8" t="str">
        <f aca="false">IF(OR(D192="",B192="",C192=""),"",IF(N(C192)&lt;=N(B192),"Check dates",IF(T192="Cancelled","",IF(COUNTIFS($D$5:$D$1004,D192,$B$5:$B$1004,"&lt;"&amp;C192,$C$5:$C$1004,"&gt;"&amp;B192,$T$5:$T$1004,"&lt;&gt;Cancelled")&gt;1,"Double-booked",""))))</f>
        <v/>
      </c>
      <c r="Z192" s="42" t="str">
        <f aca="false">IF(AND(AA192=1,ISNUMBER(C192)),C192+ROW()/100000,"")</f>
        <v/>
      </c>
      <c r="AA192" s="43" t="n">
        <f aca="false">IF(AND(D192&lt;&gt;"",ISNUMBER(B192),ISNUMBER(C192),N(H192)&gt;0,T192&lt;&gt;"Cancelled",J192&lt;&gt;""),1,0)</f>
        <v>0</v>
      </c>
      <c r="AB192" s="44" t="n">
        <f aca="false">IF(AA192=1,J192/H192,0)</f>
        <v>0</v>
      </c>
      <c r="AC192" s="44" t="n">
        <f aca="false">IF(AA192=1,Q192/H192,0)</f>
        <v>0</v>
      </c>
      <c r="AD192" s="44" t="n">
        <f aca="false">IF(AA192=1,R192/H192,0)</f>
        <v>0</v>
      </c>
      <c r="AE192" s="44" t="n">
        <f aca="false">IF(AA192=1,O192/H192,0)</f>
        <v>0</v>
      </c>
      <c r="AF192" s="44" t="n">
        <f aca="false">IF(AA192=1,K192/H192,0)</f>
        <v>0</v>
      </c>
      <c r="AG192" s="45" t="str">
        <f aca="false">IF(AA192=1,D192&amp;"|"&amp;TEXT(B192,"0"),"")</f>
        <v/>
      </c>
      <c r="AH192" s="43" t="n">
        <f aca="false">IF(AA192=1,H192,0)</f>
        <v>0</v>
      </c>
    </row>
    <row r="193" customFormat="false" ht="15" hidden="false" customHeight="false" outlineLevel="0" collapsed="false">
      <c r="A193" s="8" t="str">
        <f aca="false">IF(B193="","","B-"&amp;TEXT(ROW()-4,"0000"))</f>
        <v/>
      </c>
      <c r="B193" s="38"/>
      <c r="C193" s="38"/>
      <c r="D193" s="6"/>
      <c r="E193" s="6"/>
      <c r="F193" s="6"/>
      <c r="G193" s="11"/>
      <c r="H193" s="18" t="str">
        <f aca="false">IF(AND(ISNUMBER(B193),ISNUMBER(C193)),MAX(0,C193-B193),"")</f>
        <v/>
      </c>
      <c r="I193" s="37"/>
      <c r="J193" s="41" t="str">
        <f aca="false">IF(OR(D193="",N(H193)=0),"",IFERROR(IF(I193&lt;&gt;"",H193*I193,ROUND(((H193-(INT((WEEKDAY(B193-6)+H193-1)/7)+INT((WEEKDAY(B193-7)+H193-1)/7)))*INDEX(Properties!$E$5:$E$24,MATCH(D193,Properties!$A$5:$A$24,0))+(INT((WEEKDAY(B193-6)+H193-1)/7)+INT((WEEKDAY(B193-7)+H193-1)/7))*INDEX(Properties!$F$5:$F$24,MATCH(D193,Properties!$A$5:$A$24,0)))*(1-IF(H193&gt;=28,Settings!$B$10,IF(H193&gt;=7,Settings!$B$9,0))),2)),0))</f>
        <v/>
      </c>
      <c r="K193" s="41" t="str">
        <f aca="false">IF(J193="","",IFERROR(N(INDEX(Properties!$G$5:$G$24,MATCH(D193,Properties!$A$5:$A$24,0))),0))</f>
        <v/>
      </c>
      <c r="L193" s="41" t="str">
        <f aca="false">IF(J193="","",IFERROR(MAX(0,N(G193)-INDEX(Properties!$I$5:$I$24,MATCH(D193,Properties!$A$5:$A$24,0)))*N(INDEX(Properties!$J$5:$J$24,MATCH(D193,Properties!$A$5:$A$24,0)))*H193,0))</f>
        <v/>
      </c>
      <c r="M193" s="37"/>
      <c r="N193" s="41" t="str">
        <f aca="false">IF(J193="","",J193+K193+L193+N(M193))</f>
        <v/>
      </c>
      <c r="O193" s="41" t="str">
        <f aca="false">IF(N193="","",IF(P193&lt;&gt;"",N193-P193,ROUND(N193*IFERROR(INDEX(Settings!$E$5:$E$12,MATCH(F193,Settings!$D$5:$D$12,0)),0),2)))</f>
        <v/>
      </c>
      <c r="P193" s="37"/>
      <c r="Q193" s="41" t="str">
        <f aca="false">IF(N193="","",IF(P193&lt;&gt;"",P193,N193-O193))</f>
        <v/>
      </c>
      <c r="R193" s="41" t="str">
        <f aca="false">IF(J193="","",IFERROR(N(INDEX(Properties!$H$5:$H$24,MATCH(D193,Properties!$A$5:$A$24,0))),0))</f>
        <v/>
      </c>
      <c r="S193" s="41" t="str">
        <f aca="false">IF(Q193="","",Q193-R193)</f>
        <v/>
      </c>
      <c r="T193" s="6"/>
      <c r="U193" s="6"/>
      <c r="V193" s="6"/>
      <c r="W193" s="6"/>
      <c r="X193" s="6"/>
      <c r="Y193" s="8" t="str">
        <f aca="false">IF(OR(D193="",B193="",C193=""),"",IF(N(C193)&lt;=N(B193),"Check dates",IF(T193="Cancelled","",IF(COUNTIFS($D$5:$D$1004,D193,$B$5:$B$1004,"&lt;"&amp;C193,$C$5:$C$1004,"&gt;"&amp;B193,$T$5:$T$1004,"&lt;&gt;Cancelled")&gt;1,"Double-booked",""))))</f>
        <v/>
      </c>
      <c r="Z193" s="42" t="str">
        <f aca="false">IF(AND(AA193=1,ISNUMBER(C193)),C193+ROW()/100000,"")</f>
        <v/>
      </c>
      <c r="AA193" s="43" t="n">
        <f aca="false">IF(AND(D193&lt;&gt;"",ISNUMBER(B193),ISNUMBER(C193),N(H193)&gt;0,T193&lt;&gt;"Cancelled",J193&lt;&gt;""),1,0)</f>
        <v>0</v>
      </c>
      <c r="AB193" s="44" t="n">
        <f aca="false">IF(AA193=1,J193/H193,0)</f>
        <v>0</v>
      </c>
      <c r="AC193" s="44" t="n">
        <f aca="false">IF(AA193=1,Q193/H193,0)</f>
        <v>0</v>
      </c>
      <c r="AD193" s="44" t="n">
        <f aca="false">IF(AA193=1,R193/H193,0)</f>
        <v>0</v>
      </c>
      <c r="AE193" s="44" t="n">
        <f aca="false">IF(AA193=1,O193/H193,0)</f>
        <v>0</v>
      </c>
      <c r="AF193" s="44" t="n">
        <f aca="false">IF(AA193=1,K193/H193,0)</f>
        <v>0</v>
      </c>
      <c r="AG193" s="45" t="str">
        <f aca="false">IF(AA193=1,D193&amp;"|"&amp;TEXT(B193,"0"),"")</f>
        <v/>
      </c>
      <c r="AH193" s="43" t="n">
        <f aca="false">IF(AA193=1,H193,0)</f>
        <v>0</v>
      </c>
    </row>
    <row r="194" customFormat="false" ht="15" hidden="false" customHeight="false" outlineLevel="0" collapsed="false">
      <c r="A194" s="23" t="str">
        <f aca="false">IF(B194="","","B-"&amp;TEXT(ROW()-4,"0000"))</f>
        <v/>
      </c>
      <c r="B194" s="38"/>
      <c r="C194" s="38"/>
      <c r="D194" s="6"/>
      <c r="E194" s="6"/>
      <c r="F194" s="6"/>
      <c r="G194" s="11"/>
      <c r="H194" s="24" t="str">
        <f aca="false">IF(AND(ISNUMBER(B194),ISNUMBER(C194)),MAX(0,C194-B194),"")</f>
        <v/>
      </c>
      <c r="I194" s="37"/>
      <c r="J194" s="46" t="str">
        <f aca="false">IF(OR(D194="",N(H194)=0),"",IFERROR(IF(I194&lt;&gt;"",H194*I194,ROUND(((H194-(INT((WEEKDAY(B194-6)+H194-1)/7)+INT((WEEKDAY(B194-7)+H194-1)/7)))*INDEX(Properties!$E$5:$E$24,MATCH(D194,Properties!$A$5:$A$24,0))+(INT((WEEKDAY(B194-6)+H194-1)/7)+INT((WEEKDAY(B194-7)+H194-1)/7))*INDEX(Properties!$F$5:$F$24,MATCH(D194,Properties!$A$5:$A$24,0)))*(1-IF(H194&gt;=28,Settings!$B$10,IF(H194&gt;=7,Settings!$B$9,0))),2)),0))</f>
        <v/>
      </c>
      <c r="K194" s="46" t="str">
        <f aca="false">IF(J194="","",IFERROR(N(INDEX(Properties!$G$5:$G$24,MATCH(D194,Properties!$A$5:$A$24,0))),0))</f>
        <v/>
      </c>
      <c r="L194" s="46" t="str">
        <f aca="false">IF(J194="","",IFERROR(MAX(0,N(G194)-INDEX(Properties!$I$5:$I$24,MATCH(D194,Properties!$A$5:$A$24,0)))*N(INDEX(Properties!$J$5:$J$24,MATCH(D194,Properties!$A$5:$A$24,0)))*H194,0))</f>
        <v/>
      </c>
      <c r="M194" s="37"/>
      <c r="N194" s="46" t="str">
        <f aca="false">IF(J194="","",J194+K194+L194+N(M194))</f>
        <v/>
      </c>
      <c r="O194" s="46" t="str">
        <f aca="false">IF(N194="","",IF(P194&lt;&gt;"",N194-P194,ROUND(N194*IFERROR(INDEX(Settings!$E$5:$E$12,MATCH(F194,Settings!$D$5:$D$12,0)),0),2)))</f>
        <v/>
      </c>
      <c r="P194" s="37"/>
      <c r="Q194" s="46" t="str">
        <f aca="false">IF(N194="","",IF(P194&lt;&gt;"",P194,N194-O194))</f>
        <v/>
      </c>
      <c r="R194" s="46" t="str">
        <f aca="false">IF(J194="","",IFERROR(N(INDEX(Properties!$H$5:$H$24,MATCH(D194,Properties!$A$5:$A$24,0))),0))</f>
        <v/>
      </c>
      <c r="S194" s="46" t="str">
        <f aca="false">IF(Q194="","",Q194-R194)</f>
        <v/>
      </c>
      <c r="T194" s="6"/>
      <c r="U194" s="6"/>
      <c r="V194" s="6"/>
      <c r="W194" s="6"/>
      <c r="X194" s="6"/>
      <c r="Y194" s="8" t="str">
        <f aca="false">IF(OR(D194="",B194="",C194=""),"",IF(N(C194)&lt;=N(B194),"Check dates",IF(T194="Cancelled","",IF(COUNTIFS($D$5:$D$1004,D194,$B$5:$B$1004,"&lt;"&amp;C194,$C$5:$C$1004,"&gt;"&amp;B194,$T$5:$T$1004,"&lt;&gt;Cancelled")&gt;1,"Double-booked",""))))</f>
        <v/>
      </c>
      <c r="Z194" s="42" t="str">
        <f aca="false">IF(AND(AA194=1,ISNUMBER(C194)),C194+ROW()/100000,"")</f>
        <v/>
      </c>
      <c r="AA194" s="43" t="n">
        <f aca="false">IF(AND(D194&lt;&gt;"",ISNUMBER(B194),ISNUMBER(C194),N(H194)&gt;0,T194&lt;&gt;"Cancelled",J194&lt;&gt;""),1,0)</f>
        <v>0</v>
      </c>
      <c r="AB194" s="44" t="n">
        <f aca="false">IF(AA194=1,J194/H194,0)</f>
        <v>0</v>
      </c>
      <c r="AC194" s="44" t="n">
        <f aca="false">IF(AA194=1,Q194/H194,0)</f>
        <v>0</v>
      </c>
      <c r="AD194" s="44" t="n">
        <f aca="false">IF(AA194=1,R194/H194,0)</f>
        <v>0</v>
      </c>
      <c r="AE194" s="44" t="n">
        <f aca="false">IF(AA194=1,O194/H194,0)</f>
        <v>0</v>
      </c>
      <c r="AF194" s="44" t="n">
        <f aca="false">IF(AA194=1,K194/H194,0)</f>
        <v>0</v>
      </c>
      <c r="AG194" s="45" t="str">
        <f aca="false">IF(AA194=1,D194&amp;"|"&amp;TEXT(B194,"0"),"")</f>
        <v/>
      </c>
      <c r="AH194" s="43" t="n">
        <f aca="false">IF(AA194=1,H194,0)</f>
        <v>0</v>
      </c>
    </row>
    <row r="195" customFormat="false" ht="15" hidden="false" customHeight="false" outlineLevel="0" collapsed="false">
      <c r="A195" s="8" t="str">
        <f aca="false">IF(B195="","","B-"&amp;TEXT(ROW()-4,"0000"))</f>
        <v/>
      </c>
      <c r="B195" s="38"/>
      <c r="C195" s="38"/>
      <c r="D195" s="6"/>
      <c r="E195" s="6"/>
      <c r="F195" s="6"/>
      <c r="G195" s="11"/>
      <c r="H195" s="18" t="str">
        <f aca="false">IF(AND(ISNUMBER(B195),ISNUMBER(C195)),MAX(0,C195-B195),"")</f>
        <v/>
      </c>
      <c r="I195" s="37"/>
      <c r="J195" s="41" t="str">
        <f aca="false">IF(OR(D195="",N(H195)=0),"",IFERROR(IF(I195&lt;&gt;"",H195*I195,ROUND(((H195-(INT((WEEKDAY(B195-6)+H195-1)/7)+INT((WEEKDAY(B195-7)+H195-1)/7)))*INDEX(Properties!$E$5:$E$24,MATCH(D195,Properties!$A$5:$A$24,0))+(INT((WEEKDAY(B195-6)+H195-1)/7)+INT((WEEKDAY(B195-7)+H195-1)/7))*INDEX(Properties!$F$5:$F$24,MATCH(D195,Properties!$A$5:$A$24,0)))*(1-IF(H195&gt;=28,Settings!$B$10,IF(H195&gt;=7,Settings!$B$9,0))),2)),0))</f>
        <v/>
      </c>
      <c r="K195" s="41" t="str">
        <f aca="false">IF(J195="","",IFERROR(N(INDEX(Properties!$G$5:$G$24,MATCH(D195,Properties!$A$5:$A$24,0))),0))</f>
        <v/>
      </c>
      <c r="L195" s="41" t="str">
        <f aca="false">IF(J195="","",IFERROR(MAX(0,N(G195)-INDEX(Properties!$I$5:$I$24,MATCH(D195,Properties!$A$5:$A$24,0)))*N(INDEX(Properties!$J$5:$J$24,MATCH(D195,Properties!$A$5:$A$24,0)))*H195,0))</f>
        <v/>
      </c>
      <c r="M195" s="37"/>
      <c r="N195" s="41" t="str">
        <f aca="false">IF(J195="","",J195+K195+L195+N(M195))</f>
        <v/>
      </c>
      <c r="O195" s="41" t="str">
        <f aca="false">IF(N195="","",IF(P195&lt;&gt;"",N195-P195,ROUND(N195*IFERROR(INDEX(Settings!$E$5:$E$12,MATCH(F195,Settings!$D$5:$D$12,0)),0),2)))</f>
        <v/>
      </c>
      <c r="P195" s="37"/>
      <c r="Q195" s="41" t="str">
        <f aca="false">IF(N195="","",IF(P195&lt;&gt;"",P195,N195-O195))</f>
        <v/>
      </c>
      <c r="R195" s="41" t="str">
        <f aca="false">IF(J195="","",IFERROR(N(INDEX(Properties!$H$5:$H$24,MATCH(D195,Properties!$A$5:$A$24,0))),0))</f>
        <v/>
      </c>
      <c r="S195" s="41" t="str">
        <f aca="false">IF(Q195="","",Q195-R195)</f>
        <v/>
      </c>
      <c r="T195" s="6"/>
      <c r="U195" s="6"/>
      <c r="V195" s="6"/>
      <c r="W195" s="6"/>
      <c r="X195" s="6"/>
      <c r="Y195" s="8" t="str">
        <f aca="false">IF(OR(D195="",B195="",C195=""),"",IF(N(C195)&lt;=N(B195),"Check dates",IF(T195="Cancelled","",IF(COUNTIFS($D$5:$D$1004,D195,$B$5:$B$1004,"&lt;"&amp;C195,$C$5:$C$1004,"&gt;"&amp;B195,$T$5:$T$1004,"&lt;&gt;Cancelled")&gt;1,"Double-booked",""))))</f>
        <v/>
      </c>
      <c r="Z195" s="42" t="str">
        <f aca="false">IF(AND(AA195=1,ISNUMBER(C195)),C195+ROW()/100000,"")</f>
        <v/>
      </c>
      <c r="AA195" s="43" t="n">
        <f aca="false">IF(AND(D195&lt;&gt;"",ISNUMBER(B195),ISNUMBER(C195),N(H195)&gt;0,T195&lt;&gt;"Cancelled",J195&lt;&gt;""),1,0)</f>
        <v>0</v>
      </c>
      <c r="AB195" s="44" t="n">
        <f aca="false">IF(AA195=1,J195/H195,0)</f>
        <v>0</v>
      </c>
      <c r="AC195" s="44" t="n">
        <f aca="false">IF(AA195=1,Q195/H195,0)</f>
        <v>0</v>
      </c>
      <c r="AD195" s="44" t="n">
        <f aca="false">IF(AA195=1,R195/H195,0)</f>
        <v>0</v>
      </c>
      <c r="AE195" s="44" t="n">
        <f aca="false">IF(AA195=1,O195/H195,0)</f>
        <v>0</v>
      </c>
      <c r="AF195" s="44" t="n">
        <f aca="false">IF(AA195=1,K195/H195,0)</f>
        <v>0</v>
      </c>
      <c r="AG195" s="45" t="str">
        <f aca="false">IF(AA195=1,D195&amp;"|"&amp;TEXT(B195,"0"),"")</f>
        <v/>
      </c>
      <c r="AH195" s="43" t="n">
        <f aca="false">IF(AA195=1,H195,0)</f>
        <v>0</v>
      </c>
    </row>
    <row r="196" customFormat="false" ht="15" hidden="false" customHeight="false" outlineLevel="0" collapsed="false">
      <c r="A196" s="23" t="str">
        <f aca="false">IF(B196="","","B-"&amp;TEXT(ROW()-4,"0000"))</f>
        <v/>
      </c>
      <c r="B196" s="38"/>
      <c r="C196" s="38"/>
      <c r="D196" s="6"/>
      <c r="E196" s="6"/>
      <c r="F196" s="6"/>
      <c r="G196" s="11"/>
      <c r="H196" s="24" t="str">
        <f aca="false">IF(AND(ISNUMBER(B196),ISNUMBER(C196)),MAX(0,C196-B196),"")</f>
        <v/>
      </c>
      <c r="I196" s="37"/>
      <c r="J196" s="46" t="str">
        <f aca="false">IF(OR(D196="",N(H196)=0),"",IFERROR(IF(I196&lt;&gt;"",H196*I196,ROUND(((H196-(INT((WEEKDAY(B196-6)+H196-1)/7)+INT((WEEKDAY(B196-7)+H196-1)/7)))*INDEX(Properties!$E$5:$E$24,MATCH(D196,Properties!$A$5:$A$24,0))+(INT((WEEKDAY(B196-6)+H196-1)/7)+INT((WEEKDAY(B196-7)+H196-1)/7))*INDEX(Properties!$F$5:$F$24,MATCH(D196,Properties!$A$5:$A$24,0)))*(1-IF(H196&gt;=28,Settings!$B$10,IF(H196&gt;=7,Settings!$B$9,0))),2)),0))</f>
        <v/>
      </c>
      <c r="K196" s="46" t="str">
        <f aca="false">IF(J196="","",IFERROR(N(INDEX(Properties!$G$5:$G$24,MATCH(D196,Properties!$A$5:$A$24,0))),0))</f>
        <v/>
      </c>
      <c r="L196" s="46" t="str">
        <f aca="false">IF(J196="","",IFERROR(MAX(0,N(G196)-INDEX(Properties!$I$5:$I$24,MATCH(D196,Properties!$A$5:$A$24,0)))*N(INDEX(Properties!$J$5:$J$24,MATCH(D196,Properties!$A$5:$A$24,0)))*H196,0))</f>
        <v/>
      </c>
      <c r="M196" s="37"/>
      <c r="N196" s="46" t="str">
        <f aca="false">IF(J196="","",J196+K196+L196+N(M196))</f>
        <v/>
      </c>
      <c r="O196" s="46" t="str">
        <f aca="false">IF(N196="","",IF(P196&lt;&gt;"",N196-P196,ROUND(N196*IFERROR(INDEX(Settings!$E$5:$E$12,MATCH(F196,Settings!$D$5:$D$12,0)),0),2)))</f>
        <v/>
      </c>
      <c r="P196" s="37"/>
      <c r="Q196" s="46" t="str">
        <f aca="false">IF(N196="","",IF(P196&lt;&gt;"",P196,N196-O196))</f>
        <v/>
      </c>
      <c r="R196" s="46" t="str">
        <f aca="false">IF(J196="","",IFERROR(N(INDEX(Properties!$H$5:$H$24,MATCH(D196,Properties!$A$5:$A$24,0))),0))</f>
        <v/>
      </c>
      <c r="S196" s="46" t="str">
        <f aca="false">IF(Q196="","",Q196-R196)</f>
        <v/>
      </c>
      <c r="T196" s="6"/>
      <c r="U196" s="6"/>
      <c r="V196" s="6"/>
      <c r="W196" s="6"/>
      <c r="X196" s="6"/>
      <c r="Y196" s="8" t="str">
        <f aca="false">IF(OR(D196="",B196="",C196=""),"",IF(N(C196)&lt;=N(B196),"Check dates",IF(T196="Cancelled","",IF(COUNTIFS($D$5:$D$1004,D196,$B$5:$B$1004,"&lt;"&amp;C196,$C$5:$C$1004,"&gt;"&amp;B196,$T$5:$T$1004,"&lt;&gt;Cancelled")&gt;1,"Double-booked",""))))</f>
        <v/>
      </c>
      <c r="Z196" s="42" t="str">
        <f aca="false">IF(AND(AA196=1,ISNUMBER(C196)),C196+ROW()/100000,"")</f>
        <v/>
      </c>
      <c r="AA196" s="43" t="n">
        <f aca="false">IF(AND(D196&lt;&gt;"",ISNUMBER(B196),ISNUMBER(C196),N(H196)&gt;0,T196&lt;&gt;"Cancelled",J196&lt;&gt;""),1,0)</f>
        <v>0</v>
      </c>
      <c r="AB196" s="44" t="n">
        <f aca="false">IF(AA196=1,J196/H196,0)</f>
        <v>0</v>
      </c>
      <c r="AC196" s="44" t="n">
        <f aca="false">IF(AA196=1,Q196/H196,0)</f>
        <v>0</v>
      </c>
      <c r="AD196" s="44" t="n">
        <f aca="false">IF(AA196=1,R196/H196,0)</f>
        <v>0</v>
      </c>
      <c r="AE196" s="44" t="n">
        <f aca="false">IF(AA196=1,O196/H196,0)</f>
        <v>0</v>
      </c>
      <c r="AF196" s="44" t="n">
        <f aca="false">IF(AA196=1,K196/H196,0)</f>
        <v>0</v>
      </c>
      <c r="AG196" s="45" t="str">
        <f aca="false">IF(AA196=1,D196&amp;"|"&amp;TEXT(B196,"0"),"")</f>
        <v/>
      </c>
      <c r="AH196" s="43" t="n">
        <f aca="false">IF(AA196=1,H196,0)</f>
        <v>0</v>
      </c>
    </row>
    <row r="197" customFormat="false" ht="15" hidden="false" customHeight="false" outlineLevel="0" collapsed="false">
      <c r="A197" s="8" t="str">
        <f aca="false">IF(B197="","","B-"&amp;TEXT(ROW()-4,"0000"))</f>
        <v/>
      </c>
      <c r="B197" s="38"/>
      <c r="C197" s="38"/>
      <c r="D197" s="6"/>
      <c r="E197" s="6"/>
      <c r="F197" s="6"/>
      <c r="G197" s="11"/>
      <c r="H197" s="18" t="str">
        <f aca="false">IF(AND(ISNUMBER(B197),ISNUMBER(C197)),MAX(0,C197-B197),"")</f>
        <v/>
      </c>
      <c r="I197" s="37"/>
      <c r="J197" s="41" t="str">
        <f aca="false">IF(OR(D197="",N(H197)=0),"",IFERROR(IF(I197&lt;&gt;"",H197*I197,ROUND(((H197-(INT((WEEKDAY(B197-6)+H197-1)/7)+INT((WEEKDAY(B197-7)+H197-1)/7)))*INDEX(Properties!$E$5:$E$24,MATCH(D197,Properties!$A$5:$A$24,0))+(INT((WEEKDAY(B197-6)+H197-1)/7)+INT((WEEKDAY(B197-7)+H197-1)/7))*INDEX(Properties!$F$5:$F$24,MATCH(D197,Properties!$A$5:$A$24,0)))*(1-IF(H197&gt;=28,Settings!$B$10,IF(H197&gt;=7,Settings!$B$9,0))),2)),0))</f>
        <v/>
      </c>
      <c r="K197" s="41" t="str">
        <f aca="false">IF(J197="","",IFERROR(N(INDEX(Properties!$G$5:$G$24,MATCH(D197,Properties!$A$5:$A$24,0))),0))</f>
        <v/>
      </c>
      <c r="L197" s="41" t="str">
        <f aca="false">IF(J197="","",IFERROR(MAX(0,N(G197)-INDEX(Properties!$I$5:$I$24,MATCH(D197,Properties!$A$5:$A$24,0)))*N(INDEX(Properties!$J$5:$J$24,MATCH(D197,Properties!$A$5:$A$24,0)))*H197,0))</f>
        <v/>
      </c>
      <c r="M197" s="37"/>
      <c r="N197" s="41" t="str">
        <f aca="false">IF(J197="","",J197+K197+L197+N(M197))</f>
        <v/>
      </c>
      <c r="O197" s="41" t="str">
        <f aca="false">IF(N197="","",IF(P197&lt;&gt;"",N197-P197,ROUND(N197*IFERROR(INDEX(Settings!$E$5:$E$12,MATCH(F197,Settings!$D$5:$D$12,0)),0),2)))</f>
        <v/>
      </c>
      <c r="P197" s="37"/>
      <c r="Q197" s="41" t="str">
        <f aca="false">IF(N197="","",IF(P197&lt;&gt;"",P197,N197-O197))</f>
        <v/>
      </c>
      <c r="R197" s="41" t="str">
        <f aca="false">IF(J197="","",IFERROR(N(INDEX(Properties!$H$5:$H$24,MATCH(D197,Properties!$A$5:$A$24,0))),0))</f>
        <v/>
      </c>
      <c r="S197" s="41" t="str">
        <f aca="false">IF(Q197="","",Q197-R197)</f>
        <v/>
      </c>
      <c r="T197" s="6"/>
      <c r="U197" s="6"/>
      <c r="V197" s="6"/>
      <c r="W197" s="6"/>
      <c r="X197" s="6"/>
      <c r="Y197" s="8" t="str">
        <f aca="false">IF(OR(D197="",B197="",C197=""),"",IF(N(C197)&lt;=N(B197),"Check dates",IF(T197="Cancelled","",IF(COUNTIFS($D$5:$D$1004,D197,$B$5:$B$1004,"&lt;"&amp;C197,$C$5:$C$1004,"&gt;"&amp;B197,$T$5:$T$1004,"&lt;&gt;Cancelled")&gt;1,"Double-booked",""))))</f>
        <v/>
      </c>
      <c r="Z197" s="42" t="str">
        <f aca="false">IF(AND(AA197=1,ISNUMBER(C197)),C197+ROW()/100000,"")</f>
        <v/>
      </c>
      <c r="AA197" s="43" t="n">
        <f aca="false">IF(AND(D197&lt;&gt;"",ISNUMBER(B197),ISNUMBER(C197),N(H197)&gt;0,T197&lt;&gt;"Cancelled",J197&lt;&gt;""),1,0)</f>
        <v>0</v>
      </c>
      <c r="AB197" s="44" t="n">
        <f aca="false">IF(AA197=1,J197/H197,0)</f>
        <v>0</v>
      </c>
      <c r="AC197" s="44" t="n">
        <f aca="false">IF(AA197=1,Q197/H197,0)</f>
        <v>0</v>
      </c>
      <c r="AD197" s="44" t="n">
        <f aca="false">IF(AA197=1,R197/H197,0)</f>
        <v>0</v>
      </c>
      <c r="AE197" s="44" t="n">
        <f aca="false">IF(AA197=1,O197/H197,0)</f>
        <v>0</v>
      </c>
      <c r="AF197" s="44" t="n">
        <f aca="false">IF(AA197=1,K197/H197,0)</f>
        <v>0</v>
      </c>
      <c r="AG197" s="45" t="str">
        <f aca="false">IF(AA197=1,D197&amp;"|"&amp;TEXT(B197,"0"),"")</f>
        <v/>
      </c>
      <c r="AH197" s="43" t="n">
        <f aca="false">IF(AA197=1,H197,0)</f>
        <v>0</v>
      </c>
    </row>
    <row r="198" customFormat="false" ht="15" hidden="false" customHeight="false" outlineLevel="0" collapsed="false">
      <c r="A198" s="23" t="str">
        <f aca="false">IF(B198="","","B-"&amp;TEXT(ROW()-4,"0000"))</f>
        <v/>
      </c>
      <c r="B198" s="38"/>
      <c r="C198" s="38"/>
      <c r="D198" s="6"/>
      <c r="E198" s="6"/>
      <c r="F198" s="6"/>
      <c r="G198" s="11"/>
      <c r="H198" s="24" t="str">
        <f aca="false">IF(AND(ISNUMBER(B198),ISNUMBER(C198)),MAX(0,C198-B198),"")</f>
        <v/>
      </c>
      <c r="I198" s="37"/>
      <c r="J198" s="46" t="str">
        <f aca="false">IF(OR(D198="",N(H198)=0),"",IFERROR(IF(I198&lt;&gt;"",H198*I198,ROUND(((H198-(INT((WEEKDAY(B198-6)+H198-1)/7)+INT((WEEKDAY(B198-7)+H198-1)/7)))*INDEX(Properties!$E$5:$E$24,MATCH(D198,Properties!$A$5:$A$24,0))+(INT((WEEKDAY(B198-6)+H198-1)/7)+INT((WEEKDAY(B198-7)+H198-1)/7))*INDEX(Properties!$F$5:$F$24,MATCH(D198,Properties!$A$5:$A$24,0)))*(1-IF(H198&gt;=28,Settings!$B$10,IF(H198&gt;=7,Settings!$B$9,0))),2)),0))</f>
        <v/>
      </c>
      <c r="K198" s="46" t="str">
        <f aca="false">IF(J198="","",IFERROR(N(INDEX(Properties!$G$5:$G$24,MATCH(D198,Properties!$A$5:$A$24,0))),0))</f>
        <v/>
      </c>
      <c r="L198" s="46" t="str">
        <f aca="false">IF(J198="","",IFERROR(MAX(0,N(G198)-INDEX(Properties!$I$5:$I$24,MATCH(D198,Properties!$A$5:$A$24,0)))*N(INDEX(Properties!$J$5:$J$24,MATCH(D198,Properties!$A$5:$A$24,0)))*H198,0))</f>
        <v/>
      </c>
      <c r="M198" s="37"/>
      <c r="N198" s="46" t="str">
        <f aca="false">IF(J198="","",J198+K198+L198+N(M198))</f>
        <v/>
      </c>
      <c r="O198" s="46" t="str">
        <f aca="false">IF(N198="","",IF(P198&lt;&gt;"",N198-P198,ROUND(N198*IFERROR(INDEX(Settings!$E$5:$E$12,MATCH(F198,Settings!$D$5:$D$12,0)),0),2)))</f>
        <v/>
      </c>
      <c r="P198" s="37"/>
      <c r="Q198" s="46" t="str">
        <f aca="false">IF(N198="","",IF(P198&lt;&gt;"",P198,N198-O198))</f>
        <v/>
      </c>
      <c r="R198" s="46" t="str">
        <f aca="false">IF(J198="","",IFERROR(N(INDEX(Properties!$H$5:$H$24,MATCH(D198,Properties!$A$5:$A$24,0))),0))</f>
        <v/>
      </c>
      <c r="S198" s="46" t="str">
        <f aca="false">IF(Q198="","",Q198-R198)</f>
        <v/>
      </c>
      <c r="T198" s="6"/>
      <c r="U198" s="6"/>
      <c r="V198" s="6"/>
      <c r="W198" s="6"/>
      <c r="X198" s="6"/>
      <c r="Y198" s="8" t="str">
        <f aca="false">IF(OR(D198="",B198="",C198=""),"",IF(N(C198)&lt;=N(B198),"Check dates",IF(T198="Cancelled","",IF(COUNTIFS($D$5:$D$1004,D198,$B$5:$B$1004,"&lt;"&amp;C198,$C$5:$C$1004,"&gt;"&amp;B198,$T$5:$T$1004,"&lt;&gt;Cancelled")&gt;1,"Double-booked",""))))</f>
        <v/>
      </c>
      <c r="Z198" s="42" t="str">
        <f aca="false">IF(AND(AA198=1,ISNUMBER(C198)),C198+ROW()/100000,"")</f>
        <v/>
      </c>
      <c r="AA198" s="43" t="n">
        <f aca="false">IF(AND(D198&lt;&gt;"",ISNUMBER(B198),ISNUMBER(C198),N(H198)&gt;0,T198&lt;&gt;"Cancelled",J198&lt;&gt;""),1,0)</f>
        <v>0</v>
      </c>
      <c r="AB198" s="44" t="n">
        <f aca="false">IF(AA198=1,J198/H198,0)</f>
        <v>0</v>
      </c>
      <c r="AC198" s="44" t="n">
        <f aca="false">IF(AA198=1,Q198/H198,0)</f>
        <v>0</v>
      </c>
      <c r="AD198" s="44" t="n">
        <f aca="false">IF(AA198=1,R198/H198,0)</f>
        <v>0</v>
      </c>
      <c r="AE198" s="44" t="n">
        <f aca="false">IF(AA198=1,O198/H198,0)</f>
        <v>0</v>
      </c>
      <c r="AF198" s="44" t="n">
        <f aca="false">IF(AA198=1,K198/H198,0)</f>
        <v>0</v>
      </c>
      <c r="AG198" s="45" t="str">
        <f aca="false">IF(AA198=1,D198&amp;"|"&amp;TEXT(B198,"0"),"")</f>
        <v/>
      </c>
      <c r="AH198" s="43" t="n">
        <f aca="false">IF(AA198=1,H198,0)</f>
        <v>0</v>
      </c>
    </row>
    <row r="199" customFormat="false" ht="15" hidden="false" customHeight="false" outlineLevel="0" collapsed="false">
      <c r="A199" s="8" t="str">
        <f aca="false">IF(B199="","","B-"&amp;TEXT(ROW()-4,"0000"))</f>
        <v/>
      </c>
      <c r="B199" s="38"/>
      <c r="C199" s="38"/>
      <c r="D199" s="6"/>
      <c r="E199" s="6"/>
      <c r="F199" s="6"/>
      <c r="G199" s="11"/>
      <c r="H199" s="18" t="str">
        <f aca="false">IF(AND(ISNUMBER(B199),ISNUMBER(C199)),MAX(0,C199-B199),"")</f>
        <v/>
      </c>
      <c r="I199" s="37"/>
      <c r="J199" s="41" t="str">
        <f aca="false">IF(OR(D199="",N(H199)=0),"",IFERROR(IF(I199&lt;&gt;"",H199*I199,ROUND(((H199-(INT((WEEKDAY(B199-6)+H199-1)/7)+INT((WEEKDAY(B199-7)+H199-1)/7)))*INDEX(Properties!$E$5:$E$24,MATCH(D199,Properties!$A$5:$A$24,0))+(INT((WEEKDAY(B199-6)+H199-1)/7)+INT((WEEKDAY(B199-7)+H199-1)/7))*INDEX(Properties!$F$5:$F$24,MATCH(D199,Properties!$A$5:$A$24,0)))*(1-IF(H199&gt;=28,Settings!$B$10,IF(H199&gt;=7,Settings!$B$9,0))),2)),0))</f>
        <v/>
      </c>
      <c r="K199" s="41" t="str">
        <f aca="false">IF(J199="","",IFERROR(N(INDEX(Properties!$G$5:$G$24,MATCH(D199,Properties!$A$5:$A$24,0))),0))</f>
        <v/>
      </c>
      <c r="L199" s="41" t="str">
        <f aca="false">IF(J199="","",IFERROR(MAX(0,N(G199)-INDEX(Properties!$I$5:$I$24,MATCH(D199,Properties!$A$5:$A$24,0)))*N(INDEX(Properties!$J$5:$J$24,MATCH(D199,Properties!$A$5:$A$24,0)))*H199,0))</f>
        <v/>
      </c>
      <c r="M199" s="37"/>
      <c r="N199" s="41" t="str">
        <f aca="false">IF(J199="","",J199+K199+L199+N(M199))</f>
        <v/>
      </c>
      <c r="O199" s="41" t="str">
        <f aca="false">IF(N199="","",IF(P199&lt;&gt;"",N199-P199,ROUND(N199*IFERROR(INDEX(Settings!$E$5:$E$12,MATCH(F199,Settings!$D$5:$D$12,0)),0),2)))</f>
        <v/>
      </c>
      <c r="P199" s="37"/>
      <c r="Q199" s="41" t="str">
        <f aca="false">IF(N199="","",IF(P199&lt;&gt;"",P199,N199-O199))</f>
        <v/>
      </c>
      <c r="R199" s="41" t="str">
        <f aca="false">IF(J199="","",IFERROR(N(INDEX(Properties!$H$5:$H$24,MATCH(D199,Properties!$A$5:$A$24,0))),0))</f>
        <v/>
      </c>
      <c r="S199" s="41" t="str">
        <f aca="false">IF(Q199="","",Q199-R199)</f>
        <v/>
      </c>
      <c r="T199" s="6"/>
      <c r="U199" s="6"/>
      <c r="V199" s="6"/>
      <c r="W199" s="6"/>
      <c r="X199" s="6"/>
      <c r="Y199" s="8" t="str">
        <f aca="false">IF(OR(D199="",B199="",C199=""),"",IF(N(C199)&lt;=N(B199),"Check dates",IF(T199="Cancelled","",IF(COUNTIFS($D$5:$D$1004,D199,$B$5:$B$1004,"&lt;"&amp;C199,$C$5:$C$1004,"&gt;"&amp;B199,$T$5:$T$1004,"&lt;&gt;Cancelled")&gt;1,"Double-booked",""))))</f>
        <v/>
      </c>
      <c r="Z199" s="42" t="str">
        <f aca="false">IF(AND(AA199=1,ISNUMBER(C199)),C199+ROW()/100000,"")</f>
        <v/>
      </c>
      <c r="AA199" s="43" t="n">
        <f aca="false">IF(AND(D199&lt;&gt;"",ISNUMBER(B199),ISNUMBER(C199),N(H199)&gt;0,T199&lt;&gt;"Cancelled",J199&lt;&gt;""),1,0)</f>
        <v>0</v>
      </c>
      <c r="AB199" s="44" t="n">
        <f aca="false">IF(AA199=1,J199/H199,0)</f>
        <v>0</v>
      </c>
      <c r="AC199" s="44" t="n">
        <f aca="false">IF(AA199=1,Q199/H199,0)</f>
        <v>0</v>
      </c>
      <c r="AD199" s="44" t="n">
        <f aca="false">IF(AA199=1,R199/H199,0)</f>
        <v>0</v>
      </c>
      <c r="AE199" s="44" t="n">
        <f aca="false">IF(AA199=1,O199/H199,0)</f>
        <v>0</v>
      </c>
      <c r="AF199" s="44" t="n">
        <f aca="false">IF(AA199=1,K199/H199,0)</f>
        <v>0</v>
      </c>
      <c r="AG199" s="45" t="str">
        <f aca="false">IF(AA199=1,D199&amp;"|"&amp;TEXT(B199,"0"),"")</f>
        <v/>
      </c>
      <c r="AH199" s="43" t="n">
        <f aca="false">IF(AA199=1,H199,0)</f>
        <v>0</v>
      </c>
    </row>
    <row r="200" customFormat="false" ht="15" hidden="false" customHeight="false" outlineLevel="0" collapsed="false">
      <c r="A200" s="23" t="str">
        <f aca="false">IF(B200="","","B-"&amp;TEXT(ROW()-4,"0000"))</f>
        <v/>
      </c>
      <c r="B200" s="38"/>
      <c r="C200" s="38"/>
      <c r="D200" s="6"/>
      <c r="E200" s="6"/>
      <c r="F200" s="6"/>
      <c r="G200" s="11"/>
      <c r="H200" s="24" t="str">
        <f aca="false">IF(AND(ISNUMBER(B200),ISNUMBER(C200)),MAX(0,C200-B200),"")</f>
        <v/>
      </c>
      <c r="I200" s="37"/>
      <c r="J200" s="46" t="str">
        <f aca="false">IF(OR(D200="",N(H200)=0),"",IFERROR(IF(I200&lt;&gt;"",H200*I200,ROUND(((H200-(INT((WEEKDAY(B200-6)+H200-1)/7)+INT((WEEKDAY(B200-7)+H200-1)/7)))*INDEX(Properties!$E$5:$E$24,MATCH(D200,Properties!$A$5:$A$24,0))+(INT((WEEKDAY(B200-6)+H200-1)/7)+INT((WEEKDAY(B200-7)+H200-1)/7))*INDEX(Properties!$F$5:$F$24,MATCH(D200,Properties!$A$5:$A$24,0)))*(1-IF(H200&gt;=28,Settings!$B$10,IF(H200&gt;=7,Settings!$B$9,0))),2)),0))</f>
        <v/>
      </c>
      <c r="K200" s="46" t="str">
        <f aca="false">IF(J200="","",IFERROR(N(INDEX(Properties!$G$5:$G$24,MATCH(D200,Properties!$A$5:$A$24,0))),0))</f>
        <v/>
      </c>
      <c r="L200" s="46" t="str">
        <f aca="false">IF(J200="","",IFERROR(MAX(0,N(G200)-INDEX(Properties!$I$5:$I$24,MATCH(D200,Properties!$A$5:$A$24,0)))*N(INDEX(Properties!$J$5:$J$24,MATCH(D200,Properties!$A$5:$A$24,0)))*H200,0))</f>
        <v/>
      </c>
      <c r="M200" s="37"/>
      <c r="N200" s="46" t="str">
        <f aca="false">IF(J200="","",J200+K200+L200+N(M200))</f>
        <v/>
      </c>
      <c r="O200" s="46" t="str">
        <f aca="false">IF(N200="","",IF(P200&lt;&gt;"",N200-P200,ROUND(N200*IFERROR(INDEX(Settings!$E$5:$E$12,MATCH(F200,Settings!$D$5:$D$12,0)),0),2)))</f>
        <v/>
      </c>
      <c r="P200" s="37"/>
      <c r="Q200" s="46" t="str">
        <f aca="false">IF(N200="","",IF(P200&lt;&gt;"",P200,N200-O200))</f>
        <v/>
      </c>
      <c r="R200" s="46" t="str">
        <f aca="false">IF(J200="","",IFERROR(N(INDEX(Properties!$H$5:$H$24,MATCH(D200,Properties!$A$5:$A$24,0))),0))</f>
        <v/>
      </c>
      <c r="S200" s="46" t="str">
        <f aca="false">IF(Q200="","",Q200-R200)</f>
        <v/>
      </c>
      <c r="T200" s="6"/>
      <c r="U200" s="6"/>
      <c r="V200" s="6"/>
      <c r="W200" s="6"/>
      <c r="X200" s="6"/>
      <c r="Y200" s="8" t="str">
        <f aca="false">IF(OR(D200="",B200="",C200=""),"",IF(N(C200)&lt;=N(B200),"Check dates",IF(T200="Cancelled","",IF(COUNTIFS($D$5:$D$1004,D200,$B$5:$B$1004,"&lt;"&amp;C200,$C$5:$C$1004,"&gt;"&amp;B200,$T$5:$T$1004,"&lt;&gt;Cancelled")&gt;1,"Double-booked",""))))</f>
        <v/>
      </c>
      <c r="Z200" s="42" t="str">
        <f aca="false">IF(AND(AA200=1,ISNUMBER(C200)),C200+ROW()/100000,"")</f>
        <v/>
      </c>
      <c r="AA200" s="43" t="n">
        <f aca="false">IF(AND(D200&lt;&gt;"",ISNUMBER(B200),ISNUMBER(C200),N(H200)&gt;0,T200&lt;&gt;"Cancelled",J200&lt;&gt;""),1,0)</f>
        <v>0</v>
      </c>
      <c r="AB200" s="44" t="n">
        <f aca="false">IF(AA200=1,J200/H200,0)</f>
        <v>0</v>
      </c>
      <c r="AC200" s="44" t="n">
        <f aca="false">IF(AA200=1,Q200/H200,0)</f>
        <v>0</v>
      </c>
      <c r="AD200" s="44" t="n">
        <f aca="false">IF(AA200=1,R200/H200,0)</f>
        <v>0</v>
      </c>
      <c r="AE200" s="44" t="n">
        <f aca="false">IF(AA200=1,O200/H200,0)</f>
        <v>0</v>
      </c>
      <c r="AF200" s="44" t="n">
        <f aca="false">IF(AA200=1,K200/H200,0)</f>
        <v>0</v>
      </c>
      <c r="AG200" s="45" t="str">
        <f aca="false">IF(AA200=1,D200&amp;"|"&amp;TEXT(B200,"0"),"")</f>
        <v/>
      </c>
      <c r="AH200" s="43" t="n">
        <f aca="false">IF(AA200=1,H200,0)</f>
        <v>0</v>
      </c>
    </row>
    <row r="201" customFormat="false" ht="15" hidden="false" customHeight="false" outlineLevel="0" collapsed="false">
      <c r="A201" s="8" t="str">
        <f aca="false">IF(B201="","","B-"&amp;TEXT(ROW()-4,"0000"))</f>
        <v/>
      </c>
      <c r="B201" s="38"/>
      <c r="C201" s="38"/>
      <c r="D201" s="6"/>
      <c r="E201" s="6"/>
      <c r="F201" s="6"/>
      <c r="G201" s="11"/>
      <c r="H201" s="18" t="str">
        <f aca="false">IF(AND(ISNUMBER(B201),ISNUMBER(C201)),MAX(0,C201-B201),"")</f>
        <v/>
      </c>
      <c r="I201" s="37"/>
      <c r="J201" s="41" t="str">
        <f aca="false">IF(OR(D201="",N(H201)=0),"",IFERROR(IF(I201&lt;&gt;"",H201*I201,ROUND(((H201-(INT((WEEKDAY(B201-6)+H201-1)/7)+INT((WEEKDAY(B201-7)+H201-1)/7)))*INDEX(Properties!$E$5:$E$24,MATCH(D201,Properties!$A$5:$A$24,0))+(INT((WEEKDAY(B201-6)+H201-1)/7)+INT((WEEKDAY(B201-7)+H201-1)/7))*INDEX(Properties!$F$5:$F$24,MATCH(D201,Properties!$A$5:$A$24,0)))*(1-IF(H201&gt;=28,Settings!$B$10,IF(H201&gt;=7,Settings!$B$9,0))),2)),0))</f>
        <v/>
      </c>
      <c r="K201" s="41" t="str">
        <f aca="false">IF(J201="","",IFERROR(N(INDEX(Properties!$G$5:$G$24,MATCH(D201,Properties!$A$5:$A$24,0))),0))</f>
        <v/>
      </c>
      <c r="L201" s="41" t="str">
        <f aca="false">IF(J201="","",IFERROR(MAX(0,N(G201)-INDEX(Properties!$I$5:$I$24,MATCH(D201,Properties!$A$5:$A$24,0)))*N(INDEX(Properties!$J$5:$J$24,MATCH(D201,Properties!$A$5:$A$24,0)))*H201,0))</f>
        <v/>
      </c>
      <c r="M201" s="37"/>
      <c r="N201" s="41" t="str">
        <f aca="false">IF(J201="","",J201+K201+L201+N(M201))</f>
        <v/>
      </c>
      <c r="O201" s="41" t="str">
        <f aca="false">IF(N201="","",IF(P201&lt;&gt;"",N201-P201,ROUND(N201*IFERROR(INDEX(Settings!$E$5:$E$12,MATCH(F201,Settings!$D$5:$D$12,0)),0),2)))</f>
        <v/>
      </c>
      <c r="P201" s="37"/>
      <c r="Q201" s="41" t="str">
        <f aca="false">IF(N201="","",IF(P201&lt;&gt;"",P201,N201-O201))</f>
        <v/>
      </c>
      <c r="R201" s="41" t="str">
        <f aca="false">IF(J201="","",IFERROR(N(INDEX(Properties!$H$5:$H$24,MATCH(D201,Properties!$A$5:$A$24,0))),0))</f>
        <v/>
      </c>
      <c r="S201" s="41" t="str">
        <f aca="false">IF(Q201="","",Q201-R201)</f>
        <v/>
      </c>
      <c r="T201" s="6"/>
      <c r="U201" s="6"/>
      <c r="V201" s="6"/>
      <c r="W201" s="6"/>
      <c r="X201" s="6"/>
      <c r="Y201" s="8" t="str">
        <f aca="false">IF(OR(D201="",B201="",C201=""),"",IF(N(C201)&lt;=N(B201),"Check dates",IF(T201="Cancelled","",IF(COUNTIFS($D$5:$D$1004,D201,$B$5:$B$1004,"&lt;"&amp;C201,$C$5:$C$1004,"&gt;"&amp;B201,$T$5:$T$1004,"&lt;&gt;Cancelled")&gt;1,"Double-booked",""))))</f>
        <v/>
      </c>
      <c r="Z201" s="42" t="str">
        <f aca="false">IF(AND(AA201=1,ISNUMBER(C201)),C201+ROW()/100000,"")</f>
        <v/>
      </c>
      <c r="AA201" s="43" t="n">
        <f aca="false">IF(AND(D201&lt;&gt;"",ISNUMBER(B201),ISNUMBER(C201),N(H201)&gt;0,T201&lt;&gt;"Cancelled",J201&lt;&gt;""),1,0)</f>
        <v>0</v>
      </c>
      <c r="AB201" s="44" t="n">
        <f aca="false">IF(AA201=1,J201/H201,0)</f>
        <v>0</v>
      </c>
      <c r="AC201" s="44" t="n">
        <f aca="false">IF(AA201=1,Q201/H201,0)</f>
        <v>0</v>
      </c>
      <c r="AD201" s="44" t="n">
        <f aca="false">IF(AA201=1,R201/H201,0)</f>
        <v>0</v>
      </c>
      <c r="AE201" s="44" t="n">
        <f aca="false">IF(AA201=1,O201/H201,0)</f>
        <v>0</v>
      </c>
      <c r="AF201" s="44" t="n">
        <f aca="false">IF(AA201=1,K201/H201,0)</f>
        <v>0</v>
      </c>
      <c r="AG201" s="45" t="str">
        <f aca="false">IF(AA201=1,D201&amp;"|"&amp;TEXT(B201,"0"),"")</f>
        <v/>
      </c>
      <c r="AH201" s="43" t="n">
        <f aca="false">IF(AA201=1,H201,0)</f>
        <v>0</v>
      </c>
    </row>
    <row r="202" customFormat="false" ht="15" hidden="false" customHeight="false" outlineLevel="0" collapsed="false">
      <c r="A202" s="23" t="str">
        <f aca="false">IF(B202="","","B-"&amp;TEXT(ROW()-4,"0000"))</f>
        <v/>
      </c>
      <c r="B202" s="38"/>
      <c r="C202" s="38"/>
      <c r="D202" s="6"/>
      <c r="E202" s="6"/>
      <c r="F202" s="6"/>
      <c r="G202" s="11"/>
      <c r="H202" s="24" t="str">
        <f aca="false">IF(AND(ISNUMBER(B202),ISNUMBER(C202)),MAX(0,C202-B202),"")</f>
        <v/>
      </c>
      <c r="I202" s="37"/>
      <c r="J202" s="46" t="str">
        <f aca="false">IF(OR(D202="",N(H202)=0),"",IFERROR(IF(I202&lt;&gt;"",H202*I202,ROUND(((H202-(INT((WEEKDAY(B202-6)+H202-1)/7)+INT((WEEKDAY(B202-7)+H202-1)/7)))*INDEX(Properties!$E$5:$E$24,MATCH(D202,Properties!$A$5:$A$24,0))+(INT((WEEKDAY(B202-6)+H202-1)/7)+INT((WEEKDAY(B202-7)+H202-1)/7))*INDEX(Properties!$F$5:$F$24,MATCH(D202,Properties!$A$5:$A$24,0)))*(1-IF(H202&gt;=28,Settings!$B$10,IF(H202&gt;=7,Settings!$B$9,0))),2)),0))</f>
        <v/>
      </c>
      <c r="K202" s="46" t="str">
        <f aca="false">IF(J202="","",IFERROR(N(INDEX(Properties!$G$5:$G$24,MATCH(D202,Properties!$A$5:$A$24,0))),0))</f>
        <v/>
      </c>
      <c r="L202" s="46" t="str">
        <f aca="false">IF(J202="","",IFERROR(MAX(0,N(G202)-INDEX(Properties!$I$5:$I$24,MATCH(D202,Properties!$A$5:$A$24,0)))*N(INDEX(Properties!$J$5:$J$24,MATCH(D202,Properties!$A$5:$A$24,0)))*H202,0))</f>
        <v/>
      </c>
      <c r="M202" s="37"/>
      <c r="N202" s="46" t="str">
        <f aca="false">IF(J202="","",J202+K202+L202+N(M202))</f>
        <v/>
      </c>
      <c r="O202" s="46" t="str">
        <f aca="false">IF(N202="","",IF(P202&lt;&gt;"",N202-P202,ROUND(N202*IFERROR(INDEX(Settings!$E$5:$E$12,MATCH(F202,Settings!$D$5:$D$12,0)),0),2)))</f>
        <v/>
      </c>
      <c r="P202" s="37"/>
      <c r="Q202" s="46" t="str">
        <f aca="false">IF(N202="","",IF(P202&lt;&gt;"",P202,N202-O202))</f>
        <v/>
      </c>
      <c r="R202" s="46" t="str">
        <f aca="false">IF(J202="","",IFERROR(N(INDEX(Properties!$H$5:$H$24,MATCH(D202,Properties!$A$5:$A$24,0))),0))</f>
        <v/>
      </c>
      <c r="S202" s="46" t="str">
        <f aca="false">IF(Q202="","",Q202-R202)</f>
        <v/>
      </c>
      <c r="T202" s="6"/>
      <c r="U202" s="6"/>
      <c r="V202" s="6"/>
      <c r="W202" s="6"/>
      <c r="X202" s="6"/>
      <c r="Y202" s="8" t="str">
        <f aca="false">IF(OR(D202="",B202="",C202=""),"",IF(N(C202)&lt;=N(B202),"Check dates",IF(T202="Cancelled","",IF(COUNTIFS($D$5:$D$1004,D202,$B$5:$B$1004,"&lt;"&amp;C202,$C$5:$C$1004,"&gt;"&amp;B202,$T$5:$T$1004,"&lt;&gt;Cancelled")&gt;1,"Double-booked",""))))</f>
        <v/>
      </c>
      <c r="Z202" s="42" t="str">
        <f aca="false">IF(AND(AA202=1,ISNUMBER(C202)),C202+ROW()/100000,"")</f>
        <v/>
      </c>
      <c r="AA202" s="43" t="n">
        <f aca="false">IF(AND(D202&lt;&gt;"",ISNUMBER(B202),ISNUMBER(C202),N(H202)&gt;0,T202&lt;&gt;"Cancelled",J202&lt;&gt;""),1,0)</f>
        <v>0</v>
      </c>
      <c r="AB202" s="44" t="n">
        <f aca="false">IF(AA202=1,J202/H202,0)</f>
        <v>0</v>
      </c>
      <c r="AC202" s="44" t="n">
        <f aca="false">IF(AA202=1,Q202/H202,0)</f>
        <v>0</v>
      </c>
      <c r="AD202" s="44" t="n">
        <f aca="false">IF(AA202=1,R202/H202,0)</f>
        <v>0</v>
      </c>
      <c r="AE202" s="44" t="n">
        <f aca="false">IF(AA202=1,O202/H202,0)</f>
        <v>0</v>
      </c>
      <c r="AF202" s="44" t="n">
        <f aca="false">IF(AA202=1,K202/H202,0)</f>
        <v>0</v>
      </c>
      <c r="AG202" s="45" t="str">
        <f aca="false">IF(AA202=1,D202&amp;"|"&amp;TEXT(B202,"0"),"")</f>
        <v/>
      </c>
      <c r="AH202" s="43" t="n">
        <f aca="false">IF(AA202=1,H202,0)</f>
        <v>0</v>
      </c>
    </row>
    <row r="203" customFormat="false" ht="15" hidden="false" customHeight="false" outlineLevel="0" collapsed="false">
      <c r="A203" s="8" t="str">
        <f aca="false">IF(B203="","","B-"&amp;TEXT(ROW()-4,"0000"))</f>
        <v/>
      </c>
      <c r="B203" s="38"/>
      <c r="C203" s="38"/>
      <c r="D203" s="6"/>
      <c r="E203" s="6"/>
      <c r="F203" s="6"/>
      <c r="G203" s="11"/>
      <c r="H203" s="18" t="str">
        <f aca="false">IF(AND(ISNUMBER(B203),ISNUMBER(C203)),MAX(0,C203-B203),"")</f>
        <v/>
      </c>
      <c r="I203" s="37"/>
      <c r="J203" s="41" t="str">
        <f aca="false">IF(OR(D203="",N(H203)=0),"",IFERROR(IF(I203&lt;&gt;"",H203*I203,ROUND(((H203-(INT((WEEKDAY(B203-6)+H203-1)/7)+INT((WEEKDAY(B203-7)+H203-1)/7)))*INDEX(Properties!$E$5:$E$24,MATCH(D203,Properties!$A$5:$A$24,0))+(INT((WEEKDAY(B203-6)+H203-1)/7)+INT((WEEKDAY(B203-7)+H203-1)/7))*INDEX(Properties!$F$5:$F$24,MATCH(D203,Properties!$A$5:$A$24,0)))*(1-IF(H203&gt;=28,Settings!$B$10,IF(H203&gt;=7,Settings!$B$9,0))),2)),0))</f>
        <v/>
      </c>
      <c r="K203" s="41" t="str">
        <f aca="false">IF(J203="","",IFERROR(N(INDEX(Properties!$G$5:$G$24,MATCH(D203,Properties!$A$5:$A$24,0))),0))</f>
        <v/>
      </c>
      <c r="L203" s="41" t="str">
        <f aca="false">IF(J203="","",IFERROR(MAX(0,N(G203)-INDEX(Properties!$I$5:$I$24,MATCH(D203,Properties!$A$5:$A$24,0)))*N(INDEX(Properties!$J$5:$J$24,MATCH(D203,Properties!$A$5:$A$24,0)))*H203,0))</f>
        <v/>
      </c>
      <c r="M203" s="37"/>
      <c r="N203" s="41" t="str">
        <f aca="false">IF(J203="","",J203+K203+L203+N(M203))</f>
        <v/>
      </c>
      <c r="O203" s="41" t="str">
        <f aca="false">IF(N203="","",IF(P203&lt;&gt;"",N203-P203,ROUND(N203*IFERROR(INDEX(Settings!$E$5:$E$12,MATCH(F203,Settings!$D$5:$D$12,0)),0),2)))</f>
        <v/>
      </c>
      <c r="P203" s="37"/>
      <c r="Q203" s="41" t="str">
        <f aca="false">IF(N203="","",IF(P203&lt;&gt;"",P203,N203-O203))</f>
        <v/>
      </c>
      <c r="R203" s="41" t="str">
        <f aca="false">IF(J203="","",IFERROR(N(INDEX(Properties!$H$5:$H$24,MATCH(D203,Properties!$A$5:$A$24,0))),0))</f>
        <v/>
      </c>
      <c r="S203" s="41" t="str">
        <f aca="false">IF(Q203="","",Q203-R203)</f>
        <v/>
      </c>
      <c r="T203" s="6"/>
      <c r="U203" s="6"/>
      <c r="V203" s="6"/>
      <c r="W203" s="6"/>
      <c r="X203" s="6"/>
      <c r="Y203" s="8" t="str">
        <f aca="false">IF(OR(D203="",B203="",C203=""),"",IF(N(C203)&lt;=N(B203),"Check dates",IF(T203="Cancelled","",IF(COUNTIFS($D$5:$D$1004,D203,$B$5:$B$1004,"&lt;"&amp;C203,$C$5:$C$1004,"&gt;"&amp;B203,$T$5:$T$1004,"&lt;&gt;Cancelled")&gt;1,"Double-booked",""))))</f>
        <v/>
      </c>
      <c r="Z203" s="42" t="str">
        <f aca="false">IF(AND(AA203=1,ISNUMBER(C203)),C203+ROW()/100000,"")</f>
        <v/>
      </c>
      <c r="AA203" s="43" t="n">
        <f aca="false">IF(AND(D203&lt;&gt;"",ISNUMBER(B203),ISNUMBER(C203),N(H203)&gt;0,T203&lt;&gt;"Cancelled",J203&lt;&gt;""),1,0)</f>
        <v>0</v>
      </c>
      <c r="AB203" s="44" t="n">
        <f aca="false">IF(AA203=1,J203/H203,0)</f>
        <v>0</v>
      </c>
      <c r="AC203" s="44" t="n">
        <f aca="false">IF(AA203=1,Q203/H203,0)</f>
        <v>0</v>
      </c>
      <c r="AD203" s="44" t="n">
        <f aca="false">IF(AA203=1,R203/H203,0)</f>
        <v>0</v>
      </c>
      <c r="AE203" s="44" t="n">
        <f aca="false">IF(AA203=1,O203/H203,0)</f>
        <v>0</v>
      </c>
      <c r="AF203" s="44" t="n">
        <f aca="false">IF(AA203=1,K203/H203,0)</f>
        <v>0</v>
      </c>
      <c r="AG203" s="45" t="str">
        <f aca="false">IF(AA203=1,D203&amp;"|"&amp;TEXT(B203,"0"),"")</f>
        <v/>
      </c>
      <c r="AH203" s="43" t="n">
        <f aca="false">IF(AA203=1,H203,0)</f>
        <v>0</v>
      </c>
    </row>
    <row r="204" customFormat="false" ht="15" hidden="false" customHeight="false" outlineLevel="0" collapsed="false">
      <c r="A204" s="23" t="str">
        <f aca="false">IF(B204="","","B-"&amp;TEXT(ROW()-4,"0000"))</f>
        <v/>
      </c>
      <c r="B204" s="38"/>
      <c r="C204" s="38"/>
      <c r="D204" s="6"/>
      <c r="E204" s="6"/>
      <c r="F204" s="6"/>
      <c r="G204" s="11"/>
      <c r="H204" s="24" t="str">
        <f aca="false">IF(AND(ISNUMBER(B204),ISNUMBER(C204)),MAX(0,C204-B204),"")</f>
        <v/>
      </c>
      <c r="I204" s="37"/>
      <c r="J204" s="46" t="str">
        <f aca="false">IF(OR(D204="",N(H204)=0),"",IFERROR(IF(I204&lt;&gt;"",H204*I204,ROUND(((H204-(INT((WEEKDAY(B204-6)+H204-1)/7)+INT((WEEKDAY(B204-7)+H204-1)/7)))*INDEX(Properties!$E$5:$E$24,MATCH(D204,Properties!$A$5:$A$24,0))+(INT((WEEKDAY(B204-6)+H204-1)/7)+INT((WEEKDAY(B204-7)+H204-1)/7))*INDEX(Properties!$F$5:$F$24,MATCH(D204,Properties!$A$5:$A$24,0)))*(1-IF(H204&gt;=28,Settings!$B$10,IF(H204&gt;=7,Settings!$B$9,0))),2)),0))</f>
        <v/>
      </c>
      <c r="K204" s="46" t="str">
        <f aca="false">IF(J204="","",IFERROR(N(INDEX(Properties!$G$5:$G$24,MATCH(D204,Properties!$A$5:$A$24,0))),0))</f>
        <v/>
      </c>
      <c r="L204" s="46" t="str">
        <f aca="false">IF(J204="","",IFERROR(MAX(0,N(G204)-INDEX(Properties!$I$5:$I$24,MATCH(D204,Properties!$A$5:$A$24,0)))*N(INDEX(Properties!$J$5:$J$24,MATCH(D204,Properties!$A$5:$A$24,0)))*H204,0))</f>
        <v/>
      </c>
      <c r="M204" s="37"/>
      <c r="N204" s="46" t="str">
        <f aca="false">IF(J204="","",J204+K204+L204+N(M204))</f>
        <v/>
      </c>
      <c r="O204" s="46" t="str">
        <f aca="false">IF(N204="","",IF(P204&lt;&gt;"",N204-P204,ROUND(N204*IFERROR(INDEX(Settings!$E$5:$E$12,MATCH(F204,Settings!$D$5:$D$12,0)),0),2)))</f>
        <v/>
      </c>
      <c r="P204" s="37"/>
      <c r="Q204" s="46" t="str">
        <f aca="false">IF(N204="","",IF(P204&lt;&gt;"",P204,N204-O204))</f>
        <v/>
      </c>
      <c r="R204" s="46" t="str">
        <f aca="false">IF(J204="","",IFERROR(N(INDEX(Properties!$H$5:$H$24,MATCH(D204,Properties!$A$5:$A$24,0))),0))</f>
        <v/>
      </c>
      <c r="S204" s="46" t="str">
        <f aca="false">IF(Q204="","",Q204-R204)</f>
        <v/>
      </c>
      <c r="T204" s="6"/>
      <c r="U204" s="6"/>
      <c r="V204" s="6"/>
      <c r="W204" s="6"/>
      <c r="X204" s="6"/>
      <c r="Y204" s="8" t="str">
        <f aca="false">IF(OR(D204="",B204="",C204=""),"",IF(N(C204)&lt;=N(B204),"Check dates",IF(T204="Cancelled","",IF(COUNTIFS($D$5:$D$1004,D204,$B$5:$B$1004,"&lt;"&amp;C204,$C$5:$C$1004,"&gt;"&amp;B204,$T$5:$T$1004,"&lt;&gt;Cancelled")&gt;1,"Double-booked",""))))</f>
        <v/>
      </c>
      <c r="Z204" s="42" t="str">
        <f aca="false">IF(AND(AA204=1,ISNUMBER(C204)),C204+ROW()/100000,"")</f>
        <v/>
      </c>
      <c r="AA204" s="43" t="n">
        <f aca="false">IF(AND(D204&lt;&gt;"",ISNUMBER(B204),ISNUMBER(C204),N(H204)&gt;0,T204&lt;&gt;"Cancelled",J204&lt;&gt;""),1,0)</f>
        <v>0</v>
      </c>
      <c r="AB204" s="44" t="n">
        <f aca="false">IF(AA204=1,J204/H204,0)</f>
        <v>0</v>
      </c>
      <c r="AC204" s="44" t="n">
        <f aca="false">IF(AA204=1,Q204/H204,0)</f>
        <v>0</v>
      </c>
      <c r="AD204" s="44" t="n">
        <f aca="false">IF(AA204=1,R204/H204,0)</f>
        <v>0</v>
      </c>
      <c r="AE204" s="44" t="n">
        <f aca="false">IF(AA204=1,O204/H204,0)</f>
        <v>0</v>
      </c>
      <c r="AF204" s="44" t="n">
        <f aca="false">IF(AA204=1,K204/H204,0)</f>
        <v>0</v>
      </c>
      <c r="AG204" s="45" t="str">
        <f aca="false">IF(AA204=1,D204&amp;"|"&amp;TEXT(B204,"0"),"")</f>
        <v/>
      </c>
      <c r="AH204" s="43" t="n">
        <f aca="false">IF(AA204=1,H204,0)</f>
        <v>0</v>
      </c>
    </row>
    <row r="205" customFormat="false" ht="15" hidden="false" customHeight="false" outlineLevel="0" collapsed="false">
      <c r="A205" s="8" t="str">
        <f aca="false">IF(B205="","","B-"&amp;TEXT(ROW()-4,"0000"))</f>
        <v/>
      </c>
      <c r="B205" s="38"/>
      <c r="C205" s="38"/>
      <c r="D205" s="6"/>
      <c r="E205" s="6"/>
      <c r="F205" s="6"/>
      <c r="G205" s="11"/>
      <c r="H205" s="18" t="str">
        <f aca="false">IF(AND(ISNUMBER(B205),ISNUMBER(C205)),MAX(0,C205-B205),"")</f>
        <v/>
      </c>
      <c r="I205" s="37"/>
      <c r="J205" s="41" t="str">
        <f aca="false">IF(OR(D205="",N(H205)=0),"",IFERROR(IF(I205&lt;&gt;"",H205*I205,ROUND(((H205-(INT((WEEKDAY(B205-6)+H205-1)/7)+INT((WEEKDAY(B205-7)+H205-1)/7)))*INDEX(Properties!$E$5:$E$24,MATCH(D205,Properties!$A$5:$A$24,0))+(INT((WEEKDAY(B205-6)+H205-1)/7)+INT((WEEKDAY(B205-7)+H205-1)/7))*INDEX(Properties!$F$5:$F$24,MATCH(D205,Properties!$A$5:$A$24,0)))*(1-IF(H205&gt;=28,Settings!$B$10,IF(H205&gt;=7,Settings!$B$9,0))),2)),0))</f>
        <v/>
      </c>
      <c r="K205" s="41" t="str">
        <f aca="false">IF(J205="","",IFERROR(N(INDEX(Properties!$G$5:$G$24,MATCH(D205,Properties!$A$5:$A$24,0))),0))</f>
        <v/>
      </c>
      <c r="L205" s="41" t="str">
        <f aca="false">IF(J205="","",IFERROR(MAX(0,N(G205)-INDEX(Properties!$I$5:$I$24,MATCH(D205,Properties!$A$5:$A$24,0)))*N(INDEX(Properties!$J$5:$J$24,MATCH(D205,Properties!$A$5:$A$24,0)))*H205,0))</f>
        <v/>
      </c>
      <c r="M205" s="37"/>
      <c r="N205" s="41" t="str">
        <f aca="false">IF(J205="","",J205+K205+L205+N(M205))</f>
        <v/>
      </c>
      <c r="O205" s="41" t="str">
        <f aca="false">IF(N205="","",IF(P205&lt;&gt;"",N205-P205,ROUND(N205*IFERROR(INDEX(Settings!$E$5:$E$12,MATCH(F205,Settings!$D$5:$D$12,0)),0),2)))</f>
        <v/>
      </c>
      <c r="P205" s="37"/>
      <c r="Q205" s="41" t="str">
        <f aca="false">IF(N205="","",IF(P205&lt;&gt;"",P205,N205-O205))</f>
        <v/>
      </c>
      <c r="R205" s="41" t="str">
        <f aca="false">IF(J205="","",IFERROR(N(INDEX(Properties!$H$5:$H$24,MATCH(D205,Properties!$A$5:$A$24,0))),0))</f>
        <v/>
      </c>
      <c r="S205" s="41" t="str">
        <f aca="false">IF(Q205="","",Q205-R205)</f>
        <v/>
      </c>
      <c r="T205" s="6"/>
      <c r="U205" s="6"/>
      <c r="V205" s="6"/>
      <c r="W205" s="6"/>
      <c r="X205" s="6"/>
      <c r="Y205" s="8" t="str">
        <f aca="false">IF(OR(D205="",B205="",C205=""),"",IF(N(C205)&lt;=N(B205),"Check dates",IF(T205="Cancelled","",IF(COUNTIFS($D$5:$D$1004,D205,$B$5:$B$1004,"&lt;"&amp;C205,$C$5:$C$1004,"&gt;"&amp;B205,$T$5:$T$1004,"&lt;&gt;Cancelled")&gt;1,"Double-booked",""))))</f>
        <v/>
      </c>
      <c r="Z205" s="42" t="str">
        <f aca="false">IF(AND(AA205=1,ISNUMBER(C205)),C205+ROW()/100000,"")</f>
        <v/>
      </c>
      <c r="AA205" s="43" t="n">
        <f aca="false">IF(AND(D205&lt;&gt;"",ISNUMBER(B205),ISNUMBER(C205),N(H205)&gt;0,T205&lt;&gt;"Cancelled",J205&lt;&gt;""),1,0)</f>
        <v>0</v>
      </c>
      <c r="AB205" s="44" t="n">
        <f aca="false">IF(AA205=1,J205/H205,0)</f>
        <v>0</v>
      </c>
      <c r="AC205" s="44" t="n">
        <f aca="false">IF(AA205=1,Q205/H205,0)</f>
        <v>0</v>
      </c>
      <c r="AD205" s="44" t="n">
        <f aca="false">IF(AA205=1,R205/H205,0)</f>
        <v>0</v>
      </c>
      <c r="AE205" s="44" t="n">
        <f aca="false">IF(AA205=1,O205/H205,0)</f>
        <v>0</v>
      </c>
      <c r="AF205" s="44" t="n">
        <f aca="false">IF(AA205=1,K205/H205,0)</f>
        <v>0</v>
      </c>
      <c r="AG205" s="45" t="str">
        <f aca="false">IF(AA205=1,D205&amp;"|"&amp;TEXT(B205,"0"),"")</f>
        <v/>
      </c>
      <c r="AH205" s="43" t="n">
        <f aca="false">IF(AA205=1,H205,0)</f>
        <v>0</v>
      </c>
    </row>
    <row r="206" customFormat="false" ht="15" hidden="false" customHeight="false" outlineLevel="0" collapsed="false">
      <c r="A206" s="23" t="str">
        <f aca="false">IF(B206="","","B-"&amp;TEXT(ROW()-4,"0000"))</f>
        <v/>
      </c>
      <c r="B206" s="38"/>
      <c r="C206" s="38"/>
      <c r="D206" s="6"/>
      <c r="E206" s="6"/>
      <c r="F206" s="6"/>
      <c r="G206" s="11"/>
      <c r="H206" s="24" t="str">
        <f aca="false">IF(AND(ISNUMBER(B206),ISNUMBER(C206)),MAX(0,C206-B206),"")</f>
        <v/>
      </c>
      <c r="I206" s="37"/>
      <c r="J206" s="46" t="str">
        <f aca="false">IF(OR(D206="",N(H206)=0),"",IFERROR(IF(I206&lt;&gt;"",H206*I206,ROUND(((H206-(INT((WEEKDAY(B206-6)+H206-1)/7)+INT((WEEKDAY(B206-7)+H206-1)/7)))*INDEX(Properties!$E$5:$E$24,MATCH(D206,Properties!$A$5:$A$24,0))+(INT((WEEKDAY(B206-6)+H206-1)/7)+INT((WEEKDAY(B206-7)+H206-1)/7))*INDEX(Properties!$F$5:$F$24,MATCH(D206,Properties!$A$5:$A$24,0)))*(1-IF(H206&gt;=28,Settings!$B$10,IF(H206&gt;=7,Settings!$B$9,0))),2)),0))</f>
        <v/>
      </c>
      <c r="K206" s="46" t="str">
        <f aca="false">IF(J206="","",IFERROR(N(INDEX(Properties!$G$5:$G$24,MATCH(D206,Properties!$A$5:$A$24,0))),0))</f>
        <v/>
      </c>
      <c r="L206" s="46" t="str">
        <f aca="false">IF(J206="","",IFERROR(MAX(0,N(G206)-INDEX(Properties!$I$5:$I$24,MATCH(D206,Properties!$A$5:$A$24,0)))*N(INDEX(Properties!$J$5:$J$24,MATCH(D206,Properties!$A$5:$A$24,0)))*H206,0))</f>
        <v/>
      </c>
      <c r="M206" s="37"/>
      <c r="N206" s="46" t="str">
        <f aca="false">IF(J206="","",J206+K206+L206+N(M206))</f>
        <v/>
      </c>
      <c r="O206" s="46" t="str">
        <f aca="false">IF(N206="","",IF(P206&lt;&gt;"",N206-P206,ROUND(N206*IFERROR(INDEX(Settings!$E$5:$E$12,MATCH(F206,Settings!$D$5:$D$12,0)),0),2)))</f>
        <v/>
      </c>
      <c r="P206" s="37"/>
      <c r="Q206" s="46" t="str">
        <f aca="false">IF(N206="","",IF(P206&lt;&gt;"",P206,N206-O206))</f>
        <v/>
      </c>
      <c r="R206" s="46" t="str">
        <f aca="false">IF(J206="","",IFERROR(N(INDEX(Properties!$H$5:$H$24,MATCH(D206,Properties!$A$5:$A$24,0))),0))</f>
        <v/>
      </c>
      <c r="S206" s="46" t="str">
        <f aca="false">IF(Q206="","",Q206-R206)</f>
        <v/>
      </c>
      <c r="T206" s="6"/>
      <c r="U206" s="6"/>
      <c r="V206" s="6"/>
      <c r="W206" s="6"/>
      <c r="X206" s="6"/>
      <c r="Y206" s="8" t="str">
        <f aca="false">IF(OR(D206="",B206="",C206=""),"",IF(N(C206)&lt;=N(B206),"Check dates",IF(T206="Cancelled","",IF(COUNTIFS($D$5:$D$1004,D206,$B$5:$B$1004,"&lt;"&amp;C206,$C$5:$C$1004,"&gt;"&amp;B206,$T$5:$T$1004,"&lt;&gt;Cancelled")&gt;1,"Double-booked",""))))</f>
        <v/>
      </c>
      <c r="Z206" s="42" t="str">
        <f aca="false">IF(AND(AA206=1,ISNUMBER(C206)),C206+ROW()/100000,"")</f>
        <v/>
      </c>
      <c r="AA206" s="43" t="n">
        <f aca="false">IF(AND(D206&lt;&gt;"",ISNUMBER(B206),ISNUMBER(C206),N(H206)&gt;0,T206&lt;&gt;"Cancelled",J206&lt;&gt;""),1,0)</f>
        <v>0</v>
      </c>
      <c r="AB206" s="44" t="n">
        <f aca="false">IF(AA206=1,J206/H206,0)</f>
        <v>0</v>
      </c>
      <c r="AC206" s="44" t="n">
        <f aca="false">IF(AA206=1,Q206/H206,0)</f>
        <v>0</v>
      </c>
      <c r="AD206" s="44" t="n">
        <f aca="false">IF(AA206=1,R206/H206,0)</f>
        <v>0</v>
      </c>
      <c r="AE206" s="44" t="n">
        <f aca="false">IF(AA206=1,O206/H206,0)</f>
        <v>0</v>
      </c>
      <c r="AF206" s="44" t="n">
        <f aca="false">IF(AA206=1,K206/H206,0)</f>
        <v>0</v>
      </c>
      <c r="AG206" s="45" t="str">
        <f aca="false">IF(AA206=1,D206&amp;"|"&amp;TEXT(B206,"0"),"")</f>
        <v/>
      </c>
      <c r="AH206" s="43" t="n">
        <f aca="false">IF(AA206=1,H206,0)</f>
        <v>0</v>
      </c>
    </row>
    <row r="207" customFormat="false" ht="15" hidden="false" customHeight="false" outlineLevel="0" collapsed="false">
      <c r="A207" s="8" t="str">
        <f aca="false">IF(B207="","","B-"&amp;TEXT(ROW()-4,"0000"))</f>
        <v/>
      </c>
      <c r="B207" s="38"/>
      <c r="C207" s="38"/>
      <c r="D207" s="6"/>
      <c r="E207" s="6"/>
      <c r="F207" s="6"/>
      <c r="G207" s="11"/>
      <c r="H207" s="18" t="str">
        <f aca="false">IF(AND(ISNUMBER(B207),ISNUMBER(C207)),MAX(0,C207-B207),"")</f>
        <v/>
      </c>
      <c r="I207" s="37"/>
      <c r="J207" s="41" t="str">
        <f aca="false">IF(OR(D207="",N(H207)=0),"",IFERROR(IF(I207&lt;&gt;"",H207*I207,ROUND(((H207-(INT((WEEKDAY(B207-6)+H207-1)/7)+INT((WEEKDAY(B207-7)+H207-1)/7)))*INDEX(Properties!$E$5:$E$24,MATCH(D207,Properties!$A$5:$A$24,0))+(INT((WEEKDAY(B207-6)+H207-1)/7)+INT((WEEKDAY(B207-7)+H207-1)/7))*INDEX(Properties!$F$5:$F$24,MATCH(D207,Properties!$A$5:$A$24,0)))*(1-IF(H207&gt;=28,Settings!$B$10,IF(H207&gt;=7,Settings!$B$9,0))),2)),0))</f>
        <v/>
      </c>
      <c r="K207" s="41" t="str">
        <f aca="false">IF(J207="","",IFERROR(N(INDEX(Properties!$G$5:$G$24,MATCH(D207,Properties!$A$5:$A$24,0))),0))</f>
        <v/>
      </c>
      <c r="L207" s="41" t="str">
        <f aca="false">IF(J207="","",IFERROR(MAX(0,N(G207)-INDEX(Properties!$I$5:$I$24,MATCH(D207,Properties!$A$5:$A$24,0)))*N(INDEX(Properties!$J$5:$J$24,MATCH(D207,Properties!$A$5:$A$24,0)))*H207,0))</f>
        <v/>
      </c>
      <c r="M207" s="37"/>
      <c r="N207" s="41" t="str">
        <f aca="false">IF(J207="","",J207+K207+L207+N(M207))</f>
        <v/>
      </c>
      <c r="O207" s="41" t="str">
        <f aca="false">IF(N207="","",IF(P207&lt;&gt;"",N207-P207,ROUND(N207*IFERROR(INDEX(Settings!$E$5:$E$12,MATCH(F207,Settings!$D$5:$D$12,0)),0),2)))</f>
        <v/>
      </c>
      <c r="P207" s="37"/>
      <c r="Q207" s="41" t="str">
        <f aca="false">IF(N207="","",IF(P207&lt;&gt;"",P207,N207-O207))</f>
        <v/>
      </c>
      <c r="R207" s="41" t="str">
        <f aca="false">IF(J207="","",IFERROR(N(INDEX(Properties!$H$5:$H$24,MATCH(D207,Properties!$A$5:$A$24,0))),0))</f>
        <v/>
      </c>
      <c r="S207" s="41" t="str">
        <f aca="false">IF(Q207="","",Q207-R207)</f>
        <v/>
      </c>
      <c r="T207" s="6"/>
      <c r="U207" s="6"/>
      <c r="V207" s="6"/>
      <c r="W207" s="6"/>
      <c r="X207" s="6"/>
      <c r="Y207" s="8" t="str">
        <f aca="false">IF(OR(D207="",B207="",C207=""),"",IF(N(C207)&lt;=N(B207),"Check dates",IF(T207="Cancelled","",IF(COUNTIFS($D$5:$D$1004,D207,$B$5:$B$1004,"&lt;"&amp;C207,$C$5:$C$1004,"&gt;"&amp;B207,$T$5:$T$1004,"&lt;&gt;Cancelled")&gt;1,"Double-booked",""))))</f>
        <v/>
      </c>
      <c r="Z207" s="42" t="str">
        <f aca="false">IF(AND(AA207=1,ISNUMBER(C207)),C207+ROW()/100000,"")</f>
        <v/>
      </c>
      <c r="AA207" s="43" t="n">
        <f aca="false">IF(AND(D207&lt;&gt;"",ISNUMBER(B207),ISNUMBER(C207),N(H207)&gt;0,T207&lt;&gt;"Cancelled",J207&lt;&gt;""),1,0)</f>
        <v>0</v>
      </c>
      <c r="AB207" s="44" t="n">
        <f aca="false">IF(AA207=1,J207/H207,0)</f>
        <v>0</v>
      </c>
      <c r="AC207" s="44" t="n">
        <f aca="false">IF(AA207=1,Q207/H207,0)</f>
        <v>0</v>
      </c>
      <c r="AD207" s="44" t="n">
        <f aca="false">IF(AA207=1,R207/H207,0)</f>
        <v>0</v>
      </c>
      <c r="AE207" s="44" t="n">
        <f aca="false">IF(AA207=1,O207/H207,0)</f>
        <v>0</v>
      </c>
      <c r="AF207" s="44" t="n">
        <f aca="false">IF(AA207=1,K207/H207,0)</f>
        <v>0</v>
      </c>
      <c r="AG207" s="45" t="str">
        <f aca="false">IF(AA207=1,D207&amp;"|"&amp;TEXT(B207,"0"),"")</f>
        <v/>
      </c>
      <c r="AH207" s="43" t="n">
        <f aca="false">IF(AA207=1,H207,0)</f>
        <v>0</v>
      </c>
    </row>
    <row r="208" customFormat="false" ht="15" hidden="false" customHeight="false" outlineLevel="0" collapsed="false">
      <c r="A208" s="23" t="str">
        <f aca="false">IF(B208="","","B-"&amp;TEXT(ROW()-4,"0000"))</f>
        <v/>
      </c>
      <c r="B208" s="38"/>
      <c r="C208" s="38"/>
      <c r="D208" s="6"/>
      <c r="E208" s="6"/>
      <c r="F208" s="6"/>
      <c r="G208" s="11"/>
      <c r="H208" s="24" t="str">
        <f aca="false">IF(AND(ISNUMBER(B208),ISNUMBER(C208)),MAX(0,C208-B208),"")</f>
        <v/>
      </c>
      <c r="I208" s="37"/>
      <c r="J208" s="46" t="str">
        <f aca="false">IF(OR(D208="",N(H208)=0),"",IFERROR(IF(I208&lt;&gt;"",H208*I208,ROUND(((H208-(INT((WEEKDAY(B208-6)+H208-1)/7)+INT((WEEKDAY(B208-7)+H208-1)/7)))*INDEX(Properties!$E$5:$E$24,MATCH(D208,Properties!$A$5:$A$24,0))+(INT((WEEKDAY(B208-6)+H208-1)/7)+INT((WEEKDAY(B208-7)+H208-1)/7))*INDEX(Properties!$F$5:$F$24,MATCH(D208,Properties!$A$5:$A$24,0)))*(1-IF(H208&gt;=28,Settings!$B$10,IF(H208&gt;=7,Settings!$B$9,0))),2)),0))</f>
        <v/>
      </c>
      <c r="K208" s="46" t="str">
        <f aca="false">IF(J208="","",IFERROR(N(INDEX(Properties!$G$5:$G$24,MATCH(D208,Properties!$A$5:$A$24,0))),0))</f>
        <v/>
      </c>
      <c r="L208" s="46" t="str">
        <f aca="false">IF(J208="","",IFERROR(MAX(0,N(G208)-INDEX(Properties!$I$5:$I$24,MATCH(D208,Properties!$A$5:$A$24,0)))*N(INDEX(Properties!$J$5:$J$24,MATCH(D208,Properties!$A$5:$A$24,0)))*H208,0))</f>
        <v/>
      </c>
      <c r="M208" s="37"/>
      <c r="N208" s="46" t="str">
        <f aca="false">IF(J208="","",J208+K208+L208+N(M208))</f>
        <v/>
      </c>
      <c r="O208" s="46" t="str">
        <f aca="false">IF(N208="","",IF(P208&lt;&gt;"",N208-P208,ROUND(N208*IFERROR(INDEX(Settings!$E$5:$E$12,MATCH(F208,Settings!$D$5:$D$12,0)),0),2)))</f>
        <v/>
      </c>
      <c r="P208" s="37"/>
      <c r="Q208" s="46" t="str">
        <f aca="false">IF(N208="","",IF(P208&lt;&gt;"",P208,N208-O208))</f>
        <v/>
      </c>
      <c r="R208" s="46" t="str">
        <f aca="false">IF(J208="","",IFERROR(N(INDEX(Properties!$H$5:$H$24,MATCH(D208,Properties!$A$5:$A$24,0))),0))</f>
        <v/>
      </c>
      <c r="S208" s="46" t="str">
        <f aca="false">IF(Q208="","",Q208-R208)</f>
        <v/>
      </c>
      <c r="T208" s="6"/>
      <c r="U208" s="6"/>
      <c r="V208" s="6"/>
      <c r="W208" s="6"/>
      <c r="X208" s="6"/>
      <c r="Y208" s="8" t="str">
        <f aca="false">IF(OR(D208="",B208="",C208=""),"",IF(N(C208)&lt;=N(B208),"Check dates",IF(T208="Cancelled","",IF(COUNTIFS($D$5:$D$1004,D208,$B$5:$B$1004,"&lt;"&amp;C208,$C$5:$C$1004,"&gt;"&amp;B208,$T$5:$T$1004,"&lt;&gt;Cancelled")&gt;1,"Double-booked",""))))</f>
        <v/>
      </c>
      <c r="Z208" s="42" t="str">
        <f aca="false">IF(AND(AA208=1,ISNUMBER(C208)),C208+ROW()/100000,"")</f>
        <v/>
      </c>
      <c r="AA208" s="43" t="n">
        <f aca="false">IF(AND(D208&lt;&gt;"",ISNUMBER(B208),ISNUMBER(C208),N(H208)&gt;0,T208&lt;&gt;"Cancelled",J208&lt;&gt;""),1,0)</f>
        <v>0</v>
      </c>
      <c r="AB208" s="44" t="n">
        <f aca="false">IF(AA208=1,J208/H208,0)</f>
        <v>0</v>
      </c>
      <c r="AC208" s="44" t="n">
        <f aca="false">IF(AA208=1,Q208/H208,0)</f>
        <v>0</v>
      </c>
      <c r="AD208" s="44" t="n">
        <f aca="false">IF(AA208=1,R208/H208,0)</f>
        <v>0</v>
      </c>
      <c r="AE208" s="44" t="n">
        <f aca="false">IF(AA208=1,O208/H208,0)</f>
        <v>0</v>
      </c>
      <c r="AF208" s="44" t="n">
        <f aca="false">IF(AA208=1,K208/H208,0)</f>
        <v>0</v>
      </c>
      <c r="AG208" s="45" t="str">
        <f aca="false">IF(AA208=1,D208&amp;"|"&amp;TEXT(B208,"0"),"")</f>
        <v/>
      </c>
      <c r="AH208" s="43" t="n">
        <f aca="false">IF(AA208=1,H208,0)</f>
        <v>0</v>
      </c>
    </row>
    <row r="209" customFormat="false" ht="15" hidden="false" customHeight="false" outlineLevel="0" collapsed="false">
      <c r="A209" s="8" t="str">
        <f aca="false">IF(B209="","","B-"&amp;TEXT(ROW()-4,"0000"))</f>
        <v/>
      </c>
      <c r="B209" s="38"/>
      <c r="C209" s="38"/>
      <c r="D209" s="6"/>
      <c r="E209" s="6"/>
      <c r="F209" s="6"/>
      <c r="G209" s="11"/>
      <c r="H209" s="18" t="str">
        <f aca="false">IF(AND(ISNUMBER(B209),ISNUMBER(C209)),MAX(0,C209-B209),"")</f>
        <v/>
      </c>
      <c r="I209" s="37"/>
      <c r="J209" s="41" t="str">
        <f aca="false">IF(OR(D209="",N(H209)=0),"",IFERROR(IF(I209&lt;&gt;"",H209*I209,ROUND(((H209-(INT((WEEKDAY(B209-6)+H209-1)/7)+INT((WEEKDAY(B209-7)+H209-1)/7)))*INDEX(Properties!$E$5:$E$24,MATCH(D209,Properties!$A$5:$A$24,0))+(INT((WEEKDAY(B209-6)+H209-1)/7)+INT((WEEKDAY(B209-7)+H209-1)/7))*INDEX(Properties!$F$5:$F$24,MATCH(D209,Properties!$A$5:$A$24,0)))*(1-IF(H209&gt;=28,Settings!$B$10,IF(H209&gt;=7,Settings!$B$9,0))),2)),0))</f>
        <v/>
      </c>
      <c r="K209" s="41" t="str">
        <f aca="false">IF(J209="","",IFERROR(N(INDEX(Properties!$G$5:$G$24,MATCH(D209,Properties!$A$5:$A$24,0))),0))</f>
        <v/>
      </c>
      <c r="L209" s="41" t="str">
        <f aca="false">IF(J209="","",IFERROR(MAX(0,N(G209)-INDEX(Properties!$I$5:$I$24,MATCH(D209,Properties!$A$5:$A$24,0)))*N(INDEX(Properties!$J$5:$J$24,MATCH(D209,Properties!$A$5:$A$24,0)))*H209,0))</f>
        <v/>
      </c>
      <c r="M209" s="37"/>
      <c r="N209" s="41" t="str">
        <f aca="false">IF(J209="","",J209+K209+L209+N(M209))</f>
        <v/>
      </c>
      <c r="O209" s="41" t="str">
        <f aca="false">IF(N209="","",IF(P209&lt;&gt;"",N209-P209,ROUND(N209*IFERROR(INDEX(Settings!$E$5:$E$12,MATCH(F209,Settings!$D$5:$D$12,0)),0),2)))</f>
        <v/>
      </c>
      <c r="P209" s="37"/>
      <c r="Q209" s="41" t="str">
        <f aca="false">IF(N209="","",IF(P209&lt;&gt;"",P209,N209-O209))</f>
        <v/>
      </c>
      <c r="R209" s="41" t="str">
        <f aca="false">IF(J209="","",IFERROR(N(INDEX(Properties!$H$5:$H$24,MATCH(D209,Properties!$A$5:$A$24,0))),0))</f>
        <v/>
      </c>
      <c r="S209" s="41" t="str">
        <f aca="false">IF(Q209="","",Q209-R209)</f>
        <v/>
      </c>
      <c r="T209" s="6"/>
      <c r="U209" s="6"/>
      <c r="V209" s="6"/>
      <c r="W209" s="6"/>
      <c r="X209" s="6"/>
      <c r="Y209" s="8" t="str">
        <f aca="false">IF(OR(D209="",B209="",C209=""),"",IF(N(C209)&lt;=N(B209),"Check dates",IF(T209="Cancelled","",IF(COUNTIFS($D$5:$D$1004,D209,$B$5:$B$1004,"&lt;"&amp;C209,$C$5:$C$1004,"&gt;"&amp;B209,$T$5:$T$1004,"&lt;&gt;Cancelled")&gt;1,"Double-booked",""))))</f>
        <v/>
      </c>
      <c r="Z209" s="42" t="str">
        <f aca="false">IF(AND(AA209=1,ISNUMBER(C209)),C209+ROW()/100000,"")</f>
        <v/>
      </c>
      <c r="AA209" s="43" t="n">
        <f aca="false">IF(AND(D209&lt;&gt;"",ISNUMBER(B209),ISNUMBER(C209),N(H209)&gt;0,T209&lt;&gt;"Cancelled",J209&lt;&gt;""),1,0)</f>
        <v>0</v>
      </c>
      <c r="AB209" s="44" t="n">
        <f aca="false">IF(AA209=1,J209/H209,0)</f>
        <v>0</v>
      </c>
      <c r="AC209" s="44" t="n">
        <f aca="false">IF(AA209=1,Q209/H209,0)</f>
        <v>0</v>
      </c>
      <c r="AD209" s="44" t="n">
        <f aca="false">IF(AA209=1,R209/H209,0)</f>
        <v>0</v>
      </c>
      <c r="AE209" s="44" t="n">
        <f aca="false">IF(AA209=1,O209/H209,0)</f>
        <v>0</v>
      </c>
      <c r="AF209" s="44" t="n">
        <f aca="false">IF(AA209=1,K209/H209,0)</f>
        <v>0</v>
      </c>
      <c r="AG209" s="45" t="str">
        <f aca="false">IF(AA209=1,D209&amp;"|"&amp;TEXT(B209,"0"),"")</f>
        <v/>
      </c>
      <c r="AH209" s="43" t="n">
        <f aca="false">IF(AA209=1,H209,0)</f>
        <v>0</v>
      </c>
    </row>
    <row r="210" customFormat="false" ht="15" hidden="false" customHeight="false" outlineLevel="0" collapsed="false">
      <c r="A210" s="23" t="str">
        <f aca="false">IF(B210="","","B-"&amp;TEXT(ROW()-4,"0000"))</f>
        <v/>
      </c>
      <c r="B210" s="38"/>
      <c r="C210" s="38"/>
      <c r="D210" s="6"/>
      <c r="E210" s="6"/>
      <c r="F210" s="6"/>
      <c r="G210" s="11"/>
      <c r="H210" s="24" t="str">
        <f aca="false">IF(AND(ISNUMBER(B210),ISNUMBER(C210)),MAX(0,C210-B210),"")</f>
        <v/>
      </c>
      <c r="I210" s="37"/>
      <c r="J210" s="46" t="str">
        <f aca="false">IF(OR(D210="",N(H210)=0),"",IFERROR(IF(I210&lt;&gt;"",H210*I210,ROUND(((H210-(INT((WEEKDAY(B210-6)+H210-1)/7)+INT((WEEKDAY(B210-7)+H210-1)/7)))*INDEX(Properties!$E$5:$E$24,MATCH(D210,Properties!$A$5:$A$24,0))+(INT((WEEKDAY(B210-6)+H210-1)/7)+INT((WEEKDAY(B210-7)+H210-1)/7))*INDEX(Properties!$F$5:$F$24,MATCH(D210,Properties!$A$5:$A$24,0)))*(1-IF(H210&gt;=28,Settings!$B$10,IF(H210&gt;=7,Settings!$B$9,0))),2)),0))</f>
        <v/>
      </c>
      <c r="K210" s="46" t="str">
        <f aca="false">IF(J210="","",IFERROR(N(INDEX(Properties!$G$5:$G$24,MATCH(D210,Properties!$A$5:$A$24,0))),0))</f>
        <v/>
      </c>
      <c r="L210" s="46" t="str">
        <f aca="false">IF(J210="","",IFERROR(MAX(0,N(G210)-INDEX(Properties!$I$5:$I$24,MATCH(D210,Properties!$A$5:$A$24,0)))*N(INDEX(Properties!$J$5:$J$24,MATCH(D210,Properties!$A$5:$A$24,0)))*H210,0))</f>
        <v/>
      </c>
      <c r="M210" s="37"/>
      <c r="N210" s="46" t="str">
        <f aca="false">IF(J210="","",J210+K210+L210+N(M210))</f>
        <v/>
      </c>
      <c r="O210" s="46" t="str">
        <f aca="false">IF(N210="","",IF(P210&lt;&gt;"",N210-P210,ROUND(N210*IFERROR(INDEX(Settings!$E$5:$E$12,MATCH(F210,Settings!$D$5:$D$12,0)),0),2)))</f>
        <v/>
      </c>
      <c r="P210" s="37"/>
      <c r="Q210" s="46" t="str">
        <f aca="false">IF(N210="","",IF(P210&lt;&gt;"",P210,N210-O210))</f>
        <v/>
      </c>
      <c r="R210" s="46" t="str">
        <f aca="false">IF(J210="","",IFERROR(N(INDEX(Properties!$H$5:$H$24,MATCH(D210,Properties!$A$5:$A$24,0))),0))</f>
        <v/>
      </c>
      <c r="S210" s="46" t="str">
        <f aca="false">IF(Q210="","",Q210-R210)</f>
        <v/>
      </c>
      <c r="T210" s="6"/>
      <c r="U210" s="6"/>
      <c r="V210" s="6"/>
      <c r="W210" s="6"/>
      <c r="X210" s="6"/>
      <c r="Y210" s="8" t="str">
        <f aca="false">IF(OR(D210="",B210="",C210=""),"",IF(N(C210)&lt;=N(B210),"Check dates",IF(T210="Cancelled","",IF(COUNTIFS($D$5:$D$1004,D210,$B$5:$B$1004,"&lt;"&amp;C210,$C$5:$C$1004,"&gt;"&amp;B210,$T$5:$T$1004,"&lt;&gt;Cancelled")&gt;1,"Double-booked",""))))</f>
        <v/>
      </c>
      <c r="Z210" s="42" t="str">
        <f aca="false">IF(AND(AA210=1,ISNUMBER(C210)),C210+ROW()/100000,"")</f>
        <v/>
      </c>
      <c r="AA210" s="43" t="n">
        <f aca="false">IF(AND(D210&lt;&gt;"",ISNUMBER(B210),ISNUMBER(C210),N(H210)&gt;0,T210&lt;&gt;"Cancelled",J210&lt;&gt;""),1,0)</f>
        <v>0</v>
      </c>
      <c r="AB210" s="44" t="n">
        <f aca="false">IF(AA210=1,J210/H210,0)</f>
        <v>0</v>
      </c>
      <c r="AC210" s="44" t="n">
        <f aca="false">IF(AA210=1,Q210/H210,0)</f>
        <v>0</v>
      </c>
      <c r="AD210" s="44" t="n">
        <f aca="false">IF(AA210=1,R210/H210,0)</f>
        <v>0</v>
      </c>
      <c r="AE210" s="44" t="n">
        <f aca="false">IF(AA210=1,O210/H210,0)</f>
        <v>0</v>
      </c>
      <c r="AF210" s="44" t="n">
        <f aca="false">IF(AA210=1,K210/H210,0)</f>
        <v>0</v>
      </c>
      <c r="AG210" s="45" t="str">
        <f aca="false">IF(AA210=1,D210&amp;"|"&amp;TEXT(B210,"0"),"")</f>
        <v/>
      </c>
      <c r="AH210" s="43" t="n">
        <f aca="false">IF(AA210=1,H210,0)</f>
        <v>0</v>
      </c>
    </row>
    <row r="211" customFormat="false" ht="15" hidden="false" customHeight="false" outlineLevel="0" collapsed="false">
      <c r="A211" s="8" t="str">
        <f aca="false">IF(B211="","","B-"&amp;TEXT(ROW()-4,"0000"))</f>
        <v/>
      </c>
      <c r="B211" s="38"/>
      <c r="C211" s="38"/>
      <c r="D211" s="6"/>
      <c r="E211" s="6"/>
      <c r="F211" s="6"/>
      <c r="G211" s="11"/>
      <c r="H211" s="18" t="str">
        <f aca="false">IF(AND(ISNUMBER(B211),ISNUMBER(C211)),MAX(0,C211-B211),"")</f>
        <v/>
      </c>
      <c r="I211" s="37"/>
      <c r="J211" s="41" t="str">
        <f aca="false">IF(OR(D211="",N(H211)=0),"",IFERROR(IF(I211&lt;&gt;"",H211*I211,ROUND(((H211-(INT((WEEKDAY(B211-6)+H211-1)/7)+INT((WEEKDAY(B211-7)+H211-1)/7)))*INDEX(Properties!$E$5:$E$24,MATCH(D211,Properties!$A$5:$A$24,0))+(INT((WEEKDAY(B211-6)+H211-1)/7)+INT((WEEKDAY(B211-7)+H211-1)/7))*INDEX(Properties!$F$5:$F$24,MATCH(D211,Properties!$A$5:$A$24,0)))*(1-IF(H211&gt;=28,Settings!$B$10,IF(H211&gt;=7,Settings!$B$9,0))),2)),0))</f>
        <v/>
      </c>
      <c r="K211" s="41" t="str">
        <f aca="false">IF(J211="","",IFERROR(N(INDEX(Properties!$G$5:$G$24,MATCH(D211,Properties!$A$5:$A$24,0))),0))</f>
        <v/>
      </c>
      <c r="L211" s="41" t="str">
        <f aca="false">IF(J211="","",IFERROR(MAX(0,N(G211)-INDEX(Properties!$I$5:$I$24,MATCH(D211,Properties!$A$5:$A$24,0)))*N(INDEX(Properties!$J$5:$J$24,MATCH(D211,Properties!$A$5:$A$24,0)))*H211,0))</f>
        <v/>
      </c>
      <c r="M211" s="37"/>
      <c r="N211" s="41" t="str">
        <f aca="false">IF(J211="","",J211+K211+L211+N(M211))</f>
        <v/>
      </c>
      <c r="O211" s="41" t="str">
        <f aca="false">IF(N211="","",IF(P211&lt;&gt;"",N211-P211,ROUND(N211*IFERROR(INDEX(Settings!$E$5:$E$12,MATCH(F211,Settings!$D$5:$D$12,0)),0),2)))</f>
        <v/>
      </c>
      <c r="P211" s="37"/>
      <c r="Q211" s="41" t="str">
        <f aca="false">IF(N211="","",IF(P211&lt;&gt;"",P211,N211-O211))</f>
        <v/>
      </c>
      <c r="R211" s="41" t="str">
        <f aca="false">IF(J211="","",IFERROR(N(INDEX(Properties!$H$5:$H$24,MATCH(D211,Properties!$A$5:$A$24,0))),0))</f>
        <v/>
      </c>
      <c r="S211" s="41" t="str">
        <f aca="false">IF(Q211="","",Q211-R211)</f>
        <v/>
      </c>
      <c r="T211" s="6"/>
      <c r="U211" s="6"/>
      <c r="V211" s="6"/>
      <c r="W211" s="6"/>
      <c r="X211" s="6"/>
      <c r="Y211" s="8" t="str">
        <f aca="false">IF(OR(D211="",B211="",C211=""),"",IF(N(C211)&lt;=N(B211),"Check dates",IF(T211="Cancelled","",IF(COUNTIFS($D$5:$D$1004,D211,$B$5:$B$1004,"&lt;"&amp;C211,$C$5:$C$1004,"&gt;"&amp;B211,$T$5:$T$1004,"&lt;&gt;Cancelled")&gt;1,"Double-booked",""))))</f>
        <v/>
      </c>
      <c r="Z211" s="42" t="str">
        <f aca="false">IF(AND(AA211=1,ISNUMBER(C211)),C211+ROW()/100000,"")</f>
        <v/>
      </c>
      <c r="AA211" s="43" t="n">
        <f aca="false">IF(AND(D211&lt;&gt;"",ISNUMBER(B211),ISNUMBER(C211),N(H211)&gt;0,T211&lt;&gt;"Cancelled",J211&lt;&gt;""),1,0)</f>
        <v>0</v>
      </c>
      <c r="AB211" s="44" t="n">
        <f aca="false">IF(AA211=1,J211/H211,0)</f>
        <v>0</v>
      </c>
      <c r="AC211" s="44" t="n">
        <f aca="false">IF(AA211=1,Q211/H211,0)</f>
        <v>0</v>
      </c>
      <c r="AD211" s="44" t="n">
        <f aca="false">IF(AA211=1,R211/H211,0)</f>
        <v>0</v>
      </c>
      <c r="AE211" s="44" t="n">
        <f aca="false">IF(AA211=1,O211/H211,0)</f>
        <v>0</v>
      </c>
      <c r="AF211" s="44" t="n">
        <f aca="false">IF(AA211=1,K211/H211,0)</f>
        <v>0</v>
      </c>
      <c r="AG211" s="45" t="str">
        <f aca="false">IF(AA211=1,D211&amp;"|"&amp;TEXT(B211,"0"),"")</f>
        <v/>
      </c>
      <c r="AH211" s="43" t="n">
        <f aca="false">IF(AA211=1,H211,0)</f>
        <v>0</v>
      </c>
    </row>
    <row r="212" customFormat="false" ht="15" hidden="false" customHeight="false" outlineLevel="0" collapsed="false">
      <c r="A212" s="23" t="str">
        <f aca="false">IF(B212="","","B-"&amp;TEXT(ROW()-4,"0000"))</f>
        <v/>
      </c>
      <c r="B212" s="38"/>
      <c r="C212" s="38"/>
      <c r="D212" s="6"/>
      <c r="E212" s="6"/>
      <c r="F212" s="6"/>
      <c r="G212" s="11"/>
      <c r="H212" s="24" t="str">
        <f aca="false">IF(AND(ISNUMBER(B212),ISNUMBER(C212)),MAX(0,C212-B212),"")</f>
        <v/>
      </c>
      <c r="I212" s="37"/>
      <c r="J212" s="46" t="str">
        <f aca="false">IF(OR(D212="",N(H212)=0),"",IFERROR(IF(I212&lt;&gt;"",H212*I212,ROUND(((H212-(INT((WEEKDAY(B212-6)+H212-1)/7)+INT((WEEKDAY(B212-7)+H212-1)/7)))*INDEX(Properties!$E$5:$E$24,MATCH(D212,Properties!$A$5:$A$24,0))+(INT((WEEKDAY(B212-6)+H212-1)/7)+INT((WEEKDAY(B212-7)+H212-1)/7))*INDEX(Properties!$F$5:$F$24,MATCH(D212,Properties!$A$5:$A$24,0)))*(1-IF(H212&gt;=28,Settings!$B$10,IF(H212&gt;=7,Settings!$B$9,0))),2)),0))</f>
        <v/>
      </c>
      <c r="K212" s="46" t="str">
        <f aca="false">IF(J212="","",IFERROR(N(INDEX(Properties!$G$5:$G$24,MATCH(D212,Properties!$A$5:$A$24,0))),0))</f>
        <v/>
      </c>
      <c r="L212" s="46" t="str">
        <f aca="false">IF(J212="","",IFERROR(MAX(0,N(G212)-INDEX(Properties!$I$5:$I$24,MATCH(D212,Properties!$A$5:$A$24,0)))*N(INDEX(Properties!$J$5:$J$24,MATCH(D212,Properties!$A$5:$A$24,0)))*H212,0))</f>
        <v/>
      </c>
      <c r="M212" s="37"/>
      <c r="N212" s="46" t="str">
        <f aca="false">IF(J212="","",J212+K212+L212+N(M212))</f>
        <v/>
      </c>
      <c r="O212" s="46" t="str">
        <f aca="false">IF(N212="","",IF(P212&lt;&gt;"",N212-P212,ROUND(N212*IFERROR(INDEX(Settings!$E$5:$E$12,MATCH(F212,Settings!$D$5:$D$12,0)),0),2)))</f>
        <v/>
      </c>
      <c r="P212" s="37"/>
      <c r="Q212" s="46" t="str">
        <f aca="false">IF(N212="","",IF(P212&lt;&gt;"",P212,N212-O212))</f>
        <v/>
      </c>
      <c r="R212" s="46" t="str">
        <f aca="false">IF(J212="","",IFERROR(N(INDEX(Properties!$H$5:$H$24,MATCH(D212,Properties!$A$5:$A$24,0))),0))</f>
        <v/>
      </c>
      <c r="S212" s="46" t="str">
        <f aca="false">IF(Q212="","",Q212-R212)</f>
        <v/>
      </c>
      <c r="T212" s="6"/>
      <c r="U212" s="6"/>
      <c r="V212" s="6"/>
      <c r="W212" s="6"/>
      <c r="X212" s="6"/>
      <c r="Y212" s="8" t="str">
        <f aca="false">IF(OR(D212="",B212="",C212=""),"",IF(N(C212)&lt;=N(B212),"Check dates",IF(T212="Cancelled","",IF(COUNTIFS($D$5:$D$1004,D212,$B$5:$B$1004,"&lt;"&amp;C212,$C$5:$C$1004,"&gt;"&amp;B212,$T$5:$T$1004,"&lt;&gt;Cancelled")&gt;1,"Double-booked",""))))</f>
        <v/>
      </c>
      <c r="Z212" s="42" t="str">
        <f aca="false">IF(AND(AA212=1,ISNUMBER(C212)),C212+ROW()/100000,"")</f>
        <v/>
      </c>
      <c r="AA212" s="43" t="n">
        <f aca="false">IF(AND(D212&lt;&gt;"",ISNUMBER(B212),ISNUMBER(C212),N(H212)&gt;0,T212&lt;&gt;"Cancelled",J212&lt;&gt;""),1,0)</f>
        <v>0</v>
      </c>
      <c r="AB212" s="44" t="n">
        <f aca="false">IF(AA212=1,J212/H212,0)</f>
        <v>0</v>
      </c>
      <c r="AC212" s="44" t="n">
        <f aca="false">IF(AA212=1,Q212/H212,0)</f>
        <v>0</v>
      </c>
      <c r="AD212" s="44" t="n">
        <f aca="false">IF(AA212=1,R212/H212,0)</f>
        <v>0</v>
      </c>
      <c r="AE212" s="44" t="n">
        <f aca="false">IF(AA212=1,O212/H212,0)</f>
        <v>0</v>
      </c>
      <c r="AF212" s="44" t="n">
        <f aca="false">IF(AA212=1,K212/H212,0)</f>
        <v>0</v>
      </c>
      <c r="AG212" s="45" t="str">
        <f aca="false">IF(AA212=1,D212&amp;"|"&amp;TEXT(B212,"0"),"")</f>
        <v/>
      </c>
      <c r="AH212" s="43" t="n">
        <f aca="false">IF(AA212=1,H212,0)</f>
        <v>0</v>
      </c>
    </row>
    <row r="213" customFormat="false" ht="15" hidden="false" customHeight="false" outlineLevel="0" collapsed="false">
      <c r="A213" s="8" t="str">
        <f aca="false">IF(B213="","","B-"&amp;TEXT(ROW()-4,"0000"))</f>
        <v/>
      </c>
      <c r="B213" s="38"/>
      <c r="C213" s="38"/>
      <c r="D213" s="6"/>
      <c r="E213" s="6"/>
      <c r="F213" s="6"/>
      <c r="G213" s="11"/>
      <c r="H213" s="18" t="str">
        <f aca="false">IF(AND(ISNUMBER(B213),ISNUMBER(C213)),MAX(0,C213-B213),"")</f>
        <v/>
      </c>
      <c r="I213" s="37"/>
      <c r="J213" s="41" t="str">
        <f aca="false">IF(OR(D213="",N(H213)=0),"",IFERROR(IF(I213&lt;&gt;"",H213*I213,ROUND(((H213-(INT((WEEKDAY(B213-6)+H213-1)/7)+INT((WEEKDAY(B213-7)+H213-1)/7)))*INDEX(Properties!$E$5:$E$24,MATCH(D213,Properties!$A$5:$A$24,0))+(INT((WEEKDAY(B213-6)+H213-1)/7)+INT((WEEKDAY(B213-7)+H213-1)/7))*INDEX(Properties!$F$5:$F$24,MATCH(D213,Properties!$A$5:$A$24,0)))*(1-IF(H213&gt;=28,Settings!$B$10,IF(H213&gt;=7,Settings!$B$9,0))),2)),0))</f>
        <v/>
      </c>
      <c r="K213" s="41" t="str">
        <f aca="false">IF(J213="","",IFERROR(N(INDEX(Properties!$G$5:$G$24,MATCH(D213,Properties!$A$5:$A$24,0))),0))</f>
        <v/>
      </c>
      <c r="L213" s="41" t="str">
        <f aca="false">IF(J213="","",IFERROR(MAX(0,N(G213)-INDEX(Properties!$I$5:$I$24,MATCH(D213,Properties!$A$5:$A$24,0)))*N(INDEX(Properties!$J$5:$J$24,MATCH(D213,Properties!$A$5:$A$24,0)))*H213,0))</f>
        <v/>
      </c>
      <c r="M213" s="37"/>
      <c r="N213" s="41" t="str">
        <f aca="false">IF(J213="","",J213+K213+L213+N(M213))</f>
        <v/>
      </c>
      <c r="O213" s="41" t="str">
        <f aca="false">IF(N213="","",IF(P213&lt;&gt;"",N213-P213,ROUND(N213*IFERROR(INDEX(Settings!$E$5:$E$12,MATCH(F213,Settings!$D$5:$D$12,0)),0),2)))</f>
        <v/>
      </c>
      <c r="P213" s="37"/>
      <c r="Q213" s="41" t="str">
        <f aca="false">IF(N213="","",IF(P213&lt;&gt;"",P213,N213-O213))</f>
        <v/>
      </c>
      <c r="R213" s="41" t="str">
        <f aca="false">IF(J213="","",IFERROR(N(INDEX(Properties!$H$5:$H$24,MATCH(D213,Properties!$A$5:$A$24,0))),0))</f>
        <v/>
      </c>
      <c r="S213" s="41" t="str">
        <f aca="false">IF(Q213="","",Q213-R213)</f>
        <v/>
      </c>
      <c r="T213" s="6"/>
      <c r="U213" s="6"/>
      <c r="V213" s="6"/>
      <c r="W213" s="6"/>
      <c r="X213" s="6"/>
      <c r="Y213" s="8" t="str">
        <f aca="false">IF(OR(D213="",B213="",C213=""),"",IF(N(C213)&lt;=N(B213),"Check dates",IF(T213="Cancelled","",IF(COUNTIFS($D$5:$D$1004,D213,$B$5:$B$1004,"&lt;"&amp;C213,$C$5:$C$1004,"&gt;"&amp;B213,$T$5:$T$1004,"&lt;&gt;Cancelled")&gt;1,"Double-booked",""))))</f>
        <v/>
      </c>
      <c r="Z213" s="42" t="str">
        <f aca="false">IF(AND(AA213=1,ISNUMBER(C213)),C213+ROW()/100000,"")</f>
        <v/>
      </c>
      <c r="AA213" s="43" t="n">
        <f aca="false">IF(AND(D213&lt;&gt;"",ISNUMBER(B213),ISNUMBER(C213),N(H213)&gt;0,T213&lt;&gt;"Cancelled",J213&lt;&gt;""),1,0)</f>
        <v>0</v>
      </c>
      <c r="AB213" s="44" t="n">
        <f aca="false">IF(AA213=1,J213/H213,0)</f>
        <v>0</v>
      </c>
      <c r="AC213" s="44" t="n">
        <f aca="false">IF(AA213=1,Q213/H213,0)</f>
        <v>0</v>
      </c>
      <c r="AD213" s="44" t="n">
        <f aca="false">IF(AA213=1,R213/H213,0)</f>
        <v>0</v>
      </c>
      <c r="AE213" s="44" t="n">
        <f aca="false">IF(AA213=1,O213/H213,0)</f>
        <v>0</v>
      </c>
      <c r="AF213" s="44" t="n">
        <f aca="false">IF(AA213=1,K213/H213,0)</f>
        <v>0</v>
      </c>
      <c r="AG213" s="45" t="str">
        <f aca="false">IF(AA213=1,D213&amp;"|"&amp;TEXT(B213,"0"),"")</f>
        <v/>
      </c>
      <c r="AH213" s="43" t="n">
        <f aca="false">IF(AA213=1,H213,0)</f>
        <v>0</v>
      </c>
    </row>
    <row r="214" customFormat="false" ht="15" hidden="false" customHeight="false" outlineLevel="0" collapsed="false">
      <c r="A214" s="23" t="str">
        <f aca="false">IF(B214="","","B-"&amp;TEXT(ROW()-4,"0000"))</f>
        <v/>
      </c>
      <c r="B214" s="38"/>
      <c r="C214" s="38"/>
      <c r="D214" s="6"/>
      <c r="E214" s="6"/>
      <c r="F214" s="6"/>
      <c r="G214" s="11"/>
      <c r="H214" s="24" t="str">
        <f aca="false">IF(AND(ISNUMBER(B214),ISNUMBER(C214)),MAX(0,C214-B214),"")</f>
        <v/>
      </c>
      <c r="I214" s="37"/>
      <c r="J214" s="46" t="str">
        <f aca="false">IF(OR(D214="",N(H214)=0),"",IFERROR(IF(I214&lt;&gt;"",H214*I214,ROUND(((H214-(INT((WEEKDAY(B214-6)+H214-1)/7)+INT((WEEKDAY(B214-7)+H214-1)/7)))*INDEX(Properties!$E$5:$E$24,MATCH(D214,Properties!$A$5:$A$24,0))+(INT((WEEKDAY(B214-6)+H214-1)/7)+INT((WEEKDAY(B214-7)+H214-1)/7))*INDEX(Properties!$F$5:$F$24,MATCH(D214,Properties!$A$5:$A$24,0)))*(1-IF(H214&gt;=28,Settings!$B$10,IF(H214&gt;=7,Settings!$B$9,0))),2)),0))</f>
        <v/>
      </c>
      <c r="K214" s="46" t="str">
        <f aca="false">IF(J214="","",IFERROR(N(INDEX(Properties!$G$5:$G$24,MATCH(D214,Properties!$A$5:$A$24,0))),0))</f>
        <v/>
      </c>
      <c r="L214" s="46" t="str">
        <f aca="false">IF(J214="","",IFERROR(MAX(0,N(G214)-INDEX(Properties!$I$5:$I$24,MATCH(D214,Properties!$A$5:$A$24,0)))*N(INDEX(Properties!$J$5:$J$24,MATCH(D214,Properties!$A$5:$A$24,0)))*H214,0))</f>
        <v/>
      </c>
      <c r="M214" s="37"/>
      <c r="N214" s="46" t="str">
        <f aca="false">IF(J214="","",J214+K214+L214+N(M214))</f>
        <v/>
      </c>
      <c r="O214" s="46" t="str">
        <f aca="false">IF(N214="","",IF(P214&lt;&gt;"",N214-P214,ROUND(N214*IFERROR(INDEX(Settings!$E$5:$E$12,MATCH(F214,Settings!$D$5:$D$12,0)),0),2)))</f>
        <v/>
      </c>
      <c r="P214" s="37"/>
      <c r="Q214" s="46" t="str">
        <f aca="false">IF(N214="","",IF(P214&lt;&gt;"",P214,N214-O214))</f>
        <v/>
      </c>
      <c r="R214" s="46" t="str">
        <f aca="false">IF(J214="","",IFERROR(N(INDEX(Properties!$H$5:$H$24,MATCH(D214,Properties!$A$5:$A$24,0))),0))</f>
        <v/>
      </c>
      <c r="S214" s="46" t="str">
        <f aca="false">IF(Q214="","",Q214-R214)</f>
        <v/>
      </c>
      <c r="T214" s="6"/>
      <c r="U214" s="6"/>
      <c r="V214" s="6"/>
      <c r="W214" s="6"/>
      <c r="X214" s="6"/>
      <c r="Y214" s="8" t="str">
        <f aca="false">IF(OR(D214="",B214="",C214=""),"",IF(N(C214)&lt;=N(B214),"Check dates",IF(T214="Cancelled","",IF(COUNTIFS($D$5:$D$1004,D214,$B$5:$B$1004,"&lt;"&amp;C214,$C$5:$C$1004,"&gt;"&amp;B214,$T$5:$T$1004,"&lt;&gt;Cancelled")&gt;1,"Double-booked",""))))</f>
        <v/>
      </c>
      <c r="Z214" s="42" t="str">
        <f aca="false">IF(AND(AA214=1,ISNUMBER(C214)),C214+ROW()/100000,"")</f>
        <v/>
      </c>
      <c r="AA214" s="43" t="n">
        <f aca="false">IF(AND(D214&lt;&gt;"",ISNUMBER(B214),ISNUMBER(C214),N(H214)&gt;0,T214&lt;&gt;"Cancelled",J214&lt;&gt;""),1,0)</f>
        <v>0</v>
      </c>
      <c r="AB214" s="44" t="n">
        <f aca="false">IF(AA214=1,J214/H214,0)</f>
        <v>0</v>
      </c>
      <c r="AC214" s="44" t="n">
        <f aca="false">IF(AA214=1,Q214/H214,0)</f>
        <v>0</v>
      </c>
      <c r="AD214" s="44" t="n">
        <f aca="false">IF(AA214=1,R214/H214,0)</f>
        <v>0</v>
      </c>
      <c r="AE214" s="44" t="n">
        <f aca="false">IF(AA214=1,O214/H214,0)</f>
        <v>0</v>
      </c>
      <c r="AF214" s="44" t="n">
        <f aca="false">IF(AA214=1,K214/H214,0)</f>
        <v>0</v>
      </c>
      <c r="AG214" s="45" t="str">
        <f aca="false">IF(AA214=1,D214&amp;"|"&amp;TEXT(B214,"0"),"")</f>
        <v/>
      </c>
      <c r="AH214" s="43" t="n">
        <f aca="false">IF(AA214=1,H214,0)</f>
        <v>0</v>
      </c>
    </row>
    <row r="215" customFormat="false" ht="15" hidden="false" customHeight="false" outlineLevel="0" collapsed="false">
      <c r="A215" s="8" t="str">
        <f aca="false">IF(B215="","","B-"&amp;TEXT(ROW()-4,"0000"))</f>
        <v/>
      </c>
      <c r="B215" s="38"/>
      <c r="C215" s="38"/>
      <c r="D215" s="6"/>
      <c r="E215" s="6"/>
      <c r="F215" s="6"/>
      <c r="G215" s="11"/>
      <c r="H215" s="18" t="str">
        <f aca="false">IF(AND(ISNUMBER(B215),ISNUMBER(C215)),MAX(0,C215-B215),"")</f>
        <v/>
      </c>
      <c r="I215" s="37"/>
      <c r="J215" s="41" t="str">
        <f aca="false">IF(OR(D215="",N(H215)=0),"",IFERROR(IF(I215&lt;&gt;"",H215*I215,ROUND(((H215-(INT((WEEKDAY(B215-6)+H215-1)/7)+INT((WEEKDAY(B215-7)+H215-1)/7)))*INDEX(Properties!$E$5:$E$24,MATCH(D215,Properties!$A$5:$A$24,0))+(INT((WEEKDAY(B215-6)+H215-1)/7)+INT((WEEKDAY(B215-7)+H215-1)/7))*INDEX(Properties!$F$5:$F$24,MATCH(D215,Properties!$A$5:$A$24,0)))*(1-IF(H215&gt;=28,Settings!$B$10,IF(H215&gt;=7,Settings!$B$9,0))),2)),0))</f>
        <v/>
      </c>
      <c r="K215" s="41" t="str">
        <f aca="false">IF(J215="","",IFERROR(N(INDEX(Properties!$G$5:$G$24,MATCH(D215,Properties!$A$5:$A$24,0))),0))</f>
        <v/>
      </c>
      <c r="L215" s="41" t="str">
        <f aca="false">IF(J215="","",IFERROR(MAX(0,N(G215)-INDEX(Properties!$I$5:$I$24,MATCH(D215,Properties!$A$5:$A$24,0)))*N(INDEX(Properties!$J$5:$J$24,MATCH(D215,Properties!$A$5:$A$24,0)))*H215,0))</f>
        <v/>
      </c>
      <c r="M215" s="37"/>
      <c r="N215" s="41" t="str">
        <f aca="false">IF(J215="","",J215+K215+L215+N(M215))</f>
        <v/>
      </c>
      <c r="O215" s="41" t="str">
        <f aca="false">IF(N215="","",IF(P215&lt;&gt;"",N215-P215,ROUND(N215*IFERROR(INDEX(Settings!$E$5:$E$12,MATCH(F215,Settings!$D$5:$D$12,0)),0),2)))</f>
        <v/>
      </c>
      <c r="P215" s="37"/>
      <c r="Q215" s="41" t="str">
        <f aca="false">IF(N215="","",IF(P215&lt;&gt;"",P215,N215-O215))</f>
        <v/>
      </c>
      <c r="R215" s="41" t="str">
        <f aca="false">IF(J215="","",IFERROR(N(INDEX(Properties!$H$5:$H$24,MATCH(D215,Properties!$A$5:$A$24,0))),0))</f>
        <v/>
      </c>
      <c r="S215" s="41" t="str">
        <f aca="false">IF(Q215="","",Q215-R215)</f>
        <v/>
      </c>
      <c r="T215" s="6"/>
      <c r="U215" s="6"/>
      <c r="V215" s="6"/>
      <c r="W215" s="6"/>
      <c r="X215" s="6"/>
      <c r="Y215" s="8" t="str">
        <f aca="false">IF(OR(D215="",B215="",C215=""),"",IF(N(C215)&lt;=N(B215),"Check dates",IF(T215="Cancelled","",IF(COUNTIFS($D$5:$D$1004,D215,$B$5:$B$1004,"&lt;"&amp;C215,$C$5:$C$1004,"&gt;"&amp;B215,$T$5:$T$1004,"&lt;&gt;Cancelled")&gt;1,"Double-booked",""))))</f>
        <v/>
      </c>
      <c r="Z215" s="42" t="str">
        <f aca="false">IF(AND(AA215=1,ISNUMBER(C215)),C215+ROW()/100000,"")</f>
        <v/>
      </c>
      <c r="AA215" s="43" t="n">
        <f aca="false">IF(AND(D215&lt;&gt;"",ISNUMBER(B215),ISNUMBER(C215),N(H215)&gt;0,T215&lt;&gt;"Cancelled",J215&lt;&gt;""),1,0)</f>
        <v>0</v>
      </c>
      <c r="AB215" s="44" t="n">
        <f aca="false">IF(AA215=1,J215/H215,0)</f>
        <v>0</v>
      </c>
      <c r="AC215" s="44" t="n">
        <f aca="false">IF(AA215=1,Q215/H215,0)</f>
        <v>0</v>
      </c>
      <c r="AD215" s="44" t="n">
        <f aca="false">IF(AA215=1,R215/H215,0)</f>
        <v>0</v>
      </c>
      <c r="AE215" s="44" t="n">
        <f aca="false">IF(AA215=1,O215/H215,0)</f>
        <v>0</v>
      </c>
      <c r="AF215" s="44" t="n">
        <f aca="false">IF(AA215=1,K215/H215,0)</f>
        <v>0</v>
      </c>
      <c r="AG215" s="45" t="str">
        <f aca="false">IF(AA215=1,D215&amp;"|"&amp;TEXT(B215,"0"),"")</f>
        <v/>
      </c>
      <c r="AH215" s="43" t="n">
        <f aca="false">IF(AA215=1,H215,0)</f>
        <v>0</v>
      </c>
    </row>
    <row r="216" customFormat="false" ht="15" hidden="false" customHeight="false" outlineLevel="0" collapsed="false">
      <c r="A216" s="23" t="str">
        <f aca="false">IF(B216="","","B-"&amp;TEXT(ROW()-4,"0000"))</f>
        <v/>
      </c>
      <c r="B216" s="38"/>
      <c r="C216" s="38"/>
      <c r="D216" s="6"/>
      <c r="E216" s="6"/>
      <c r="F216" s="6"/>
      <c r="G216" s="11"/>
      <c r="H216" s="24" t="str">
        <f aca="false">IF(AND(ISNUMBER(B216),ISNUMBER(C216)),MAX(0,C216-B216),"")</f>
        <v/>
      </c>
      <c r="I216" s="37"/>
      <c r="J216" s="46" t="str">
        <f aca="false">IF(OR(D216="",N(H216)=0),"",IFERROR(IF(I216&lt;&gt;"",H216*I216,ROUND(((H216-(INT((WEEKDAY(B216-6)+H216-1)/7)+INT((WEEKDAY(B216-7)+H216-1)/7)))*INDEX(Properties!$E$5:$E$24,MATCH(D216,Properties!$A$5:$A$24,0))+(INT((WEEKDAY(B216-6)+H216-1)/7)+INT((WEEKDAY(B216-7)+H216-1)/7))*INDEX(Properties!$F$5:$F$24,MATCH(D216,Properties!$A$5:$A$24,0)))*(1-IF(H216&gt;=28,Settings!$B$10,IF(H216&gt;=7,Settings!$B$9,0))),2)),0))</f>
        <v/>
      </c>
      <c r="K216" s="46" t="str">
        <f aca="false">IF(J216="","",IFERROR(N(INDEX(Properties!$G$5:$G$24,MATCH(D216,Properties!$A$5:$A$24,0))),0))</f>
        <v/>
      </c>
      <c r="L216" s="46" t="str">
        <f aca="false">IF(J216="","",IFERROR(MAX(0,N(G216)-INDEX(Properties!$I$5:$I$24,MATCH(D216,Properties!$A$5:$A$24,0)))*N(INDEX(Properties!$J$5:$J$24,MATCH(D216,Properties!$A$5:$A$24,0)))*H216,0))</f>
        <v/>
      </c>
      <c r="M216" s="37"/>
      <c r="N216" s="46" t="str">
        <f aca="false">IF(J216="","",J216+K216+L216+N(M216))</f>
        <v/>
      </c>
      <c r="O216" s="46" t="str">
        <f aca="false">IF(N216="","",IF(P216&lt;&gt;"",N216-P216,ROUND(N216*IFERROR(INDEX(Settings!$E$5:$E$12,MATCH(F216,Settings!$D$5:$D$12,0)),0),2)))</f>
        <v/>
      </c>
      <c r="P216" s="37"/>
      <c r="Q216" s="46" t="str">
        <f aca="false">IF(N216="","",IF(P216&lt;&gt;"",P216,N216-O216))</f>
        <v/>
      </c>
      <c r="R216" s="46" t="str">
        <f aca="false">IF(J216="","",IFERROR(N(INDEX(Properties!$H$5:$H$24,MATCH(D216,Properties!$A$5:$A$24,0))),0))</f>
        <v/>
      </c>
      <c r="S216" s="46" t="str">
        <f aca="false">IF(Q216="","",Q216-R216)</f>
        <v/>
      </c>
      <c r="T216" s="6"/>
      <c r="U216" s="6"/>
      <c r="V216" s="6"/>
      <c r="W216" s="6"/>
      <c r="X216" s="6"/>
      <c r="Y216" s="8" t="str">
        <f aca="false">IF(OR(D216="",B216="",C216=""),"",IF(N(C216)&lt;=N(B216),"Check dates",IF(T216="Cancelled","",IF(COUNTIFS($D$5:$D$1004,D216,$B$5:$B$1004,"&lt;"&amp;C216,$C$5:$C$1004,"&gt;"&amp;B216,$T$5:$T$1004,"&lt;&gt;Cancelled")&gt;1,"Double-booked",""))))</f>
        <v/>
      </c>
      <c r="Z216" s="42" t="str">
        <f aca="false">IF(AND(AA216=1,ISNUMBER(C216)),C216+ROW()/100000,"")</f>
        <v/>
      </c>
      <c r="AA216" s="43" t="n">
        <f aca="false">IF(AND(D216&lt;&gt;"",ISNUMBER(B216),ISNUMBER(C216),N(H216)&gt;0,T216&lt;&gt;"Cancelled",J216&lt;&gt;""),1,0)</f>
        <v>0</v>
      </c>
      <c r="AB216" s="44" t="n">
        <f aca="false">IF(AA216=1,J216/H216,0)</f>
        <v>0</v>
      </c>
      <c r="AC216" s="44" t="n">
        <f aca="false">IF(AA216=1,Q216/H216,0)</f>
        <v>0</v>
      </c>
      <c r="AD216" s="44" t="n">
        <f aca="false">IF(AA216=1,R216/H216,0)</f>
        <v>0</v>
      </c>
      <c r="AE216" s="44" t="n">
        <f aca="false">IF(AA216=1,O216/H216,0)</f>
        <v>0</v>
      </c>
      <c r="AF216" s="44" t="n">
        <f aca="false">IF(AA216=1,K216/H216,0)</f>
        <v>0</v>
      </c>
      <c r="AG216" s="45" t="str">
        <f aca="false">IF(AA216=1,D216&amp;"|"&amp;TEXT(B216,"0"),"")</f>
        <v/>
      </c>
      <c r="AH216" s="43" t="n">
        <f aca="false">IF(AA216=1,H216,0)</f>
        <v>0</v>
      </c>
    </row>
    <row r="217" customFormat="false" ht="15" hidden="false" customHeight="false" outlineLevel="0" collapsed="false">
      <c r="A217" s="8" t="str">
        <f aca="false">IF(B217="","","B-"&amp;TEXT(ROW()-4,"0000"))</f>
        <v/>
      </c>
      <c r="B217" s="38"/>
      <c r="C217" s="38"/>
      <c r="D217" s="6"/>
      <c r="E217" s="6"/>
      <c r="F217" s="6"/>
      <c r="G217" s="11"/>
      <c r="H217" s="18" t="str">
        <f aca="false">IF(AND(ISNUMBER(B217),ISNUMBER(C217)),MAX(0,C217-B217),"")</f>
        <v/>
      </c>
      <c r="I217" s="37"/>
      <c r="J217" s="41" t="str">
        <f aca="false">IF(OR(D217="",N(H217)=0),"",IFERROR(IF(I217&lt;&gt;"",H217*I217,ROUND(((H217-(INT((WEEKDAY(B217-6)+H217-1)/7)+INT((WEEKDAY(B217-7)+H217-1)/7)))*INDEX(Properties!$E$5:$E$24,MATCH(D217,Properties!$A$5:$A$24,0))+(INT((WEEKDAY(B217-6)+H217-1)/7)+INT((WEEKDAY(B217-7)+H217-1)/7))*INDEX(Properties!$F$5:$F$24,MATCH(D217,Properties!$A$5:$A$24,0)))*(1-IF(H217&gt;=28,Settings!$B$10,IF(H217&gt;=7,Settings!$B$9,0))),2)),0))</f>
        <v/>
      </c>
      <c r="K217" s="41" t="str">
        <f aca="false">IF(J217="","",IFERROR(N(INDEX(Properties!$G$5:$G$24,MATCH(D217,Properties!$A$5:$A$24,0))),0))</f>
        <v/>
      </c>
      <c r="L217" s="41" t="str">
        <f aca="false">IF(J217="","",IFERROR(MAX(0,N(G217)-INDEX(Properties!$I$5:$I$24,MATCH(D217,Properties!$A$5:$A$24,0)))*N(INDEX(Properties!$J$5:$J$24,MATCH(D217,Properties!$A$5:$A$24,0)))*H217,0))</f>
        <v/>
      </c>
      <c r="M217" s="37"/>
      <c r="N217" s="41" t="str">
        <f aca="false">IF(J217="","",J217+K217+L217+N(M217))</f>
        <v/>
      </c>
      <c r="O217" s="41" t="str">
        <f aca="false">IF(N217="","",IF(P217&lt;&gt;"",N217-P217,ROUND(N217*IFERROR(INDEX(Settings!$E$5:$E$12,MATCH(F217,Settings!$D$5:$D$12,0)),0),2)))</f>
        <v/>
      </c>
      <c r="P217" s="37"/>
      <c r="Q217" s="41" t="str">
        <f aca="false">IF(N217="","",IF(P217&lt;&gt;"",P217,N217-O217))</f>
        <v/>
      </c>
      <c r="R217" s="41" t="str">
        <f aca="false">IF(J217="","",IFERROR(N(INDEX(Properties!$H$5:$H$24,MATCH(D217,Properties!$A$5:$A$24,0))),0))</f>
        <v/>
      </c>
      <c r="S217" s="41" t="str">
        <f aca="false">IF(Q217="","",Q217-R217)</f>
        <v/>
      </c>
      <c r="T217" s="6"/>
      <c r="U217" s="6"/>
      <c r="V217" s="6"/>
      <c r="W217" s="6"/>
      <c r="X217" s="6"/>
      <c r="Y217" s="8" t="str">
        <f aca="false">IF(OR(D217="",B217="",C217=""),"",IF(N(C217)&lt;=N(B217),"Check dates",IF(T217="Cancelled","",IF(COUNTIFS($D$5:$D$1004,D217,$B$5:$B$1004,"&lt;"&amp;C217,$C$5:$C$1004,"&gt;"&amp;B217,$T$5:$T$1004,"&lt;&gt;Cancelled")&gt;1,"Double-booked",""))))</f>
        <v/>
      </c>
      <c r="Z217" s="42" t="str">
        <f aca="false">IF(AND(AA217=1,ISNUMBER(C217)),C217+ROW()/100000,"")</f>
        <v/>
      </c>
      <c r="AA217" s="43" t="n">
        <f aca="false">IF(AND(D217&lt;&gt;"",ISNUMBER(B217),ISNUMBER(C217),N(H217)&gt;0,T217&lt;&gt;"Cancelled",J217&lt;&gt;""),1,0)</f>
        <v>0</v>
      </c>
      <c r="AB217" s="44" t="n">
        <f aca="false">IF(AA217=1,J217/H217,0)</f>
        <v>0</v>
      </c>
      <c r="AC217" s="44" t="n">
        <f aca="false">IF(AA217=1,Q217/H217,0)</f>
        <v>0</v>
      </c>
      <c r="AD217" s="44" t="n">
        <f aca="false">IF(AA217=1,R217/H217,0)</f>
        <v>0</v>
      </c>
      <c r="AE217" s="44" t="n">
        <f aca="false">IF(AA217=1,O217/H217,0)</f>
        <v>0</v>
      </c>
      <c r="AF217" s="44" t="n">
        <f aca="false">IF(AA217=1,K217/H217,0)</f>
        <v>0</v>
      </c>
      <c r="AG217" s="45" t="str">
        <f aca="false">IF(AA217=1,D217&amp;"|"&amp;TEXT(B217,"0"),"")</f>
        <v/>
      </c>
      <c r="AH217" s="43" t="n">
        <f aca="false">IF(AA217=1,H217,0)</f>
        <v>0</v>
      </c>
    </row>
    <row r="218" customFormat="false" ht="15" hidden="false" customHeight="false" outlineLevel="0" collapsed="false">
      <c r="A218" s="23" t="str">
        <f aca="false">IF(B218="","","B-"&amp;TEXT(ROW()-4,"0000"))</f>
        <v/>
      </c>
      <c r="B218" s="38"/>
      <c r="C218" s="38"/>
      <c r="D218" s="6"/>
      <c r="E218" s="6"/>
      <c r="F218" s="6"/>
      <c r="G218" s="11"/>
      <c r="H218" s="24" t="str">
        <f aca="false">IF(AND(ISNUMBER(B218),ISNUMBER(C218)),MAX(0,C218-B218),"")</f>
        <v/>
      </c>
      <c r="I218" s="37"/>
      <c r="J218" s="46" t="str">
        <f aca="false">IF(OR(D218="",N(H218)=0),"",IFERROR(IF(I218&lt;&gt;"",H218*I218,ROUND(((H218-(INT((WEEKDAY(B218-6)+H218-1)/7)+INT((WEEKDAY(B218-7)+H218-1)/7)))*INDEX(Properties!$E$5:$E$24,MATCH(D218,Properties!$A$5:$A$24,0))+(INT((WEEKDAY(B218-6)+H218-1)/7)+INT((WEEKDAY(B218-7)+H218-1)/7))*INDEX(Properties!$F$5:$F$24,MATCH(D218,Properties!$A$5:$A$24,0)))*(1-IF(H218&gt;=28,Settings!$B$10,IF(H218&gt;=7,Settings!$B$9,0))),2)),0))</f>
        <v/>
      </c>
      <c r="K218" s="46" t="str">
        <f aca="false">IF(J218="","",IFERROR(N(INDEX(Properties!$G$5:$G$24,MATCH(D218,Properties!$A$5:$A$24,0))),0))</f>
        <v/>
      </c>
      <c r="L218" s="46" t="str">
        <f aca="false">IF(J218="","",IFERROR(MAX(0,N(G218)-INDEX(Properties!$I$5:$I$24,MATCH(D218,Properties!$A$5:$A$24,0)))*N(INDEX(Properties!$J$5:$J$24,MATCH(D218,Properties!$A$5:$A$24,0)))*H218,0))</f>
        <v/>
      </c>
      <c r="M218" s="37"/>
      <c r="N218" s="46" t="str">
        <f aca="false">IF(J218="","",J218+K218+L218+N(M218))</f>
        <v/>
      </c>
      <c r="O218" s="46" t="str">
        <f aca="false">IF(N218="","",IF(P218&lt;&gt;"",N218-P218,ROUND(N218*IFERROR(INDEX(Settings!$E$5:$E$12,MATCH(F218,Settings!$D$5:$D$12,0)),0),2)))</f>
        <v/>
      </c>
      <c r="P218" s="37"/>
      <c r="Q218" s="46" t="str">
        <f aca="false">IF(N218="","",IF(P218&lt;&gt;"",P218,N218-O218))</f>
        <v/>
      </c>
      <c r="R218" s="46" t="str">
        <f aca="false">IF(J218="","",IFERROR(N(INDEX(Properties!$H$5:$H$24,MATCH(D218,Properties!$A$5:$A$24,0))),0))</f>
        <v/>
      </c>
      <c r="S218" s="46" t="str">
        <f aca="false">IF(Q218="","",Q218-R218)</f>
        <v/>
      </c>
      <c r="T218" s="6"/>
      <c r="U218" s="6"/>
      <c r="V218" s="6"/>
      <c r="W218" s="6"/>
      <c r="X218" s="6"/>
      <c r="Y218" s="8" t="str">
        <f aca="false">IF(OR(D218="",B218="",C218=""),"",IF(N(C218)&lt;=N(B218),"Check dates",IF(T218="Cancelled","",IF(COUNTIFS($D$5:$D$1004,D218,$B$5:$B$1004,"&lt;"&amp;C218,$C$5:$C$1004,"&gt;"&amp;B218,$T$5:$T$1004,"&lt;&gt;Cancelled")&gt;1,"Double-booked",""))))</f>
        <v/>
      </c>
      <c r="Z218" s="42" t="str">
        <f aca="false">IF(AND(AA218=1,ISNUMBER(C218)),C218+ROW()/100000,"")</f>
        <v/>
      </c>
      <c r="AA218" s="43" t="n">
        <f aca="false">IF(AND(D218&lt;&gt;"",ISNUMBER(B218),ISNUMBER(C218),N(H218)&gt;0,T218&lt;&gt;"Cancelled",J218&lt;&gt;""),1,0)</f>
        <v>0</v>
      </c>
      <c r="AB218" s="44" t="n">
        <f aca="false">IF(AA218=1,J218/H218,0)</f>
        <v>0</v>
      </c>
      <c r="AC218" s="44" t="n">
        <f aca="false">IF(AA218=1,Q218/H218,0)</f>
        <v>0</v>
      </c>
      <c r="AD218" s="44" t="n">
        <f aca="false">IF(AA218=1,R218/H218,0)</f>
        <v>0</v>
      </c>
      <c r="AE218" s="44" t="n">
        <f aca="false">IF(AA218=1,O218/H218,0)</f>
        <v>0</v>
      </c>
      <c r="AF218" s="44" t="n">
        <f aca="false">IF(AA218=1,K218/H218,0)</f>
        <v>0</v>
      </c>
      <c r="AG218" s="45" t="str">
        <f aca="false">IF(AA218=1,D218&amp;"|"&amp;TEXT(B218,"0"),"")</f>
        <v/>
      </c>
      <c r="AH218" s="43" t="n">
        <f aca="false">IF(AA218=1,H218,0)</f>
        <v>0</v>
      </c>
    </row>
    <row r="219" customFormat="false" ht="15" hidden="false" customHeight="false" outlineLevel="0" collapsed="false">
      <c r="A219" s="8" t="str">
        <f aca="false">IF(B219="","","B-"&amp;TEXT(ROW()-4,"0000"))</f>
        <v/>
      </c>
      <c r="B219" s="38"/>
      <c r="C219" s="38"/>
      <c r="D219" s="6"/>
      <c r="E219" s="6"/>
      <c r="F219" s="6"/>
      <c r="G219" s="11"/>
      <c r="H219" s="18" t="str">
        <f aca="false">IF(AND(ISNUMBER(B219),ISNUMBER(C219)),MAX(0,C219-B219),"")</f>
        <v/>
      </c>
      <c r="I219" s="37"/>
      <c r="J219" s="41" t="str">
        <f aca="false">IF(OR(D219="",N(H219)=0),"",IFERROR(IF(I219&lt;&gt;"",H219*I219,ROUND(((H219-(INT((WEEKDAY(B219-6)+H219-1)/7)+INT((WEEKDAY(B219-7)+H219-1)/7)))*INDEX(Properties!$E$5:$E$24,MATCH(D219,Properties!$A$5:$A$24,0))+(INT((WEEKDAY(B219-6)+H219-1)/7)+INT((WEEKDAY(B219-7)+H219-1)/7))*INDEX(Properties!$F$5:$F$24,MATCH(D219,Properties!$A$5:$A$24,0)))*(1-IF(H219&gt;=28,Settings!$B$10,IF(H219&gt;=7,Settings!$B$9,0))),2)),0))</f>
        <v/>
      </c>
      <c r="K219" s="41" t="str">
        <f aca="false">IF(J219="","",IFERROR(N(INDEX(Properties!$G$5:$G$24,MATCH(D219,Properties!$A$5:$A$24,0))),0))</f>
        <v/>
      </c>
      <c r="L219" s="41" t="str">
        <f aca="false">IF(J219="","",IFERROR(MAX(0,N(G219)-INDEX(Properties!$I$5:$I$24,MATCH(D219,Properties!$A$5:$A$24,0)))*N(INDEX(Properties!$J$5:$J$24,MATCH(D219,Properties!$A$5:$A$24,0)))*H219,0))</f>
        <v/>
      </c>
      <c r="M219" s="37"/>
      <c r="N219" s="41" t="str">
        <f aca="false">IF(J219="","",J219+K219+L219+N(M219))</f>
        <v/>
      </c>
      <c r="O219" s="41" t="str">
        <f aca="false">IF(N219="","",IF(P219&lt;&gt;"",N219-P219,ROUND(N219*IFERROR(INDEX(Settings!$E$5:$E$12,MATCH(F219,Settings!$D$5:$D$12,0)),0),2)))</f>
        <v/>
      </c>
      <c r="P219" s="37"/>
      <c r="Q219" s="41" t="str">
        <f aca="false">IF(N219="","",IF(P219&lt;&gt;"",P219,N219-O219))</f>
        <v/>
      </c>
      <c r="R219" s="41" t="str">
        <f aca="false">IF(J219="","",IFERROR(N(INDEX(Properties!$H$5:$H$24,MATCH(D219,Properties!$A$5:$A$24,0))),0))</f>
        <v/>
      </c>
      <c r="S219" s="41" t="str">
        <f aca="false">IF(Q219="","",Q219-R219)</f>
        <v/>
      </c>
      <c r="T219" s="6"/>
      <c r="U219" s="6"/>
      <c r="V219" s="6"/>
      <c r="W219" s="6"/>
      <c r="X219" s="6"/>
      <c r="Y219" s="8" t="str">
        <f aca="false">IF(OR(D219="",B219="",C219=""),"",IF(N(C219)&lt;=N(B219),"Check dates",IF(T219="Cancelled","",IF(COUNTIFS($D$5:$D$1004,D219,$B$5:$B$1004,"&lt;"&amp;C219,$C$5:$C$1004,"&gt;"&amp;B219,$T$5:$T$1004,"&lt;&gt;Cancelled")&gt;1,"Double-booked",""))))</f>
        <v/>
      </c>
      <c r="Z219" s="42" t="str">
        <f aca="false">IF(AND(AA219=1,ISNUMBER(C219)),C219+ROW()/100000,"")</f>
        <v/>
      </c>
      <c r="AA219" s="43" t="n">
        <f aca="false">IF(AND(D219&lt;&gt;"",ISNUMBER(B219),ISNUMBER(C219),N(H219)&gt;0,T219&lt;&gt;"Cancelled",J219&lt;&gt;""),1,0)</f>
        <v>0</v>
      </c>
      <c r="AB219" s="44" t="n">
        <f aca="false">IF(AA219=1,J219/H219,0)</f>
        <v>0</v>
      </c>
      <c r="AC219" s="44" t="n">
        <f aca="false">IF(AA219=1,Q219/H219,0)</f>
        <v>0</v>
      </c>
      <c r="AD219" s="44" t="n">
        <f aca="false">IF(AA219=1,R219/H219,0)</f>
        <v>0</v>
      </c>
      <c r="AE219" s="44" t="n">
        <f aca="false">IF(AA219=1,O219/H219,0)</f>
        <v>0</v>
      </c>
      <c r="AF219" s="44" t="n">
        <f aca="false">IF(AA219=1,K219/H219,0)</f>
        <v>0</v>
      </c>
      <c r="AG219" s="45" t="str">
        <f aca="false">IF(AA219=1,D219&amp;"|"&amp;TEXT(B219,"0"),"")</f>
        <v/>
      </c>
      <c r="AH219" s="43" t="n">
        <f aca="false">IF(AA219=1,H219,0)</f>
        <v>0</v>
      </c>
    </row>
    <row r="220" customFormat="false" ht="15" hidden="false" customHeight="false" outlineLevel="0" collapsed="false">
      <c r="A220" s="23" t="str">
        <f aca="false">IF(B220="","","B-"&amp;TEXT(ROW()-4,"0000"))</f>
        <v/>
      </c>
      <c r="B220" s="38"/>
      <c r="C220" s="38"/>
      <c r="D220" s="6"/>
      <c r="E220" s="6"/>
      <c r="F220" s="6"/>
      <c r="G220" s="11"/>
      <c r="H220" s="24" t="str">
        <f aca="false">IF(AND(ISNUMBER(B220),ISNUMBER(C220)),MAX(0,C220-B220),"")</f>
        <v/>
      </c>
      <c r="I220" s="37"/>
      <c r="J220" s="46" t="str">
        <f aca="false">IF(OR(D220="",N(H220)=0),"",IFERROR(IF(I220&lt;&gt;"",H220*I220,ROUND(((H220-(INT((WEEKDAY(B220-6)+H220-1)/7)+INT((WEEKDAY(B220-7)+H220-1)/7)))*INDEX(Properties!$E$5:$E$24,MATCH(D220,Properties!$A$5:$A$24,0))+(INT((WEEKDAY(B220-6)+H220-1)/7)+INT((WEEKDAY(B220-7)+H220-1)/7))*INDEX(Properties!$F$5:$F$24,MATCH(D220,Properties!$A$5:$A$24,0)))*(1-IF(H220&gt;=28,Settings!$B$10,IF(H220&gt;=7,Settings!$B$9,0))),2)),0))</f>
        <v/>
      </c>
      <c r="K220" s="46" t="str">
        <f aca="false">IF(J220="","",IFERROR(N(INDEX(Properties!$G$5:$G$24,MATCH(D220,Properties!$A$5:$A$24,0))),0))</f>
        <v/>
      </c>
      <c r="L220" s="46" t="str">
        <f aca="false">IF(J220="","",IFERROR(MAX(0,N(G220)-INDEX(Properties!$I$5:$I$24,MATCH(D220,Properties!$A$5:$A$24,0)))*N(INDEX(Properties!$J$5:$J$24,MATCH(D220,Properties!$A$5:$A$24,0)))*H220,0))</f>
        <v/>
      </c>
      <c r="M220" s="37"/>
      <c r="N220" s="46" t="str">
        <f aca="false">IF(J220="","",J220+K220+L220+N(M220))</f>
        <v/>
      </c>
      <c r="O220" s="46" t="str">
        <f aca="false">IF(N220="","",IF(P220&lt;&gt;"",N220-P220,ROUND(N220*IFERROR(INDEX(Settings!$E$5:$E$12,MATCH(F220,Settings!$D$5:$D$12,0)),0),2)))</f>
        <v/>
      </c>
      <c r="P220" s="37"/>
      <c r="Q220" s="46" t="str">
        <f aca="false">IF(N220="","",IF(P220&lt;&gt;"",P220,N220-O220))</f>
        <v/>
      </c>
      <c r="R220" s="46" t="str">
        <f aca="false">IF(J220="","",IFERROR(N(INDEX(Properties!$H$5:$H$24,MATCH(D220,Properties!$A$5:$A$24,0))),0))</f>
        <v/>
      </c>
      <c r="S220" s="46" t="str">
        <f aca="false">IF(Q220="","",Q220-R220)</f>
        <v/>
      </c>
      <c r="T220" s="6"/>
      <c r="U220" s="6"/>
      <c r="V220" s="6"/>
      <c r="W220" s="6"/>
      <c r="X220" s="6"/>
      <c r="Y220" s="8" t="str">
        <f aca="false">IF(OR(D220="",B220="",C220=""),"",IF(N(C220)&lt;=N(B220),"Check dates",IF(T220="Cancelled","",IF(COUNTIFS($D$5:$D$1004,D220,$B$5:$B$1004,"&lt;"&amp;C220,$C$5:$C$1004,"&gt;"&amp;B220,$T$5:$T$1004,"&lt;&gt;Cancelled")&gt;1,"Double-booked",""))))</f>
        <v/>
      </c>
      <c r="Z220" s="42" t="str">
        <f aca="false">IF(AND(AA220=1,ISNUMBER(C220)),C220+ROW()/100000,"")</f>
        <v/>
      </c>
      <c r="AA220" s="43" t="n">
        <f aca="false">IF(AND(D220&lt;&gt;"",ISNUMBER(B220),ISNUMBER(C220),N(H220)&gt;0,T220&lt;&gt;"Cancelled",J220&lt;&gt;""),1,0)</f>
        <v>0</v>
      </c>
      <c r="AB220" s="44" t="n">
        <f aca="false">IF(AA220=1,J220/H220,0)</f>
        <v>0</v>
      </c>
      <c r="AC220" s="44" t="n">
        <f aca="false">IF(AA220=1,Q220/H220,0)</f>
        <v>0</v>
      </c>
      <c r="AD220" s="44" t="n">
        <f aca="false">IF(AA220=1,R220/H220,0)</f>
        <v>0</v>
      </c>
      <c r="AE220" s="44" t="n">
        <f aca="false">IF(AA220=1,O220/H220,0)</f>
        <v>0</v>
      </c>
      <c r="AF220" s="44" t="n">
        <f aca="false">IF(AA220=1,K220/H220,0)</f>
        <v>0</v>
      </c>
      <c r="AG220" s="45" t="str">
        <f aca="false">IF(AA220=1,D220&amp;"|"&amp;TEXT(B220,"0"),"")</f>
        <v/>
      </c>
      <c r="AH220" s="43" t="n">
        <f aca="false">IF(AA220=1,H220,0)</f>
        <v>0</v>
      </c>
    </row>
    <row r="221" customFormat="false" ht="15" hidden="false" customHeight="false" outlineLevel="0" collapsed="false">
      <c r="A221" s="8" t="str">
        <f aca="false">IF(B221="","","B-"&amp;TEXT(ROW()-4,"0000"))</f>
        <v/>
      </c>
      <c r="B221" s="38"/>
      <c r="C221" s="38"/>
      <c r="D221" s="6"/>
      <c r="E221" s="6"/>
      <c r="F221" s="6"/>
      <c r="G221" s="11"/>
      <c r="H221" s="18" t="str">
        <f aca="false">IF(AND(ISNUMBER(B221),ISNUMBER(C221)),MAX(0,C221-B221),"")</f>
        <v/>
      </c>
      <c r="I221" s="37"/>
      <c r="J221" s="41" t="str">
        <f aca="false">IF(OR(D221="",N(H221)=0),"",IFERROR(IF(I221&lt;&gt;"",H221*I221,ROUND(((H221-(INT((WEEKDAY(B221-6)+H221-1)/7)+INT((WEEKDAY(B221-7)+H221-1)/7)))*INDEX(Properties!$E$5:$E$24,MATCH(D221,Properties!$A$5:$A$24,0))+(INT((WEEKDAY(B221-6)+H221-1)/7)+INT((WEEKDAY(B221-7)+H221-1)/7))*INDEX(Properties!$F$5:$F$24,MATCH(D221,Properties!$A$5:$A$24,0)))*(1-IF(H221&gt;=28,Settings!$B$10,IF(H221&gt;=7,Settings!$B$9,0))),2)),0))</f>
        <v/>
      </c>
      <c r="K221" s="41" t="str">
        <f aca="false">IF(J221="","",IFERROR(N(INDEX(Properties!$G$5:$G$24,MATCH(D221,Properties!$A$5:$A$24,0))),0))</f>
        <v/>
      </c>
      <c r="L221" s="41" t="str">
        <f aca="false">IF(J221="","",IFERROR(MAX(0,N(G221)-INDEX(Properties!$I$5:$I$24,MATCH(D221,Properties!$A$5:$A$24,0)))*N(INDEX(Properties!$J$5:$J$24,MATCH(D221,Properties!$A$5:$A$24,0)))*H221,0))</f>
        <v/>
      </c>
      <c r="M221" s="37"/>
      <c r="N221" s="41" t="str">
        <f aca="false">IF(J221="","",J221+K221+L221+N(M221))</f>
        <v/>
      </c>
      <c r="O221" s="41" t="str">
        <f aca="false">IF(N221="","",IF(P221&lt;&gt;"",N221-P221,ROUND(N221*IFERROR(INDEX(Settings!$E$5:$E$12,MATCH(F221,Settings!$D$5:$D$12,0)),0),2)))</f>
        <v/>
      </c>
      <c r="P221" s="37"/>
      <c r="Q221" s="41" t="str">
        <f aca="false">IF(N221="","",IF(P221&lt;&gt;"",P221,N221-O221))</f>
        <v/>
      </c>
      <c r="R221" s="41" t="str">
        <f aca="false">IF(J221="","",IFERROR(N(INDEX(Properties!$H$5:$H$24,MATCH(D221,Properties!$A$5:$A$24,0))),0))</f>
        <v/>
      </c>
      <c r="S221" s="41" t="str">
        <f aca="false">IF(Q221="","",Q221-R221)</f>
        <v/>
      </c>
      <c r="T221" s="6"/>
      <c r="U221" s="6"/>
      <c r="V221" s="6"/>
      <c r="W221" s="6"/>
      <c r="X221" s="6"/>
      <c r="Y221" s="8" t="str">
        <f aca="false">IF(OR(D221="",B221="",C221=""),"",IF(N(C221)&lt;=N(B221),"Check dates",IF(T221="Cancelled","",IF(COUNTIFS($D$5:$D$1004,D221,$B$5:$B$1004,"&lt;"&amp;C221,$C$5:$C$1004,"&gt;"&amp;B221,$T$5:$T$1004,"&lt;&gt;Cancelled")&gt;1,"Double-booked",""))))</f>
        <v/>
      </c>
      <c r="Z221" s="42" t="str">
        <f aca="false">IF(AND(AA221=1,ISNUMBER(C221)),C221+ROW()/100000,"")</f>
        <v/>
      </c>
      <c r="AA221" s="43" t="n">
        <f aca="false">IF(AND(D221&lt;&gt;"",ISNUMBER(B221),ISNUMBER(C221),N(H221)&gt;0,T221&lt;&gt;"Cancelled",J221&lt;&gt;""),1,0)</f>
        <v>0</v>
      </c>
      <c r="AB221" s="44" t="n">
        <f aca="false">IF(AA221=1,J221/H221,0)</f>
        <v>0</v>
      </c>
      <c r="AC221" s="44" t="n">
        <f aca="false">IF(AA221=1,Q221/H221,0)</f>
        <v>0</v>
      </c>
      <c r="AD221" s="44" t="n">
        <f aca="false">IF(AA221=1,R221/H221,0)</f>
        <v>0</v>
      </c>
      <c r="AE221" s="44" t="n">
        <f aca="false">IF(AA221=1,O221/H221,0)</f>
        <v>0</v>
      </c>
      <c r="AF221" s="44" t="n">
        <f aca="false">IF(AA221=1,K221/H221,0)</f>
        <v>0</v>
      </c>
      <c r="AG221" s="45" t="str">
        <f aca="false">IF(AA221=1,D221&amp;"|"&amp;TEXT(B221,"0"),"")</f>
        <v/>
      </c>
      <c r="AH221" s="43" t="n">
        <f aca="false">IF(AA221=1,H221,0)</f>
        <v>0</v>
      </c>
    </row>
    <row r="222" customFormat="false" ht="15" hidden="false" customHeight="false" outlineLevel="0" collapsed="false">
      <c r="A222" s="23" t="str">
        <f aca="false">IF(B222="","","B-"&amp;TEXT(ROW()-4,"0000"))</f>
        <v/>
      </c>
      <c r="B222" s="38"/>
      <c r="C222" s="38"/>
      <c r="D222" s="6"/>
      <c r="E222" s="6"/>
      <c r="F222" s="6"/>
      <c r="G222" s="11"/>
      <c r="H222" s="24" t="str">
        <f aca="false">IF(AND(ISNUMBER(B222),ISNUMBER(C222)),MAX(0,C222-B222),"")</f>
        <v/>
      </c>
      <c r="I222" s="37"/>
      <c r="J222" s="46" t="str">
        <f aca="false">IF(OR(D222="",N(H222)=0),"",IFERROR(IF(I222&lt;&gt;"",H222*I222,ROUND(((H222-(INT((WEEKDAY(B222-6)+H222-1)/7)+INT((WEEKDAY(B222-7)+H222-1)/7)))*INDEX(Properties!$E$5:$E$24,MATCH(D222,Properties!$A$5:$A$24,0))+(INT((WEEKDAY(B222-6)+H222-1)/7)+INT((WEEKDAY(B222-7)+H222-1)/7))*INDEX(Properties!$F$5:$F$24,MATCH(D222,Properties!$A$5:$A$24,0)))*(1-IF(H222&gt;=28,Settings!$B$10,IF(H222&gt;=7,Settings!$B$9,0))),2)),0))</f>
        <v/>
      </c>
      <c r="K222" s="46" t="str">
        <f aca="false">IF(J222="","",IFERROR(N(INDEX(Properties!$G$5:$G$24,MATCH(D222,Properties!$A$5:$A$24,0))),0))</f>
        <v/>
      </c>
      <c r="L222" s="46" t="str">
        <f aca="false">IF(J222="","",IFERROR(MAX(0,N(G222)-INDEX(Properties!$I$5:$I$24,MATCH(D222,Properties!$A$5:$A$24,0)))*N(INDEX(Properties!$J$5:$J$24,MATCH(D222,Properties!$A$5:$A$24,0)))*H222,0))</f>
        <v/>
      </c>
      <c r="M222" s="37"/>
      <c r="N222" s="46" t="str">
        <f aca="false">IF(J222="","",J222+K222+L222+N(M222))</f>
        <v/>
      </c>
      <c r="O222" s="46" t="str">
        <f aca="false">IF(N222="","",IF(P222&lt;&gt;"",N222-P222,ROUND(N222*IFERROR(INDEX(Settings!$E$5:$E$12,MATCH(F222,Settings!$D$5:$D$12,0)),0),2)))</f>
        <v/>
      </c>
      <c r="P222" s="37"/>
      <c r="Q222" s="46" t="str">
        <f aca="false">IF(N222="","",IF(P222&lt;&gt;"",P222,N222-O222))</f>
        <v/>
      </c>
      <c r="R222" s="46" t="str">
        <f aca="false">IF(J222="","",IFERROR(N(INDEX(Properties!$H$5:$H$24,MATCH(D222,Properties!$A$5:$A$24,0))),0))</f>
        <v/>
      </c>
      <c r="S222" s="46" t="str">
        <f aca="false">IF(Q222="","",Q222-R222)</f>
        <v/>
      </c>
      <c r="T222" s="6"/>
      <c r="U222" s="6"/>
      <c r="V222" s="6"/>
      <c r="W222" s="6"/>
      <c r="X222" s="6"/>
      <c r="Y222" s="8" t="str">
        <f aca="false">IF(OR(D222="",B222="",C222=""),"",IF(N(C222)&lt;=N(B222),"Check dates",IF(T222="Cancelled","",IF(COUNTIFS($D$5:$D$1004,D222,$B$5:$B$1004,"&lt;"&amp;C222,$C$5:$C$1004,"&gt;"&amp;B222,$T$5:$T$1004,"&lt;&gt;Cancelled")&gt;1,"Double-booked",""))))</f>
        <v/>
      </c>
      <c r="Z222" s="42" t="str">
        <f aca="false">IF(AND(AA222=1,ISNUMBER(C222)),C222+ROW()/100000,"")</f>
        <v/>
      </c>
      <c r="AA222" s="43" t="n">
        <f aca="false">IF(AND(D222&lt;&gt;"",ISNUMBER(B222),ISNUMBER(C222),N(H222)&gt;0,T222&lt;&gt;"Cancelled",J222&lt;&gt;""),1,0)</f>
        <v>0</v>
      </c>
      <c r="AB222" s="44" t="n">
        <f aca="false">IF(AA222=1,J222/H222,0)</f>
        <v>0</v>
      </c>
      <c r="AC222" s="44" t="n">
        <f aca="false">IF(AA222=1,Q222/H222,0)</f>
        <v>0</v>
      </c>
      <c r="AD222" s="44" t="n">
        <f aca="false">IF(AA222=1,R222/H222,0)</f>
        <v>0</v>
      </c>
      <c r="AE222" s="44" t="n">
        <f aca="false">IF(AA222=1,O222/H222,0)</f>
        <v>0</v>
      </c>
      <c r="AF222" s="44" t="n">
        <f aca="false">IF(AA222=1,K222/H222,0)</f>
        <v>0</v>
      </c>
      <c r="AG222" s="45" t="str">
        <f aca="false">IF(AA222=1,D222&amp;"|"&amp;TEXT(B222,"0"),"")</f>
        <v/>
      </c>
      <c r="AH222" s="43" t="n">
        <f aca="false">IF(AA222=1,H222,0)</f>
        <v>0</v>
      </c>
    </row>
    <row r="223" customFormat="false" ht="15" hidden="false" customHeight="false" outlineLevel="0" collapsed="false">
      <c r="A223" s="8" t="str">
        <f aca="false">IF(B223="","","B-"&amp;TEXT(ROW()-4,"0000"))</f>
        <v/>
      </c>
      <c r="B223" s="38"/>
      <c r="C223" s="38"/>
      <c r="D223" s="6"/>
      <c r="E223" s="6"/>
      <c r="F223" s="6"/>
      <c r="G223" s="11"/>
      <c r="H223" s="18" t="str">
        <f aca="false">IF(AND(ISNUMBER(B223),ISNUMBER(C223)),MAX(0,C223-B223),"")</f>
        <v/>
      </c>
      <c r="I223" s="37"/>
      <c r="J223" s="41" t="str">
        <f aca="false">IF(OR(D223="",N(H223)=0),"",IFERROR(IF(I223&lt;&gt;"",H223*I223,ROUND(((H223-(INT((WEEKDAY(B223-6)+H223-1)/7)+INT((WEEKDAY(B223-7)+H223-1)/7)))*INDEX(Properties!$E$5:$E$24,MATCH(D223,Properties!$A$5:$A$24,0))+(INT((WEEKDAY(B223-6)+H223-1)/7)+INT((WEEKDAY(B223-7)+H223-1)/7))*INDEX(Properties!$F$5:$F$24,MATCH(D223,Properties!$A$5:$A$24,0)))*(1-IF(H223&gt;=28,Settings!$B$10,IF(H223&gt;=7,Settings!$B$9,0))),2)),0))</f>
        <v/>
      </c>
      <c r="K223" s="41" t="str">
        <f aca="false">IF(J223="","",IFERROR(N(INDEX(Properties!$G$5:$G$24,MATCH(D223,Properties!$A$5:$A$24,0))),0))</f>
        <v/>
      </c>
      <c r="L223" s="41" t="str">
        <f aca="false">IF(J223="","",IFERROR(MAX(0,N(G223)-INDEX(Properties!$I$5:$I$24,MATCH(D223,Properties!$A$5:$A$24,0)))*N(INDEX(Properties!$J$5:$J$24,MATCH(D223,Properties!$A$5:$A$24,0)))*H223,0))</f>
        <v/>
      </c>
      <c r="M223" s="37"/>
      <c r="N223" s="41" t="str">
        <f aca="false">IF(J223="","",J223+K223+L223+N(M223))</f>
        <v/>
      </c>
      <c r="O223" s="41" t="str">
        <f aca="false">IF(N223="","",IF(P223&lt;&gt;"",N223-P223,ROUND(N223*IFERROR(INDEX(Settings!$E$5:$E$12,MATCH(F223,Settings!$D$5:$D$12,0)),0),2)))</f>
        <v/>
      </c>
      <c r="P223" s="37"/>
      <c r="Q223" s="41" t="str">
        <f aca="false">IF(N223="","",IF(P223&lt;&gt;"",P223,N223-O223))</f>
        <v/>
      </c>
      <c r="R223" s="41" t="str">
        <f aca="false">IF(J223="","",IFERROR(N(INDEX(Properties!$H$5:$H$24,MATCH(D223,Properties!$A$5:$A$24,0))),0))</f>
        <v/>
      </c>
      <c r="S223" s="41" t="str">
        <f aca="false">IF(Q223="","",Q223-R223)</f>
        <v/>
      </c>
      <c r="T223" s="6"/>
      <c r="U223" s="6"/>
      <c r="V223" s="6"/>
      <c r="W223" s="6"/>
      <c r="X223" s="6"/>
      <c r="Y223" s="8" t="str">
        <f aca="false">IF(OR(D223="",B223="",C223=""),"",IF(N(C223)&lt;=N(B223),"Check dates",IF(T223="Cancelled","",IF(COUNTIFS($D$5:$D$1004,D223,$B$5:$B$1004,"&lt;"&amp;C223,$C$5:$C$1004,"&gt;"&amp;B223,$T$5:$T$1004,"&lt;&gt;Cancelled")&gt;1,"Double-booked",""))))</f>
        <v/>
      </c>
      <c r="Z223" s="42" t="str">
        <f aca="false">IF(AND(AA223=1,ISNUMBER(C223)),C223+ROW()/100000,"")</f>
        <v/>
      </c>
      <c r="AA223" s="43" t="n">
        <f aca="false">IF(AND(D223&lt;&gt;"",ISNUMBER(B223),ISNUMBER(C223),N(H223)&gt;0,T223&lt;&gt;"Cancelled",J223&lt;&gt;""),1,0)</f>
        <v>0</v>
      </c>
      <c r="AB223" s="44" t="n">
        <f aca="false">IF(AA223=1,J223/H223,0)</f>
        <v>0</v>
      </c>
      <c r="AC223" s="44" t="n">
        <f aca="false">IF(AA223=1,Q223/H223,0)</f>
        <v>0</v>
      </c>
      <c r="AD223" s="44" t="n">
        <f aca="false">IF(AA223=1,R223/H223,0)</f>
        <v>0</v>
      </c>
      <c r="AE223" s="44" t="n">
        <f aca="false">IF(AA223=1,O223/H223,0)</f>
        <v>0</v>
      </c>
      <c r="AF223" s="44" t="n">
        <f aca="false">IF(AA223=1,K223/H223,0)</f>
        <v>0</v>
      </c>
      <c r="AG223" s="45" t="str">
        <f aca="false">IF(AA223=1,D223&amp;"|"&amp;TEXT(B223,"0"),"")</f>
        <v/>
      </c>
      <c r="AH223" s="43" t="n">
        <f aca="false">IF(AA223=1,H223,0)</f>
        <v>0</v>
      </c>
    </row>
    <row r="224" customFormat="false" ht="15" hidden="false" customHeight="false" outlineLevel="0" collapsed="false">
      <c r="A224" s="23" t="str">
        <f aca="false">IF(B224="","","B-"&amp;TEXT(ROW()-4,"0000"))</f>
        <v/>
      </c>
      <c r="B224" s="38"/>
      <c r="C224" s="38"/>
      <c r="D224" s="6"/>
      <c r="E224" s="6"/>
      <c r="F224" s="6"/>
      <c r="G224" s="11"/>
      <c r="H224" s="24" t="str">
        <f aca="false">IF(AND(ISNUMBER(B224),ISNUMBER(C224)),MAX(0,C224-B224),"")</f>
        <v/>
      </c>
      <c r="I224" s="37"/>
      <c r="J224" s="46" t="str">
        <f aca="false">IF(OR(D224="",N(H224)=0),"",IFERROR(IF(I224&lt;&gt;"",H224*I224,ROUND(((H224-(INT((WEEKDAY(B224-6)+H224-1)/7)+INT((WEEKDAY(B224-7)+H224-1)/7)))*INDEX(Properties!$E$5:$E$24,MATCH(D224,Properties!$A$5:$A$24,0))+(INT((WEEKDAY(B224-6)+H224-1)/7)+INT((WEEKDAY(B224-7)+H224-1)/7))*INDEX(Properties!$F$5:$F$24,MATCH(D224,Properties!$A$5:$A$24,0)))*(1-IF(H224&gt;=28,Settings!$B$10,IF(H224&gt;=7,Settings!$B$9,0))),2)),0))</f>
        <v/>
      </c>
      <c r="K224" s="46" t="str">
        <f aca="false">IF(J224="","",IFERROR(N(INDEX(Properties!$G$5:$G$24,MATCH(D224,Properties!$A$5:$A$24,0))),0))</f>
        <v/>
      </c>
      <c r="L224" s="46" t="str">
        <f aca="false">IF(J224="","",IFERROR(MAX(0,N(G224)-INDEX(Properties!$I$5:$I$24,MATCH(D224,Properties!$A$5:$A$24,0)))*N(INDEX(Properties!$J$5:$J$24,MATCH(D224,Properties!$A$5:$A$24,0)))*H224,0))</f>
        <v/>
      </c>
      <c r="M224" s="37"/>
      <c r="N224" s="46" t="str">
        <f aca="false">IF(J224="","",J224+K224+L224+N(M224))</f>
        <v/>
      </c>
      <c r="O224" s="46" t="str">
        <f aca="false">IF(N224="","",IF(P224&lt;&gt;"",N224-P224,ROUND(N224*IFERROR(INDEX(Settings!$E$5:$E$12,MATCH(F224,Settings!$D$5:$D$12,0)),0),2)))</f>
        <v/>
      </c>
      <c r="P224" s="37"/>
      <c r="Q224" s="46" t="str">
        <f aca="false">IF(N224="","",IF(P224&lt;&gt;"",P224,N224-O224))</f>
        <v/>
      </c>
      <c r="R224" s="46" t="str">
        <f aca="false">IF(J224="","",IFERROR(N(INDEX(Properties!$H$5:$H$24,MATCH(D224,Properties!$A$5:$A$24,0))),0))</f>
        <v/>
      </c>
      <c r="S224" s="46" t="str">
        <f aca="false">IF(Q224="","",Q224-R224)</f>
        <v/>
      </c>
      <c r="T224" s="6"/>
      <c r="U224" s="6"/>
      <c r="V224" s="6"/>
      <c r="W224" s="6"/>
      <c r="X224" s="6"/>
      <c r="Y224" s="8" t="str">
        <f aca="false">IF(OR(D224="",B224="",C224=""),"",IF(N(C224)&lt;=N(B224),"Check dates",IF(T224="Cancelled","",IF(COUNTIFS($D$5:$D$1004,D224,$B$5:$B$1004,"&lt;"&amp;C224,$C$5:$C$1004,"&gt;"&amp;B224,$T$5:$T$1004,"&lt;&gt;Cancelled")&gt;1,"Double-booked",""))))</f>
        <v/>
      </c>
      <c r="Z224" s="42" t="str">
        <f aca="false">IF(AND(AA224=1,ISNUMBER(C224)),C224+ROW()/100000,"")</f>
        <v/>
      </c>
      <c r="AA224" s="43" t="n">
        <f aca="false">IF(AND(D224&lt;&gt;"",ISNUMBER(B224),ISNUMBER(C224),N(H224)&gt;0,T224&lt;&gt;"Cancelled",J224&lt;&gt;""),1,0)</f>
        <v>0</v>
      </c>
      <c r="AB224" s="44" t="n">
        <f aca="false">IF(AA224=1,J224/H224,0)</f>
        <v>0</v>
      </c>
      <c r="AC224" s="44" t="n">
        <f aca="false">IF(AA224=1,Q224/H224,0)</f>
        <v>0</v>
      </c>
      <c r="AD224" s="44" t="n">
        <f aca="false">IF(AA224=1,R224/H224,0)</f>
        <v>0</v>
      </c>
      <c r="AE224" s="44" t="n">
        <f aca="false">IF(AA224=1,O224/H224,0)</f>
        <v>0</v>
      </c>
      <c r="AF224" s="44" t="n">
        <f aca="false">IF(AA224=1,K224/H224,0)</f>
        <v>0</v>
      </c>
      <c r="AG224" s="45" t="str">
        <f aca="false">IF(AA224=1,D224&amp;"|"&amp;TEXT(B224,"0"),"")</f>
        <v/>
      </c>
      <c r="AH224" s="43" t="n">
        <f aca="false">IF(AA224=1,H224,0)</f>
        <v>0</v>
      </c>
    </row>
    <row r="225" customFormat="false" ht="15" hidden="false" customHeight="false" outlineLevel="0" collapsed="false">
      <c r="A225" s="8" t="str">
        <f aca="false">IF(B225="","","B-"&amp;TEXT(ROW()-4,"0000"))</f>
        <v/>
      </c>
      <c r="B225" s="38"/>
      <c r="C225" s="38"/>
      <c r="D225" s="6"/>
      <c r="E225" s="6"/>
      <c r="F225" s="6"/>
      <c r="G225" s="11"/>
      <c r="H225" s="18" t="str">
        <f aca="false">IF(AND(ISNUMBER(B225),ISNUMBER(C225)),MAX(0,C225-B225),"")</f>
        <v/>
      </c>
      <c r="I225" s="37"/>
      <c r="J225" s="41" t="str">
        <f aca="false">IF(OR(D225="",N(H225)=0),"",IFERROR(IF(I225&lt;&gt;"",H225*I225,ROUND(((H225-(INT((WEEKDAY(B225-6)+H225-1)/7)+INT((WEEKDAY(B225-7)+H225-1)/7)))*INDEX(Properties!$E$5:$E$24,MATCH(D225,Properties!$A$5:$A$24,0))+(INT((WEEKDAY(B225-6)+H225-1)/7)+INT((WEEKDAY(B225-7)+H225-1)/7))*INDEX(Properties!$F$5:$F$24,MATCH(D225,Properties!$A$5:$A$24,0)))*(1-IF(H225&gt;=28,Settings!$B$10,IF(H225&gt;=7,Settings!$B$9,0))),2)),0))</f>
        <v/>
      </c>
      <c r="K225" s="41" t="str">
        <f aca="false">IF(J225="","",IFERROR(N(INDEX(Properties!$G$5:$G$24,MATCH(D225,Properties!$A$5:$A$24,0))),0))</f>
        <v/>
      </c>
      <c r="L225" s="41" t="str">
        <f aca="false">IF(J225="","",IFERROR(MAX(0,N(G225)-INDEX(Properties!$I$5:$I$24,MATCH(D225,Properties!$A$5:$A$24,0)))*N(INDEX(Properties!$J$5:$J$24,MATCH(D225,Properties!$A$5:$A$24,0)))*H225,0))</f>
        <v/>
      </c>
      <c r="M225" s="37"/>
      <c r="N225" s="41" t="str">
        <f aca="false">IF(J225="","",J225+K225+L225+N(M225))</f>
        <v/>
      </c>
      <c r="O225" s="41" t="str">
        <f aca="false">IF(N225="","",IF(P225&lt;&gt;"",N225-P225,ROUND(N225*IFERROR(INDEX(Settings!$E$5:$E$12,MATCH(F225,Settings!$D$5:$D$12,0)),0),2)))</f>
        <v/>
      </c>
      <c r="P225" s="37"/>
      <c r="Q225" s="41" t="str">
        <f aca="false">IF(N225="","",IF(P225&lt;&gt;"",P225,N225-O225))</f>
        <v/>
      </c>
      <c r="R225" s="41" t="str">
        <f aca="false">IF(J225="","",IFERROR(N(INDEX(Properties!$H$5:$H$24,MATCH(D225,Properties!$A$5:$A$24,0))),0))</f>
        <v/>
      </c>
      <c r="S225" s="41" t="str">
        <f aca="false">IF(Q225="","",Q225-R225)</f>
        <v/>
      </c>
      <c r="T225" s="6"/>
      <c r="U225" s="6"/>
      <c r="V225" s="6"/>
      <c r="W225" s="6"/>
      <c r="X225" s="6"/>
      <c r="Y225" s="8" t="str">
        <f aca="false">IF(OR(D225="",B225="",C225=""),"",IF(N(C225)&lt;=N(B225),"Check dates",IF(T225="Cancelled","",IF(COUNTIFS($D$5:$D$1004,D225,$B$5:$B$1004,"&lt;"&amp;C225,$C$5:$C$1004,"&gt;"&amp;B225,$T$5:$T$1004,"&lt;&gt;Cancelled")&gt;1,"Double-booked",""))))</f>
        <v/>
      </c>
      <c r="Z225" s="42" t="str">
        <f aca="false">IF(AND(AA225=1,ISNUMBER(C225)),C225+ROW()/100000,"")</f>
        <v/>
      </c>
      <c r="AA225" s="43" t="n">
        <f aca="false">IF(AND(D225&lt;&gt;"",ISNUMBER(B225),ISNUMBER(C225),N(H225)&gt;0,T225&lt;&gt;"Cancelled",J225&lt;&gt;""),1,0)</f>
        <v>0</v>
      </c>
      <c r="AB225" s="44" t="n">
        <f aca="false">IF(AA225=1,J225/H225,0)</f>
        <v>0</v>
      </c>
      <c r="AC225" s="44" t="n">
        <f aca="false">IF(AA225=1,Q225/H225,0)</f>
        <v>0</v>
      </c>
      <c r="AD225" s="44" t="n">
        <f aca="false">IF(AA225=1,R225/H225,0)</f>
        <v>0</v>
      </c>
      <c r="AE225" s="44" t="n">
        <f aca="false">IF(AA225=1,O225/H225,0)</f>
        <v>0</v>
      </c>
      <c r="AF225" s="44" t="n">
        <f aca="false">IF(AA225=1,K225/H225,0)</f>
        <v>0</v>
      </c>
      <c r="AG225" s="45" t="str">
        <f aca="false">IF(AA225=1,D225&amp;"|"&amp;TEXT(B225,"0"),"")</f>
        <v/>
      </c>
      <c r="AH225" s="43" t="n">
        <f aca="false">IF(AA225=1,H225,0)</f>
        <v>0</v>
      </c>
    </row>
    <row r="226" customFormat="false" ht="15" hidden="false" customHeight="false" outlineLevel="0" collapsed="false">
      <c r="A226" s="23" t="str">
        <f aca="false">IF(B226="","","B-"&amp;TEXT(ROW()-4,"0000"))</f>
        <v/>
      </c>
      <c r="B226" s="38"/>
      <c r="C226" s="38"/>
      <c r="D226" s="6"/>
      <c r="E226" s="6"/>
      <c r="F226" s="6"/>
      <c r="G226" s="11"/>
      <c r="H226" s="24" t="str">
        <f aca="false">IF(AND(ISNUMBER(B226),ISNUMBER(C226)),MAX(0,C226-B226),"")</f>
        <v/>
      </c>
      <c r="I226" s="37"/>
      <c r="J226" s="46" t="str">
        <f aca="false">IF(OR(D226="",N(H226)=0),"",IFERROR(IF(I226&lt;&gt;"",H226*I226,ROUND(((H226-(INT((WEEKDAY(B226-6)+H226-1)/7)+INT((WEEKDAY(B226-7)+H226-1)/7)))*INDEX(Properties!$E$5:$E$24,MATCH(D226,Properties!$A$5:$A$24,0))+(INT((WEEKDAY(B226-6)+H226-1)/7)+INT((WEEKDAY(B226-7)+H226-1)/7))*INDEX(Properties!$F$5:$F$24,MATCH(D226,Properties!$A$5:$A$24,0)))*(1-IF(H226&gt;=28,Settings!$B$10,IF(H226&gt;=7,Settings!$B$9,0))),2)),0))</f>
        <v/>
      </c>
      <c r="K226" s="46" t="str">
        <f aca="false">IF(J226="","",IFERROR(N(INDEX(Properties!$G$5:$G$24,MATCH(D226,Properties!$A$5:$A$24,0))),0))</f>
        <v/>
      </c>
      <c r="L226" s="46" t="str">
        <f aca="false">IF(J226="","",IFERROR(MAX(0,N(G226)-INDEX(Properties!$I$5:$I$24,MATCH(D226,Properties!$A$5:$A$24,0)))*N(INDEX(Properties!$J$5:$J$24,MATCH(D226,Properties!$A$5:$A$24,0)))*H226,0))</f>
        <v/>
      </c>
      <c r="M226" s="37"/>
      <c r="N226" s="46" t="str">
        <f aca="false">IF(J226="","",J226+K226+L226+N(M226))</f>
        <v/>
      </c>
      <c r="O226" s="46" t="str">
        <f aca="false">IF(N226="","",IF(P226&lt;&gt;"",N226-P226,ROUND(N226*IFERROR(INDEX(Settings!$E$5:$E$12,MATCH(F226,Settings!$D$5:$D$12,0)),0),2)))</f>
        <v/>
      </c>
      <c r="P226" s="37"/>
      <c r="Q226" s="46" t="str">
        <f aca="false">IF(N226="","",IF(P226&lt;&gt;"",P226,N226-O226))</f>
        <v/>
      </c>
      <c r="R226" s="46" t="str">
        <f aca="false">IF(J226="","",IFERROR(N(INDEX(Properties!$H$5:$H$24,MATCH(D226,Properties!$A$5:$A$24,0))),0))</f>
        <v/>
      </c>
      <c r="S226" s="46" t="str">
        <f aca="false">IF(Q226="","",Q226-R226)</f>
        <v/>
      </c>
      <c r="T226" s="6"/>
      <c r="U226" s="6"/>
      <c r="V226" s="6"/>
      <c r="W226" s="6"/>
      <c r="X226" s="6"/>
      <c r="Y226" s="8" t="str">
        <f aca="false">IF(OR(D226="",B226="",C226=""),"",IF(N(C226)&lt;=N(B226),"Check dates",IF(T226="Cancelled","",IF(COUNTIFS($D$5:$D$1004,D226,$B$5:$B$1004,"&lt;"&amp;C226,$C$5:$C$1004,"&gt;"&amp;B226,$T$5:$T$1004,"&lt;&gt;Cancelled")&gt;1,"Double-booked",""))))</f>
        <v/>
      </c>
      <c r="Z226" s="42" t="str">
        <f aca="false">IF(AND(AA226=1,ISNUMBER(C226)),C226+ROW()/100000,"")</f>
        <v/>
      </c>
      <c r="AA226" s="43" t="n">
        <f aca="false">IF(AND(D226&lt;&gt;"",ISNUMBER(B226),ISNUMBER(C226),N(H226)&gt;0,T226&lt;&gt;"Cancelled",J226&lt;&gt;""),1,0)</f>
        <v>0</v>
      </c>
      <c r="AB226" s="44" t="n">
        <f aca="false">IF(AA226=1,J226/H226,0)</f>
        <v>0</v>
      </c>
      <c r="AC226" s="44" t="n">
        <f aca="false">IF(AA226=1,Q226/H226,0)</f>
        <v>0</v>
      </c>
      <c r="AD226" s="44" t="n">
        <f aca="false">IF(AA226=1,R226/H226,0)</f>
        <v>0</v>
      </c>
      <c r="AE226" s="44" t="n">
        <f aca="false">IF(AA226=1,O226/H226,0)</f>
        <v>0</v>
      </c>
      <c r="AF226" s="44" t="n">
        <f aca="false">IF(AA226=1,K226/H226,0)</f>
        <v>0</v>
      </c>
      <c r="AG226" s="45" t="str">
        <f aca="false">IF(AA226=1,D226&amp;"|"&amp;TEXT(B226,"0"),"")</f>
        <v/>
      </c>
      <c r="AH226" s="43" t="n">
        <f aca="false">IF(AA226=1,H226,0)</f>
        <v>0</v>
      </c>
    </row>
    <row r="227" customFormat="false" ht="15" hidden="false" customHeight="false" outlineLevel="0" collapsed="false">
      <c r="A227" s="8" t="str">
        <f aca="false">IF(B227="","","B-"&amp;TEXT(ROW()-4,"0000"))</f>
        <v/>
      </c>
      <c r="B227" s="38"/>
      <c r="C227" s="38"/>
      <c r="D227" s="6"/>
      <c r="E227" s="6"/>
      <c r="F227" s="6"/>
      <c r="G227" s="11"/>
      <c r="H227" s="18" t="str">
        <f aca="false">IF(AND(ISNUMBER(B227),ISNUMBER(C227)),MAX(0,C227-B227),"")</f>
        <v/>
      </c>
      <c r="I227" s="37"/>
      <c r="J227" s="41" t="str">
        <f aca="false">IF(OR(D227="",N(H227)=0),"",IFERROR(IF(I227&lt;&gt;"",H227*I227,ROUND(((H227-(INT((WEEKDAY(B227-6)+H227-1)/7)+INT((WEEKDAY(B227-7)+H227-1)/7)))*INDEX(Properties!$E$5:$E$24,MATCH(D227,Properties!$A$5:$A$24,0))+(INT((WEEKDAY(B227-6)+H227-1)/7)+INT((WEEKDAY(B227-7)+H227-1)/7))*INDEX(Properties!$F$5:$F$24,MATCH(D227,Properties!$A$5:$A$24,0)))*(1-IF(H227&gt;=28,Settings!$B$10,IF(H227&gt;=7,Settings!$B$9,0))),2)),0))</f>
        <v/>
      </c>
      <c r="K227" s="41" t="str">
        <f aca="false">IF(J227="","",IFERROR(N(INDEX(Properties!$G$5:$G$24,MATCH(D227,Properties!$A$5:$A$24,0))),0))</f>
        <v/>
      </c>
      <c r="L227" s="41" t="str">
        <f aca="false">IF(J227="","",IFERROR(MAX(0,N(G227)-INDEX(Properties!$I$5:$I$24,MATCH(D227,Properties!$A$5:$A$24,0)))*N(INDEX(Properties!$J$5:$J$24,MATCH(D227,Properties!$A$5:$A$24,0)))*H227,0))</f>
        <v/>
      </c>
      <c r="M227" s="37"/>
      <c r="N227" s="41" t="str">
        <f aca="false">IF(J227="","",J227+K227+L227+N(M227))</f>
        <v/>
      </c>
      <c r="O227" s="41" t="str">
        <f aca="false">IF(N227="","",IF(P227&lt;&gt;"",N227-P227,ROUND(N227*IFERROR(INDEX(Settings!$E$5:$E$12,MATCH(F227,Settings!$D$5:$D$12,0)),0),2)))</f>
        <v/>
      </c>
      <c r="P227" s="37"/>
      <c r="Q227" s="41" t="str">
        <f aca="false">IF(N227="","",IF(P227&lt;&gt;"",P227,N227-O227))</f>
        <v/>
      </c>
      <c r="R227" s="41" t="str">
        <f aca="false">IF(J227="","",IFERROR(N(INDEX(Properties!$H$5:$H$24,MATCH(D227,Properties!$A$5:$A$24,0))),0))</f>
        <v/>
      </c>
      <c r="S227" s="41" t="str">
        <f aca="false">IF(Q227="","",Q227-R227)</f>
        <v/>
      </c>
      <c r="T227" s="6"/>
      <c r="U227" s="6"/>
      <c r="V227" s="6"/>
      <c r="W227" s="6"/>
      <c r="X227" s="6"/>
      <c r="Y227" s="8" t="str">
        <f aca="false">IF(OR(D227="",B227="",C227=""),"",IF(N(C227)&lt;=N(B227),"Check dates",IF(T227="Cancelled","",IF(COUNTIFS($D$5:$D$1004,D227,$B$5:$B$1004,"&lt;"&amp;C227,$C$5:$C$1004,"&gt;"&amp;B227,$T$5:$T$1004,"&lt;&gt;Cancelled")&gt;1,"Double-booked",""))))</f>
        <v/>
      </c>
      <c r="Z227" s="42" t="str">
        <f aca="false">IF(AND(AA227=1,ISNUMBER(C227)),C227+ROW()/100000,"")</f>
        <v/>
      </c>
      <c r="AA227" s="43" t="n">
        <f aca="false">IF(AND(D227&lt;&gt;"",ISNUMBER(B227),ISNUMBER(C227),N(H227)&gt;0,T227&lt;&gt;"Cancelled",J227&lt;&gt;""),1,0)</f>
        <v>0</v>
      </c>
      <c r="AB227" s="44" t="n">
        <f aca="false">IF(AA227=1,J227/H227,0)</f>
        <v>0</v>
      </c>
      <c r="AC227" s="44" t="n">
        <f aca="false">IF(AA227=1,Q227/H227,0)</f>
        <v>0</v>
      </c>
      <c r="AD227" s="44" t="n">
        <f aca="false">IF(AA227=1,R227/H227,0)</f>
        <v>0</v>
      </c>
      <c r="AE227" s="44" t="n">
        <f aca="false">IF(AA227=1,O227/H227,0)</f>
        <v>0</v>
      </c>
      <c r="AF227" s="44" t="n">
        <f aca="false">IF(AA227=1,K227/H227,0)</f>
        <v>0</v>
      </c>
      <c r="AG227" s="45" t="str">
        <f aca="false">IF(AA227=1,D227&amp;"|"&amp;TEXT(B227,"0"),"")</f>
        <v/>
      </c>
      <c r="AH227" s="43" t="n">
        <f aca="false">IF(AA227=1,H227,0)</f>
        <v>0</v>
      </c>
    </row>
    <row r="228" customFormat="false" ht="15" hidden="false" customHeight="false" outlineLevel="0" collapsed="false">
      <c r="A228" s="23" t="str">
        <f aca="false">IF(B228="","","B-"&amp;TEXT(ROW()-4,"0000"))</f>
        <v/>
      </c>
      <c r="B228" s="38"/>
      <c r="C228" s="38"/>
      <c r="D228" s="6"/>
      <c r="E228" s="6"/>
      <c r="F228" s="6"/>
      <c r="G228" s="11"/>
      <c r="H228" s="24" t="str">
        <f aca="false">IF(AND(ISNUMBER(B228),ISNUMBER(C228)),MAX(0,C228-B228),"")</f>
        <v/>
      </c>
      <c r="I228" s="37"/>
      <c r="J228" s="46" t="str">
        <f aca="false">IF(OR(D228="",N(H228)=0),"",IFERROR(IF(I228&lt;&gt;"",H228*I228,ROUND(((H228-(INT((WEEKDAY(B228-6)+H228-1)/7)+INT((WEEKDAY(B228-7)+H228-1)/7)))*INDEX(Properties!$E$5:$E$24,MATCH(D228,Properties!$A$5:$A$24,0))+(INT((WEEKDAY(B228-6)+H228-1)/7)+INT((WEEKDAY(B228-7)+H228-1)/7))*INDEX(Properties!$F$5:$F$24,MATCH(D228,Properties!$A$5:$A$24,0)))*(1-IF(H228&gt;=28,Settings!$B$10,IF(H228&gt;=7,Settings!$B$9,0))),2)),0))</f>
        <v/>
      </c>
      <c r="K228" s="46" t="str">
        <f aca="false">IF(J228="","",IFERROR(N(INDEX(Properties!$G$5:$G$24,MATCH(D228,Properties!$A$5:$A$24,0))),0))</f>
        <v/>
      </c>
      <c r="L228" s="46" t="str">
        <f aca="false">IF(J228="","",IFERROR(MAX(0,N(G228)-INDEX(Properties!$I$5:$I$24,MATCH(D228,Properties!$A$5:$A$24,0)))*N(INDEX(Properties!$J$5:$J$24,MATCH(D228,Properties!$A$5:$A$24,0)))*H228,0))</f>
        <v/>
      </c>
      <c r="M228" s="37"/>
      <c r="N228" s="46" t="str">
        <f aca="false">IF(J228="","",J228+K228+L228+N(M228))</f>
        <v/>
      </c>
      <c r="O228" s="46" t="str">
        <f aca="false">IF(N228="","",IF(P228&lt;&gt;"",N228-P228,ROUND(N228*IFERROR(INDEX(Settings!$E$5:$E$12,MATCH(F228,Settings!$D$5:$D$12,0)),0),2)))</f>
        <v/>
      </c>
      <c r="P228" s="37"/>
      <c r="Q228" s="46" t="str">
        <f aca="false">IF(N228="","",IF(P228&lt;&gt;"",P228,N228-O228))</f>
        <v/>
      </c>
      <c r="R228" s="46" t="str">
        <f aca="false">IF(J228="","",IFERROR(N(INDEX(Properties!$H$5:$H$24,MATCH(D228,Properties!$A$5:$A$24,0))),0))</f>
        <v/>
      </c>
      <c r="S228" s="46" t="str">
        <f aca="false">IF(Q228="","",Q228-R228)</f>
        <v/>
      </c>
      <c r="T228" s="6"/>
      <c r="U228" s="6"/>
      <c r="V228" s="6"/>
      <c r="W228" s="6"/>
      <c r="X228" s="6"/>
      <c r="Y228" s="8" t="str">
        <f aca="false">IF(OR(D228="",B228="",C228=""),"",IF(N(C228)&lt;=N(B228),"Check dates",IF(T228="Cancelled","",IF(COUNTIFS($D$5:$D$1004,D228,$B$5:$B$1004,"&lt;"&amp;C228,$C$5:$C$1004,"&gt;"&amp;B228,$T$5:$T$1004,"&lt;&gt;Cancelled")&gt;1,"Double-booked",""))))</f>
        <v/>
      </c>
      <c r="Z228" s="42" t="str">
        <f aca="false">IF(AND(AA228=1,ISNUMBER(C228)),C228+ROW()/100000,"")</f>
        <v/>
      </c>
      <c r="AA228" s="43" t="n">
        <f aca="false">IF(AND(D228&lt;&gt;"",ISNUMBER(B228),ISNUMBER(C228),N(H228)&gt;0,T228&lt;&gt;"Cancelled",J228&lt;&gt;""),1,0)</f>
        <v>0</v>
      </c>
      <c r="AB228" s="44" t="n">
        <f aca="false">IF(AA228=1,J228/H228,0)</f>
        <v>0</v>
      </c>
      <c r="AC228" s="44" t="n">
        <f aca="false">IF(AA228=1,Q228/H228,0)</f>
        <v>0</v>
      </c>
      <c r="AD228" s="44" t="n">
        <f aca="false">IF(AA228=1,R228/H228,0)</f>
        <v>0</v>
      </c>
      <c r="AE228" s="44" t="n">
        <f aca="false">IF(AA228=1,O228/H228,0)</f>
        <v>0</v>
      </c>
      <c r="AF228" s="44" t="n">
        <f aca="false">IF(AA228=1,K228/H228,0)</f>
        <v>0</v>
      </c>
      <c r="AG228" s="45" t="str">
        <f aca="false">IF(AA228=1,D228&amp;"|"&amp;TEXT(B228,"0"),"")</f>
        <v/>
      </c>
      <c r="AH228" s="43" t="n">
        <f aca="false">IF(AA228=1,H228,0)</f>
        <v>0</v>
      </c>
    </row>
    <row r="229" customFormat="false" ht="15" hidden="false" customHeight="false" outlineLevel="0" collapsed="false">
      <c r="A229" s="8" t="str">
        <f aca="false">IF(B229="","","B-"&amp;TEXT(ROW()-4,"0000"))</f>
        <v/>
      </c>
      <c r="B229" s="38"/>
      <c r="C229" s="38"/>
      <c r="D229" s="6"/>
      <c r="E229" s="6"/>
      <c r="F229" s="6"/>
      <c r="G229" s="11"/>
      <c r="H229" s="18" t="str">
        <f aca="false">IF(AND(ISNUMBER(B229),ISNUMBER(C229)),MAX(0,C229-B229),"")</f>
        <v/>
      </c>
      <c r="I229" s="37"/>
      <c r="J229" s="41" t="str">
        <f aca="false">IF(OR(D229="",N(H229)=0),"",IFERROR(IF(I229&lt;&gt;"",H229*I229,ROUND(((H229-(INT((WEEKDAY(B229-6)+H229-1)/7)+INT((WEEKDAY(B229-7)+H229-1)/7)))*INDEX(Properties!$E$5:$E$24,MATCH(D229,Properties!$A$5:$A$24,0))+(INT((WEEKDAY(B229-6)+H229-1)/7)+INT((WEEKDAY(B229-7)+H229-1)/7))*INDEX(Properties!$F$5:$F$24,MATCH(D229,Properties!$A$5:$A$24,0)))*(1-IF(H229&gt;=28,Settings!$B$10,IF(H229&gt;=7,Settings!$B$9,0))),2)),0))</f>
        <v/>
      </c>
      <c r="K229" s="41" t="str">
        <f aca="false">IF(J229="","",IFERROR(N(INDEX(Properties!$G$5:$G$24,MATCH(D229,Properties!$A$5:$A$24,0))),0))</f>
        <v/>
      </c>
      <c r="L229" s="41" t="str">
        <f aca="false">IF(J229="","",IFERROR(MAX(0,N(G229)-INDEX(Properties!$I$5:$I$24,MATCH(D229,Properties!$A$5:$A$24,0)))*N(INDEX(Properties!$J$5:$J$24,MATCH(D229,Properties!$A$5:$A$24,0)))*H229,0))</f>
        <v/>
      </c>
      <c r="M229" s="37"/>
      <c r="N229" s="41" t="str">
        <f aca="false">IF(J229="","",J229+K229+L229+N(M229))</f>
        <v/>
      </c>
      <c r="O229" s="41" t="str">
        <f aca="false">IF(N229="","",IF(P229&lt;&gt;"",N229-P229,ROUND(N229*IFERROR(INDEX(Settings!$E$5:$E$12,MATCH(F229,Settings!$D$5:$D$12,0)),0),2)))</f>
        <v/>
      </c>
      <c r="P229" s="37"/>
      <c r="Q229" s="41" t="str">
        <f aca="false">IF(N229="","",IF(P229&lt;&gt;"",P229,N229-O229))</f>
        <v/>
      </c>
      <c r="R229" s="41" t="str">
        <f aca="false">IF(J229="","",IFERROR(N(INDEX(Properties!$H$5:$H$24,MATCH(D229,Properties!$A$5:$A$24,0))),0))</f>
        <v/>
      </c>
      <c r="S229" s="41" t="str">
        <f aca="false">IF(Q229="","",Q229-R229)</f>
        <v/>
      </c>
      <c r="T229" s="6"/>
      <c r="U229" s="6"/>
      <c r="V229" s="6"/>
      <c r="W229" s="6"/>
      <c r="X229" s="6"/>
      <c r="Y229" s="8" t="str">
        <f aca="false">IF(OR(D229="",B229="",C229=""),"",IF(N(C229)&lt;=N(B229),"Check dates",IF(T229="Cancelled","",IF(COUNTIFS($D$5:$D$1004,D229,$B$5:$B$1004,"&lt;"&amp;C229,$C$5:$C$1004,"&gt;"&amp;B229,$T$5:$T$1004,"&lt;&gt;Cancelled")&gt;1,"Double-booked",""))))</f>
        <v/>
      </c>
      <c r="Z229" s="42" t="str">
        <f aca="false">IF(AND(AA229=1,ISNUMBER(C229)),C229+ROW()/100000,"")</f>
        <v/>
      </c>
      <c r="AA229" s="43" t="n">
        <f aca="false">IF(AND(D229&lt;&gt;"",ISNUMBER(B229),ISNUMBER(C229),N(H229)&gt;0,T229&lt;&gt;"Cancelled",J229&lt;&gt;""),1,0)</f>
        <v>0</v>
      </c>
      <c r="AB229" s="44" t="n">
        <f aca="false">IF(AA229=1,J229/H229,0)</f>
        <v>0</v>
      </c>
      <c r="AC229" s="44" t="n">
        <f aca="false">IF(AA229=1,Q229/H229,0)</f>
        <v>0</v>
      </c>
      <c r="AD229" s="44" t="n">
        <f aca="false">IF(AA229=1,R229/H229,0)</f>
        <v>0</v>
      </c>
      <c r="AE229" s="44" t="n">
        <f aca="false">IF(AA229=1,O229/H229,0)</f>
        <v>0</v>
      </c>
      <c r="AF229" s="44" t="n">
        <f aca="false">IF(AA229=1,K229/H229,0)</f>
        <v>0</v>
      </c>
      <c r="AG229" s="45" t="str">
        <f aca="false">IF(AA229=1,D229&amp;"|"&amp;TEXT(B229,"0"),"")</f>
        <v/>
      </c>
      <c r="AH229" s="43" t="n">
        <f aca="false">IF(AA229=1,H229,0)</f>
        <v>0</v>
      </c>
    </row>
    <row r="230" customFormat="false" ht="15" hidden="false" customHeight="false" outlineLevel="0" collapsed="false">
      <c r="A230" s="23" t="str">
        <f aca="false">IF(B230="","","B-"&amp;TEXT(ROW()-4,"0000"))</f>
        <v/>
      </c>
      <c r="B230" s="38"/>
      <c r="C230" s="38"/>
      <c r="D230" s="6"/>
      <c r="E230" s="6"/>
      <c r="F230" s="6"/>
      <c r="G230" s="11"/>
      <c r="H230" s="24" t="str">
        <f aca="false">IF(AND(ISNUMBER(B230),ISNUMBER(C230)),MAX(0,C230-B230),"")</f>
        <v/>
      </c>
      <c r="I230" s="37"/>
      <c r="J230" s="46" t="str">
        <f aca="false">IF(OR(D230="",N(H230)=0),"",IFERROR(IF(I230&lt;&gt;"",H230*I230,ROUND(((H230-(INT((WEEKDAY(B230-6)+H230-1)/7)+INT((WEEKDAY(B230-7)+H230-1)/7)))*INDEX(Properties!$E$5:$E$24,MATCH(D230,Properties!$A$5:$A$24,0))+(INT((WEEKDAY(B230-6)+H230-1)/7)+INT((WEEKDAY(B230-7)+H230-1)/7))*INDEX(Properties!$F$5:$F$24,MATCH(D230,Properties!$A$5:$A$24,0)))*(1-IF(H230&gt;=28,Settings!$B$10,IF(H230&gt;=7,Settings!$B$9,0))),2)),0))</f>
        <v/>
      </c>
      <c r="K230" s="46" t="str">
        <f aca="false">IF(J230="","",IFERROR(N(INDEX(Properties!$G$5:$G$24,MATCH(D230,Properties!$A$5:$A$24,0))),0))</f>
        <v/>
      </c>
      <c r="L230" s="46" t="str">
        <f aca="false">IF(J230="","",IFERROR(MAX(0,N(G230)-INDEX(Properties!$I$5:$I$24,MATCH(D230,Properties!$A$5:$A$24,0)))*N(INDEX(Properties!$J$5:$J$24,MATCH(D230,Properties!$A$5:$A$24,0)))*H230,0))</f>
        <v/>
      </c>
      <c r="M230" s="37"/>
      <c r="N230" s="46" t="str">
        <f aca="false">IF(J230="","",J230+K230+L230+N(M230))</f>
        <v/>
      </c>
      <c r="O230" s="46" t="str">
        <f aca="false">IF(N230="","",IF(P230&lt;&gt;"",N230-P230,ROUND(N230*IFERROR(INDEX(Settings!$E$5:$E$12,MATCH(F230,Settings!$D$5:$D$12,0)),0),2)))</f>
        <v/>
      </c>
      <c r="P230" s="37"/>
      <c r="Q230" s="46" t="str">
        <f aca="false">IF(N230="","",IF(P230&lt;&gt;"",P230,N230-O230))</f>
        <v/>
      </c>
      <c r="R230" s="46" t="str">
        <f aca="false">IF(J230="","",IFERROR(N(INDEX(Properties!$H$5:$H$24,MATCH(D230,Properties!$A$5:$A$24,0))),0))</f>
        <v/>
      </c>
      <c r="S230" s="46" t="str">
        <f aca="false">IF(Q230="","",Q230-R230)</f>
        <v/>
      </c>
      <c r="T230" s="6"/>
      <c r="U230" s="6"/>
      <c r="V230" s="6"/>
      <c r="W230" s="6"/>
      <c r="X230" s="6"/>
      <c r="Y230" s="8" t="str">
        <f aca="false">IF(OR(D230="",B230="",C230=""),"",IF(N(C230)&lt;=N(B230),"Check dates",IF(T230="Cancelled","",IF(COUNTIFS($D$5:$D$1004,D230,$B$5:$B$1004,"&lt;"&amp;C230,$C$5:$C$1004,"&gt;"&amp;B230,$T$5:$T$1004,"&lt;&gt;Cancelled")&gt;1,"Double-booked",""))))</f>
        <v/>
      </c>
      <c r="Z230" s="42" t="str">
        <f aca="false">IF(AND(AA230=1,ISNUMBER(C230)),C230+ROW()/100000,"")</f>
        <v/>
      </c>
      <c r="AA230" s="43" t="n">
        <f aca="false">IF(AND(D230&lt;&gt;"",ISNUMBER(B230),ISNUMBER(C230),N(H230)&gt;0,T230&lt;&gt;"Cancelled",J230&lt;&gt;""),1,0)</f>
        <v>0</v>
      </c>
      <c r="AB230" s="44" t="n">
        <f aca="false">IF(AA230=1,J230/H230,0)</f>
        <v>0</v>
      </c>
      <c r="AC230" s="44" t="n">
        <f aca="false">IF(AA230=1,Q230/H230,0)</f>
        <v>0</v>
      </c>
      <c r="AD230" s="44" t="n">
        <f aca="false">IF(AA230=1,R230/H230,0)</f>
        <v>0</v>
      </c>
      <c r="AE230" s="44" t="n">
        <f aca="false">IF(AA230=1,O230/H230,0)</f>
        <v>0</v>
      </c>
      <c r="AF230" s="44" t="n">
        <f aca="false">IF(AA230=1,K230/H230,0)</f>
        <v>0</v>
      </c>
      <c r="AG230" s="45" t="str">
        <f aca="false">IF(AA230=1,D230&amp;"|"&amp;TEXT(B230,"0"),"")</f>
        <v/>
      </c>
      <c r="AH230" s="43" t="n">
        <f aca="false">IF(AA230=1,H230,0)</f>
        <v>0</v>
      </c>
    </row>
    <row r="231" customFormat="false" ht="15" hidden="false" customHeight="false" outlineLevel="0" collapsed="false">
      <c r="A231" s="8" t="str">
        <f aca="false">IF(B231="","","B-"&amp;TEXT(ROW()-4,"0000"))</f>
        <v/>
      </c>
      <c r="B231" s="38"/>
      <c r="C231" s="38"/>
      <c r="D231" s="6"/>
      <c r="E231" s="6"/>
      <c r="F231" s="6"/>
      <c r="G231" s="11"/>
      <c r="H231" s="18" t="str">
        <f aca="false">IF(AND(ISNUMBER(B231),ISNUMBER(C231)),MAX(0,C231-B231),"")</f>
        <v/>
      </c>
      <c r="I231" s="37"/>
      <c r="J231" s="41" t="str">
        <f aca="false">IF(OR(D231="",N(H231)=0),"",IFERROR(IF(I231&lt;&gt;"",H231*I231,ROUND(((H231-(INT((WEEKDAY(B231-6)+H231-1)/7)+INT((WEEKDAY(B231-7)+H231-1)/7)))*INDEX(Properties!$E$5:$E$24,MATCH(D231,Properties!$A$5:$A$24,0))+(INT((WEEKDAY(B231-6)+H231-1)/7)+INT((WEEKDAY(B231-7)+H231-1)/7))*INDEX(Properties!$F$5:$F$24,MATCH(D231,Properties!$A$5:$A$24,0)))*(1-IF(H231&gt;=28,Settings!$B$10,IF(H231&gt;=7,Settings!$B$9,0))),2)),0))</f>
        <v/>
      </c>
      <c r="K231" s="41" t="str">
        <f aca="false">IF(J231="","",IFERROR(N(INDEX(Properties!$G$5:$G$24,MATCH(D231,Properties!$A$5:$A$24,0))),0))</f>
        <v/>
      </c>
      <c r="L231" s="41" t="str">
        <f aca="false">IF(J231="","",IFERROR(MAX(0,N(G231)-INDEX(Properties!$I$5:$I$24,MATCH(D231,Properties!$A$5:$A$24,0)))*N(INDEX(Properties!$J$5:$J$24,MATCH(D231,Properties!$A$5:$A$24,0)))*H231,0))</f>
        <v/>
      </c>
      <c r="M231" s="37"/>
      <c r="N231" s="41" t="str">
        <f aca="false">IF(J231="","",J231+K231+L231+N(M231))</f>
        <v/>
      </c>
      <c r="O231" s="41" t="str">
        <f aca="false">IF(N231="","",IF(P231&lt;&gt;"",N231-P231,ROUND(N231*IFERROR(INDEX(Settings!$E$5:$E$12,MATCH(F231,Settings!$D$5:$D$12,0)),0),2)))</f>
        <v/>
      </c>
      <c r="P231" s="37"/>
      <c r="Q231" s="41" t="str">
        <f aca="false">IF(N231="","",IF(P231&lt;&gt;"",P231,N231-O231))</f>
        <v/>
      </c>
      <c r="R231" s="41" t="str">
        <f aca="false">IF(J231="","",IFERROR(N(INDEX(Properties!$H$5:$H$24,MATCH(D231,Properties!$A$5:$A$24,0))),0))</f>
        <v/>
      </c>
      <c r="S231" s="41" t="str">
        <f aca="false">IF(Q231="","",Q231-R231)</f>
        <v/>
      </c>
      <c r="T231" s="6"/>
      <c r="U231" s="6"/>
      <c r="V231" s="6"/>
      <c r="W231" s="6"/>
      <c r="X231" s="6"/>
      <c r="Y231" s="8" t="str">
        <f aca="false">IF(OR(D231="",B231="",C231=""),"",IF(N(C231)&lt;=N(B231),"Check dates",IF(T231="Cancelled","",IF(COUNTIFS($D$5:$D$1004,D231,$B$5:$B$1004,"&lt;"&amp;C231,$C$5:$C$1004,"&gt;"&amp;B231,$T$5:$T$1004,"&lt;&gt;Cancelled")&gt;1,"Double-booked",""))))</f>
        <v/>
      </c>
      <c r="Z231" s="42" t="str">
        <f aca="false">IF(AND(AA231=1,ISNUMBER(C231)),C231+ROW()/100000,"")</f>
        <v/>
      </c>
      <c r="AA231" s="43" t="n">
        <f aca="false">IF(AND(D231&lt;&gt;"",ISNUMBER(B231),ISNUMBER(C231),N(H231)&gt;0,T231&lt;&gt;"Cancelled",J231&lt;&gt;""),1,0)</f>
        <v>0</v>
      </c>
      <c r="AB231" s="44" t="n">
        <f aca="false">IF(AA231=1,J231/H231,0)</f>
        <v>0</v>
      </c>
      <c r="AC231" s="44" t="n">
        <f aca="false">IF(AA231=1,Q231/H231,0)</f>
        <v>0</v>
      </c>
      <c r="AD231" s="44" t="n">
        <f aca="false">IF(AA231=1,R231/H231,0)</f>
        <v>0</v>
      </c>
      <c r="AE231" s="44" t="n">
        <f aca="false">IF(AA231=1,O231/H231,0)</f>
        <v>0</v>
      </c>
      <c r="AF231" s="44" t="n">
        <f aca="false">IF(AA231=1,K231/H231,0)</f>
        <v>0</v>
      </c>
      <c r="AG231" s="45" t="str">
        <f aca="false">IF(AA231=1,D231&amp;"|"&amp;TEXT(B231,"0"),"")</f>
        <v/>
      </c>
      <c r="AH231" s="43" t="n">
        <f aca="false">IF(AA231=1,H231,0)</f>
        <v>0</v>
      </c>
    </row>
    <row r="232" customFormat="false" ht="15" hidden="false" customHeight="false" outlineLevel="0" collapsed="false">
      <c r="A232" s="23" t="str">
        <f aca="false">IF(B232="","","B-"&amp;TEXT(ROW()-4,"0000"))</f>
        <v/>
      </c>
      <c r="B232" s="38"/>
      <c r="C232" s="38"/>
      <c r="D232" s="6"/>
      <c r="E232" s="6"/>
      <c r="F232" s="6"/>
      <c r="G232" s="11"/>
      <c r="H232" s="24" t="str">
        <f aca="false">IF(AND(ISNUMBER(B232),ISNUMBER(C232)),MAX(0,C232-B232),"")</f>
        <v/>
      </c>
      <c r="I232" s="37"/>
      <c r="J232" s="46" t="str">
        <f aca="false">IF(OR(D232="",N(H232)=0),"",IFERROR(IF(I232&lt;&gt;"",H232*I232,ROUND(((H232-(INT((WEEKDAY(B232-6)+H232-1)/7)+INT((WEEKDAY(B232-7)+H232-1)/7)))*INDEX(Properties!$E$5:$E$24,MATCH(D232,Properties!$A$5:$A$24,0))+(INT((WEEKDAY(B232-6)+H232-1)/7)+INT((WEEKDAY(B232-7)+H232-1)/7))*INDEX(Properties!$F$5:$F$24,MATCH(D232,Properties!$A$5:$A$24,0)))*(1-IF(H232&gt;=28,Settings!$B$10,IF(H232&gt;=7,Settings!$B$9,0))),2)),0))</f>
        <v/>
      </c>
      <c r="K232" s="46" t="str">
        <f aca="false">IF(J232="","",IFERROR(N(INDEX(Properties!$G$5:$G$24,MATCH(D232,Properties!$A$5:$A$24,0))),0))</f>
        <v/>
      </c>
      <c r="L232" s="46" t="str">
        <f aca="false">IF(J232="","",IFERROR(MAX(0,N(G232)-INDEX(Properties!$I$5:$I$24,MATCH(D232,Properties!$A$5:$A$24,0)))*N(INDEX(Properties!$J$5:$J$24,MATCH(D232,Properties!$A$5:$A$24,0)))*H232,0))</f>
        <v/>
      </c>
      <c r="M232" s="37"/>
      <c r="N232" s="46" t="str">
        <f aca="false">IF(J232="","",J232+K232+L232+N(M232))</f>
        <v/>
      </c>
      <c r="O232" s="46" t="str">
        <f aca="false">IF(N232="","",IF(P232&lt;&gt;"",N232-P232,ROUND(N232*IFERROR(INDEX(Settings!$E$5:$E$12,MATCH(F232,Settings!$D$5:$D$12,0)),0),2)))</f>
        <v/>
      </c>
      <c r="P232" s="37"/>
      <c r="Q232" s="46" t="str">
        <f aca="false">IF(N232="","",IF(P232&lt;&gt;"",P232,N232-O232))</f>
        <v/>
      </c>
      <c r="R232" s="46" t="str">
        <f aca="false">IF(J232="","",IFERROR(N(INDEX(Properties!$H$5:$H$24,MATCH(D232,Properties!$A$5:$A$24,0))),0))</f>
        <v/>
      </c>
      <c r="S232" s="46" t="str">
        <f aca="false">IF(Q232="","",Q232-R232)</f>
        <v/>
      </c>
      <c r="T232" s="6"/>
      <c r="U232" s="6"/>
      <c r="V232" s="6"/>
      <c r="W232" s="6"/>
      <c r="X232" s="6"/>
      <c r="Y232" s="8" t="str">
        <f aca="false">IF(OR(D232="",B232="",C232=""),"",IF(N(C232)&lt;=N(B232),"Check dates",IF(T232="Cancelled","",IF(COUNTIFS($D$5:$D$1004,D232,$B$5:$B$1004,"&lt;"&amp;C232,$C$5:$C$1004,"&gt;"&amp;B232,$T$5:$T$1004,"&lt;&gt;Cancelled")&gt;1,"Double-booked",""))))</f>
        <v/>
      </c>
      <c r="Z232" s="42" t="str">
        <f aca="false">IF(AND(AA232=1,ISNUMBER(C232)),C232+ROW()/100000,"")</f>
        <v/>
      </c>
      <c r="AA232" s="43" t="n">
        <f aca="false">IF(AND(D232&lt;&gt;"",ISNUMBER(B232),ISNUMBER(C232),N(H232)&gt;0,T232&lt;&gt;"Cancelled",J232&lt;&gt;""),1,0)</f>
        <v>0</v>
      </c>
      <c r="AB232" s="44" t="n">
        <f aca="false">IF(AA232=1,J232/H232,0)</f>
        <v>0</v>
      </c>
      <c r="AC232" s="44" t="n">
        <f aca="false">IF(AA232=1,Q232/H232,0)</f>
        <v>0</v>
      </c>
      <c r="AD232" s="44" t="n">
        <f aca="false">IF(AA232=1,R232/H232,0)</f>
        <v>0</v>
      </c>
      <c r="AE232" s="44" t="n">
        <f aca="false">IF(AA232=1,O232/H232,0)</f>
        <v>0</v>
      </c>
      <c r="AF232" s="44" t="n">
        <f aca="false">IF(AA232=1,K232/H232,0)</f>
        <v>0</v>
      </c>
      <c r="AG232" s="45" t="str">
        <f aca="false">IF(AA232=1,D232&amp;"|"&amp;TEXT(B232,"0"),"")</f>
        <v/>
      </c>
      <c r="AH232" s="43" t="n">
        <f aca="false">IF(AA232=1,H232,0)</f>
        <v>0</v>
      </c>
    </row>
    <row r="233" customFormat="false" ht="15" hidden="false" customHeight="false" outlineLevel="0" collapsed="false">
      <c r="A233" s="8" t="str">
        <f aca="false">IF(B233="","","B-"&amp;TEXT(ROW()-4,"0000"))</f>
        <v/>
      </c>
      <c r="B233" s="38"/>
      <c r="C233" s="38"/>
      <c r="D233" s="6"/>
      <c r="E233" s="6"/>
      <c r="F233" s="6"/>
      <c r="G233" s="11"/>
      <c r="H233" s="18" t="str">
        <f aca="false">IF(AND(ISNUMBER(B233),ISNUMBER(C233)),MAX(0,C233-B233),"")</f>
        <v/>
      </c>
      <c r="I233" s="37"/>
      <c r="J233" s="41" t="str">
        <f aca="false">IF(OR(D233="",N(H233)=0),"",IFERROR(IF(I233&lt;&gt;"",H233*I233,ROUND(((H233-(INT((WEEKDAY(B233-6)+H233-1)/7)+INT((WEEKDAY(B233-7)+H233-1)/7)))*INDEX(Properties!$E$5:$E$24,MATCH(D233,Properties!$A$5:$A$24,0))+(INT((WEEKDAY(B233-6)+H233-1)/7)+INT((WEEKDAY(B233-7)+H233-1)/7))*INDEX(Properties!$F$5:$F$24,MATCH(D233,Properties!$A$5:$A$24,0)))*(1-IF(H233&gt;=28,Settings!$B$10,IF(H233&gt;=7,Settings!$B$9,0))),2)),0))</f>
        <v/>
      </c>
      <c r="K233" s="41" t="str">
        <f aca="false">IF(J233="","",IFERROR(N(INDEX(Properties!$G$5:$G$24,MATCH(D233,Properties!$A$5:$A$24,0))),0))</f>
        <v/>
      </c>
      <c r="L233" s="41" t="str">
        <f aca="false">IF(J233="","",IFERROR(MAX(0,N(G233)-INDEX(Properties!$I$5:$I$24,MATCH(D233,Properties!$A$5:$A$24,0)))*N(INDEX(Properties!$J$5:$J$24,MATCH(D233,Properties!$A$5:$A$24,0)))*H233,0))</f>
        <v/>
      </c>
      <c r="M233" s="37"/>
      <c r="N233" s="41" t="str">
        <f aca="false">IF(J233="","",J233+K233+L233+N(M233))</f>
        <v/>
      </c>
      <c r="O233" s="41" t="str">
        <f aca="false">IF(N233="","",IF(P233&lt;&gt;"",N233-P233,ROUND(N233*IFERROR(INDEX(Settings!$E$5:$E$12,MATCH(F233,Settings!$D$5:$D$12,0)),0),2)))</f>
        <v/>
      </c>
      <c r="P233" s="37"/>
      <c r="Q233" s="41" t="str">
        <f aca="false">IF(N233="","",IF(P233&lt;&gt;"",P233,N233-O233))</f>
        <v/>
      </c>
      <c r="R233" s="41" t="str">
        <f aca="false">IF(J233="","",IFERROR(N(INDEX(Properties!$H$5:$H$24,MATCH(D233,Properties!$A$5:$A$24,0))),0))</f>
        <v/>
      </c>
      <c r="S233" s="41" t="str">
        <f aca="false">IF(Q233="","",Q233-R233)</f>
        <v/>
      </c>
      <c r="T233" s="6"/>
      <c r="U233" s="6"/>
      <c r="V233" s="6"/>
      <c r="W233" s="6"/>
      <c r="X233" s="6"/>
      <c r="Y233" s="8" t="str">
        <f aca="false">IF(OR(D233="",B233="",C233=""),"",IF(N(C233)&lt;=N(B233),"Check dates",IF(T233="Cancelled","",IF(COUNTIFS($D$5:$D$1004,D233,$B$5:$B$1004,"&lt;"&amp;C233,$C$5:$C$1004,"&gt;"&amp;B233,$T$5:$T$1004,"&lt;&gt;Cancelled")&gt;1,"Double-booked",""))))</f>
        <v/>
      </c>
      <c r="Z233" s="42" t="str">
        <f aca="false">IF(AND(AA233=1,ISNUMBER(C233)),C233+ROW()/100000,"")</f>
        <v/>
      </c>
      <c r="AA233" s="43" t="n">
        <f aca="false">IF(AND(D233&lt;&gt;"",ISNUMBER(B233),ISNUMBER(C233),N(H233)&gt;0,T233&lt;&gt;"Cancelled",J233&lt;&gt;""),1,0)</f>
        <v>0</v>
      </c>
      <c r="AB233" s="44" t="n">
        <f aca="false">IF(AA233=1,J233/H233,0)</f>
        <v>0</v>
      </c>
      <c r="AC233" s="44" t="n">
        <f aca="false">IF(AA233=1,Q233/H233,0)</f>
        <v>0</v>
      </c>
      <c r="AD233" s="44" t="n">
        <f aca="false">IF(AA233=1,R233/H233,0)</f>
        <v>0</v>
      </c>
      <c r="AE233" s="44" t="n">
        <f aca="false">IF(AA233=1,O233/H233,0)</f>
        <v>0</v>
      </c>
      <c r="AF233" s="44" t="n">
        <f aca="false">IF(AA233=1,K233/H233,0)</f>
        <v>0</v>
      </c>
      <c r="AG233" s="45" t="str">
        <f aca="false">IF(AA233=1,D233&amp;"|"&amp;TEXT(B233,"0"),"")</f>
        <v/>
      </c>
      <c r="AH233" s="43" t="n">
        <f aca="false">IF(AA233=1,H233,0)</f>
        <v>0</v>
      </c>
    </row>
    <row r="234" customFormat="false" ht="15" hidden="false" customHeight="false" outlineLevel="0" collapsed="false">
      <c r="A234" s="23" t="str">
        <f aca="false">IF(B234="","","B-"&amp;TEXT(ROW()-4,"0000"))</f>
        <v/>
      </c>
      <c r="B234" s="38"/>
      <c r="C234" s="38"/>
      <c r="D234" s="6"/>
      <c r="E234" s="6"/>
      <c r="F234" s="6"/>
      <c r="G234" s="11"/>
      <c r="H234" s="24" t="str">
        <f aca="false">IF(AND(ISNUMBER(B234),ISNUMBER(C234)),MAX(0,C234-B234),"")</f>
        <v/>
      </c>
      <c r="I234" s="37"/>
      <c r="J234" s="46" t="str">
        <f aca="false">IF(OR(D234="",N(H234)=0),"",IFERROR(IF(I234&lt;&gt;"",H234*I234,ROUND(((H234-(INT((WEEKDAY(B234-6)+H234-1)/7)+INT((WEEKDAY(B234-7)+H234-1)/7)))*INDEX(Properties!$E$5:$E$24,MATCH(D234,Properties!$A$5:$A$24,0))+(INT((WEEKDAY(B234-6)+H234-1)/7)+INT((WEEKDAY(B234-7)+H234-1)/7))*INDEX(Properties!$F$5:$F$24,MATCH(D234,Properties!$A$5:$A$24,0)))*(1-IF(H234&gt;=28,Settings!$B$10,IF(H234&gt;=7,Settings!$B$9,0))),2)),0))</f>
        <v/>
      </c>
      <c r="K234" s="46" t="str">
        <f aca="false">IF(J234="","",IFERROR(N(INDEX(Properties!$G$5:$G$24,MATCH(D234,Properties!$A$5:$A$24,0))),0))</f>
        <v/>
      </c>
      <c r="L234" s="46" t="str">
        <f aca="false">IF(J234="","",IFERROR(MAX(0,N(G234)-INDEX(Properties!$I$5:$I$24,MATCH(D234,Properties!$A$5:$A$24,0)))*N(INDEX(Properties!$J$5:$J$24,MATCH(D234,Properties!$A$5:$A$24,0)))*H234,0))</f>
        <v/>
      </c>
      <c r="M234" s="37"/>
      <c r="N234" s="46" t="str">
        <f aca="false">IF(J234="","",J234+K234+L234+N(M234))</f>
        <v/>
      </c>
      <c r="O234" s="46" t="str">
        <f aca="false">IF(N234="","",IF(P234&lt;&gt;"",N234-P234,ROUND(N234*IFERROR(INDEX(Settings!$E$5:$E$12,MATCH(F234,Settings!$D$5:$D$12,0)),0),2)))</f>
        <v/>
      </c>
      <c r="P234" s="37"/>
      <c r="Q234" s="46" t="str">
        <f aca="false">IF(N234="","",IF(P234&lt;&gt;"",P234,N234-O234))</f>
        <v/>
      </c>
      <c r="R234" s="46" t="str">
        <f aca="false">IF(J234="","",IFERROR(N(INDEX(Properties!$H$5:$H$24,MATCH(D234,Properties!$A$5:$A$24,0))),0))</f>
        <v/>
      </c>
      <c r="S234" s="46" t="str">
        <f aca="false">IF(Q234="","",Q234-R234)</f>
        <v/>
      </c>
      <c r="T234" s="6"/>
      <c r="U234" s="6"/>
      <c r="V234" s="6"/>
      <c r="W234" s="6"/>
      <c r="X234" s="6"/>
      <c r="Y234" s="8" t="str">
        <f aca="false">IF(OR(D234="",B234="",C234=""),"",IF(N(C234)&lt;=N(B234),"Check dates",IF(T234="Cancelled","",IF(COUNTIFS($D$5:$D$1004,D234,$B$5:$B$1004,"&lt;"&amp;C234,$C$5:$C$1004,"&gt;"&amp;B234,$T$5:$T$1004,"&lt;&gt;Cancelled")&gt;1,"Double-booked",""))))</f>
        <v/>
      </c>
      <c r="Z234" s="42" t="str">
        <f aca="false">IF(AND(AA234=1,ISNUMBER(C234)),C234+ROW()/100000,"")</f>
        <v/>
      </c>
      <c r="AA234" s="43" t="n">
        <f aca="false">IF(AND(D234&lt;&gt;"",ISNUMBER(B234),ISNUMBER(C234),N(H234)&gt;0,T234&lt;&gt;"Cancelled",J234&lt;&gt;""),1,0)</f>
        <v>0</v>
      </c>
      <c r="AB234" s="44" t="n">
        <f aca="false">IF(AA234=1,J234/H234,0)</f>
        <v>0</v>
      </c>
      <c r="AC234" s="44" t="n">
        <f aca="false">IF(AA234=1,Q234/H234,0)</f>
        <v>0</v>
      </c>
      <c r="AD234" s="44" t="n">
        <f aca="false">IF(AA234=1,R234/H234,0)</f>
        <v>0</v>
      </c>
      <c r="AE234" s="44" t="n">
        <f aca="false">IF(AA234=1,O234/H234,0)</f>
        <v>0</v>
      </c>
      <c r="AF234" s="44" t="n">
        <f aca="false">IF(AA234=1,K234/H234,0)</f>
        <v>0</v>
      </c>
      <c r="AG234" s="45" t="str">
        <f aca="false">IF(AA234=1,D234&amp;"|"&amp;TEXT(B234,"0"),"")</f>
        <v/>
      </c>
      <c r="AH234" s="43" t="n">
        <f aca="false">IF(AA234=1,H234,0)</f>
        <v>0</v>
      </c>
    </row>
    <row r="235" customFormat="false" ht="15" hidden="false" customHeight="false" outlineLevel="0" collapsed="false">
      <c r="A235" s="8" t="str">
        <f aca="false">IF(B235="","","B-"&amp;TEXT(ROW()-4,"0000"))</f>
        <v/>
      </c>
      <c r="B235" s="38"/>
      <c r="C235" s="38"/>
      <c r="D235" s="6"/>
      <c r="E235" s="6"/>
      <c r="F235" s="6"/>
      <c r="G235" s="11"/>
      <c r="H235" s="18" t="str">
        <f aca="false">IF(AND(ISNUMBER(B235),ISNUMBER(C235)),MAX(0,C235-B235),"")</f>
        <v/>
      </c>
      <c r="I235" s="37"/>
      <c r="J235" s="41" t="str">
        <f aca="false">IF(OR(D235="",N(H235)=0),"",IFERROR(IF(I235&lt;&gt;"",H235*I235,ROUND(((H235-(INT((WEEKDAY(B235-6)+H235-1)/7)+INT((WEEKDAY(B235-7)+H235-1)/7)))*INDEX(Properties!$E$5:$E$24,MATCH(D235,Properties!$A$5:$A$24,0))+(INT((WEEKDAY(B235-6)+H235-1)/7)+INT((WEEKDAY(B235-7)+H235-1)/7))*INDEX(Properties!$F$5:$F$24,MATCH(D235,Properties!$A$5:$A$24,0)))*(1-IF(H235&gt;=28,Settings!$B$10,IF(H235&gt;=7,Settings!$B$9,0))),2)),0))</f>
        <v/>
      </c>
      <c r="K235" s="41" t="str">
        <f aca="false">IF(J235="","",IFERROR(N(INDEX(Properties!$G$5:$G$24,MATCH(D235,Properties!$A$5:$A$24,0))),0))</f>
        <v/>
      </c>
      <c r="L235" s="41" t="str">
        <f aca="false">IF(J235="","",IFERROR(MAX(0,N(G235)-INDEX(Properties!$I$5:$I$24,MATCH(D235,Properties!$A$5:$A$24,0)))*N(INDEX(Properties!$J$5:$J$24,MATCH(D235,Properties!$A$5:$A$24,0)))*H235,0))</f>
        <v/>
      </c>
      <c r="M235" s="37"/>
      <c r="N235" s="41" t="str">
        <f aca="false">IF(J235="","",J235+K235+L235+N(M235))</f>
        <v/>
      </c>
      <c r="O235" s="41" t="str">
        <f aca="false">IF(N235="","",IF(P235&lt;&gt;"",N235-P235,ROUND(N235*IFERROR(INDEX(Settings!$E$5:$E$12,MATCH(F235,Settings!$D$5:$D$12,0)),0),2)))</f>
        <v/>
      </c>
      <c r="P235" s="37"/>
      <c r="Q235" s="41" t="str">
        <f aca="false">IF(N235="","",IF(P235&lt;&gt;"",P235,N235-O235))</f>
        <v/>
      </c>
      <c r="R235" s="41" t="str">
        <f aca="false">IF(J235="","",IFERROR(N(INDEX(Properties!$H$5:$H$24,MATCH(D235,Properties!$A$5:$A$24,0))),0))</f>
        <v/>
      </c>
      <c r="S235" s="41" t="str">
        <f aca="false">IF(Q235="","",Q235-R235)</f>
        <v/>
      </c>
      <c r="T235" s="6"/>
      <c r="U235" s="6"/>
      <c r="V235" s="6"/>
      <c r="W235" s="6"/>
      <c r="X235" s="6"/>
      <c r="Y235" s="8" t="str">
        <f aca="false">IF(OR(D235="",B235="",C235=""),"",IF(N(C235)&lt;=N(B235),"Check dates",IF(T235="Cancelled","",IF(COUNTIFS($D$5:$D$1004,D235,$B$5:$B$1004,"&lt;"&amp;C235,$C$5:$C$1004,"&gt;"&amp;B235,$T$5:$T$1004,"&lt;&gt;Cancelled")&gt;1,"Double-booked",""))))</f>
        <v/>
      </c>
      <c r="Z235" s="42" t="str">
        <f aca="false">IF(AND(AA235=1,ISNUMBER(C235)),C235+ROW()/100000,"")</f>
        <v/>
      </c>
      <c r="AA235" s="43" t="n">
        <f aca="false">IF(AND(D235&lt;&gt;"",ISNUMBER(B235),ISNUMBER(C235),N(H235)&gt;0,T235&lt;&gt;"Cancelled",J235&lt;&gt;""),1,0)</f>
        <v>0</v>
      </c>
      <c r="AB235" s="44" t="n">
        <f aca="false">IF(AA235=1,J235/H235,0)</f>
        <v>0</v>
      </c>
      <c r="AC235" s="44" t="n">
        <f aca="false">IF(AA235=1,Q235/H235,0)</f>
        <v>0</v>
      </c>
      <c r="AD235" s="44" t="n">
        <f aca="false">IF(AA235=1,R235/H235,0)</f>
        <v>0</v>
      </c>
      <c r="AE235" s="44" t="n">
        <f aca="false">IF(AA235=1,O235/H235,0)</f>
        <v>0</v>
      </c>
      <c r="AF235" s="44" t="n">
        <f aca="false">IF(AA235=1,K235/H235,0)</f>
        <v>0</v>
      </c>
      <c r="AG235" s="45" t="str">
        <f aca="false">IF(AA235=1,D235&amp;"|"&amp;TEXT(B235,"0"),"")</f>
        <v/>
      </c>
      <c r="AH235" s="43" t="n">
        <f aca="false">IF(AA235=1,H235,0)</f>
        <v>0</v>
      </c>
    </row>
    <row r="236" customFormat="false" ht="15" hidden="false" customHeight="false" outlineLevel="0" collapsed="false">
      <c r="A236" s="23" t="str">
        <f aca="false">IF(B236="","","B-"&amp;TEXT(ROW()-4,"0000"))</f>
        <v/>
      </c>
      <c r="B236" s="38"/>
      <c r="C236" s="38"/>
      <c r="D236" s="6"/>
      <c r="E236" s="6"/>
      <c r="F236" s="6"/>
      <c r="G236" s="11"/>
      <c r="H236" s="24" t="str">
        <f aca="false">IF(AND(ISNUMBER(B236),ISNUMBER(C236)),MAX(0,C236-B236),"")</f>
        <v/>
      </c>
      <c r="I236" s="37"/>
      <c r="J236" s="46" t="str">
        <f aca="false">IF(OR(D236="",N(H236)=0),"",IFERROR(IF(I236&lt;&gt;"",H236*I236,ROUND(((H236-(INT((WEEKDAY(B236-6)+H236-1)/7)+INT((WEEKDAY(B236-7)+H236-1)/7)))*INDEX(Properties!$E$5:$E$24,MATCH(D236,Properties!$A$5:$A$24,0))+(INT((WEEKDAY(B236-6)+H236-1)/7)+INT((WEEKDAY(B236-7)+H236-1)/7))*INDEX(Properties!$F$5:$F$24,MATCH(D236,Properties!$A$5:$A$24,0)))*(1-IF(H236&gt;=28,Settings!$B$10,IF(H236&gt;=7,Settings!$B$9,0))),2)),0))</f>
        <v/>
      </c>
      <c r="K236" s="46" t="str">
        <f aca="false">IF(J236="","",IFERROR(N(INDEX(Properties!$G$5:$G$24,MATCH(D236,Properties!$A$5:$A$24,0))),0))</f>
        <v/>
      </c>
      <c r="L236" s="46" t="str">
        <f aca="false">IF(J236="","",IFERROR(MAX(0,N(G236)-INDEX(Properties!$I$5:$I$24,MATCH(D236,Properties!$A$5:$A$24,0)))*N(INDEX(Properties!$J$5:$J$24,MATCH(D236,Properties!$A$5:$A$24,0)))*H236,0))</f>
        <v/>
      </c>
      <c r="M236" s="37"/>
      <c r="N236" s="46" t="str">
        <f aca="false">IF(J236="","",J236+K236+L236+N(M236))</f>
        <v/>
      </c>
      <c r="O236" s="46" t="str">
        <f aca="false">IF(N236="","",IF(P236&lt;&gt;"",N236-P236,ROUND(N236*IFERROR(INDEX(Settings!$E$5:$E$12,MATCH(F236,Settings!$D$5:$D$12,0)),0),2)))</f>
        <v/>
      </c>
      <c r="P236" s="37"/>
      <c r="Q236" s="46" t="str">
        <f aca="false">IF(N236="","",IF(P236&lt;&gt;"",P236,N236-O236))</f>
        <v/>
      </c>
      <c r="R236" s="46" t="str">
        <f aca="false">IF(J236="","",IFERROR(N(INDEX(Properties!$H$5:$H$24,MATCH(D236,Properties!$A$5:$A$24,0))),0))</f>
        <v/>
      </c>
      <c r="S236" s="46" t="str">
        <f aca="false">IF(Q236="","",Q236-R236)</f>
        <v/>
      </c>
      <c r="T236" s="6"/>
      <c r="U236" s="6"/>
      <c r="V236" s="6"/>
      <c r="W236" s="6"/>
      <c r="X236" s="6"/>
      <c r="Y236" s="8" t="str">
        <f aca="false">IF(OR(D236="",B236="",C236=""),"",IF(N(C236)&lt;=N(B236),"Check dates",IF(T236="Cancelled","",IF(COUNTIFS($D$5:$D$1004,D236,$B$5:$B$1004,"&lt;"&amp;C236,$C$5:$C$1004,"&gt;"&amp;B236,$T$5:$T$1004,"&lt;&gt;Cancelled")&gt;1,"Double-booked",""))))</f>
        <v/>
      </c>
      <c r="Z236" s="42" t="str">
        <f aca="false">IF(AND(AA236=1,ISNUMBER(C236)),C236+ROW()/100000,"")</f>
        <v/>
      </c>
      <c r="AA236" s="43" t="n">
        <f aca="false">IF(AND(D236&lt;&gt;"",ISNUMBER(B236),ISNUMBER(C236),N(H236)&gt;0,T236&lt;&gt;"Cancelled",J236&lt;&gt;""),1,0)</f>
        <v>0</v>
      </c>
      <c r="AB236" s="44" t="n">
        <f aca="false">IF(AA236=1,J236/H236,0)</f>
        <v>0</v>
      </c>
      <c r="AC236" s="44" t="n">
        <f aca="false">IF(AA236=1,Q236/H236,0)</f>
        <v>0</v>
      </c>
      <c r="AD236" s="44" t="n">
        <f aca="false">IF(AA236=1,R236/H236,0)</f>
        <v>0</v>
      </c>
      <c r="AE236" s="44" t="n">
        <f aca="false">IF(AA236=1,O236/H236,0)</f>
        <v>0</v>
      </c>
      <c r="AF236" s="44" t="n">
        <f aca="false">IF(AA236=1,K236/H236,0)</f>
        <v>0</v>
      </c>
      <c r="AG236" s="45" t="str">
        <f aca="false">IF(AA236=1,D236&amp;"|"&amp;TEXT(B236,"0"),"")</f>
        <v/>
      </c>
      <c r="AH236" s="43" t="n">
        <f aca="false">IF(AA236=1,H236,0)</f>
        <v>0</v>
      </c>
    </row>
    <row r="237" customFormat="false" ht="15" hidden="false" customHeight="false" outlineLevel="0" collapsed="false">
      <c r="A237" s="8" t="str">
        <f aca="false">IF(B237="","","B-"&amp;TEXT(ROW()-4,"0000"))</f>
        <v/>
      </c>
      <c r="B237" s="38"/>
      <c r="C237" s="38"/>
      <c r="D237" s="6"/>
      <c r="E237" s="6"/>
      <c r="F237" s="6"/>
      <c r="G237" s="11"/>
      <c r="H237" s="18" t="str">
        <f aca="false">IF(AND(ISNUMBER(B237),ISNUMBER(C237)),MAX(0,C237-B237),"")</f>
        <v/>
      </c>
      <c r="I237" s="37"/>
      <c r="J237" s="41" t="str">
        <f aca="false">IF(OR(D237="",N(H237)=0),"",IFERROR(IF(I237&lt;&gt;"",H237*I237,ROUND(((H237-(INT((WEEKDAY(B237-6)+H237-1)/7)+INT((WEEKDAY(B237-7)+H237-1)/7)))*INDEX(Properties!$E$5:$E$24,MATCH(D237,Properties!$A$5:$A$24,0))+(INT((WEEKDAY(B237-6)+H237-1)/7)+INT((WEEKDAY(B237-7)+H237-1)/7))*INDEX(Properties!$F$5:$F$24,MATCH(D237,Properties!$A$5:$A$24,0)))*(1-IF(H237&gt;=28,Settings!$B$10,IF(H237&gt;=7,Settings!$B$9,0))),2)),0))</f>
        <v/>
      </c>
      <c r="K237" s="41" t="str">
        <f aca="false">IF(J237="","",IFERROR(N(INDEX(Properties!$G$5:$G$24,MATCH(D237,Properties!$A$5:$A$24,0))),0))</f>
        <v/>
      </c>
      <c r="L237" s="41" t="str">
        <f aca="false">IF(J237="","",IFERROR(MAX(0,N(G237)-INDEX(Properties!$I$5:$I$24,MATCH(D237,Properties!$A$5:$A$24,0)))*N(INDEX(Properties!$J$5:$J$24,MATCH(D237,Properties!$A$5:$A$24,0)))*H237,0))</f>
        <v/>
      </c>
      <c r="M237" s="37"/>
      <c r="N237" s="41" t="str">
        <f aca="false">IF(J237="","",J237+K237+L237+N(M237))</f>
        <v/>
      </c>
      <c r="O237" s="41" t="str">
        <f aca="false">IF(N237="","",IF(P237&lt;&gt;"",N237-P237,ROUND(N237*IFERROR(INDEX(Settings!$E$5:$E$12,MATCH(F237,Settings!$D$5:$D$12,0)),0),2)))</f>
        <v/>
      </c>
      <c r="P237" s="37"/>
      <c r="Q237" s="41" t="str">
        <f aca="false">IF(N237="","",IF(P237&lt;&gt;"",P237,N237-O237))</f>
        <v/>
      </c>
      <c r="R237" s="41" t="str">
        <f aca="false">IF(J237="","",IFERROR(N(INDEX(Properties!$H$5:$H$24,MATCH(D237,Properties!$A$5:$A$24,0))),0))</f>
        <v/>
      </c>
      <c r="S237" s="41" t="str">
        <f aca="false">IF(Q237="","",Q237-R237)</f>
        <v/>
      </c>
      <c r="T237" s="6"/>
      <c r="U237" s="6"/>
      <c r="V237" s="6"/>
      <c r="W237" s="6"/>
      <c r="X237" s="6"/>
      <c r="Y237" s="8" t="str">
        <f aca="false">IF(OR(D237="",B237="",C237=""),"",IF(N(C237)&lt;=N(B237),"Check dates",IF(T237="Cancelled","",IF(COUNTIFS($D$5:$D$1004,D237,$B$5:$B$1004,"&lt;"&amp;C237,$C$5:$C$1004,"&gt;"&amp;B237,$T$5:$T$1004,"&lt;&gt;Cancelled")&gt;1,"Double-booked",""))))</f>
        <v/>
      </c>
      <c r="Z237" s="42" t="str">
        <f aca="false">IF(AND(AA237=1,ISNUMBER(C237)),C237+ROW()/100000,"")</f>
        <v/>
      </c>
      <c r="AA237" s="43" t="n">
        <f aca="false">IF(AND(D237&lt;&gt;"",ISNUMBER(B237),ISNUMBER(C237),N(H237)&gt;0,T237&lt;&gt;"Cancelled",J237&lt;&gt;""),1,0)</f>
        <v>0</v>
      </c>
      <c r="AB237" s="44" t="n">
        <f aca="false">IF(AA237=1,J237/H237,0)</f>
        <v>0</v>
      </c>
      <c r="AC237" s="44" t="n">
        <f aca="false">IF(AA237=1,Q237/H237,0)</f>
        <v>0</v>
      </c>
      <c r="AD237" s="44" t="n">
        <f aca="false">IF(AA237=1,R237/H237,0)</f>
        <v>0</v>
      </c>
      <c r="AE237" s="44" t="n">
        <f aca="false">IF(AA237=1,O237/H237,0)</f>
        <v>0</v>
      </c>
      <c r="AF237" s="44" t="n">
        <f aca="false">IF(AA237=1,K237/H237,0)</f>
        <v>0</v>
      </c>
      <c r="AG237" s="45" t="str">
        <f aca="false">IF(AA237=1,D237&amp;"|"&amp;TEXT(B237,"0"),"")</f>
        <v/>
      </c>
      <c r="AH237" s="43" t="n">
        <f aca="false">IF(AA237=1,H237,0)</f>
        <v>0</v>
      </c>
    </row>
    <row r="238" customFormat="false" ht="15" hidden="false" customHeight="false" outlineLevel="0" collapsed="false">
      <c r="A238" s="23" t="str">
        <f aca="false">IF(B238="","","B-"&amp;TEXT(ROW()-4,"0000"))</f>
        <v/>
      </c>
      <c r="B238" s="38"/>
      <c r="C238" s="38"/>
      <c r="D238" s="6"/>
      <c r="E238" s="6"/>
      <c r="F238" s="6"/>
      <c r="G238" s="11"/>
      <c r="H238" s="24" t="str">
        <f aca="false">IF(AND(ISNUMBER(B238),ISNUMBER(C238)),MAX(0,C238-B238),"")</f>
        <v/>
      </c>
      <c r="I238" s="37"/>
      <c r="J238" s="46" t="str">
        <f aca="false">IF(OR(D238="",N(H238)=0),"",IFERROR(IF(I238&lt;&gt;"",H238*I238,ROUND(((H238-(INT((WEEKDAY(B238-6)+H238-1)/7)+INT((WEEKDAY(B238-7)+H238-1)/7)))*INDEX(Properties!$E$5:$E$24,MATCH(D238,Properties!$A$5:$A$24,0))+(INT((WEEKDAY(B238-6)+H238-1)/7)+INT((WEEKDAY(B238-7)+H238-1)/7))*INDEX(Properties!$F$5:$F$24,MATCH(D238,Properties!$A$5:$A$24,0)))*(1-IF(H238&gt;=28,Settings!$B$10,IF(H238&gt;=7,Settings!$B$9,0))),2)),0))</f>
        <v/>
      </c>
      <c r="K238" s="46" t="str">
        <f aca="false">IF(J238="","",IFERROR(N(INDEX(Properties!$G$5:$G$24,MATCH(D238,Properties!$A$5:$A$24,0))),0))</f>
        <v/>
      </c>
      <c r="L238" s="46" t="str">
        <f aca="false">IF(J238="","",IFERROR(MAX(0,N(G238)-INDEX(Properties!$I$5:$I$24,MATCH(D238,Properties!$A$5:$A$24,0)))*N(INDEX(Properties!$J$5:$J$24,MATCH(D238,Properties!$A$5:$A$24,0)))*H238,0))</f>
        <v/>
      </c>
      <c r="M238" s="37"/>
      <c r="N238" s="46" t="str">
        <f aca="false">IF(J238="","",J238+K238+L238+N(M238))</f>
        <v/>
      </c>
      <c r="O238" s="46" t="str">
        <f aca="false">IF(N238="","",IF(P238&lt;&gt;"",N238-P238,ROUND(N238*IFERROR(INDEX(Settings!$E$5:$E$12,MATCH(F238,Settings!$D$5:$D$12,0)),0),2)))</f>
        <v/>
      </c>
      <c r="P238" s="37"/>
      <c r="Q238" s="46" t="str">
        <f aca="false">IF(N238="","",IF(P238&lt;&gt;"",P238,N238-O238))</f>
        <v/>
      </c>
      <c r="R238" s="46" t="str">
        <f aca="false">IF(J238="","",IFERROR(N(INDEX(Properties!$H$5:$H$24,MATCH(D238,Properties!$A$5:$A$24,0))),0))</f>
        <v/>
      </c>
      <c r="S238" s="46" t="str">
        <f aca="false">IF(Q238="","",Q238-R238)</f>
        <v/>
      </c>
      <c r="T238" s="6"/>
      <c r="U238" s="6"/>
      <c r="V238" s="6"/>
      <c r="W238" s="6"/>
      <c r="X238" s="6"/>
      <c r="Y238" s="8" t="str">
        <f aca="false">IF(OR(D238="",B238="",C238=""),"",IF(N(C238)&lt;=N(B238),"Check dates",IF(T238="Cancelled","",IF(COUNTIFS($D$5:$D$1004,D238,$B$5:$B$1004,"&lt;"&amp;C238,$C$5:$C$1004,"&gt;"&amp;B238,$T$5:$T$1004,"&lt;&gt;Cancelled")&gt;1,"Double-booked",""))))</f>
        <v/>
      </c>
      <c r="Z238" s="42" t="str">
        <f aca="false">IF(AND(AA238=1,ISNUMBER(C238)),C238+ROW()/100000,"")</f>
        <v/>
      </c>
      <c r="AA238" s="43" t="n">
        <f aca="false">IF(AND(D238&lt;&gt;"",ISNUMBER(B238),ISNUMBER(C238),N(H238)&gt;0,T238&lt;&gt;"Cancelled",J238&lt;&gt;""),1,0)</f>
        <v>0</v>
      </c>
      <c r="AB238" s="44" t="n">
        <f aca="false">IF(AA238=1,J238/H238,0)</f>
        <v>0</v>
      </c>
      <c r="AC238" s="44" t="n">
        <f aca="false">IF(AA238=1,Q238/H238,0)</f>
        <v>0</v>
      </c>
      <c r="AD238" s="44" t="n">
        <f aca="false">IF(AA238=1,R238/H238,0)</f>
        <v>0</v>
      </c>
      <c r="AE238" s="44" t="n">
        <f aca="false">IF(AA238=1,O238/H238,0)</f>
        <v>0</v>
      </c>
      <c r="AF238" s="44" t="n">
        <f aca="false">IF(AA238=1,K238/H238,0)</f>
        <v>0</v>
      </c>
      <c r="AG238" s="45" t="str">
        <f aca="false">IF(AA238=1,D238&amp;"|"&amp;TEXT(B238,"0"),"")</f>
        <v/>
      </c>
      <c r="AH238" s="43" t="n">
        <f aca="false">IF(AA238=1,H238,0)</f>
        <v>0</v>
      </c>
    </row>
    <row r="239" customFormat="false" ht="15" hidden="false" customHeight="false" outlineLevel="0" collapsed="false">
      <c r="A239" s="8" t="str">
        <f aca="false">IF(B239="","","B-"&amp;TEXT(ROW()-4,"0000"))</f>
        <v/>
      </c>
      <c r="B239" s="38"/>
      <c r="C239" s="38"/>
      <c r="D239" s="6"/>
      <c r="E239" s="6"/>
      <c r="F239" s="6"/>
      <c r="G239" s="11"/>
      <c r="H239" s="18" t="str">
        <f aca="false">IF(AND(ISNUMBER(B239),ISNUMBER(C239)),MAX(0,C239-B239),"")</f>
        <v/>
      </c>
      <c r="I239" s="37"/>
      <c r="J239" s="41" t="str">
        <f aca="false">IF(OR(D239="",N(H239)=0),"",IFERROR(IF(I239&lt;&gt;"",H239*I239,ROUND(((H239-(INT((WEEKDAY(B239-6)+H239-1)/7)+INT((WEEKDAY(B239-7)+H239-1)/7)))*INDEX(Properties!$E$5:$E$24,MATCH(D239,Properties!$A$5:$A$24,0))+(INT((WEEKDAY(B239-6)+H239-1)/7)+INT((WEEKDAY(B239-7)+H239-1)/7))*INDEX(Properties!$F$5:$F$24,MATCH(D239,Properties!$A$5:$A$24,0)))*(1-IF(H239&gt;=28,Settings!$B$10,IF(H239&gt;=7,Settings!$B$9,0))),2)),0))</f>
        <v/>
      </c>
      <c r="K239" s="41" t="str">
        <f aca="false">IF(J239="","",IFERROR(N(INDEX(Properties!$G$5:$G$24,MATCH(D239,Properties!$A$5:$A$24,0))),0))</f>
        <v/>
      </c>
      <c r="L239" s="41" t="str">
        <f aca="false">IF(J239="","",IFERROR(MAX(0,N(G239)-INDEX(Properties!$I$5:$I$24,MATCH(D239,Properties!$A$5:$A$24,0)))*N(INDEX(Properties!$J$5:$J$24,MATCH(D239,Properties!$A$5:$A$24,0)))*H239,0))</f>
        <v/>
      </c>
      <c r="M239" s="37"/>
      <c r="N239" s="41" t="str">
        <f aca="false">IF(J239="","",J239+K239+L239+N(M239))</f>
        <v/>
      </c>
      <c r="O239" s="41" t="str">
        <f aca="false">IF(N239="","",IF(P239&lt;&gt;"",N239-P239,ROUND(N239*IFERROR(INDEX(Settings!$E$5:$E$12,MATCH(F239,Settings!$D$5:$D$12,0)),0),2)))</f>
        <v/>
      </c>
      <c r="P239" s="37"/>
      <c r="Q239" s="41" t="str">
        <f aca="false">IF(N239="","",IF(P239&lt;&gt;"",P239,N239-O239))</f>
        <v/>
      </c>
      <c r="R239" s="41" t="str">
        <f aca="false">IF(J239="","",IFERROR(N(INDEX(Properties!$H$5:$H$24,MATCH(D239,Properties!$A$5:$A$24,0))),0))</f>
        <v/>
      </c>
      <c r="S239" s="41" t="str">
        <f aca="false">IF(Q239="","",Q239-R239)</f>
        <v/>
      </c>
      <c r="T239" s="6"/>
      <c r="U239" s="6"/>
      <c r="V239" s="6"/>
      <c r="W239" s="6"/>
      <c r="X239" s="6"/>
      <c r="Y239" s="8" t="str">
        <f aca="false">IF(OR(D239="",B239="",C239=""),"",IF(N(C239)&lt;=N(B239),"Check dates",IF(T239="Cancelled","",IF(COUNTIFS($D$5:$D$1004,D239,$B$5:$B$1004,"&lt;"&amp;C239,$C$5:$C$1004,"&gt;"&amp;B239,$T$5:$T$1004,"&lt;&gt;Cancelled")&gt;1,"Double-booked",""))))</f>
        <v/>
      </c>
      <c r="Z239" s="42" t="str">
        <f aca="false">IF(AND(AA239=1,ISNUMBER(C239)),C239+ROW()/100000,"")</f>
        <v/>
      </c>
      <c r="AA239" s="43" t="n">
        <f aca="false">IF(AND(D239&lt;&gt;"",ISNUMBER(B239),ISNUMBER(C239),N(H239)&gt;0,T239&lt;&gt;"Cancelled",J239&lt;&gt;""),1,0)</f>
        <v>0</v>
      </c>
      <c r="AB239" s="44" t="n">
        <f aca="false">IF(AA239=1,J239/H239,0)</f>
        <v>0</v>
      </c>
      <c r="AC239" s="44" t="n">
        <f aca="false">IF(AA239=1,Q239/H239,0)</f>
        <v>0</v>
      </c>
      <c r="AD239" s="44" t="n">
        <f aca="false">IF(AA239=1,R239/H239,0)</f>
        <v>0</v>
      </c>
      <c r="AE239" s="44" t="n">
        <f aca="false">IF(AA239=1,O239/H239,0)</f>
        <v>0</v>
      </c>
      <c r="AF239" s="44" t="n">
        <f aca="false">IF(AA239=1,K239/H239,0)</f>
        <v>0</v>
      </c>
      <c r="AG239" s="45" t="str">
        <f aca="false">IF(AA239=1,D239&amp;"|"&amp;TEXT(B239,"0"),"")</f>
        <v/>
      </c>
      <c r="AH239" s="43" t="n">
        <f aca="false">IF(AA239=1,H239,0)</f>
        <v>0</v>
      </c>
    </row>
    <row r="240" customFormat="false" ht="15" hidden="false" customHeight="false" outlineLevel="0" collapsed="false">
      <c r="A240" s="23" t="str">
        <f aca="false">IF(B240="","","B-"&amp;TEXT(ROW()-4,"0000"))</f>
        <v/>
      </c>
      <c r="B240" s="38"/>
      <c r="C240" s="38"/>
      <c r="D240" s="6"/>
      <c r="E240" s="6"/>
      <c r="F240" s="6"/>
      <c r="G240" s="11"/>
      <c r="H240" s="24" t="str">
        <f aca="false">IF(AND(ISNUMBER(B240),ISNUMBER(C240)),MAX(0,C240-B240),"")</f>
        <v/>
      </c>
      <c r="I240" s="37"/>
      <c r="J240" s="46" t="str">
        <f aca="false">IF(OR(D240="",N(H240)=0),"",IFERROR(IF(I240&lt;&gt;"",H240*I240,ROUND(((H240-(INT((WEEKDAY(B240-6)+H240-1)/7)+INT((WEEKDAY(B240-7)+H240-1)/7)))*INDEX(Properties!$E$5:$E$24,MATCH(D240,Properties!$A$5:$A$24,0))+(INT((WEEKDAY(B240-6)+H240-1)/7)+INT((WEEKDAY(B240-7)+H240-1)/7))*INDEX(Properties!$F$5:$F$24,MATCH(D240,Properties!$A$5:$A$24,0)))*(1-IF(H240&gt;=28,Settings!$B$10,IF(H240&gt;=7,Settings!$B$9,0))),2)),0))</f>
        <v/>
      </c>
      <c r="K240" s="46" t="str">
        <f aca="false">IF(J240="","",IFERROR(N(INDEX(Properties!$G$5:$G$24,MATCH(D240,Properties!$A$5:$A$24,0))),0))</f>
        <v/>
      </c>
      <c r="L240" s="46" t="str">
        <f aca="false">IF(J240="","",IFERROR(MAX(0,N(G240)-INDEX(Properties!$I$5:$I$24,MATCH(D240,Properties!$A$5:$A$24,0)))*N(INDEX(Properties!$J$5:$J$24,MATCH(D240,Properties!$A$5:$A$24,0)))*H240,0))</f>
        <v/>
      </c>
      <c r="M240" s="37"/>
      <c r="N240" s="46" t="str">
        <f aca="false">IF(J240="","",J240+K240+L240+N(M240))</f>
        <v/>
      </c>
      <c r="O240" s="46" t="str">
        <f aca="false">IF(N240="","",IF(P240&lt;&gt;"",N240-P240,ROUND(N240*IFERROR(INDEX(Settings!$E$5:$E$12,MATCH(F240,Settings!$D$5:$D$12,0)),0),2)))</f>
        <v/>
      </c>
      <c r="P240" s="37"/>
      <c r="Q240" s="46" t="str">
        <f aca="false">IF(N240="","",IF(P240&lt;&gt;"",P240,N240-O240))</f>
        <v/>
      </c>
      <c r="R240" s="46" t="str">
        <f aca="false">IF(J240="","",IFERROR(N(INDEX(Properties!$H$5:$H$24,MATCH(D240,Properties!$A$5:$A$24,0))),0))</f>
        <v/>
      </c>
      <c r="S240" s="46" t="str">
        <f aca="false">IF(Q240="","",Q240-R240)</f>
        <v/>
      </c>
      <c r="T240" s="6"/>
      <c r="U240" s="6"/>
      <c r="V240" s="6"/>
      <c r="W240" s="6"/>
      <c r="X240" s="6"/>
      <c r="Y240" s="8" t="str">
        <f aca="false">IF(OR(D240="",B240="",C240=""),"",IF(N(C240)&lt;=N(B240),"Check dates",IF(T240="Cancelled","",IF(COUNTIFS($D$5:$D$1004,D240,$B$5:$B$1004,"&lt;"&amp;C240,$C$5:$C$1004,"&gt;"&amp;B240,$T$5:$T$1004,"&lt;&gt;Cancelled")&gt;1,"Double-booked",""))))</f>
        <v/>
      </c>
      <c r="Z240" s="42" t="str">
        <f aca="false">IF(AND(AA240=1,ISNUMBER(C240)),C240+ROW()/100000,"")</f>
        <v/>
      </c>
      <c r="AA240" s="43" t="n">
        <f aca="false">IF(AND(D240&lt;&gt;"",ISNUMBER(B240),ISNUMBER(C240),N(H240)&gt;0,T240&lt;&gt;"Cancelled",J240&lt;&gt;""),1,0)</f>
        <v>0</v>
      </c>
      <c r="AB240" s="44" t="n">
        <f aca="false">IF(AA240=1,J240/H240,0)</f>
        <v>0</v>
      </c>
      <c r="AC240" s="44" t="n">
        <f aca="false">IF(AA240=1,Q240/H240,0)</f>
        <v>0</v>
      </c>
      <c r="AD240" s="44" t="n">
        <f aca="false">IF(AA240=1,R240/H240,0)</f>
        <v>0</v>
      </c>
      <c r="AE240" s="44" t="n">
        <f aca="false">IF(AA240=1,O240/H240,0)</f>
        <v>0</v>
      </c>
      <c r="AF240" s="44" t="n">
        <f aca="false">IF(AA240=1,K240/H240,0)</f>
        <v>0</v>
      </c>
      <c r="AG240" s="45" t="str">
        <f aca="false">IF(AA240=1,D240&amp;"|"&amp;TEXT(B240,"0"),"")</f>
        <v/>
      </c>
      <c r="AH240" s="43" t="n">
        <f aca="false">IF(AA240=1,H240,0)</f>
        <v>0</v>
      </c>
    </row>
    <row r="241" customFormat="false" ht="15" hidden="false" customHeight="false" outlineLevel="0" collapsed="false">
      <c r="A241" s="8" t="str">
        <f aca="false">IF(B241="","","B-"&amp;TEXT(ROW()-4,"0000"))</f>
        <v/>
      </c>
      <c r="B241" s="38"/>
      <c r="C241" s="38"/>
      <c r="D241" s="6"/>
      <c r="E241" s="6"/>
      <c r="F241" s="6"/>
      <c r="G241" s="11"/>
      <c r="H241" s="18" t="str">
        <f aca="false">IF(AND(ISNUMBER(B241),ISNUMBER(C241)),MAX(0,C241-B241),"")</f>
        <v/>
      </c>
      <c r="I241" s="37"/>
      <c r="J241" s="41" t="str">
        <f aca="false">IF(OR(D241="",N(H241)=0),"",IFERROR(IF(I241&lt;&gt;"",H241*I241,ROUND(((H241-(INT((WEEKDAY(B241-6)+H241-1)/7)+INT((WEEKDAY(B241-7)+H241-1)/7)))*INDEX(Properties!$E$5:$E$24,MATCH(D241,Properties!$A$5:$A$24,0))+(INT((WEEKDAY(B241-6)+H241-1)/7)+INT((WEEKDAY(B241-7)+H241-1)/7))*INDEX(Properties!$F$5:$F$24,MATCH(D241,Properties!$A$5:$A$24,0)))*(1-IF(H241&gt;=28,Settings!$B$10,IF(H241&gt;=7,Settings!$B$9,0))),2)),0))</f>
        <v/>
      </c>
      <c r="K241" s="41" t="str">
        <f aca="false">IF(J241="","",IFERROR(N(INDEX(Properties!$G$5:$G$24,MATCH(D241,Properties!$A$5:$A$24,0))),0))</f>
        <v/>
      </c>
      <c r="L241" s="41" t="str">
        <f aca="false">IF(J241="","",IFERROR(MAX(0,N(G241)-INDEX(Properties!$I$5:$I$24,MATCH(D241,Properties!$A$5:$A$24,0)))*N(INDEX(Properties!$J$5:$J$24,MATCH(D241,Properties!$A$5:$A$24,0)))*H241,0))</f>
        <v/>
      </c>
      <c r="M241" s="37"/>
      <c r="N241" s="41" t="str">
        <f aca="false">IF(J241="","",J241+K241+L241+N(M241))</f>
        <v/>
      </c>
      <c r="O241" s="41" t="str">
        <f aca="false">IF(N241="","",IF(P241&lt;&gt;"",N241-P241,ROUND(N241*IFERROR(INDEX(Settings!$E$5:$E$12,MATCH(F241,Settings!$D$5:$D$12,0)),0),2)))</f>
        <v/>
      </c>
      <c r="P241" s="37"/>
      <c r="Q241" s="41" t="str">
        <f aca="false">IF(N241="","",IF(P241&lt;&gt;"",P241,N241-O241))</f>
        <v/>
      </c>
      <c r="R241" s="41" t="str">
        <f aca="false">IF(J241="","",IFERROR(N(INDEX(Properties!$H$5:$H$24,MATCH(D241,Properties!$A$5:$A$24,0))),0))</f>
        <v/>
      </c>
      <c r="S241" s="41" t="str">
        <f aca="false">IF(Q241="","",Q241-R241)</f>
        <v/>
      </c>
      <c r="T241" s="6"/>
      <c r="U241" s="6"/>
      <c r="V241" s="6"/>
      <c r="W241" s="6"/>
      <c r="X241" s="6"/>
      <c r="Y241" s="8" t="str">
        <f aca="false">IF(OR(D241="",B241="",C241=""),"",IF(N(C241)&lt;=N(B241),"Check dates",IF(T241="Cancelled","",IF(COUNTIFS($D$5:$D$1004,D241,$B$5:$B$1004,"&lt;"&amp;C241,$C$5:$C$1004,"&gt;"&amp;B241,$T$5:$T$1004,"&lt;&gt;Cancelled")&gt;1,"Double-booked",""))))</f>
        <v/>
      </c>
      <c r="Z241" s="42" t="str">
        <f aca="false">IF(AND(AA241=1,ISNUMBER(C241)),C241+ROW()/100000,"")</f>
        <v/>
      </c>
      <c r="AA241" s="43" t="n">
        <f aca="false">IF(AND(D241&lt;&gt;"",ISNUMBER(B241),ISNUMBER(C241),N(H241)&gt;0,T241&lt;&gt;"Cancelled",J241&lt;&gt;""),1,0)</f>
        <v>0</v>
      </c>
      <c r="AB241" s="44" t="n">
        <f aca="false">IF(AA241=1,J241/H241,0)</f>
        <v>0</v>
      </c>
      <c r="AC241" s="44" t="n">
        <f aca="false">IF(AA241=1,Q241/H241,0)</f>
        <v>0</v>
      </c>
      <c r="AD241" s="44" t="n">
        <f aca="false">IF(AA241=1,R241/H241,0)</f>
        <v>0</v>
      </c>
      <c r="AE241" s="44" t="n">
        <f aca="false">IF(AA241=1,O241/H241,0)</f>
        <v>0</v>
      </c>
      <c r="AF241" s="44" t="n">
        <f aca="false">IF(AA241=1,K241/H241,0)</f>
        <v>0</v>
      </c>
      <c r="AG241" s="45" t="str">
        <f aca="false">IF(AA241=1,D241&amp;"|"&amp;TEXT(B241,"0"),"")</f>
        <v/>
      </c>
      <c r="AH241" s="43" t="n">
        <f aca="false">IF(AA241=1,H241,0)</f>
        <v>0</v>
      </c>
    </row>
    <row r="242" customFormat="false" ht="15" hidden="false" customHeight="false" outlineLevel="0" collapsed="false">
      <c r="A242" s="23" t="str">
        <f aca="false">IF(B242="","","B-"&amp;TEXT(ROW()-4,"0000"))</f>
        <v/>
      </c>
      <c r="B242" s="38"/>
      <c r="C242" s="38"/>
      <c r="D242" s="6"/>
      <c r="E242" s="6"/>
      <c r="F242" s="6"/>
      <c r="G242" s="11"/>
      <c r="H242" s="24" t="str">
        <f aca="false">IF(AND(ISNUMBER(B242),ISNUMBER(C242)),MAX(0,C242-B242),"")</f>
        <v/>
      </c>
      <c r="I242" s="37"/>
      <c r="J242" s="46" t="str">
        <f aca="false">IF(OR(D242="",N(H242)=0),"",IFERROR(IF(I242&lt;&gt;"",H242*I242,ROUND(((H242-(INT((WEEKDAY(B242-6)+H242-1)/7)+INT((WEEKDAY(B242-7)+H242-1)/7)))*INDEX(Properties!$E$5:$E$24,MATCH(D242,Properties!$A$5:$A$24,0))+(INT((WEEKDAY(B242-6)+H242-1)/7)+INT((WEEKDAY(B242-7)+H242-1)/7))*INDEX(Properties!$F$5:$F$24,MATCH(D242,Properties!$A$5:$A$24,0)))*(1-IF(H242&gt;=28,Settings!$B$10,IF(H242&gt;=7,Settings!$B$9,0))),2)),0))</f>
        <v/>
      </c>
      <c r="K242" s="46" t="str">
        <f aca="false">IF(J242="","",IFERROR(N(INDEX(Properties!$G$5:$G$24,MATCH(D242,Properties!$A$5:$A$24,0))),0))</f>
        <v/>
      </c>
      <c r="L242" s="46" t="str">
        <f aca="false">IF(J242="","",IFERROR(MAX(0,N(G242)-INDEX(Properties!$I$5:$I$24,MATCH(D242,Properties!$A$5:$A$24,0)))*N(INDEX(Properties!$J$5:$J$24,MATCH(D242,Properties!$A$5:$A$24,0)))*H242,0))</f>
        <v/>
      </c>
      <c r="M242" s="37"/>
      <c r="N242" s="46" t="str">
        <f aca="false">IF(J242="","",J242+K242+L242+N(M242))</f>
        <v/>
      </c>
      <c r="O242" s="46" t="str">
        <f aca="false">IF(N242="","",IF(P242&lt;&gt;"",N242-P242,ROUND(N242*IFERROR(INDEX(Settings!$E$5:$E$12,MATCH(F242,Settings!$D$5:$D$12,0)),0),2)))</f>
        <v/>
      </c>
      <c r="P242" s="37"/>
      <c r="Q242" s="46" t="str">
        <f aca="false">IF(N242="","",IF(P242&lt;&gt;"",P242,N242-O242))</f>
        <v/>
      </c>
      <c r="R242" s="46" t="str">
        <f aca="false">IF(J242="","",IFERROR(N(INDEX(Properties!$H$5:$H$24,MATCH(D242,Properties!$A$5:$A$24,0))),0))</f>
        <v/>
      </c>
      <c r="S242" s="46" t="str">
        <f aca="false">IF(Q242="","",Q242-R242)</f>
        <v/>
      </c>
      <c r="T242" s="6"/>
      <c r="U242" s="6"/>
      <c r="V242" s="6"/>
      <c r="W242" s="6"/>
      <c r="X242" s="6"/>
      <c r="Y242" s="8" t="str">
        <f aca="false">IF(OR(D242="",B242="",C242=""),"",IF(N(C242)&lt;=N(B242),"Check dates",IF(T242="Cancelled","",IF(COUNTIFS($D$5:$D$1004,D242,$B$5:$B$1004,"&lt;"&amp;C242,$C$5:$C$1004,"&gt;"&amp;B242,$T$5:$T$1004,"&lt;&gt;Cancelled")&gt;1,"Double-booked",""))))</f>
        <v/>
      </c>
      <c r="Z242" s="42" t="str">
        <f aca="false">IF(AND(AA242=1,ISNUMBER(C242)),C242+ROW()/100000,"")</f>
        <v/>
      </c>
      <c r="AA242" s="43" t="n">
        <f aca="false">IF(AND(D242&lt;&gt;"",ISNUMBER(B242),ISNUMBER(C242),N(H242)&gt;0,T242&lt;&gt;"Cancelled",J242&lt;&gt;""),1,0)</f>
        <v>0</v>
      </c>
      <c r="AB242" s="44" t="n">
        <f aca="false">IF(AA242=1,J242/H242,0)</f>
        <v>0</v>
      </c>
      <c r="AC242" s="44" t="n">
        <f aca="false">IF(AA242=1,Q242/H242,0)</f>
        <v>0</v>
      </c>
      <c r="AD242" s="44" t="n">
        <f aca="false">IF(AA242=1,R242/H242,0)</f>
        <v>0</v>
      </c>
      <c r="AE242" s="44" t="n">
        <f aca="false">IF(AA242=1,O242/H242,0)</f>
        <v>0</v>
      </c>
      <c r="AF242" s="44" t="n">
        <f aca="false">IF(AA242=1,K242/H242,0)</f>
        <v>0</v>
      </c>
      <c r="AG242" s="45" t="str">
        <f aca="false">IF(AA242=1,D242&amp;"|"&amp;TEXT(B242,"0"),"")</f>
        <v/>
      </c>
      <c r="AH242" s="43" t="n">
        <f aca="false">IF(AA242=1,H242,0)</f>
        <v>0</v>
      </c>
    </row>
    <row r="243" customFormat="false" ht="15" hidden="false" customHeight="false" outlineLevel="0" collapsed="false">
      <c r="A243" s="8" t="str">
        <f aca="false">IF(B243="","","B-"&amp;TEXT(ROW()-4,"0000"))</f>
        <v/>
      </c>
      <c r="B243" s="38"/>
      <c r="C243" s="38"/>
      <c r="D243" s="6"/>
      <c r="E243" s="6"/>
      <c r="F243" s="6"/>
      <c r="G243" s="11"/>
      <c r="H243" s="18" t="str">
        <f aca="false">IF(AND(ISNUMBER(B243),ISNUMBER(C243)),MAX(0,C243-B243),"")</f>
        <v/>
      </c>
      <c r="I243" s="37"/>
      <c r="J243" s="41" t="str">
        <f aca="false">IF(OR(D243="",N(H243)=0),"",IFERROR(IF(I243&lt;&gt;"",H243*I243,ROUND(((H243-(INT((WEEKDAY(B243-6)+H243-1)/7)+INT((WEEKDAY(B243-7)+H243-1)/7)))*INDEX(Properties!$E$5:$E$24,MATCH(D243,Properties!$A$5:$A$24,0))+(INT((WEEKDAY(B243-6)+H243-1)/7)+INT((WEEKDAY(B243-7)+H243-1)/7))*INDEX(Properties!$F$5:$F$24,MATCH(D243,Properties!$A$5:$A$24,0)))*(1-IF(H243&gt;=28,Settings!$B$10,IF(H243&gt;=7,Settings!$B$9,0))),2)),0))</f>
        <v/>
      </c>
      <c r="K243" s="41" t="str">
        <f aca="false">IF(J243="","",IFERROR(N(INDEX(Properties!$G$5:$G$24,MATCH(D243,Properties!$A$5:$A$24,0))),0))</f>
        <v/>
      </c>
      <c r="L243" s="41" t="str">
        <f aca="false">IF(J243="","",IFERROR(MAX(0,N(G243)-INDEX(Properties!$I$5:$I$24,MATCH(D243,Properties!$A$5:$A$24,0)))*N(INDEX(Properties!$J$5:$J$24,MATCH(D243,Properties!$A$5:$A$24,0)))*H243,0))</f>
        <v/>
      </c>
      <c r="M243" s="37"/>
      <c r="N243" s="41" t="str">
        <f aca="false">IF(J243="","",J243+K243+L243+N(M243))</f>
        <v/>
      </c>
      <c r="O243" s="41" t="str">
        <f aca="false">IF(N243="","",IF(P243&lt;&gt;"",N243-P243,ROUND(N243*IFERROR(INDEX(Settings!$E$5:$E$12,MATCH(F243,Settings!$D$5:$D$12,0)),0),2)))</f>
        <v/>
      </c>
      <c r="P243" s="37"/>
      <c r="Q243" s="41" t="str">
        <f aca="false">IF(N243="","",IF(P243&lt;&gt;"",P243,N243-O243))</f>
        <v/>
      </c>
      <c r="R243" s="41" t="str">
        <f aca="false">IF(J243="","",IFERROR(N(INDEX(Properties!$H$5:$H$24,MATCH(D243,Properties!$A$5:$A$24,0))),0))</f>
        <v/>
      </c>
      <c r="S243" s="41" t="str">
        <f aca="false">IF(Q243="","",Q243-R243)</f>
        <v/>
      </c>
      <c r="T243" s="6"/>
      <c r="U243" s="6"/>
      <c r="V243" s="6"/>
      <c r="W243" s="6"/>
      <c r="X243" s="6"/>
      <c r="Y243" s="8" t="str">
        <f aca="false">IF(OR(D243="",B243="",C243=""),"",IF(N(C243)&lt;=N(B243),"Check dates",IF(T243="Cancelled","",IF(COUNTIFS($D$5:$D$1004,D243,$B$5:$B$1004,"&lt;"&amp;C243,$C$5:$C$1004,"&gt;"&amp;B243,$T$5:$T$1004,"&lt;&gt;Cancelled")&gt;1,"Double-booked",""))))</f>
        <v/>
      </c>
      <c r="Z243" s="42" t="str">
        <f aca="false">IF(AND(AA243=1,ISNUMBER(C243)),C243+ROW()/100000,"")</f>
        <v/>
      </c>
      <c r="AA243" s="43" t="n">
        <f aca="false">IF(AND(D243&lt;&gt;"",ISNUMBER(B243),ISNUMBER(C243),N(H243)&gt;0,T243&lt;&gt;"Cancelled",J243&lt;&gt;""),1,0)</f>
        <v>0</v>
      </c>
      <c r="AB243" s="44" t="n">
        <f aca="false">IF(AA243=1,J243/H243,0)</f>
        <v>0</v>
      </c>
      <c r="AC243" s="44" t="n">
        <f aca="false">IF(AA243=1,Q243/H243,0)</f>
        <v>0</v>
      </c>
      <c r="AD243" s="44" t="n">
        <f aca="false">IF(AA243=1,R243/H243,0)</f>
        <v>0</v>
      </c>
      <c r="AE243" s="44" t="n">
        <f aca="false">IF(AA243=1,O243/H243,0)</f>
        <v>0</v>
      </c>
      <c r="AF243" s="44" t="n">
        <f aca="false">IF(AA243=1,K243/H243,0)</f>
        <v>0</v>
      </c>
      <c r="AG243" s="45" t="str">
        <f aca="false">IF(AA243=1,D243&amp;"|"&amp;TEXT(B243,"0"),"")</f>
        <v/>
      </c>
      <c r="AH243" s="43" t="n">
        <f aca="false">IF(AA243=1,H243,0)</f>
        <v>0</v>
      </c>
    </row>
    <row r="244" customFormat="false" ht="15" hidden="false" customHeight="false" outlineLevel="0" collapsed="false">
      <c r="A244" s="23" t="str">
        <f aca="false">IF(B244="","","B-"&amp;TEXT(ROW()-4,"0000"))</f>
        <v/>
      </c>
      <c r="B244" s="38"/>
      <c r="C244" s="38"/>
      <c r="D244" s="6"/>
      <c r="E244" s="6"/>
      <c r="F244" s="6"/>
      <c r="G244" s="11"/>
      <c r="H244" s="24" t="str">
        <f aca="false">IF(AND(ISNUMBER(B244),ISNUMBER(C244)),MAX(0,C244-B244),"")</f>
        <v/>
      </c>
      <c r="I244" s="37"/>
      <c r="J244" s="46" t="str">
        <f aca="false">IF(OR(D244="",N(H244)=0),"",IFERROR(IF(I244&lt;&gt;"",H244*I244,ROUND(((H244-(INT((WEEKDAY(B244-6)+H244-1)/7)+INT((WEEKDAY(B244-7)+H244-1)/7)))*INDEX(Properties!$E$5:$E$24,MATCH(D244,Properties!$A$5:$A$24,0))+(INT((WEEKDAY(B244-6)+H244-1)/7)+INT((WEEKDAY(B244-7)+H244-1)/7))*INDEX(Properties!$F$5:$F$24,MATCH(D244,Properties!$A$5:$A$24,0)))*(1-IF(H244&gt;=28,Settings!$B$10,IF(H244&gt;=7,Settings!$B$9,0))),2)),0))</f>
        <v/>
      </c>
      <c r="K244" s="46" t="str">
        <f aca="false">IF(J244="","",IFERROR(N(INDEX(Properties!$G$5:$G$24,MATCH(D244,Properties!$A$5:$A$24,0))),0))</f>
        <v/>
      </c>
      <c r="L244" s="46" t="str">
        <f aca="false">IF(J244="","",IFERROR(MAX(0,N(G244)-INDEX(Properties!$I$5:$I$24,MATCH(D244,Properties!$A$5:$A$24,0)))*N(INDEX(Properties!$J$5:$J$24,MATCH(D244,Properties!$A$5:$A$24,0)))*H244,0))</f>
        <v/>
      </c>
      <c r="M244" s="37"/>
      <c r="N244" s="46" t="str">
        <f aca="false">IF(J244="","",J244+K244+L244+N(M244))</f>
        <v/>
      </c>
      <c r="O244" s="46" t="str">
        <f aca="false">IF(N244="","",IF(P244&lt;&gt;"",N244-P244,ROUND(N244*IFERROR(INDEX(Settings!$E$5:$E$12,MATCH(F244,Settings!$D$5:$D$12,0)),0),2)))</f>
        <v/>
      </c>
      <c r="P244" s="37"/>
      <c r="Q244" s="46" t="str">
        <f aca="false">IF(N244="","",IF(P244&lt;&gt;"",P244,N244-O244))</f>
        <v/>
      </c>
      <c r="R244" s="46" t="str">
        <f aca="false">IF(J244="","",IFERROR(N(INDEX(Properties!$H$5:$H$24,MATCH(D244,Properties!$A$5:$A$24,0))),0))</f>
        <v/>
      </c>
      <c r="S244" s="46" t="str">
        <f aca="false">IF(Q244="","",Q244-R244)</f>
        <v/>
      </c>
      <c r="T244" s="6"/>
      <c r="U244" s="6"/>
      <c r="V244" s="6"/>
      <c r="W244" s="6"/>
      <c r="X244" s="6"/>
      <c r="Y244" s="8" t="str">
        <f aca="false">IF(OR(D244="",B244="",C244=""),"",IF(N(C244)&lt;=N(B244),"Check dates",IF(T244="Cancelled","",IF(COUNTIFS($D$5:$D$1004,D244,$B$5:$B$1004,"&lt;"&amp;C244,$C$5:$C$1004,"&gt;"&amp;B244,$T$5:$T$1004,"&lt;&gt;Cancelled")&gt;1,"Double-booked",""))))</f>
        <v/>
      </c>
      <c r="Z244" s="42" t="str">
        <f aca="false">IF(AND(AA244=1,ISNUMBER(C244)),C244+ROW()/100000,"")</f>
        <v/>
      </c>
      <c r="AA244" s="43" t="n">
        <f aca="false">IF(AND(D244&lt;&gt;"",ISNUMBER(B244),ISNUMBER(C244),N(H244)&gt;0,T244&lt;&gt;"Cancelled",J244&lt;&gt;""),1,0)</f>
        <v>0</v>
      </c>
      <c r="AB244" s="44" t="n">
        <f aca="false">IF(AA244=1,J244/H244,0)</f>
        <v>0</v>
      </c>
      <c r="AC244" s="44" t="n">
        <f aca="false">IF(AA244=1,Q244/H244,0)</f>
        <v>0</v>
      </c>
      <c r="AD244" s="44" t="n">
        <f aca="false">IF(AA244=1,R244/H244,0)</f>
        <v>0</v>
      </c>
      <c r="AE244" s="44" t="n">
        <f aca="false">IF(AA244=1,O244/H244,0)</f>
        <v>0</v>
      </c>
      <c r="AF244" s="44" t="n">
        <f aca="false">IF(AA244=1,K244/H244,0)</f>
        <v>0</v>
      </c>
      <c r="AG244" s="45" t="str">
        <f aca="false">IF(AA244=1,D244&amp;"|"&amp;TEXT(B244,"0"),"")</f>
        <v/>
      </c>
      <c r="AH244" s="43" t="n">
        <f aca="false">IF(AA244=1,H244,0)</f>
        <v>0</v>
      </c>
    </row>
    <row r="245" customFormat="false" ht="15" hidden="false" customHeight="false" outlineLevel="0" collapsed="false">
      <c r="A245" s="8" t="str">
        <f aca="false">IF(B245="","","B-"&amp;TEXT(ROW()-4,"0000"))</f>
        <v/>
      </c>
      <c r="B245" s="38"/>
      <c r="C245" s="38"/>
      <c r="D245" s="6"/>
      <c r="E245" s="6"/>
      <c r="F245" s="6"/>
      <c r="G245" s="11"/>
      <c r="H245" s="18" t="str">
        <f aca="false">IF(AND(ISNUMBER(B245),ISNUMBER(C245)),MAX(0,C245-B245),"")</f>
        <v/>
      </c>
      <c r="I245" s="37"/>
      <c r="J245" s="41" t="str">
        <f aca="false">IF(OR(D245="",N(H245)=0),"",IFERROR(IF(I245&lt;&gt;"",H245*I245,ROUND(((H245-(INT((WEEKDAY(B245-6)+H245-1)/7)+INT((WEEKDAY(B245-7)+H245-1)/7)))*INDEX(Properties!$E$5:$E$24,MATCH(D245,Properties!$A$5:$A$24,0))+(INT((WEEKDAY(B245-6)+H245-1)/7)+INT((WEEKDAY(B245-7)+H245-1)/7))*INDEX(Properties!$F$5:$F$24,MATCH(D245,Properties!$A$5:$A$24,0)))*(1-IF(H245&gt;=28,Settings!$B$10,IF(H245&gt;=7,Settings!$B$9,0))),2)),0))</f>
        <v/>
      </c>
      <c r="K245" s="41" t="str">
        <f aca="false">IF(J245="","",IFERROR(N(INDEX(Properties!$G$5:$G$24,MATCH(D245,Properties!$A$5:$A$24,0))),0))</f>
        <v/>
      </c>
      <c r="L245" s="41" t="str">
        <f aca="false">IF(J245="","",IFERROR(MAX(0,N(G245)-INDEX(Properties!$I$5:$I$24,MATCH(D245,Properties!$A$5:$A$24,0)))*N(INDEX(Properties!$J$5:$J$24,MATCH(D245,Properties!$A$5:$A$24,0)))*H245,0))</f>
        <v/>
      </c>
      <c r="M245" s="37"/>
      <c r="N245" s="41" t="str">
        <f aca="false">IF(J245="","",J245+K245+L245+N(M245))</f>
        <v/>
      </c>
      <c r="O245" s="41" t="str">
        <f aca="false">IF(N245="","",IF(P245&lt;&gt;"",N245-P245,ROUND(N245*IFERROR(INDEX(Settings!$E$5:$E$12,MATCH(F245,Settings!$D$5:$D$12,0)),0),2)))</f>
        <v/>
      </c>
      <c r="P245" s="37"/>
      <c r="Q245" s="41" t="str">
        <f aca="false">IF(N245="","",IF(P245&lt;&gt;"",P245,N245-O245))</f>
        <v/>
      </c>
      <c r="R245" s="41" t="str">
        <f aca="false">IF(J245="","",IFERROR(N(INDEX(Properties!$H$5:$H$24,MATCH(D245,Properties!$A$5:$A$24,0))),0))</f>
        <v/>
      </c>
      <c r="S245" s="41" t="str">
        <f aca="false">IF(Q245="","",Q245-R245)</f>
        <v/>
      </c>
      <c r="T245" s="6"/>
      <c r="U245" s="6"/>
      <c r="V245" s="6"/>
      <c r="W245" s="6"/>
      <c r="X245" s="6"/>
      <c r="Y245" s="8" t="str">
        <f aca="false">IF(OR(D245="",B245="",C245=""),"",IF(N(C245)&lt;=N(B245),"Check dates",IF(T245="Cancelled","",IF(COUNTIFS($D$5:$D$1004,D245,$B$5:$B$1004,"&lt;"&amp;C245,$C$5:$C$1004,"&gt;"&amp;B245,$T$5:$T$1004,"&lt;&gt;Cancelled")&gt;1,"Double-booked",""))))</f>
        <v/>
      </c>
      <c r="Z245" s="42" t="str">
        <f aca="false">IF(AND(AA245=1,ISNUMBER(C245)),C245+ROW()/100000,"")</f>
        <v/>
      </c>
      <c r="AA245" s="43" t="n">
        <f aca="false">IF(AND(D245&lt;&gt;"",ISNUMBER(B245),ISNUMBER(C245),N(H245)&gt;0,T245&lt;&gt;"Cancelled",J245&lt;&gt;""),1,0)</f>
        <v>0</v>
      </c>
      <c r="AB245" s="44" t="n">
        <f aca="false">IF(AA245=1,J245/H245,0)</f>
        <v>0</v>
      </c>
      <c r="AC245" s="44" t="n">
        <f aca="false">IF(AA245=1,Q245/H245,0)</f>
        <v>0</v>
      </c>
      <c r="AD245" s="44" t="n">
        <f aca="false">IF(AA245=1,R245/H245,0)</f>
        <v>0</v>
      </c>
      <c r="AE245" s="44" t="n">
        <f aca="false">IF(AA245=1,O245/H245,0)</f>
        <v>0</v>
      </c>
      <c r="AF245" s="44" t="n">
        <f aca="false">IF(AA245=1,K245/H245,0)</f>
        <v>0</v>
      </c>
      <c r="AG245" s="45" t="str">
        <f aca="false">IF(AA245=1,D245&amp;"|"&amp;TEXT(B245,"0"),"")</f>
        <v/>
      </c>
      <c r="AH245" s="43" t="n">
        <f aca="false">IF(AA245=1,H245,0)</f>
        <v>0</v>
      </c>
    </row>
    <row r="246" customFormat="false" ht="15" hidden="false" customHeight="false" outlineLevel="0" collapsed="false">
      <c r="A246" s="23" t="str">
        <f aca="false">IF(B246="","","B-"&amp;TEXT(ROW()-4,"0000"))</f>
        <v/>
      </c>
      <c r="B246" s="38"/>
      <c r="C246" s="38"/>
      <c r="D246" s="6"/>
      <c r="E246" s="6"/>
      <c r="F246" s="6"/>
      <c r="G246" s="11"/>
      <c r="H246" s="24" t="str">
        <f aca="false">IF(AND(ISNUMBER(B246),ISNUMBER(C246)),MAX(0,C246-B246),"")</f>
        <v/>
      </c>
      <c r="I246" s="37"/>
      <c r="J246" s="46" t="str">
        <f aca="false">IF(OR(D246="",N(H246)=0),"",IFERROR(IF(I246&lt;&gt;"",H246*I246,ROUND(((H246-(INT((WEEKDAY(B246-6)+H246-1)/7)+INT((WEEKDAY(B246-7)+H246-1)/7)))*INDEX(Properties!$E$5:$E$24,MATCH(D246,Properties!$A$5:$A$24,0))+(INT((WEEKDAY(B246-6)+H246-1)/7)+INT((WEEKDAY(B246-7)+H246-1)/7))*INDEX(Properties!$F$5:$F$24,MATCH(D246,Properties!$A$5:$A$24,0)))*(1-IF(H246&gt;=28,Settings!$B$10,IF(H246&gt;=7,Settings!$B$9,0))),2)),0))</f>
        <v/>
      </c>
      <c r="K246" s="46" t="str">
        <f aca="false">IF(J246="","",IFERROR(N(INDEX(Properties!$G$5:$G$24,MATCH(D246,Properties!$A$5:$A$24,0))),0))</f>
        <v/>
      </c>
      <c r="L246" s="46" t="str">
        <f aca="false">IF(J246="","",IFERROR(MAX(0,N(G246)-INDEX(Properties!$I$5:$I$24,MATCH(D246,Properties!$A$5:$A$24,0)))*N(INDEX(Properties!$J$5:$J$24,MATCH(D246,Properties!$A$5:$A$24,0)))*H246,0))</f>
        <v/>
      </c>
      <c r="M246" s="37"/>
      <c r="N246" s="46" t="str">
        <f aca="false">IF(J246="","",J246+K246+L246+N(M246))</f>
        <v/>
      </c>
      <c r="O246" s="46" t="str">
        <f aca="false">IF(N246="","",IF(P246&lt;&gt;"",N246-P246,ROUND(N246*IFERROR(INDEX(Settings!$E$5:$E$12,MATCH(F246,Settings!$D$5:$D$12,0)),0),2)))</f>
        <v/>
      </c>
      <c r="P246" s="37"/>
      <c r="Q246" s="46" t="str">
        <f aca="false">IF(N246="","",IF(P246&lt;&gt;"",P246,N246-O246))</f>
        <v/>
      </c>
      <c r="R246" s="46" t="str">
        <f aca="false">IF(J246="","",IFERROR(N(INDEX(Properties!$H$5:$H$24,MATCH(D246,Properties!$A$5:$A$24,0))),0))</f>
        <v/>
      </c>
      <c r="S246" s="46" t="str">
        <f aca="false">IF(Q246="","",Q246-R246)</f>
        <v/>
      </c>
      <c r="T246" s="6"/>
      <c r="U246" s="6"/>
      <c r="V246" s="6"/>
      <c r="W246" s="6"/>
      <c r="X246" s="6"/>
      <c r="Y246" s="8" t="str">
        <f aca="false">IF(OR(D246="",B246="",C246=""),"",IF(N(C246)&lt;=N(B246),"Check dates",IF(T246="Cancelled","",IF(COUNTIFS($D$5:$D$1004,D246,$B$5:$B$1004,"&lt;"&amp;C246,$C$5:$C$1004,"&gt;"&amp;B246,$T$5:$T$1004,"&lt;&gt;Cancelled")&gt;1,"Double-booked",""))))</f>
        <v/>
      </c>
      <c r="Z246" s="42" t="str">
        <f aca="false">IF(AND(AA246=1,ISNUMBER(C246)),C246+ROW()/100000,"")</f>
        <v/>
      </c>
      <c r="AA246" s="43" t="n">
        <f aca="false">IF(AND(D246&lt;&gt;"",ISNUMBER(B246),ISNUMBER(C246),N(H246)&gt;0,T246&lt;&gt;"Cancelled",J246&lt;&gt;""),1,0)</f>
        <v>0</v>
      </c>
      <c r="AB246" s="44" t="n">
        <f aca="false">IF(AA246=1,J246/H246,0)</f>
        <v>0</v>
      </c>
      <c r="AC246" s="44" t="n">
        <f aca="false">IF(AA246=1,Q246/H246,0)</f>
        <v>0</v>
      </c>
      <c r="AD246" s="44" t="n">
        <f aca="false">IF(AA246=1,R246/H246,0)</f>
        <v>0</v>
      </c>
      <c r="AE246" s="44" t="n">
        <f aca="false">IF(AA246=1,O246/H246,0)</f>
        <v>0</v>
      </c>
      <c r="AF246" s="44" t="n">
        <f aca="false">IF(AA246=1,K246/H246,0)</f>
        <v>0</v>
      </c>
      <c r="AG246" s="45" t="str">
        <f aca="false">IF(AA246=1,D246&amp;"|"&amp;TEXT(B246,"0"),"")</f>
        <v/>
      </c>
      <c r="AH246" s="43" t="n">
        <f aca="false">IF(AA246=1,H246,0)</f>
        <v>0</v>
      </c>
    </row>
    <row r="247" customFormat="false" ht="15" hidden="false" customHeight="false" outlineLevel="0" collapsed="false">
      <c r="A247" s="8" t="str">
        <f aca="false">IF(B247="","","B-"&amp;TEXT(ROW()-4,"0000"))</f>
        <v/>
      </c>
      <c r="B247" s="38"/>
      <c r="C247" s="38"/>
      <c r="D247" s="6"/>
      <c r="E247" s="6"/>
      <c r="F247" s="6"/>
      <c r="G247" s="11"/>
      <c r="H247" s="18" t="str">
        <f aca="false">IF(AND(ISNUMBER(B247),ISNUMBER(C247)),MAX(0,C247-B247),"")</f>
        <v/>
      </c>
      <c r="I247" s="37"/>
      <c r="J247" s="41" t="str">
        <f aca="false">IF(OR(D247="",N(H247)=0),"",IFERROR(IF(I247&lt;&gt;"",H247*I247,ROUND(((H247-(INT((WEEKDAY(B247-6)+H247-1)/7)+INT((WEEKDAY(B247-7)+H247-1)/7)))*INDEX(Properties!$E$5:$E$24,MATCH(D247,Properties!$A$5:$A$24,0))+(INT((WEEKDAY(B247-6)+H247-1)/7)+INT((WEEKDAY(B247-7)+H247-1)/7))*INDEX(Properties!$F$5:$F$24,MATCH(D247,Properties!$A$5:$A$24,0)))*(1-IF(H247&gt;=28,Settings!$B$10,IF(H247&gt;=7,Settings!$B$9,0))),2)),0))</f>
        <v/>
      </c>
      <c r="K247" s="41" t="str">
        <f aca="false">IF(J247="","",IFERROR(N(INDEX(Properties!$G$5:$G$24,MATCH(D247,Properties!$A$5:$A$24,0))),0))</f>
        <v/>
      </c>
      <c r="L247" s="41" t="str">
        <f aca="false">IF(J247="","",IFERROR(MAX(0,N(G247)-INDEX(Properties!$I$5:$I$24,MATCH(D247,Properties!$A$5:$A$24,0)))*N(INDEX(Properties!$J$5:$J$24,MATCH(D247,Properties!$A$5:$A$24,0)))*H247,0))</f>
        <v/>
      </c>
      <c r="M247" s="37"/>
      <c r="N247" s="41" t="str">
        <f aca="false">IF(J247="","",J247+K247+L247+N(M247))</f>
        <v/>
      </c>
      <c r="O247" s="41" t="str">
        <f aca="false">IF(N247="","",IF(P247&lt;&gt;"",N247-P247,ROUND(N247*IFERROR(INDEX(Settings!$E$5:$E$12,MATCH(F247,Settings!$D$5:$D$12,0)),0),2)))</f>
        <v/>
      </c>
      <c r="P247" s="37"/>
      <c r="Q247" s="41" t="str">
        <f aca="false">IF(N247="","",IF(P247&lt;&gt;"",P247,N247-O247))</f>
        <v/>
      </c>
      <c r="R247" s="41" t="str">
        <f aca="false">IF(J247="","",IFERROR(N(INDEX(Properties!$H$5:$H$24,MATCH(D247,Properties!$A$5:$A$24,0))),0))</f>
        <v/>
      </c>
      <c r="S247" s="41" t="str">
        <f aca="false">IF(Q247="","",Q247-R247)</f>
        <v/>
      </c>
      <c r="T247" s="6"/>
      <c r="U247" s="6"/>
      <c r="V247" s="6"/>
      <c r="W247" s="6"/>
      <c r="X247" s="6"/>
      <c r="Y247" s="8" t="str">
        <f aca="false">IF(OR(D247="",B247="",C247=""),"",IF(N(C247)&lt;=N(B247),"Check dates",IF(T247="Cancelled","",IF(COUNTIFS($D$5:$D$1004,D247,$B$5:$B$1004,"&lt;"&amp;C247,$C$5:$C$1004,"&gt;"&amp;B247,$T$5:$T$1004,"&lt;&gt;Cancelled")&gt;1,"Double-booked",""))))</f>
        <v/>
      </c>
      <c r="Z247" s="42" t="str">
        <f aca="false">IF(AND(AA247=1,ISNUMBER(C247)),C247+ROW()/100000,"")</f>
        <v/>
      </c>
      <c r="AA247" s="43" t="n">
        <f aca="false">IF(AND(D247&lt;&gt;"",ISNUMBER(B247),ISNUMBER(C247),N(H247)&gt;0,T247&lt;&gt;"Cancelled",J247&lt;&gt;""),1,0)</f>
        <v>0</v>
      </c>
      <c r="AB247" s="44" t="n">
        <f aca="false">IF(AA247=1,J247/H247,0)</f>
        <v>0</v>
      </c>
      <c r="AC247" s="44" t="n">
        <f aca="false">IF(AA247=1,Q247/H247,0)</f>
        <v>0</v>
      </c>
      <c r="AD247" s="44" t="n">
        <f aca="false">IF(AA247=1,R247/H247,0)</f>
        <v>0</v>
      </c>
      <c r="AE247" s="44" t="n">
        <f aca="false">IF(AA247=1,O247/H247,0)</f>
        <v>0</v>
      </c>
      <c r="AF247" s="44" t="n">
        <f aca="false">IF(AA247=1,K247/H247,0)</f>
        <v>0</v>
      </c>
      <c r="AG247" s="45" t="str">
        <f aca="false">IF(AA247=1,D247&amp;"|"&amp;TEXT(B247,"0"),"")</f>
        <v/>
      </c>
      <c r="AH247" s="43" t="n">
        <f aca="false">IF(AA247=1,H247,0)</f>
        <v>0</v>
      </c>
    </row>
    <row r="248" customFormat="false" ht="15" hidden="false" customHeight="false" outlineLevel="0" collapsed="false">
      <c r="A248" s="23" t="str">
        <f aca="false">IF(B248="","","B-"&amp;TEXT(ROW()-4,"0000"))</f>
        <v/>
      </c>
      <c r="B248" s="38"/>
      <c r="C248" s="38"/>
      <c r="D248" s="6"/>
      <c r="E248" s="6"/>
      <c r="F248" s="6"/>
      <c r="G248" s="11"/>
      <c r="H248" s="24" t="str">
        <f aca="false">IF(AND(ISNUMBER(B248),ISNUMBER(C248)),MAX(0,C248-B248),"")</f>
        <v/>
      </c>
      <c r="I248" s="37"/>
      <c r="J248" s="46" t="str">
        <f aca="false">IF(OR(D248="",N(H248)=0),"",IFERROR(IF(I248&lt;&gt;"",H248*I248,ROUND(((H248-(INT((WEEKDAY(B248-6)+H248-1)/7)+INT((WEEKDAY(B248-7)+H248-1)/7)))*INDEX(Properties!$E$5:$E$24,MATCH(D248,Properties!$A$5:$A$24,0))+(INT((WEEKDAY(B248-6)+H248-1)/7)+INT((WEEKDAY(B248-7)+H248-1)/7))*INDEX(Properties!$F$5:$F$24,MATCH(D248,Properties!$A$5:$A$24,0)))*(1-IF(H248&gt;=28,Settings!$B$10,IF(H248&gt;=7,Settings!$B$9,0))),2)),0))</f>
        <v/>
      </c>
      <c r="K248" s="46" t="str">
        <f aca="false">IF(J248="","",IFERROR(N(INDEX(Properties!$G$5:$G$24,MATCH(D248,Properties!$A$5:$A$24,0))),0))</f>
        <v/>
      </c>
      <c r="L248" s="46" t="str">
        <f aca="false">IF(J248="","",IFERROR(MAX(0,N(G248)-INDEX(Properties!$I$5:$I$24,MATCH(D248,Properties!$A$5:$A$24,0)))*N(INDEX(Properties!$J$5:$J$24,MATCH(D248,Properties!$A$5:$A$24,0)))*H248,0))</f>
        <v/>
      </c>
      <c r="M248" s="37"/>
      <c r="N248" s="46" t="str">
        <f aca="false">IF(J248="","",J248+K248+L248+N(M248))</f>
        <v/>
      </c>
      <c r="O248" s="46" t="str">
        <f aca="false">IF(N248="","",IF(P248&lt;&gt;"",N248-P248,ROUND(N248*IFERROR(INDEX(Settings!$E$5:$E$12,MATCH(F248,Settings!$D$5:$D$12,0)),0),2)))</f>
        <v/>
      </c>
      <c r="P248" s="37"/>
      <c r="Q248" s="46" t="str">
        <f aca="false">IF(N248="","",IF(P248&lt;&gt;"",P248,N248-O248))</f>
        <v/>
      </c>
      <c r="R248" s="46" t="str">
        <f aca="false">IF(J248="","",IFERROR(N(INDEX(Properties!$H$5:$H$24,MATCH(D248,Properties!$A$5:$A$24,0))),0))</f>
        <v/>
      </c>
      <c r="S248" s="46" t="str">
        <f aca="false">IF(Q248="","",Q248-R248)</f>
        <v/>
      </c>
      <c r="T248" s="6"/>
      <c r="U248" s="6"/>
      <c r="V248" s="6"/>
      <c r="W248" s="6"/>
      <c r="X248" s="6"/>
      <c r="Y248" s="8" t="str">
        <f aca="false">IF(OR(D248="",B248="",C248=""),"",IF(N(C248)&lt;=N(B248),"Check dates",IF(T248="Cancelled","",IF(COUNTIFS($D$5:$D$1004,D248,$B$5:$B$1004,"&lt;"&amp;C248,$C$5:$C$1004,"&gt;"&amp;B248,$T$5:$T$1004,"&lt;&gt;Cancelled")&gt;1,"Double-booked",""))))</f>
        <v/>
      </c>
      <c r="Z248" s="42" t="str">
        <f aca="false">IF(AND(AA248=1,ISNUMBER(C248)),C248+ROW()/100000,"")</f>
        <v/>
      </c>
      <c r="AA248" s="43" t="n">
        <f aca="false">IF(AND(D248&lt;&gt;"",ISNUMBER(B248),ISNUMBER(C248),N(H248)&gt;0,T248&lt;&gt;"Cancelled",J248&lt;&gt;""),1,0)</f>
        <v>0</v>
      </c>
      <c r="AB248" s="44" t="n">
        <f aca="false">IF(AA248=1,J248/H248,0)</f>
        <v>0</v>
      </c>
      <c r="AC248" s="44" t="n">
        <f aca="false">IF(AA248=1,Q248/H248,0)</f>
        <v>0</v>
      </c>
      <c r="AD248" s="44" t="n">
        <f aca="false">IF(AA248=1,R248/H248,0)</f>
        <v>0</v>
      </c>
      <c r="AE248" s="44" t="n">
        <f aca="false">IF(AA248=1,O248/H248,0)</f>
        <v>0</v>
      </c>
      <c r="AF248" s="44" t="n">
        <f aca="false">IF(AA248=1,K248/H248,0)</f>
        <v>0</v>
      </c>
      <c r="AG248" s="45" t="str">
        <f aca="false">IF(AA248=1,D248&amp;"|"&amp;TEXT(B248,"0"),"")</f>
        <v/>
      </c>
      <c r="AH248" s="43" t="n">
        <f aca="false">IF(AA248=1,H248,0)</f>
        <v>0</v>
      </c>
    </row>
    <row r="249" customFormat="false" ht="15" hidden="false" customHeight="false" outlineLevel="0" collapsed="false">
      <c r="A249" s="8" t="str">
        <f aca="false">IF(B249="","","B-"&amp;TEXT(ROW()-4,"0000"))</f>
        <v/>
      </c>
      <c r="B249" s="38"/>
      <c r="C249" s="38"/>
      <c r="D249" s="6"/>
      <c r="E249" s="6"/>
      <c r="F249" s="6"/>
      <c r="G249" s="11"/>
      <c r="H249" s="18" t="str">
        <f aca="false">IF(AND(ISNUMBER(B249),ISNUMBER(C249)),MAX(0,C249-B249),"")</f>
        <v/>
      </c>
      <c r="I249" s="37"/>
      <c r="J249" s="41" t="str">
        <f aca="false">IF(OR(D249="",N(H249)=0),"",IFERROR(IF(I249&lt;&gt;"",H249*I249,ROUND(((H249-(INT((WEEKDAY(B249-6)+H249-1)/7)+INT((WEEKDAY(B249-7)+H249-1)/7)))*INDEX(Properties!$E$5:$E$24,MATCH(D249,Properties!$A$5:$A$24,0))+(INT((WEEKDAY(B249-6)+H249-1)/7)+INT((WEEKDAY(B249-7)+H249-1)/7))*INDEX(Properties!$F$5:$F$24,MATCH(D249,Properties!$A$5:$A$24,0)))*(1-IF(H249&gt;=28,Settings!$B$10,IF(H249&gt;=7,Settings!$B$9,0))),2)),0))</f>
        <v/>
      </c>
      <c r="K249" s="41" t="str">
        <f aca="false">IF(J249="","",IFERROR(N(INDEX(Properties!$G$5:$G$24,MATCH(D249,Properties!$A$5:$A$24,0))),0))</f>
        <v/>
      </c>
      <c r="L249" s="41" t="str">
        <f aca="false">IF(J249="","",IFERROR(MAX(0,N(G249)-INDEX(Properties!$I$5:$I$24,MATCH(D249,Properties!$A$5:$A$24,0)))*N(INDEX(Properties!$J$5:$J$24,MATCH(D249,Properties!$A$5:$A$24,0)))*H249,0))</f>
        <v/>
      </c>
      <c r="M249" s="37"/>
      <c r="N249" s="41" t="str">
        <f aca="false">IF(J249="","",J249+K249+L249+N(M249))</f>
        <v/>
      </c>
      <c r="O249" s="41" t="str">
        <f aca="false">IF(N249="","",IF(P249&lt;&gt;"",N249-P249,ROUND(N249*IFERROR(INDEX(Settings!$E$5:$E$12,MATCH(F249,Settings!$D$5:$D$12,0)),0),2)))</f>
        <v/>
      </c>
      <c r="P249" s="37"/>
      <c r="Q249" s="41" t="str">
        <f aca="false">IF(N249="","",IF(P249&lt;&gt;"",P249,N249-O249))</f>
        <v/>
      </c>
      <c r="R249" s="41" t="str">
        <f aca="false">IF(J249="","",IFERROR(N(INDEX(Properties!$H$5:$H$24,MATCH(D249,Properties!$A$5:$A$24,0))),0))</f>
        <v/>
      </c>
      <c r="S249" s="41" t="str">
        <f aca="false">IF(Q249="","",Q249-R249)</f>
        <v/>
      </c>
      <c r="T249" s="6"/>
      <c r="U249" s="6"/>
      <c r="V249" s="6"/>
      <c r="W249" s="6"/>
      <c r="X249" s="6"/>
      <c r="Y249" s="8" t="str">
        <f aca="false">IF(OR(D249="",B249="",C249=""),"",IF(N(C249)&lt;=N(B249),"Check dates",IF(T249="Cancelled","",IF(COUNTIFS($D$5:$D$1004,D249,$B$5:$B$1004,"&lt;"&amp;C249,$C$5:$C$1004,"&gt;"&amp;B249,$T$5:$T$1004,"&lt;&gt;Cancelled")&gt;1,"Double-booked",""))))</f>
        <v/>
      </c>
      <c r="Z249" s="42" t="str">
        <f aca="false">IF(AND(AA249=1,ISNUMBER(C249)),C249+ROW()/100000,"")</f>
        <v/>
      </c>
      <c r="AA249" s="43" t="n">
        <f aca="false">IF(AND(D249&lt;&gt;"",ISNUMBER(B249),ISNUMBER(C249),N(H249)&gt;0,T249&lt;&gt;"Cancelled",J249&lt;&gt;""),1,0)</f>
        <v>0</v>
      </c>
      <c r="AB249" s="44" t="n">
        <f aca="false">IF(AA249=1,J249/H249,0)</f>
        <v>0</v>
      </c>
      <c r="AC249" s="44" t="n">
        <f aca="false">IF(AA249=1,Q249/H249,0)</f>
        <v>0</v>
      </c>
      <c r="AD249" s="44" t="n">
        <f aca="false">IF(AA249=1,R249/H249,0)</f>
        <v>0</v>
      </c>
      <c r="AE249" s="44" t="n">
        <f aca="false">IF(AA249=1,O249/H249,0)</f>
        <v>0</v>
      </c>
      <c r="AF249" s="44" t="n">
        <f aca="false">IF(AA249=1,K249/H249,0)</f>
        <v>0</v>
      </c>
      <c r="AG249" s="45" t="str">
        <f aca="false">IF(AA249=1,D249&amp;"|"&amp;TEXT(B249,"0"),"")</f>
        <v/>
      </c>
      <c r="AH249" s="43" t="n">
        <f aca="false">IF(AA249=1,H249,0)</f>
        <v>0</v>
      </c>
    </row>
    <row r="250" customFormat="false" ht="15" hidden="false" customHeight="false" outlineLevel="0" collapsed="false">
      <c r="A250" s="23" t="str">
        <f aca="false">IF(B250="","","B-"&amp;TEXT(ROW()-4,"0000"))</f>
        <v/>
      </c>
      <c r="B250" s="38"/>
      <c r="C250" s="38"/>
      <c r="D250" s="6"/>
      <c r="E250" s="6"/>
      <c r="F250" s="6"/>
      <c r="G250" s="11"/>
      <c r="H250" s="24" t="str">
        <f aca="false">IF(AND(ISNUMBER(B250),ISNUMBER(C250)),MAX(0,C250-B250),"")</f>
        <v/>
      </c>
      <c r="I250" s="37"/>
      <c r="J250" s="46" t="str">
        <f aca="false">IF(OR(D250="",N(H250)=0),"",IFERROR(IF(I250&lt;&gt;"",H250*I250,ROUND(((H250-(INT((WEEKDAY(B250-6)+H250-1)/7)+INT((WEEKDAY(B250-7)+H250-1)/7)))*INDEX(Properties!$E$5:$E$24,MATCH(D250,Properties!$A$5:$A$24,0))+(INT((WEEKDAY(B250-6)+H250-1)/7)+INT((WEEKDAY(B250-7)+H250-1)/7))*INDEX(Properties!$F$5:$F$24,MATCH(D250,Properties!$A$5:$A$24,0)))*(1-IF(H250&gt;=28,Settings!$B$10,IF(H250&gt;=7,Settings!$B$9,0))),2)),0))</f>
        <v/>
      </c>
      <c r="K250" s="46" t="str">
        <f aca="false">IF(J250="","",IFERROR(N(INDEX(Properties!$G$5:$G$24,MATCH(D250,Properties!$A$5:$A$24,0))),0))</f>
        <v/>
      </c>
      <c r="L250" s="46" t="str">
        <f aca="false">IF(J250="","",IFERROR(MAX(0,N(G250)-INDEX(Properties!$I$5:$I$24,MATCH(D250,Properties!$A$5:$A$24,0)))*N(INDEX(Properties!$J$5:$J$24,MATCH(D250,Properties!$A$5:$A$24,0)))*H250,0))</f>
        <v/>
      </c>
      <c r="M250" s="37"/>
      <c r="N250" s="46" t="str">
        <f aca="false">IF(J250="","",J250+K250+L250+N(M250))</f>
        <v/>
      </c>
      <c r="O250" s="46" t="str">
        <f aca="false">IF(N250="","",IF(P250&lt;&gt;"",N250-P250,ROUND(N250*IFERROR(INDEX(Settings!$E$5:$E$12,MATCH(F250,Settings!$D$5:$D$12,0)),0),2)))</f>
        <v/>
      </c>
      <c r="P250" s="37"/>
      <c r="Q250" s="46" t="str">
        <f aca="false">IF(N250="","",IF(P250&lt;&gt;"",P250,N250-O250))</f>
        <v/>
      </c>
      <c r="R250" s="46" t="str">
        <f aca="false">IF(J250="","",IFERROR(N(INDEX(Properties!$H$5:$H$24,MATCH(D250,Properties!$A$5:$A$24,0))),0))</f>
        <v/>
      </c>
      <c r="S250" s="46" t="str">
        <f aca="false">IF(Q250="","",Q250-R250)</f>
        <v/>
      </c>
      <c r="T250" s="6"/>
      <c r="U250" s="6"/>
      <c r="V250" s="6"/>
      <c r="W250" s="6"/>
      <c r="X250" s="6"/>
      <c r="Y250" s="8" t="str">
        <f aca="false">IF(OR(D250="",B250="",C250=""),"",IF(N(C250)&lt;=N(B250),"Check dates",IF(T250="Cancelled","",IF(COUNTIFS($D$5:$D$1004,D250,$B$5:$B$1004,"&lt;"&amp;C250,$C$5:$C$1004,"&gt;"&amp;B250,$T$5:$T$1004,"&lt;&gt;Cancelled")&gt;1,"Double-booked",""))))</f>
        <v/>
      </c>
      <c r="Z250" s="42" t="str">
        <f aca="false">IF(AND(AA250=1,ISNUMBER(C250)),C250+ROW()/100000,"")</f>
        <v/>
      </c>
      <c r="AA250" s="43" t="n">
        <f aca="false">IF(AND(D250&lt;&gt;"",ISNUMBER(B250),ISNUMBER(C250),N(H250)&gt;0,T250&lt;&gt;"Cancelled",J250&lt;&gt;""),1,0)</f>
        <v>0</v>
      </c>
      <c r="AB250" s="44" t="n">
        <f aca="false">IF(AA250=1,J250/H250,0)</f>
        <v>0</v>
      </c>
      <c r="AC250" s="44" t="n">
        <f aca="false">IF(AA250=1,Q250/H250,0)</f>
        <v>0</v>
      </c>
      <c r="AD250" s="44" t="n">
        <f aca="false">IF(AA250=1,R250/H250,0)</f>
        <v>0</v>
      </c>
      <c r="AE250" s="44" t="n">
        <f aca="false">IF(AA250=1,O250/H250,0)</f>
        <v>0</v>
      </c>
      <c r="AF250" s="44" t="n">
        <f aca="false">IF(AA250=1,K250/H250,0)</f>
        <v>0</v>
      </c>
      <c r="AG250" s="45" t="str">
        <f aca="false">IF(AA250=1,D250&amp;"|"&amp;TEXT(B250,"0"),"")</f>
        <v/>
      </c>
      <c r="AH250" s="43" t="n">
        <f aca="false">IF(AA250=1,H250,0)</f>
        <v>0</v>
      </c>
    </row>
    <row r="251" customFormat="false" ht="15" hidden="false" customHeight="false" outlineLevel="0" collapsed="false">
      <c r="A251" s="8" t="str">
        <f aca="false">IF(B251="","","B-"&amp;TEXT(ROW()-4,"0000"))</f>
        <v/>
      </c>
      <c r="B251" s="38"/>
      <c r="C251" s="38"/>
      <c r="D251" s="6"/>
      <c r="E251" s="6"/>
      <c r="F251" s="6"/>
      <c r="G251" s="11"/>
      <c r="H251" s="18" t="str">
        <f aca="false">IF(AND(ISNUMBER(B251),ISNUMBER(C251)),MAX(0,C251-B251),"")</f>
        <v/>
      </c>
      <c r="I251" s="37"/>
      <c r="J251" s="41" t="str">
        <f aca="false">IF(OR(D251="",N(H251)=0),"",IFERROR(IF(I251&lt;&gt;"",H251*I251,ROUND(((H251-(INT((WEEKDAY(B251-6)+H251-1)/7)+INT((WEEKDAY(B251-7)+H251-1)/7)))*INDEX(Properties!$E$5:$E$24,MATCH(D251,Properties!$A$5:$A$24,0))+(INT((WEEKDAY(B251-6)+H251-1)/7)+INT((WEEKDAY(B251-7)+H251-1)/7))*INDEX(Properties!$F$5:$F$24,MATCH(D251,Properties!$A$5:$A$24,0)))*(1-IF(H251&gt;=28,Settings!$B$10,IF(H251&gt;=7,Settings!$B$9,0))),2)),0))</f>
        <v/>
      </c>
      <c r="K251" s="41" t="str">
        <f aca="false">IF(J251="","",IFERROR(N(INDEX(Properties!$G$5:$G$24,MATCH(D251,Properties!$A$5:$A$24,0))),0))</f>
        <v/>
      </c>
      <c r="L251" s="41" t="str">
        <f aca="false">IF(J251="","",IFERROR(MAX(0,N(G251)-INDEX(Properties!$I$5:$I$24,MATCH(D251,Properties!$A$5:$A$24,0)))*N(INDEX(Properties!$J$5:$J$24,MATCH(D251,Properties!$A$5:$A$24,0)))*H251,0))</f>
        <v/>
      </c>
      <c r="M251" s="37"/>
      <c r="N251" s="41" t="str">
        <f aca="false">IF(J251="","",J251+K251+L251+N(M251))</f>
        <v/>
      </c>
      <c r="O251" s="41" t="str">
        <f aca="false">IF(N251="","",IF(P251&lt;&gt;"",N251-P251,ROUND(N251*IFERROR(INDEX(Settings!$E$5:$E$12,MATCH(F251,Settings!$D$5:$D$12,0)),0),2)))</f>
        <v/>
      </c>
      <c r="P251" s="37"/>
      <c r="Q251" s="41" t="str">
        <f aca="false">IF(N251="","",IF(P251&lt;&gt;"",P251,N251-O251))</f>
        <v/>
      </c>
      <c r="R251" s="41" t="str">
        <f aca="false">IF(J251="","",IFERROR(N(INDEX(Properties!$H$5:$H$24,MATCH(D251,Properties!$A$5:$A$24,0))),0))</f>
        <v/>
      </c>
      <c r="S251" s="41" t="str">
        <f aca="false">IF(Q251="","",Q251-R251)</f>
        <v/>
      </c>
      <c r="T251" s="6"/>
      <c r="U251" s="6"/>
      <c r="V251" s="6"/>
      <c r="W251" s="6"/>
      <c r="X251" s="6"/>
      <c r="Y251" s="8" t="str">
        <f aca="false">IF(OR(D251="",B251="",C251=""),"",IF(N(C251)&lt;=N(B251),"Check dates",IF(T251="Cancelled","",IF(COUNTIFS($D$5:$D$1004,D251,$B$5:$B$1004,"&lt;"&amp;C251,$C$5:$C$1004,"&gt;"&amp;B251,$T$5:$T$1004,"&lt;&gt;Cancelled")&gt;1,"Double-booked",""))))</f>
        <v/>
      </c>
      <c r="Z251" s="42" t="str">
        <f aca="false">IF(AND(AA251=1,ISNUMBER(C251)),C251+ROW()/100000,"")</f>
        <v/>
      </c>
      <c r="AA251" s="43" t="n">
        <f aca="false">IF(AND(D251&lt;&gt;"",ISNUMBER(B251),ISNUMBER(C251),N(H251)&gt;0,T251&lt;&gt;"Cancelled",J251&lt;&gt;""),1,0)</f>
        <v>0</v>
      </c>
      <c r="AB251" s="44" t="n">
        <f aca="false">IF(AA251=1,J251/H251,0)</f>
        <v>0</v>
      </c>
      <c r="AC251" s="44" t="n">
        <f aca="false">IF(AA251=1,Q251/H251,0)</f>
        <v>0</v>
      </c>
      <c r="AD251" s="44" t="n">
        <f aca="false">IF(AA251=1,R251/H251,0)</f>
        <v>0</v>
      </c>
      <c r="AE251" s="44" t="n">
        <f aca="false">IF(AA251=1,O251/H251,0)</f>
        <v>0</v>
      </c>
      <c r="AF251" s="44" t="n">
        <f aca="false">IF(AA251=1,K251/H251,0)</f>
        <v>0</v>
      </c>
      <c r="AG251" s="45" t="str">
        <f aca="false">IF(AA251=1,D251&amp;"|"&amp;TEXT(B251,"0"),"")</f>
        <v/>
      </c>
      <c r="AH251" s="43" t="n">
        <f aca="false">IF(AA251=1,H251,0)</f>
        <v>0</v>
      </c>
    </row>
    <row r="252" customFormat="false" ht="15" hidden="false" customHeight="false" outlineLevel="0" collapsed="false">
      <c r="A252" s="23" t="str">
        <f aca="false">IF(B252="","","B-"&amp;TEXT(ROW()-4,"0000"))</f>
        <v/>
      </c>
      <c r="B252" s="38"/>
      <c r="C252" s="38"/>
      <c r="D252" s="6"/>
      <c r="E252" s="6"/>
      <c r="F252" s="6"/>
      <c r="G252" s="11"/>
      <c r="H252" s="24" t="str">
        <f aca="false">IF(AND(ISNUMBER(B252),ISNUMBER(C252)),MAX(0,C252-B252),"")</f>
        <v/>
      </c>
      <c r="I252" s="37"/>
      <c r="J252" s="46" t="str">
        <f aca="false">IF(OR(D252="",N(H252)=0),"",IFERROR(IF(I252&lt;&gt;"",H252*I252,ROUND(((H252-(INT((WEEKDAY(B252-6)+H252-1)/7)+INT((WEEKDAY(B252-7)+H252-1)/7)))*INDEX(Properties!$E$5:$E$24,MATCH(D252,Properties!$A$5:$A$24,0))+(INT((WEEKDAY(B252-6)+H252-1)/7)+INT((WEEKDAY(B252-7)+H252-1)/7))*INDEX(Properties!$F$5:$F$24,MATCH(D252,Properties!$A$5:$A$24,0)))*(1-IF(H252&gt;=28,Settings!$B$10,IF(H252&gt;=7,Settings!$B$9,0))),2)),0))</f>
        <v/>
      </c>
      <c r="K252" s="46" t="str">
        <f aca="false">IF(J252="","",IFERROR(N(INDEX(Properties!$G$5:$G$24,MATCH(D252,Properties!$A$5:$A$24,0))),0))</f>
        <v/>
      </c>
      <c r="L252" s="46" t="str">
        <f aca="false">IF(J252="","",IFERROR(MAX(0,N(G252)-INDEX(Properties!$I$5:$I$24,MATCH(D252,Properties!$A$5:$A$24,0)))*N(INDEX(Properties!$J$5:$J$24,MATCH(D252,Properties!$A$5:$A$24,0)))*H252,0))</f>
        <v/>
      </c>
      <c r="M252" s="37"/>
      <c r="N252" s="46" t="str">
        <f aca="false">IF(J252="","",J252+K252+L252+N(M252))</f>
        <v/>
      </c>
      <c r="O252" s="46" t="str">
        <f aca="false">IF(N252="","",IF(P252&lt;&gt;"",N252-P252,ROUND(N252*IFERROR(INDEX(Settings!$E$5:$E$12,MATCH(F252,Settings!$D$5:$D$12,0)),0),2)))</f>
        <v/>
      </c>
      <c r="P252" s="37"/>
      <c r="Q252" s="46" t="str">
        <f aca="false">IF(N252="","",IF(P252&lt;&gt;"",P252,N252-O252))</f>
        <v/>
      </c>
      <c r="R252" s="46" t="str">
        <f aca="false">IF(J252="","",IFERROR(N(INDEX(Properties!$H$5:$H$24,MATCH(D252,Properties!$A$5:$A$24,0))),0))</f>
        <v/>
      </c>
      <c r="S252" s="46" t="str">
        <f aca="false">IF(Q252="","",Q252-R252)</f>
        <v/>
      </c>
      <c r="T252" s="6"/>
      <c r="U252" s="6"/>
      <c r="V252" s="6"/>
      <c r="W252" s="6"/>
      <c r="X252" s="6"/>
      <c r="Y252" s="8" t="str">
        <f aca="false">IF(OR(D252="",B252="",C252=""),"",IF(N(C252)&lt;=N(B252),"Check dates",IF(T252="Cancelled","",IF(COUNTIFS($D$5:$D$1004,D252,$B$5:$B$1004,"&lt;"&amp;C252,$C$5:$C$1004,"&gt;"&amp;B252,$T$5:$T$1004,"&lt;&gt;Cancelled")&gt;1,"Double-booked",""))))</f>
        <v/>
      </c>
      <c r="Z252" s="42" t="str">
        <f aca="false">IF(AND(AA252=1,ISNUMBER(C252)),C252+ROW()/100000,"")</f>
        <v/>
      </c>
      <c r="AA252" s="43" t="n">
        <f aca="false">IF(AND(D252&lt;&gt;"",ISNUMBER(B252),ISNUMBER(C252),N(H252)&gt;0,T252&lt;&gt;"Cancelled",J252&lt;&gt;""),1,0)</f>
        <v>0</v>
      </c>
      <c r="AB252" s="44" t="n">
        <f aca="false">IF(AA252=1,J252/H252,0)</f>
        <v>0</v>
      </c>
      <c r="AC252" s="44" t="n">
        <f aca="false">IF(AA252=1,Q252/H252,0)</f>
        <v>0</v>
      </c>
      <c r="AD252" s="44" t="n">
        <f aca="false">IF(AA252=1,R252/H252,0)</f>
        <v>0</v>
      </c>
      <c r="AE252" s="44" t="n">
        <f aca="false">IF(AA252=1,O252/H252,0)</f>
        <v>0</v>
      </c>
      <c r="AF252" s="44" t="n">
        <f aca="false">IF(AA252=1,K252/H252,0)</f>
        <v>0</v>
      </c>
      <c r="AG252" s="45" t="str">
        <f aca="false">IF(AA252=1,D252&amp;"|"&amp;TEXT(B252,"0"),"")</f>
        <v/>
      </c>
      <c r="AH252" s="43" t="n">
        <f aca="false">IF(AA252=1,H252,0)</f>
        <v>0</v>
      </c>
    </row>
    <row r="253" customFormat="false" ht="15" hidden="false" customHeight="false" outlineLevel="0" collapsed="false">
      <c r="A253" s="8" t="str">
        <f aca="false">IF(B253="","","B-"&amp;TEXT(ROW()-4,"0000"))</f>
        <v/>
      </c>
      <c r="B253" s="38"/>
      <c r="C253" s="38"/>
      <c r="D253" s="6"/>
      <c r="E253" s="6"/>
      <c r="F253" s="6"/>
      <c r="G253" s="11"/>
      <c r="H253" s="18" t="str">
        <f aca="false">IF(AND(ISNUMBER(B253),ISNUMBER(C253)),MAX(0,C253-B253),"")</f>
        <v/>
      </c>
      <c r="I253" s="37"/>
      <c r="J253" s="41" t="str">
        <f aca="false">IF(OR(D253="",N(H253)=0),"",IFERROR(IF(I253&lt;&gt;"",H253*I253,ROUND(((H253-(INT((WEEKDAY(B253-6)+H253-1)/7)+INT((WEEKDAY(B253-7)+H253-1)/7)))*INDEX(Properties!$E$5:$E$24,MATCH(D253,Properties!$A$5:$A$24,0))+(INT((WEEKDAY(B253-6)+H253-1)/7)+INT((WEEKDAY(B253-7)+H253-1)/7))*INDEX(Properties!$F$5:$F$24,MATCH(D253,Properties!$A$5:$A$24,0)))*(1-IF(H253&gt;=28,Settings!$B$10,IF(H253&gt;=7,Settings!$B$9,0))),2)),0))</f>
        <v/>
      </c>
      <c r="K253" s="41" t="str">
        <f aca="false">IF(J253="","",IFERROR(N(INDEX(Properties!$G$5:$G$24,MATCH(D253,Properties!$A$5:$A$24,0))),0))</f>
        <v/>
      </c>
      <c r="L253" s="41" t="str">
        <f aca="false">IF(J253="","",IFERROR(MAX(0,N(G253)-INDEX(Properties!$I$5:$I$24,MATCH(D253,Properties!$A$5:$A$24,0)))*N(INDEX(Properties!$J$5:$J$24,MATCH(D253,Properties!$A$5:$A$24,0)))*H253,0))</f>
        <v/>
      </c>
      <c r="M253" s="37"/>
      <c r="N253" s="41" t="str">
        <f aca="false">IF(J253="","",J253+K253+L253+N(M253))</f>
        <v/>
      </c>
      <c r="O253" s="41" t="str">
        <f aca="false">IF(N253="","",IF(P253&lt;&gt;"",N253-P253,ROUND(N253*IFERROR(INDEX(Settings!$E$5:$E$12,MATCH(F253,Settings!$D$5:$D$12,0)),0),2)))</f>
        <v/>
      </c>
      <c r="P253" s="37"/>
      <c r="Q253" s="41" t="str">
        <f aca="false">IF(N253="","",IF(P253&lt;&gt;"",P253,N253-O253))</f>
        <v/>
      </c>
      <c r="R253" s="41" t="str">
        <f aca="false">IF(J253="","",IFERROR(N(INDEX(Properties!$H$5:$H$24,MATCH(D253,Properties!$A$5:$A$24,0))),0))</f>
        <v/>
      </c>
      <c r="S253" s="41" t="str">
        <f aca="false">IF(Q253="","",Q253-R253)</f>
        <v/>
      </c>
      <c r="T253" s="6"/>
      <c r="U253" s="6"/>
      <c r="V253" s="6"/>
      <c r="W253" s="6"/>
      <c r="X253" s="6"/>
      <c r="Y253" s="8" t="str">
        <f aca="false">IF(OR(D253="",B253="",C253=""),"",IF(N(C253)&lt;=N(B253),"Check dates",IF(T253="Cancelled","",IF(COUNTIFS($D$5:$D$1004,D253,$B$5:$B$1004,"&lt;"&amp;C253,$C$5:$C$1004,"&gt;"&amp;B253,$T$5:$T$1004,"&lt;&gt;Cancelled")&gt;1,"Double-booked",""))))</f>
        <v/>
      </c>
      <c r="Z253" s="42" t="str">
        <f aca="false">IF(AND(AA253=1,ISNUMBER(C253)),C253+ROW()/100000,"")</f>
        <v/>
      </c>
      <c r="AA253" s="43" t="n">
        <f aca="false">IF(AND(D253&lt;&gt;"",ISNUMBER(B253),ISNUMBER(C253),N(H253)&gt;0,T253&lt;&gt;"Cancelled",J253&lt;&gt;""),1,0)</f>
        <v>0</v>
      </c>
      <c r="AB253" s="44" t="n">
        <f aca="false">IF(AA253=1,J253/H253,0)</f>
        <v>0</v>
      </c>
      <c r="AC253" s="44" t="n">
        <f aca="false">IF(AA253=1,Q253/H253,0)</f>
        <v>0</v>
      </c>
      <c r="AD253" s="44" t="n">
        <f aca="false">IF(AA253=1,R253/H253,0)</f>
        <v>0</v>
      </c>
      <c r="AE253" s="44" t="n">
        <f aca="false">IF(AA253=1,O253/H253,0)</f>
        <v>0</v>
      </c>
      <c r="AF253" s="44" t="n">
        <f aca="false">IF(AA253=1,K253/H253,0)</f>
        <v>0</v>
      </c>
      <c r="AG253" s="45" t="str">
        <f aca="false">IF(AA253=1,D253&amp;"|"&amp;TEXT(B253,"0"),"")</f>
        <v/>
      </c>
      <c r="AH253" s="43" t="n">
        <f aca="false">IF(AA253=1,H253,0)</f>
        <v>0</v>
      </c>
    </row>
    <row r="254" customFormat="false" ht="15" hidden="false" customHeight="false" outlineLevel="0" collapsed="false">
      <c r="A254" s="23" t="str">
        <f aca="false">IF(B254="","","B-"&amp;TEXT(ROW()-4,"0000"))</f>
        <v/>
      </c>
      <c r="B254" s="38"/>
      <c r="C254" s="38"/>
      <c r="D254" s="6"/>
      <c r="E254" s="6"/>
      <c r="F254" s="6"/>
      <c r="G254" s="11"/>
      <c r="H254" s="24" t="str">
        <f aca="false">IF(AND(ISNUMBER(B254),ISNUMBER(C254)),MAX(0,C254-B254),"")</f>
        <v/>
      </c>
      <c r="I254" s="37"/>
      <c r="J254" s="46" t="str">
        <f aca="false">IF(OR(D254="",N(H254)=0),"",IFERROR(IF(I254&lt;&gt;"",H254*I254,ROUND(((H254-(INT((WEEKDAY(B254-6)+H254-1)/7)+INT((WEEKDAY(B254-7)+H254-1)/7)))*INDEX(Properties!$E$5:$E$24,MATCH(D254,Properties!$A$5:$A$24,0))+(INT((WEEKDAY(B254-6)+H254-1)/7)+INT((WEEKDAY(B254-7)+H254-1)/7))*INDEX(Properties!$F$5:$F$24,MATCH(D254,Properties!$A$5:$A$24,0)))*(1-IF(H254&gt;=28,Settings!$B$10,IF(H254&gt;=7,Settings!$B$9,0))),2)),0))</f>
        <v/>
      </c>
      <c r="K254" s="46" t="str">
        <f aca="false">IF(J254="","",IFERROR(N(INDEX(Properties!$G$5:$G$24,MATCH(D254,Properties!$A$5:$A$24,0))),0))</f>
        <v/>
      </c>
      <c r="L254" s="46" t="str">
        <f aca="false">IF(J254="","",IFERROR(MAX(0,N(G254)-INDEX(Properties!$I$5:$I$24,MATCH(D254,Properties!$A$5:$A$24,0)))*N(INDEX(Properties!$J$5:$J$24,MATCH(D254,Properties!$A$5:$A$24,0)))*H254,0))</f>
        <v/>
      </c>
      <c r="M254" s="37"/>
      <c r="N254" s="46" t="str">
        <f aca="false">IF(J254="","",J254+K254+L254+N(M254))</f>
        <v/>
      </c>
      <c r="O254" s="46" t="str">
        <f aca="false">IF(N254="","",IF(P254&lt;&gt;"",N254-P254,ROUND(N254*IFERROR(INDEX(Settings!$E$5:$E$12,MATCH(F254,Settings!$D$5:$D$12,0)),0),2)))</f>
        <v/>
      </c>
      <c r="P254" s="37"/>
      <c r="Q254" s="46" t="str">
        <f aca="false">IF(N254="","",IF(P254&lt;&gt;"",P254,N254-O254))</f>
        <v/>
      </c>
      <c r="R254" s="46" t="str">
        <f aca="false">IF(J254="","",IFERROR(N(INDEX(Properties!$H$5:$H$24,MATCH(D254,Properties!$A$5:$A$24,0))),0))</f>
        <v/>
      </c>
      <c r="S254" s="46" t="str">
        <f aca="false">IF(Q254="","",Q254-R254)</f>
        <v/>
      </c>
      <c r="T254" s="6"/>
      <c r="U254" s="6"/>
      <c r="V254" s="6"/>
      <c r="W254" s="6"/>
      <c r="X254" s="6"/>
      <c r="Y254" s="8" t="str">
        <f aca="false">IF(OR(D254="",B254="",C254=""),"",IF(N(C254)&lt;=N(B254),"Check dates",IF(T254="Cancelled","",IF(COUNTIFS($D$5:$D$1004,D254,$B$5:$B$1004,"&lt;"&amp;C254,$C$5:$C$1004,"&gt;"&amp;B254,$T$5:$T$1004,"&lt;&gt;Cancelled")&gt;1,"Double-booked",""))))</f>
        <v/>
      </c>
      <c r="Z254" s="42" t="str">
        <f aca="false">IF(AND(AA254=1,ISNUMBER(C254)),C254+ROW()/100000,"")</f>
        <v/>
      </c>
      <c r="AA254" s="43" t="n">
        <f aca="false">IF(AND(D254&lt;&gt;"",ISNUMBER(B254),ISNUMBER(C254),N(H254)&gt;0,T254&lt;&gt;"Cancelled",J254&lt;&gt;""),1,0)</f>
        <v>0</v>
      </c>
      <c r="AB254" s="44" t="n">
        <f aca="false">IF(AA254=1,J254/H254,0)</f>
        <v>0</v>
      </c>
      <c r="AC254" s="44" t="n">
        <f aca="false">IF(AA254=1,Q254/H254,0)</f>
        <v>0</v>
      </c>
      <c r="AD254" s="44" t="n">
        <f aca="false">IF(AA254=1,R254/H254,0)</f>
        <v>0</v>
      </c>
      <c r="AE254" s="44" t="n">
        <f aca="false">IF(AA254=1,O254/H254,0)</f>
        <v>0</v>
      </c>
      <c r="AF254" s="44" t="n">
        <f aca="false">IF(AA254=1,K254/H254,0)</f>
        <v>0</v>
      </c>
      <c r="AG254" s="45" t="str">
        <f aca="false">IF(AA254=1,D254&amp;"|"&amp;TEXT(B254,"0"),"")</f>
        <v/>
      </c>
      <c r="AH254" s="43" t="n">
        <f aca="false">IF(AA254=1,H254,0)</f>
        <v>0</v>
      </c>
    </row>
    <row r="255" customFormat="false" ht="15" hidden="false" customHeight="false" outlineLevel="0" collapsed="false">
      <c r="A255" s="8" t="str">
        <f aca="false">IF(B255="","","B-"&amp;TEXT(ROW()-4,"0000"))</f>
        <v/>
      </c>
      <c r="B255" s="38"/>
      <c r="C255" s="38"/>
      <c r="D255" s="6"/>
      <c r="E255" s="6"/>
      <c r="F255" s="6"/>
      <c r="G255" s="11"/>
      <c r="H255" s="18" t="str">
        <f aca="false">IF(AND(ISNUMBER(B255),ISNUMBER(C255)),MAX(0,C255-B255),"")</f>
        <v/>
      </c>
      <c r="I255" s="37"/>
      <c r="J255" s="41" t="str">
        <f aca="false">IF(OR(D255="",N(H255)=0),"",IFERROR(IF(I255&lt;&gt;"",H255*I255,ROUND(((H255-(INT((WEEKDAY(B255-6)+H255-1)/7)+INT((WEEKDAY(B255-7)+H255-1)/7)))*INDEX(Properties!$E$5:$E$24,MATCH(D255,Properties!$A$5:$A$24,0))+(INT((WEEKDAY(B255-6)+H255-1)/7)+INT((WEEKDAY(B255-7)+H255-1)/7))*INDEX(Properties!$F$5:$F$24,MATCH(D255,Properties!$A$5:$A$24,0)))*(1-IF(H255&gt;=28,Settings!$B$10,IF(H255&gt;=7,Settings!$B$9,0))),2)),0))</f>
        <v/>
      </c>
      <c r="K255" s="41" t="str">
        <f aca="false">IF(J255="","",IFERROR(N(INDEX(Properties!$G$5:$G$24,MATCH(D255,Properties!$A$5:$A$24,0))),0))</f>
        <v/>
      </c>
      <c r="L255" s="41" t="str">
        <f aca="false">IF(J255="","",IFERROR(MAX(0,N(G255)-INDEX(Properties!$I$5:$I$24,MATCH(D255,Properties!$A$5:$A$24,0)))*N(INDEX(Properties!$J$5:$J$24,MATCH(D255,Properties!$A$5:$A$24,0)))*H255,0))</f>
        <v/>
      </c>
      <c r="M255" s="37"/>
      <c r="N255" s="41" t="str">
        <f aca="false">IF(J255="","",J255+K255+L255+N(M255))</f>
        <v/>
      </c>
      <c r="O255" s="41" t="str">
        <f aca="false">IF(N255="","",IF(P255&lt;&gt;"",N255-P255,ROUND(N255*IFERROR(INDEX(Settings!$E$5:$E$12,MATCH(F255,Settings!$D$5:$D$12,0)),0),2)))</f>
        <v/>
      </c>
      <c r="P255" s="37"/>
      <c r="Q255" s="41" t="str">
        <f aca="false">IF(N255="","",IF(P255&lt;&gt;"",P255,N255-O255))</f>
        <v/>
      </c>
      <c r="R255" s="41" t="str">
        <f aca="false">IF(J255="","",IFERROR(N(INDEX(Properties!$H$5:$H$24,MATCH(D255,Properties!$A$5:$A$24,0))),0))</f>
        <v/>
      </c>
      <c r="S255" s="41" t="str">
        <f aca="false">IF(Q255="","",Q255-R255)</f>
        <v/>
      </c>
      <c r="T255" s="6"/>
      <c r="U255" s="6"/>
      <c r="V255" s="6"/>
      <c r="W255" s="6"/>
      <c r="X255" s="6"/>
      <c r="Y255" s="8" t="str">
        <f aca="false">IF(OR(D255="",B255="",C255=""),"",IF(N(C255)&lt;=N(B255),"Check dates",IF(T255="Cancelled","",IF(COUNTIFS($D$5:$D$1004,D255,$B$5:$B$1004,"&lt;"&amp;C255,$C$5:$C$1004,"&gt;"&amp;B255,$T$5:$T$1004,"&lt;&gt;Cancelled")&gt;1,"Double-booked",""))))</f>
        <v/>
      </c>
      <c r="Z255" s="42" t="str">
        <f aca="false">IF(AND(AA255=1,ISNUMBER(C255)),C255+ROW()/100000,"")</f>
        <v/>
      </c>
      <c r="AA255" s="43" t="n">
        <f aca="false">IF(AND(D255&lt;&gt;"",ISNUMBER(B255),ISNUMBER(C255),N(H255)&gt;0,T255&lt;&gt;"Cancelled",J255&lt;&gt;""),1,0)</f>
        <v>0</v>
      </c>
      <c r="AB255" s="44" t="n">
        <f aca="false">IF(AA255=1,J255/H255,0)</f>
        <v>0</v>
      </c>
      <c r="AC255" s="44" t="n">
        <f aca="false">IF(AA255=1,Q255/H255,0)</f>
        <v>0</v>
      </c>
      <c r="AD255" s="44" t="n">
        <f aca="false">IF(AA255=1,R255/H255,0)</f>
        <v>0</v>
      </c>
      <c r="AE255" s="44" t="n">
        <f aca="false">IF(AA255=1,O255/H255,0)</f>
        <v>0</v>
      </c>
      <c r="AF255" s="44" t="n">
        <f aca="false">IF(AA255=1,K255/H255,0)</f>
        <v>0</v>
      </c>
      <c r="AG255" s="45" t="str">
        <f aca="false">IF(AA255=1,D255&amp;"|"&amp;TEXT(B255,"0"),"")</f>
        <v/>
      </c>
      <c r="AH255" s="43" t="n">
        <f aca="false">IF(AA255=1,H255,0)</f>
        <v>0</v>
      </c>
    </row>
    <row r="256" customFormat="false" ht="15" hidden="false" customHeight="false" outlineLevel="0" collapsed="false">
      <c r="A256" s="23" t="str">
        <f aca="false">IF(B256="","","B-"&amp;TEXT(ROW()-4,"0000"))</f>
        <v/>
      </c>
      <c r="B256" s="38"/>
      <c r="C256" s="38"/>
      <c r="D256" s="6"/>
      <c r="E256" s="6"/>
      <c r="F256" s="6"/>
      <c r="G256" s="11"/>
      <c r="H256" s="24" t="str">
        <f aca="false">IF(AND(ISNUMBER(B256),ISNUMBER(C256)),MAX(0,C256-B256),"")</f>
        <v/>
      </c>
      <c r="I256" s="37"/>
      <c r="J256" s="46" t="str">
        <f aca="false">IF(OR(D256="",N(H256)=0),"",IFERROR(IF(I256&lt;&gt;"",H256*I256,ROUND(((H256-(INT((WEEKDAY(B256-6)+H256-1)/7)+INT((WEEKDAY(B256-7)+H256-1)/7)))*INDEX(Properties!$E$5:$E$24,MATCH(D256,Properties!$A$5:$A$24,0))+(INT((WEEKDAY(B256-6)+H256-1)/7)+INT((WEEKDAY(B256-7)+H256-1)/7))*INDEX(Properties!$F$5:$F$24,MATCH(D256,Properties!$A$5:$A$24,0)))*(1-IF(H256&gt;=28,Settings!$B$10,IF(H256&gt;=7,Settings!$B$9,0))),2)),0))</f>
        <v/>
      </c>
      <c r="K256" s="46" t="str">
        <f aca="false">IF(J256="","",IFERROR(N(INDEX(Properties!$G$5:$G$24,MATCH(D256,Properties!$A$5:$A$24,0))),0))</f>
        <v/>
      </c>
      <c r="L256" s="46" t="str">
        <f aca="false">IF(J256="","",IFERROR(MAX(0,N(G256)-INDEX(Properties!$I$5:$I$24,MATCH(D256,Properties!$A$5:$A$24,0)))*N(INDEX(Properties!$J$5:$J$24,MATCH(D256,Properties!$A$5:$A$24,0)))*H256,0))</f>
        <v/>
      </c>
      <c r="M256" s="37"/>
      <c r="N256" s="46" t="str">
        <f aca="false">IF(J256="","",J256+K256+L256+N(M256))</f>
        <v/>
      </c>
      <c r="O256" s="46" t="str">
        <f aca="false">IF(N256="","",IF(P256&lt;&gt;"",N256-P256,ROUND(N256*IFERROR(INDEX(Settings!$E$5:$E$12,MATCH(F256,Settings!$D$5:$D$12,0)),0),2)))</f>
        <v/>
      </c>
      <c r="P256" s="37"/>
      <c r="Q256" s="46" t="str">
        <f aca="false">IF(N256="","",IF(P256&lt;&gt;"",P256,N256-O256))</f>
        <v/>
      </c>
      <c r="R256" s="46" t="str">
        <f aca="false">IF(J256="","",IFERROR(N(INDEX(Properties!$H$5:$H$24,MATCH(D256,Properties!$A$5:$A$24,0))),0))</f>
        <v/>
      </c>
      <c r="S256" s="46" t="str">
        <f aca="false">IF(Q256="","",Q256-R256)</f>
        <v/>
      </c>
      <c r="T256" s="6"/>
      <c r="U256" s="6"/>
      <c r="V256" s="6"/>
      <c r="W256" s="6"/>
      <c r="X256" s="6"/>
      <c r="Y256" s="8" t="str">
        <f aca="false">IF(OR(D256="",B256="",C256=""),"",IF(N(C256)&lt;=N(B256),"Check dates",IF(T256="Cancelled","",IF(COUNTIFS($D$5:$D$1004,D256,$B$5:$B$1004,"&lt;"&amp;C256,$C$5:$C$1004,"&gt;"&amp;B256,$T$5:$T$1004,"&lt;&gt;Cancelled")&gt;1,"Double-booked",""))))</f>
        <v/>
      </c>
      <c r="Z256" s="42" t="str">
        <f aca="false">IF(AND(AA256=1,ISNUMBER(C256)),C256+ROW()/100000,"")</f>
        <v/>
      </c>
      <c r="AA256" s="43" t="n">
        <f aca="false">IF(AND(D256&lt;&gt;"",ISNUMBER(B256),ISNUMBER(C256),N(H256)&gt;0,T256&lt;&gt;"Cancelled",J256&lt;&gt;""),1,0)</f>
        <v>0</v>
      </c>
      <c r="AB256" s="44" t="n">
        <f aca="false">IF(AA256=1,J256/H256,0)</f>
        <v>0</v>
      </c>
      <c r="AC256" s="44" t="n">
        <f aca="false">IF(AA256=1,Q256/H256,0)</f>
        <v>0</v>
      </c>
      <c r="AD256" s="44" t="n">
        <f aca="false">IF(AA256=1,R256/H256,0)</f>
        <v>0</v>
      </c>
      <c r="AE256" s="44" t="n">
        <f aca="false">IF(AA256=1,O256/H256,0)</f>
        <v>0</v>
      </c>
      <c r="AF256" s="44" t="n">
        <f aca="false">IF(AA256=1,K256/H256,0)</f>
        <v>0</v>
      </c>
      <c r="AG256" s="45" t="str">
        <f aca="false">IF(AA256=1,D256&amp;"|"&amp;TEXT(B256,"0"),"")</f>
        <v/>
      </c>
      <c r="AH256" s="43" t="n">
        <f aca="false">IF(AA256=1,H256,0)</f>
        <v>0</v>
      </c>
    </row>
    <row r="257" customFormat="false" ht="15" hidden="false" customHeight="false" outlineLevel="0" collapsed="false">
      <c r="A257" s="8" t="str">
        <f aca="false">IF(B257="","","B-"&amp;TEXT(ROW()-4,"0000"))</f>
        <v/>
      </c>
      <c r="B257" s="38"/>
      <c r="C257" s="38"/>
      <c r="D257" s="6"/>
      <c r="E257" s="6"/>
      <c r="F257" s="6"/>
      <c r="G257" s="11"/>
      <c r="H257" s="18" t="str">
        <f aca="false">IF(AND(ISNUMBER(B257),ISNUMBER(C257)),MAX(0,C257-B257),"")</f>
        <v/>
      </c>
      <c r="I257" s="37"/>
      <c r="J257" s="41" t="str">
        <f aca="false">IF(OR(D257="",N(H257)=0),"",IFERROR(IF(I257&lt;&gt;"",H257*I257,ROUND(((H257-(INT((WEEKDAY(B257-6)+H257-1)/7)+INT((WEEKDAY(B257-7)+H257-1)/7)))*INDEX(Properties!$E$5:$E$24,MATCH(D257,Properties!$A$5:$A$24,0))+(INT((WEEKDAY(B257-6)+H257-1)/7)+INT((WEEKDAY(B257-7)+H257-1)/7))*INDEX(Properties!$F$5:$F$24,MATCH(D257,Properties!$A$5:$A$24,0)))*(1-IF(H257&gt;=28,Settings!$B$10,IF(H257&gt;=7,Settings!$B$9,0))),2)),0))</f>
        <v/>
      </c>
      <c r="K257" s="41" t="str">
        <f aca="false">IF(J257="","",IFERROR(N(INDEX(Properties!$G$5:$G$24,MATCH(D257,Properties!$A$5:$A$24,0))),0))</f>
        <v/>
      </c>
      <c r="L257" s="41" t="str">
        <f aca="false">IF(J257="","",IFERROR(MAX(0,N(G257)-INDEX(Properties!$I$5:$I$24,MATCH(D257,Properties!$A$5:$A$24,0)))*N(INDEX(Properties!$J$5:$J$24,MATCH(D257,Properties!$A$5:$A$24,0)))*H257,0))</f>
        <v/>
      </c>
      <c r="M257" s="37"/>
      <c r="N257" s="41" t="str">
        <f aca="false">IF(J257="","",J257+K257+L257+N(M257))</f>
        <v/>
      </c>
      <c r="O257" s="41" t="str">
        <f aca="false">IF(N257="","",IF(P257&lt;&gt;"",N257-P257,ROUND(N257*IFERROR(INDEX(Settings!$E$5:$E$12,MATCH(F257,Settings!$D$5:$D$12,0)),0),2)))</f>
        <v/>
      </c>
      <c r="P257" s="37"/>
      <c r="Q257" s="41" t="str">
        <f aca="false">IF(N257="","",IF(P257&lt;&gt;"",P257,N257-O257))</f>
        <v/>
      </c>
      <c r="R257" s="41" t="str">
        <f aca="false">IF(J257="","",IFERROR(N(INDEX(Properties!$H$5:$H$24,MATCH(D257,Properties!$A$5:$A$24,0))),0))</f>
        <v/>
      </c>
      <c r="S257" s="41" t="str">
        <f aca="false">IF(Q257="","",Q257-R257)</f>
        <v/>
      </c>
      <c r="T257" s="6"/>
      <c r="U257" s="6"/>
      <c r="V257" s="6"/>
      <c r="W257" s="6"/>
      <c r="X257" s="6"/>
      <c r="Y257" s="8" t="str">
        <f aca="false">IF(OR(D257="",B257="",C257=""),"",IF(N(C257)&lt;=N(B257),"Check dates",IF(T257="Cancelled","",IF(COUNTIFS($D$5:$D$1004,D257,$B$5:$B$1004,"&lt;"&amp;C257,$C$5:$C$1004,"&gt;"&amp;B257,$T$5:$T$1004,"&lt;&gt;Cancelled")&gt;1,"Double-booked",""))))</f>
        <v/>
      </c>
      <c r="Z257" s="42" t="str">
        <f aca="false">IF(AND(AA257=1,ISNUMBER(C257)),C257+ROW()/100000,"")</f>
        <v/>
      </c>
      <c r="AA257" s="43" t="n">
        <f aca="false">IF(AND(D257&lt;&gt;"",ISNUMBER(B257),ISNUMBER(C257),N(H257)&gt;0,T257&lt;&gt;"Cancelled",J257&lt;&gt;""),1,0)</f>
        <v>0</v>
      </c>
      <c r="AB257" s="44" t="n">
        <f aca="false">IF(AA257=1,J257/H257,0)</f>
        <v>0</v>
      </c>
      <c r="AC257" s="44" t="n">
        <f aca="false">IF(AA257=1,Q257/H257,0)</f>
        <v>0</v>
      </c>
      <c r="AD257" s="44" t="n">
        <f aca="false">IF(AA257=1,R257/H257,0)</f>
        <v>0</v>
      </c>
      <c r="AE257" s="44" t="n">
        <f aca="false">IF(AA257=1,O257/H257,0)</f>
        <v>0</v>
      </c>
      <c r="AF257" s="44" t="n">
        <f aca="false">IF(AA257=1,K257/H257,0)</f>
        <v>0</v>
      </c>
      <c r="AG257" s="45" t="str">
        <f aca="false">IF(AA257=1,D257&amp;"|"&amp;TEXT(B257,"0"),"")</f>
        <v/>
      </c>
      <c r="AH257" s="43" t="n">
        <f aca="false">IF(AA257=1,H257,0)</f>
        <v>0</v>
      </c>
    </row>
    <row r="258" customFormat="false" ht="15" hidden="false" customHeight="false" outlineLevel="0" collapsed="false">
      <c r="A258" s="23" t="str">
        <f aca="false">IF(B258="","","B-"&amp;TEXT(ROW()-4,"0000"))</f>
        <v/>
      </c>
      <c r="B258" s="38"/>
      <c r="C258" s="38"/>
      <c r="D258" s="6"/>
      <c r="E258" s="6"/>
      <c r="F258" s="6"/>
      <c r="G258" s="11"/>
      <c r="H258" s="24" t="str">
        <f aca="false">IF(AND(ISNUMBER(B258),ISNUMBER(C258)),MAX(0,C258-B258),"")</f>
        <v/>
      </c>
      <c r="I258" s="37"/>
      <c r="J258" s="46" t="str">
        <f aca="false">IF(OR(D258="",N(H258)=0),"",IFERROR(IF(I258&lt;&gt;"",H258*I258,ROUND(((H258-(INT((WEEKDAY(B258-6)+H258-1)/7)+INT((WEEKDAY(B258-7)+H258-1)/7)))*INDEX(Properties!$E$5:$E$24,MATCH(D258,Properties!$A$5:$A$24,0))+(INT((WEEKDAY(B258-6)+H258-1)/7)+INT((WEEKDAY(B258-7)+H258-1)/7))*INDEX(Properties!$F$5:$F$24,MATCH(D258,Properties!$A$5:$A$24,0)))*(1-IF(H258&gt;=28,Settings!$B$10,IF(H258&gt;=7,Settings!$B$9,0))),2)),0))</f>
        <v/>
      </c>
      <c r="K258" s="46" t="str">
        <f aca="false">IF(J258="","",IFERROR(N(INDEX(Properties!$G$5:$G$24,MATCH(D258,Properties!$A$5:$A$24,0))),0))</f>
        <v/>
      </c>
      <c r="L258" s="46" t="str">
        <f aca="false">IF(J258="","",IFERROR(MAX(0,N(G258)-INDEX(Properties!$I$5:$I$24,MATCH(D258,Properties!$A$5:$A$24,0)))*N(INDEX(Properties!$J$5:$J$24,MATCH(D258,Properties!$A$5:$A$24,0)))*H258,0))</f>
        <v/>
      </c>
      <c r="M258" s="37"/>
      <c r="N258" s="46" t="str">
        <f aca="false">IF(J258="","",J258+K258+L258+N(M258))</f>
        <v/>
      </c>
      <c r="O258" s="46" t="str">
        <f aca="false">IF(N258="","",IF(P258&lt;&gt;"",N258-P258,ROUND(N258*IFERROR(INDEX(Settings!$E$5:$E$12,MATCH(F258,Settings!$D$5:$D$12,0)),0),2)))</f>
        <v/>
      </c>
      <c r="P258" s="37"/>
      <c r="Q258" s="46" t="str">
        <f aca="false">IF(N258="","",IF(P258&lt;&gt;"",P258,N258-O258))</f>
        <v/>
      </c>
      <c r="R258" s="46" t="str">
        <f aca="false">IF(J258="","",IFERROR(N(INDEX(Properties!$H$5:$H$24,MATCH(D258,Properties!$A$5:$A$24,0))),0))</f>
        <v/>
      </c>
      <c r="S258" s="46" t="str">
        <f aca="false">IF(Q258="","",Q258-R258)</f>
        <v/>
      </c>
      <c r="T258" s="6"/>
      <c r="U258" s="6"/>
      <c r="V258" s="6"/>
      <c r="W258" s="6"/>
      <c r="X258" s="6"/>
      <c r="Y258" s="8" t="str">
        <f aca="false">IF(OR(D258="",B258="",C258=""),"",IF(N(C258)&lt;=N(B258),"Check dates",IF(T258="Cancelled","",IF(COUNTIFS($D$5:$D$1004,D258,$B$5:$B$1004,"&lt;"&amp;C258,$C$5:$C$1004,"&gt;"&amp;B258,$T$5:$T$1004,"&lt;&gt;Cancelled")&gt;1,"Double-booked",""))))</f>
        <v/>
      </c>
      <c r="Z258" s="42" t="str">
        <f aca="false">IF(AND(AA258=1,ISNUMBER(C258)),C258+ROW()/100000,"")</f>
        <v/>
      </c>
      <c r="AA258" s="43" t="n">
        <f aca="false">IF(AND(D258&lt;&gt;"",ISNUMBER(B258),ISNUMBER(C258),N(H258)&gt;0,T258&lt;&gt;"Cancelled",J258&lt;&gt;""),1,0)</f>
        <v>0</v>
      </c>
      <c r="AB258" s="44" t="n">
        <f aca="false">IF(AA258=1,J258/H258,0)</f>
        <v>0</v>
      </c>
      <c r="AC258" s="44" t="n">
        <f aca="false">IF(AA258=1,Q258/H258,0)</f>
        <v>0</v>
      </c>
      <c r="AD258" s="44" t="n">
        <f aca="false">IF(AA258=1,R258/H258,0)</f>
        <v>0</v>
      </c>
      <c r="AE258" s="44" t="n">
        <f aca="false">IF(AA258=1,O258/H258,0)</f>
        <v>0</v>
      </c>
      <c r="AF258" s="44" t="n">
        <f aca="false">IF(AA258=1,K258/H258,0)</f>
        <v>0</v>
      </c>
      <c r="AG258" s="45" t="str">
        <f aca="false">IF(AA258=1,D258&amp;"|"&amp;TEXT(B258,"0"),"")</f>
        <v/>
      </c>
      <c r="AH258" s="43" t="n">
        <f aca="false">IF(AA258=1,H258,0)</f>
        <v>0</v>
      </c>
    </row>
    <row r="259" customFormat="false" ht="15" hidden="false" customHeight="false" outlineLevel="0" collapsed="false">
      <c r="A259" s="8" t="str">
        <f aca="false">IF(B259="","","B-"&amp;TEXT(ROW()-4,"0000"))</f>
        <v/>
      </c>
      <c r="B259" s="38"/>
      <c r="C259" s="38"/>
      <c r="D259" s="6"/>
      <c r="E259" s="6"/>
      <c r="F259" s="6"/>
      <c r="G259" s="11"/>
      <c r="H259" s="18" t="str">
        <f aca="false">IF(AND(ISNUMBER(B259),ISNUMBER(C259)),MAX(0,C259-B259),"")</f>
        <v/>
      </c>
      <c r="I259" s="37"/>
      <c r="J259" s="41" t="str">
        <f aca="false">IF(OR(D259="",N(H259)=0),"",IFERROR(IF(I259&lt;&gt;"",H259*I259,ROUND(((H259-(INT((WEEKDAY(B259-6)+H259-1)/7)+INT((WEEKDAY(B259-7)+H259-1)/7)))*INDEX(Properties!$E$5:$E$24,MATCH(D259,Properties!$A$5:$A$24,0))+(INT((WEEKDAY(B259-6)+H259-1)/7)+INT((WEEKDAY(B259-7)+H259-1)/7))*INDEX(Properties!$F$5:$F$24,MATCH(D259,Properties!$A$5:$A$24,0)))*(1-IF(H259&gt;=28,Settings!$B$10,IF(H259&gt;=7,Settings!$B$9,0))),2)),0))</f>
        <v/>
      </c>
      <c r="K259" s="41" t="str">
        <f aca="false">IF(J259="","",IFERROR(N(INDEX(Properties!$G$5:$G$24,MATCH(D259,Properties!$A$5:$A$24,0))),0))</f>
        <v/>
      </c>
      <c r="L259" s="41" t="str">
        <f aca="false">IF(J259="","",IFERROR(MAX(0,N(G259)-INDEX(Properties!$I$5:$I$24,MATCH(D259,Properties!$A$5:$A$24,0)))*N(INDEX(Properties!$J$5:$J$24,MATCH(D259,Properties!$A$5:$A$24,0)))*H259,0))</f>
        <v/>
      </c>
      <c r="M259" s="37"/>
      <c r="N259" s="41" t="str">
        <f aca="false">IF(J259="","",J259+K259+L259+N(M259))</f>
        <v/>
      </c>
      <c r="O259" s="41" t="str">
        <f aca="false">IF(N259="","",IF(P259&lt;&gt;"",N259-P259,ROUND(N259*IFERROR(INDEX(Settings!$E$5:$E$12,MATCH(F259,Settings!$D$5:$D$12,0)),0),2)))</f>
        <v/>
      </c>
      <c r="P259" s="37"/>
      <c r="Q259" s="41" t="str">
        <f aca="false">IF(N259="","",IF(P259&lt;&gt;"",P259,N259-O259))</f>
        <v/>
      </c>
      <c r="R259" s="41" t="str">
        <f aca="false">IF(J259="","",IFERROR(N(INDEX(Properties!$H$5:$H$24,MATCH(D259,Properties!$A$5:$A$24,0))),0))</f>
        <v/>
      </c>
      <c r="S259" s="41" t="str">
        <f aca="false">IF(Q259="","",Q259-R259)</f>
        <v/>
      </c>
      <c r="T259" s="6"/>
      <c r="U259" s="6"/>
      <c r="V259" s="6"/>
      <c r="W259" s="6"/>
      <c r="X259" s="6"/>
      <c r="Y259" s="8" t="str">
        <f aca="false">IF(OR(D259="",B259="",C259=""),"",IF(N(C259)&lt;=N(B259),"Check dates",IF(T259="Cancelled","",IF(COUNTIFS($D$5:$D$1004,D259,$B$5:$B$1004,"&lt;"&amp;C259,$C$5:$C$1004,"&gt;"&amp;B259,$T$5:$T$1004,"&lt;&gt;Cancelled")&gt;1,"Double-booked",""))))</f>
        <v/>
      </c>
      <c r="Z259" s="42" t="str">
        <f aca="false">IF(AND(AA259=1,ISNUMBER(C259)),C259+ROW()/100000,"")</f>
        <v/>
      </c>
      <c r="AA259" s="43" t="n">
        <f aca="false">IF(AND(D259&lt;&gt;"",ISNUMBER(B259),ISNUMBER(C259),N(H259)&gt;0,T259&lt;&gt;"Cancelled",J259&lt;&gt;""),1,0)</f>
        <v>0</v>
      </c>
      <c r="AB259" s="44" t="n">
        <f aca="false">IF(AA259=1,J259/H259,0)</f>
        <v>0</v>
      </c>
      <c r="AC259" s="44" t="n">
        <f aca="false">IF(AA259=1,Q259/H259,0)</f>
        <v>0</v>
      </c>
      <c r="AD259" s="44" t="n">
        <f aca="false">IF(AA259=1,R259/H259,0)</f>
        <v>0</v>
      </c>
      <c r="AE259" s="44" t="n">
        <f aca="false">IF(AA259=1,O259/H259,0)</f>
        <v>0</v>
      </c>
      <c r="AF259" s="44" t="n">
        <f aca="false">IF(AA259=1,K259/H259,0)</f>
        <v>0</v>
      </c>
      <c r="AG259" s="45" t="str">
        <f aca="false">IF(AA259=1,D259&amp;"|"&amp;TEXT(B259,"0"),"")</f>
        <v/>
      </c>
      <c r="AH259" s="43" t="n">
        <f aca="false">IF(AA259=1,H259,0)</f>
        <v>0</v>
      </c>
    </row>
    <row r="260" customFormat="false" ht="15" hidden="false" customHeight="false" outlineLevel="0" collapsed="false">
      <c r="A260" s="23" t="str">
        <f aca="false">IF(B260="","","B-"&amp;TEXT(ROW()-4,"0000"))</f>
        <v/>
      </c>
      <c r="B260" s="38"/>
      <c r="C260" s="38"/>
      <c r="D260" s="6"/>
      <c r="E260" s="6"/>
      <c r="F260" s="6"/>
      <c r="G260" s="11"/>
      <c r="H260" s="24" t="str">
        <f aca="false">IF(AND(ISNUMBER(B260),ISNUMBER(C260)),MAX(0,C260-B260),"")</f>
        <v/>
      </c>
      <c r="I260" s="37"/>
      <c r="J260" s="46" t="str">
        <f aca="false">IF(OR(D260="",N(H260)=0),"",IFERROR(IF(I260&lt;&gt;"",H260*I260,ROUND(((H260-(INT((WEEKDAY(B260-6)+H260-1)/7)+INT((WEEKDAY(B260-7)+H260-1)/7)))*INDEX(Properties!$E$5:$E$24,MATCH(D260,Properties!$A$5:$A$24,0))+(INT((WEEKDAY(B260-6)+H260-1)/7)+INT((WEEKDAY(B260-7)+H260-1)/7))*INDEX(Properties!$F$5:$F$24,MATCH(D260,Properties!$A$5:$A$24,0)))*(1-IF(H260&gt;=28,Settings!$B$10,IF(H260&gt;=7,Settings!$B$9,0))),2)),0))</f>
        <v/>
      </c>
      <c r="K260" s="46" t="str">
        <f aca="false">IF(J260="","",IFERROR(N(INDEX(Properties!$G$5:$G$24,MATCH(D260,Properties!$A$5:$A$24,0))),0))</f>
        <v/>
      </c>
      <c r="L260" s="46" t="str">
        <f aca="false">IF(J260="","",IFERROR(MAX(0,N(G260)-INDEX(Properties!$I$5:$I$24,MATCH(D260,Properties!$A$5:$A$24,0)))*N(INDEX(Properties!$J$5:$J$24,MATCH(D260,Properties!$A$5:$A$24,0)))*H260,0))</f>
        <v/>
      </c>
      <c r="M260" s="37"/>
      <c r="N260" s="46" t="str">
        <f aca="false">IF(J260="","",J260+K260+L260+N(M260))</f>
        <v/>
      </c>
      <c r="O260" s="46" t="str">
        <f aca="false">IF(N260="","",IF(P260&lt;&gt;"",N260-P260,ROUND(N260*IFERROR(INDEX(Settings!$E$5:$E$12,MATCH(F260,Settings!$D$5:$D$12,0)),0),2)))</f>
        <v/>
      </c>
      <c r="P260" s="37"/>
      <c r="Q260" s="46" t="str">
        <f aca="false">IF(N260="","",IF(P260&lt;&gt;"",P260,N260-O260))</f>
        <v/>
      </c>
      <c r="R260" s="46" t="str">
        <f aca="false">IF(J260="","",IFERROR(N(INDEX(Properties!$H$5:$H$24,MATCH(D260,Properties!$A$5:$A$24,0))),0))</f>
        <v/>
      </c>
      <c r="S260" s="46" t="str">
        <f aca="false">IF(Q260="","",Q260-R260)</f>
        <v/>
      </c>
      <c r="T260" s="6"/>
      <c r="U260" s="6"/>
      <c r="V260" s="6"/>
      <c r="W260" s="6"/>
      <c r="X260" s="6"/>
      <c r="Y260" s="8" t="str">
        <f aca="false">IF(OR(D260="",B260="",C260=""),"",IF(N(C260)&lt;=N(B260),"Check dates",IF(T260="Cancelled","",IF(COUNTIFS($D$5:$D$1004,D260,$B$5:$B$1004,"&lt;"&amp;C260,$C$5:$C$1004,"&gt;"&amp;B260,$T$5:$T$1004,"&lt;&gt;Cancelled")&gt;1,"Double-booked",""))))</f>
        <v/>
      </c>
      <c r="Z260" s="42" t="str">
        <f aca="false">IF(AND(AA260=1,ISNUMBER(C260)),C260+ROW()/100000,"")</f>
        <v/>
      </c>
      <c r="AA260" s="43" t="n">
        <f aca="false">IF(AND(D260&lt;&gt;"",ISNUMBER(B260),ISNUMBER(C260),N(H260)&gt;0,T260&lt;&gt;"Cancelled",J260&lt;&gt;""),1,0)</f>
        <v>0</v>
      </c>
      <c r="AB260" s="44" t="n">
        <f aca="false">IF(AA260=1,J260/H260,0)</f>
        <v>0</v>
      </c>
      <c r="AC260" s="44" t="n">
        <f aca="false">IF(AA260=1,Q260/H260,0)</f>
        <v>0</v>
      </c>
      <c r="AD260" s="44" t="n">
        <f aca="false">IF(AA260=1,R260/H260,0)</f>
        <v>0</v>
      </c>
      <c r="AE260" s="44" t="n">
        <f aca="false">IF(AA260=1,O260/H260,0)</f>
        <v>0</v>
      </c>
      <c r="AF260" s="44" t="n">
        <f aca="false">IF(AA260=1,K260/H260,0)</f>
        <v>0</v>
      </c>
      <c r="AG260" s="45" t="str">
        <f aca="false">IF(AA260=1,D260&amp;"|"&amp;TEXT(B260,"0"),"")</f>
        <v/>
      </c>
      <c r="AH260" s="43" t="n">
        <f aca="false">IF(AA260=1,H260,0)</f>
        <v>0</v>
      </c>
    </row>
    <row r="261" customFormat="false" ht="15" hidden="false" customHeight="false" outlineLevel="0" collapsed="false">
      <c r="A261" s="8" t="str">
        <f aca="false">IF(B261="","","B-"&amp;TEXT(ROW()-4,"0000"))</f>
        <v/>
      </c>
      <c r="B261" s="38"/>
      <c r="C261" s="38"/>
      <c r="D261" s="6"/>
      <c r="E261" s="6"/>
      <c r="F261" s="6"/>
      <c r="G261" s="11"/>
      <c r="H261" s="18" t="str">
        <f aca="false">IF(AND(ISNUMBER(B261),ISNUMBER(C261)),MAX(0,C261-B261),"")</f>
        <v/>
      </c>
      <c r="I261" s="37"/>
      <c r="J261" s="41" t="str">
        <f aca="false">IF(OR(D261="",N(H261)=0),"",IFERROR(IF(I261&lt;&gt;"",H261*I261,ROUND(((H261-(INT((WEEKDAY(B261-6)+H261-1)/7)+INT((WEEKDAY(B261-7)+H261-1)/7)))*INDEX(Properties!$E$5:$E$24,MATCH(D261,Properties!$A$5:$A$24,0))+(INT((WEEKDAY(B261-6)+H261-1)/7)+INT((WEEKDAY(B261-7)+H261-1)/7))*INDEX(Properties!$F$5:$F$24,MATCH(D261,Properties!$A$5:$A$24,0)))*(1-IF(H261&gt;=28,Settings!$B$10,IF(H261&gt;=7,Settings!$B$9,0))),2)),0))</f>
        <v/>
      </c>
      <c r="K261" s="41" t="str">
        <f aca="false">IF(J261="","",IFERROR(N(INDEX(Properties!$G$5:$G$24,MATCH(D261,Properties!$A$5:$A$24,0))),0))</f>
        <v/>
      </c>
      <c r="L261" s="41" t="str">
        <f aca="false">IF(J261="","",IFERROR(MAX(0,N(G261)-INDEX(Properties!$I$5:$I$24,MATCH(D261,Properties!$A$5:$A$24,0)))*N(INDEX(Properties!$J$5:$J$24,MATCH(D261,Properties!$A$5:$A$24,0)))*H261,0))</f>
        <v/>
      </c>
      <c r="M261" s="37"/>
      <c r="N261" s="41" t="str">
        <f aca="false">IF(J261="","",J261+K261+L261+N(M261))</f>
        <v/>
      </c>
      <c r="O261" s="41" t="str">
        <f aca="false">IF(N261="","",IF(P261&lt;&gt;"",N261-P261,ROUND(N261*IFERROR(INDEX(Settings!$E$5:$E$12,MATCH(F261,Settings!$D$5:$D$12,0)),0),2)))</f>
        <v/>
      </c>
      <c r="P261" s="37"/>
      <c r="Q261" s="41" t="str">
        <f aca="false">IF(N261="","",IF(P261&lt;&gt;"",P261,N261-O261))</f>
        <v/>
      </c>
      <c r="R261" s="41" t="str">
        <f aca="false">IF(J261="","",IFERROR(N(INDEX(Properties!$H$5:$H$24,MATCH(D261,Properties!$A$5:$A$24,0))),0))</f>
        <v/>
      </c>
      <c r="S261" s="41" t="str">
        <f aca="false">IF(Q261="","",Q261-R261)</f>
        <v/>
      </c>
      <c r="T261" s="6"/>
      <c r="U261" s="6"/>
      <c r="V261" s="6"/>
      <c r="W261" s="6"/>
      <c r="X261" s="6"/>
      <c r="Y261" s="8" t="str">
        <f aca="false">IF(OR(D261="",B261="",C261=""),"",IF(N(C261)&lt;=N(B261),"Check dates",IF(T261="Cancelled","",IF(COUNTIFS($D$5:$D$1004,D261,$B$5:$B$1004,"&lt;"&amp;C261,$C$5:$C$1004,"&gt;"&amp;B261,$T$5:$T$1004,"&lt;&gt;Cancelled")&gt;1,"Double-booked",""))))</f>
        <v/>
      </c>
      <c r="Z261" s="42" t="str">
        <f aca="false">IF(AND(AA261=1,ISNUMBER(C261)),C261+ROW()/100000,"")</f>
        <v/>
      </c>
      <c r="AA261" s="43" t="n">
        <f aca="false">IF(AND(D261&lt;&gt;"",ISNUMBER(B261),ISNUMBER(C261),N(H261)&gt;0,T261&lt;&gt;"Cancelled",J261&lt;&gt;""),1,0)</f>
        <v>0</v>
      </c>
      <c r="AB261" s="44" t="n">
        <f aca="false">IF(AA261=1,J261/H261,0)</f>
        <v>0</v>
      </c>
      <c r="AC261" s="44" t="n">
        <f aca="false">IF(AA261=1,Q261/H261,0)</f>
        <v>0</v>
      </c>
      <c r="AD261" s="44" t="n">
        <f aca="false">IF(AA261=1,R261/H261,0)</f>
        <v>0</v>
      </c>
      <c r="AE261" s="44" t="n">
        <f aca="false">IF(AA261=1,O261/H261,0)</f>
        <v>0</v>
      </c>
      <c r="AF261" s="44" t="n">
        <f aca="false">IF(AA261=1,K261/H261,0)</f>
        <v>0</v>
      </c>
      <c r="AG261" s="45" t="str">
        <f aca="false">IF(AA261=1,D261&amp;"|"&amp;TEXT(B261,"0"),"")</f>
        <v/>
      </c>
      <c r="AH261" s="43" t="n">
        <f aca="false">IF(AA261=1,H261,0)</f>
        <v>0</v>
      </c>
    </row>
    <row r="262" customFormat="false" ht="15" hidden="false" customHeight="false" outlineLevel="0" collapsed="false">
      <c r="A262" s="23" t="str">
        <f aca="false">IF(B262="","","B-"&amp;TEXT(ROW()-4,"0000"))</f>
        <v/>
      </c>
      <c r="B262" s="38"/>
      <c r="C262" s="38"/>
      <c r="D262" s="6"/>
      <c r="E262" s="6"/>
      <c r="F262" s="6"/>
      <c r="G262" s="11"/>
      <c r="H262" s="24" t="str">
        <f aca="false">IF(AND(ISNUMBER(B262),ISNUMBER(C262)),MAX(0,C262-B262),"")</f>
        <v/>
      </c>
      <c r="I262" s="37"/>
      <c r="J262" s="46" t="str">
        <f aca="false">IF(OR(D262="",N(H262)=0),"",IFERROR(IF(I262&lt;&gt;"",H262*I262,ROUND(((H262-(INT((WEEKDAY(B262-6)+H262-1)/7)+INT((WEEKDAY(B262-7)+H262-1)/7)))*INDEX(Properties!$E$5:$E$24,MATCH(D262,Properties!$A$5:$A$24,0))+(INT((WEEKDAY(B262-6)+H262-1)/7)+INT((WEEKDAY(B262-7)+H262-1)/7))*INDEX(Properties!$F$5:$F$24,MATCH(D262,Properties!$A$5:$A$24,0)))*(1-IF(H262&gt;=28,Settings!$B$10,IF(H262&gt;=7,Settings!$B$9,0))),2)),0))</f>
        <v/>
      </c>
      <c r="K262" s="46" t="str">
        <f aca="false">IF(J262="","",IFERROR(N(INDEX(Properties!$G$5:$G$24,MATCH(D262,Properties!$A$5:$A$24,0))),0))</f>
        <v/>
      </c>
      <c r="L262" s="46" t="str">
        <f aca="false">IF(J262="","",IFERROR(MAX(0,N(G262)-INDEX(Properties!$I$5:$I$24,MATCH(D262,Properties!$A$5:$A$24,0)))*N(INDEX(Properties!$J$5:$J$24,MATCH(D262,Properties!$A$5:$A$24,0)))*H262,0))</f>
        <v/>
      </c>
      <c r="M262" s="37"/>
      <c r="N262" s="46" t="str">
        <f aca="false">IF(J262="","",J262+K262+L262+N(M262))</f>
        <v/>
      </c>
      <c r="O262" s="46" t="str">
        <f aca="false">IF(N262="","",IF(P262&lt;&gt;"",N262-P262,ROUND(N262*IFERROR(INDEX(Settings!$E$5:$E$12,MATCH(F262,Settings!$D$5:$D$12,0)),0),2)))</f>
        <v/>
      </c>
      <c r="P262" s="37"/>
      <c r="Q262" s="46" t="str">
        <f aca="false">IF(N262="","",IF(P262&lt;&gt;"",P262,N262-O262))</f>
        <v/>
      </c>
      <c r="R262" s="46" t="str">
        <f aca="false">IF(J262="","",IFERROR(N(INDEX(Properties!$H$5:$H$24,MATCH(D262,Properties!$A$5:$A$24,0))),0))</f>
        <v/>
      </c>
      <c r="S262" s="46" t="str">
        <f aca="false">IF(Q262="","",Q262-R262)</f>
        <v/>
      </c>
      <c r="T262" s="6"/>
      <c r="U262" s="6"/>
      <c r="V262" s="6"/>
      <c r="W262" s="6"/>
      <c r="X262" s="6"/>
      <c r="Y262" s="8" t="str">
        <f aca="false">IF(OR(D262="",B262="",C262=""),"",IF(N(C262)&lt;=N(B262),"Check dates",IF(T262="Cancelled","",IF(COUNTIFS($D$5:$D$1004,D262,$B$5:$B$1004,"&lt;"&amp;C262,$C$5:$C$1004,"&gt;"&amp;B262,$T$5:$T$1004,"&lt;&gt;Cancelled")&gt;1,"Double-booked",""))))</f>
        <v/>
      </c>
      <c r="Z262" s="42" t="str">
        <f aca="false">IF(AND(AA262=1,ISNUMBER(C262)),C262+ROW()/100000,"")</f>
        <v/>
      </c>
      <c r="AA262" s="43" t="n">
        <f aca="false">IF(AND(D262&lt;&gt;"",ISNUMBER(B262),ISNUMBER(C262),N(H262)&gt;0,T262&lt;&gt;"Cancelled",J262&lt;&gt;""),1,0)</f>
        <v>0</v>
      </c>
      <c r="AB262" s="44" t="n">
        <f aca="false">IF(AA262=1,J262/H262,0)</f>
        <v>0</v>
      </c>
      <c r="AC262" s="44" t="n">
        <f aca="false">IF(AA262=1,Q262/H262,0)</f>
        <v>0</v>
      </c>
      <c r="AD262" s="44" t="n">
        <f aca="false">IF(AA262=1,R262/H262,0)</f>
        <v>0</v>
      </c>
      <c r="AE262" s="44" t="n">
        <f aca="false">IF(AA262=1,O262/H262,0)</f>
        <v>0</v>
      </c>
      <c r="AF262" s="44" t="n">
        <f aca="false">IF(AA262=1,K262/H262,0)</f>
        <v>0</v>
      </c>
      <c r="AG262" s="45" t="str">
        <f aca="false">IF(AA262=1,D262&amp;"|"&amp;TEXT(B262,"0"),"")</f>
        <v/>
      </c>
      <c r="AH262" s="43" t="n">
        <f aca="false">IF(AA262=1,H262,0)</f>
        <v>0</v>
      </c>
    </row>
    <row r="263" customFormat="false" ht="15" hidden="false" customHeight="false" outlineLevel="0" collapsed="false">
      <c r="A263" s="8" t="str">
        <f aca="false">IF(B263="","","B-"&amp;TEXT(ROW()-4,"0000"))</f>
        <v/>
      </c>
      <c r="B263" s="38"/>
      <c r="C263" s="38"/>
      <c r="D263" s="6"/>
      <c r="E263" s="6"/>
      <c r="F263" s="6"/>
      <c r="G263" s="11"/>
      <c r="H263" s="18" t="str">
        <f aca="false">IF(AND(ISNUMBER(B263),ISNUMBER(C263)),MAX(0,C263-B263),"")</f>
        <v/>
      </c>
      <c r="I263" s="37"/>
      <c r="J263" s="41" t="str">
        <f aca="false">IF(OR(D263="",N(H263)=0),"",IFERROR(IF(I263&lt;&gt;"",H263*I263,ROUND(((H263-(INT((WEEKDAY(B263-6)+H263-1)/7)+INT((WEEKDAY(B263-7)+H263-1)/7)))*INDEX(Properties!$E$5:$E$24,MATCH(D263,Properties!$A$5:$A$24,0))+(INT((WEEKDAY(B263-6)+H263-1)/7)+INT((WEEKDAY(B263-7)+H263-1)/7))*INDEX(Properties!$F$5:$F$24,MATCH(D263,Properties!$A$5:$A$24,0)))*(1-IF(H263&gt;=28,Settings!$B$10,IF(H263&gt;=7,Settings!$B$9,0))),2)),0))</f>
        <v/>
      </c>
      <c r="K263" s="41" t="str">
        <f aca="false">IF(J263="","",IFERROR(N(INDEX(Properties!$G$5:$G$24,MATCH(D263,Properties!$A$5:$A$24,0))),0))</f>
        <v/>
      </c>
      <c r="L263" s="41" t="str">
        <f aca="false">IF(J263="","",IFERROR(MAX(0,N(G263)-INDEX(Properties!$I$5:$I$24,MATCH(D263,Properties!$A$5:$A$24,0)))*N(INDEX(Properties!$J$5:$J$24,MATCH(D263,Properties!$A$5:$A$24,0)))*H263,0))</f>
        <v/>
      </c>
      <c r="M263" s="37"/>
      <c r="N263" s="41" t="str">
        <f aca="false">IF(J263="","",J263+K263+L263+N(M263))</f>
        <v/>
      </c>
      <c r="O263" s="41" t="str">
        <f aca="false">IF(N263="","",IF(P263&lt;&gt;"",N263-P263,ROUND(N263*IFERROR(INDEX(Settings!$E$5:$E$12,MATCH(F263,Settings!$D$5:$D$12,0)),0),2)))</f>
        <v/>
      </c>
      <c r="P263" s="37"/>
      <c r="Q263" s="41" t="str">
        <f aca="false">IF(N263="","",IF(P263&lt;&gt;"",P263,N263-O263))</f>
        <v/>
      </c>
      <c r="R263" s="41" t="str">
        <f aca="false">IF(J263="","",IFERROR(N(INDEX(Properties!$H$5:$H$24,MATCH(D263,Properties!$A$5:$A$24,0))),0))</f>
        <v/>
      </c>
      <c r="S263" s="41" t="str">
        <f aca="false">IF(Q263="","",Q263-R263)</f>
        <v/>
      </c>
      <c r="T263" s="6"/>
      <c r="U263" s="6"/>
      <c r="V263" s="6"/>
      <c r="W263" s="6"/>
      <c r="X263" s="6"/>
      <c r="Y263" s="8" t="str">
        <f aca="false">IF(OR(D263="",B263="",C263=""),"",IF(N(C263)&lt;=N(B263),"Check dates",IF(T263="Cancelled","",IF(COUNTIFS($D$5:$D$1004,D263,$B$5:$B$1004,"&lt;"&amp;C263,$C$5:$C$1004,"&gt;"&amp;B263,$T$5:$T$1004,"&lt;&gt;Cancelled")&gt;1,"Double-booked",""))))</f>
        <v/>
      </c>
      <c r="Z263" s="42" t="str">
        <f aca="false">IF(AND(AA263=1,ISNUMBER(C263)),C263+ROW()/100000,"")</f>
        <v/>
      </c>
      <c r="AA263" s="43" t="n">
        <f aca="false">IF(AND(D263&lt;&gt;"",ISNUMBER(B263),ISNUMBER(C263),N(H263)&gt;0,T263&lt;&gt;"Cancelled",J263&lt;&gt;""),1,0)</f>
        <v>0</v>
      </c>
      <c r="AB263" s="44" t="n">
        <f aca="false">IF(AA263=1,J263/H263,0)</f>
        <v>0</v>
      </c>
      <c r="AC263" s="44" t="n">
        <f aca="false">IF(AA263=1,Q263/H263,0)</f>
        <v>0</v>
      </c>
      <c r="AD263" s="44" t="n">
        <f aca="false">IF(AA263=1,R263/H263,0)</f>
        <v>0</v>
      </c>
      <c r="AE263" s="44" t="n">
        <f aca="false">IF(AA263=1,O263/H263,0)</f>
        <v>0</v>
      </c>
      <c r="AF263" s="44" t="n">
        <f aca="false">IF(AA263=1,K263/H263,0)</f>
        <v>0</v>
      </c>
      <c r="AG263" s="45" t="str">
        <f aca="false">IF(AA263=1,D263&amp;"|"&amp;TEXT(B263,"0"),"")</f>
        <v/>
      </c>
      <c r="AH263" s="43" t="n">
        <f aca="false">IF(AA263=1,H263,0)</f>
        <v>0</v>
      </c>
    </row>
    <row r="264" customFormat="false" ht="15" hidden="false" customHeight="false" outlineLevel="0" collapsed="false">
      <c r="A264" s="23" t="str">
        <f aca="false">IF(B264="","","B-"&amp;TEXT(ROW()-4,"0000"))</f>
        <v/>
      </c>
      <c r="B264" s="38"/>
      <c r="C264" s="38"/>
      <c r="D264" s="6"/>
      <c r="E264" s="6"/>
      <c r="F264" s="6"/>
      <c r="G264" s="11"/>
      <c r="H264" s="24" t="str">
        <f aca="false">IF(AND(ISNUMBER(B264),ISNUMBER(C264)),MAX(0,C264-B264),"")</f>
        <v/>
      </c>
      <c r="I264" s="37"/>
      <c r="J264" s="46" t="str">
        <f aca="false">IF(OR(D264="",N(H264)=0),"",IFERROR(IF(I264&lt;&gt;"",H264*I264,ROUND(((H264-(INT((WEEKDAY(B264-6)+H264-1)/7)+INT((WEEKDAY(B264-7)+H264-1)/7)))*INDEX(Properties!$E$5:$E$24,MATCH(D264,Properties!$A$5:$A$24,0))+(INT((WEEKDAY(B264-6)+H264-1)/7)+INT((WEEKDAY(B264-7)+H264-1)/7))*INDEX(Properties!$F$5:$F$24,MATCH(D264,Properties!$A$5:$A$24,0)))*(1-IF(H264&gt;=28,Settings!$B$10,IF(H264&gt;=7,Settings!$B$9,0))),2)),0))</f>
        <v/>
      </c>
      <c r="K264" s="46" t="str">
        <f aca="false">IF(J264="","",IFERROR(N(INDEX(Properties!$G$5:$G$24,MATCH(D264,Properties!$A$5:$A$24,0))),0))</f>
        <v/>
      </c>
      <c r="L264" s="46" t="str">
        <f aca="false">IF(J264="","",IFERROR(MAX(0,N(G264)-INDEX(Properties!$I$5:$I$24,MATCH(D264,Properties!$A$5:$A$24,0)))*N(INDEX(Properties!$J$5:$J$24,MATCH(D264,Properties!$A$5:$A$24,0)))*H264,0))</f>
        <v/>
      </c>
      <c r="M264" s="37"/>
      <c r="N264" s="46" t="str">
        <f aca="false">IF(J264="","",J264+K264+L264+N(M264))</f>
        <v/>
      </c>
      <c r="O264" s="46" t="str">
        <f aca="false">IF(N264="","",IF(P264&lt;&gt;"",N264-P264,ROUND(N264*IFERROR(INDEX(Settings!$E$5:$E$12,MATCH(F264,Settings!$D$5:$D$12,0)),0),2)))</f>
        <v/>
      </c>
      <c r="P264" s="37"/>
      <c r="Q264" s="46" t="str">
        <f aca="false">IF(N264="","",IF(P264&lt;&gt;"",P264,N264-O264))</f>
        <v/>
      </c>
      <c r="R264" s="46" t="str">
        <f aca="false">IF(J264="","",IFERROR(N(INDEX(Properties!$H$5:$H$24,MATCH(D264,Properties!$A$5:$A$24,0))),0))</f>
        <v/>
      </c>
      <c r="S264" s="46" t="str">
        <f aca="false">IF(Q264="","",Q264-R264)</f>
        <v/>
      </c>
      <c r="T264" s="6"/>
      <c r="U264" s="6"/>
      <c r="V264" s="6"/>
      <c r="W264" s="6"/>
      <c r="X264" s="6"/>
      <c r="Y264" s="8" t="str">
        <f aca="false">IF(OR(D264="",B264="",C264=""),"",IF(N(C264)&lt;=N(B264),"Check dates",IF(T264="Cancelled","",IF(COUNTIFS($D$5:$D$1004,D264,$B$5:$B$1004,"&lt;"&amp;C264,$C$5:$C$1004,"&gt;"&amp;B264,$T$5:$T$1004,"&lt;&gt;Cancelled")&gt;1,"Double-booked",""))))</f>
        <v/>
      </c>
      <c r="Z264" s="42" t="str">
        <f aca="false">IF(AND(AA264=1,ISNUMBER(C264)),C264+ROW()/100000,"")</f>
        <v/>
      </c>
      <c r="AA264" s="43" t="n">
        <f aca="false">IF(AND(D264&lt;&gt;"",ISNUMBER(B264),ISNUMBER(C264),N(H264)&gt;0,T264&lt;&gt;"Cancelled",J264&lt;&gt;""),1,0)</f>
        <v>0</v>
      </c>
      <c r="AB264" s="44" t="n">
        <f aca="false">IF(AA264=1,J264/H264,0)</f>
        <v>0</v>
      </c>
      <c r="AC264" s="44" t="n">
        <f aca="false">IF(AA264=1,Q264/H264,0)</f>
        <v>0</v>
      </c>
      <c r="AD264" s="44" t="n">
        <f aca="false">IF(AA264=1,R264/H264,0)</f>
        <v>0</v>
      </c>
      <c r="AE264" s="44" t="n">
        <f aca="false">IF(AA264=1,O264/H264,0)</f>
        <v>0</v>
      </c>
      <c r="AF264" s="44" t="n">
        <f aca="false">IF(AA264=1,K264/H264,0)</f>
        <v>0</v>
      </c>
      <c r="AG264" s="45" t="str">
        <f aca="false">IF(AA264=1,D264&amp;"|"&amp;TEXT(B264,"0"),"")</f>
        <v/>
      </c>
      <c r="AH264" s="43" t="n">
        <f aca="false">IF(AA264=1,H264,0)</f>
        <v>0</v>
      </c>
    </row>
    <row r="265" customFormat="false" ht="15" hidden="false" customHeight="false" outlineLevel="0" collapsed="false">
      <c r="A265" s="8" t="str">
        <f aca="false">IF(B265="","","B-"&amp;TEXT(ROW()-4,"0000"))</f>
        <v/>
      </c>
      <c r="B265" s="38"/>
      <c r="C265" s="38"/>
      <c r="D265" s="6"/>
      <c r="E265" s="6"/>
      <c r="F265" s="6"/>
      <c r="G265" s="11"/>
      <c r="H265" s="18" t="str">
        <f aca="false">IF(AND(ISNUMBER(B265),ISNUMBER(C265)),MAX(0,C265-B265),"")</f>
        <v/>
      </c>
      <c r="I265" s="37"/>
      <c r="J265" s="41" t="str">
        <f aca="false">IF(OR(D265="",N(H265)=0),"",IFERROR(IF(I265&lt;&gt;"",H265*I265,ROUND(((H265-(INT((WEEKDAY(B265-6)+H265-1)/7)+INT((WEEKDAY(B265-7)+H265-1)/7)))*INDEX(Properties!$E$5:$E$24,MATCH(D265,Properties!$A$5:$A$24,0))+(INT((WEEKDAY(B265-6)+H265-1)/7)+INT((WEEKDAY(B265-7)+H265-1)/7))*INDEX(Properties!$F$5:$F$24,MATCH(D265,Properties!$A$5:$A$24,0)))*(1-IF(H265&gt;=28,Settings!$B$10,IF(H265&gt;=7,Settings!$B$9,0))),2)),0))</f>
        <v/>
      </c>
      <c r="K265" s="41" t="str">
        <f aca="false">IF(J265="","",IFERROR(N(INDEX(Properties!$G$5:$G$24,MATCH(D265,Properties!$A$5:$A$24,0))),0))</f>
        <v/>
      </c>
      <c r="L265" s="41" t="str">
        <f aca="false">IF(J265="","",IFERROR(MAX(0,N(G265)-INDEX(Properties!$I$5:$I$24,MATCH(D265,Properties!$A$5:$A$24,0)))*N(INDEX(Properties!$J$5:$J$24,MATCH(D265,Properties!$A$5:$A$24,0)))*H265,0))</f>
        <v/>
      </c>
      <c r="M265" s="37"/>
      <c r="N265" s="41" t="str">
        <f aca="false">IF(J265="","",J265+K265+L265+N(M265))</f>
        <v/>
      </c>
      <c r="O265" s="41" t="str">
        <f aca="false">IF(N265="","",IF(P265&lt;&gt;"",N265-P265,ROUND(N265*IFERROR(INDEX(Settings!$E$5:$E$12,MATCH(F265,Settings!$D$5:$D$12,0)),0),2)))</f>
        <v/>
      </c>
      <c r="P265" s="37"/>
      <c r="Q265" s="41" t="str">
        <f aca="false">IF(N265="","",IF(P265&lt;&gt;"",P265,N265-O265))</f>
        <v/>
      </c>
      <c r="R265" s="41" t="str">
        <f aca="false">IF(J265="","",IFERROR(N(INDEX(Properties!$H$5:$H$24,MATCH(D265,Properties!$A$5:$A$24,0))),0))</f>
        <v/>
      </c>
      <c r="S265" s="41" t="str">
        <f aca="false">IF(Q265="","",Q265-R265)</f>
        <v/>
      </c>
      <c r="T265" s="6"/>
      <c r="U265" s="6"/>
      <c r="V265" s="6"/>
      <c r="W265" s="6"/>
      <c r="X265" s="6"/>
      <c r="Y265" s="8" t="str">
        <f aca="false">IF(OR(D265="",B265="",C265=""),"",IF(N(C265)&lt;=N(B265),"Check dates",IF(T265="Cancelled","",IF(COUNTIFS($D$5:$D$1004,D265,$B$5:$B$1004,"&lt;"&amp;C265,$C$5:$C$1004,"&gt;"&amp;B265,$T$5:$T$1004,"&lt;&gt;Cancelled")&gt;1,"Double-booked",""))))</f>
        <v/>
      </c>
      <c r="Z265" s="42" t="str">
        <f aca="false">IF(AND(AA265=1,ISNUMBER(C265)),C265+ROW()/100000,"")</f>
        <v/>
      </c>
      <c r="AA265" s="43" t="n">
        <f aca="false">IF(AND(D265&lt;&gt;"",ISNUMBER(B265),ISNUMBER(C265),N(H265)&gt;0,T265&lt;&gt;"Cancelled",J265&lt;&gt;""),1,0)</f>
        <v>0</v>
      </c>
      <c r="AB265" s="44" t="n">
        <f aca="false">IF(AA265=1,J265/H265,0)</f>
        <v>0</v>
      </c>
      <c r="AC265" s="44" t="n">
        <f aca="false">IF(AA265=1,Q265/H265,0)</f>
        <v>0</v>
      </c>
      <c r="AD265" s="44" t="n">
        <f aca="false">IF(AA265=1,R265/H265,0)</f>
        <v>0</v>
      </c>
      <c r="AE265" s="44" t="n">
        <f aca="false">IF(AA265=1,O265/H265,0)</f>
        <v>0</v>
      </c>
      <c r="AF265" s="44" t="n">
        <f aca="false">IF(AA265=1,K265/H265,0)</f>
        <v>0</v>
      </c>
      <c r="AG265" s="45" t="str">
        <f aca="false">IF(AA265=1,D265&amp;"|"&amp;TEXT(B265,"0"),"")</f>
        <v/>
      </c>
      <c r="AH265" s="43" t="n">
        <f aca="false">IF(AA265=1,H265,0)</f>
        <v>0</v>
      </c>
    </row>
    <row r="266" customFormat="false" ht="15" hidden="false" customHeight="false" outlineLevel="0" collapsed="false">
      <c r="A266" s="23" t="str">
        <f aca="false">IF(B266="","","B-"&amp;TEXT(ROW()-4,"0000"))</f>
        <v/>
      </c>
      <c r="B266" s="38"/>
      <c r="C266" s="38"/>
      <c r="D266" s="6"/>
      <c r="E266" s="6"/>
      <c r="F266" s="6"/>
      <c r="G266" s="11"/>
      <c r="H266" s="24" t="str">
        <f aca="false">IF(AND(ISNUMBER(B266),ISNUMBER(C266)),MAX(0,C266-B266),"")</f>
        <v/>
      </c>
      <c r="I266" s="37"/>
      <c r="J266" s="46" t="str">
        <f aca="false">IF(OR(D266="",N(H266)=0),"",IFERROR(IF(I266&lt;&gt;"",H266*I266,ROUND(((H266-(INT((WEEKDAY(B266-6)+H266-1)/7)+INT((WEEKDAY(B266-7)+H266-1)/7)))*INDEX(Properties!$E$5:$E$24,MATCH(D266,Properties!$A$5:$A$24,0))+(INT((WEEKDAY(B266-6)+H266-1)/7)+INT((WEEKDAY(B266-7)+H266-1)/7))*INDEX(Properties!$F$5:$F$24,MATCH(D266,Properties!$A$5:$A$24,0)))*(1-IF(H266&gt;=28,Settings!$B$10,IF(H266&gt;=7,Settings!$B$9,0))),2)),0))</f>
        <v/>
      </c>
      <c r="K266" s="46" t="str">
        <f aca="false">IF(J266="","",IFERROR(N(INDEX(Properties!$G$5:$G$24,MATCH(D266,Properties!$A$5:$A$24,0))),0))</f>
        <v/>
      </c>
      <c r="L266" s="46" t="str">
        <f aca="false">IF(J266="","",IFERROR(MAX(0,N(G266)-INDEX(Properties!$I$5:$I$24,MATCH(D266,Properties!$A$5:$A$24,0)))*N(INDEX(Properties!$J$5:$J$24,MATCH(D266,Properties!$A$5:$A$24,0)))*H266,0))</f>
        <v/>
      </c>
      <c r="M266" s="37"/>
      <c r="N266" s="46" t="str">
        <f aca="false">IF(J266="","",J266+K266+L266+N(M266))</f>
        <v/>
      </c>
      <c r="O266" s="46" t="str">
        <f aca="false">IF(N266="","",IF(P266&lt;&gt;"",N266-P266,ROUND(N266*IFERROR(INDEX(Settings!$E$5:$E$12,MATCH(F266,Settings!$D$5:$D$12,0)),0),2)))</f>
        <v/>
      </c>
      <c r="P266" s="37"/>
      <c r="Q266" s="46" t="str">
        <f aca="false">IF(N266="","",IF(P266&lt;&gt;"",P266,N266-O266))</f>
        <v/>
      </c>
      <c r="R266" s="46" t="str">
        <f aca="false">IF(J266="","",IFERROR(N(INDEX(Properties!$H$5:$H$24,MATCH(D266,Properties!$A$5:$A$24,0))),0))</f>
        <v/>
      </c>
      <c r="S266" s="46" t="str">
        <f aca="false">IF(Q266="","",Q266-R266)</f>
        <v/>
      </c>
      <c r="T266" s="6"/>
      <c r="U266" s="6"/>
      <c r="V266" s="6"/>
      <c r="W266" s="6"/>
      <c r="X266" s="6"/>
      <c r="Y266" s="8" t="str">
        <f aca="false">IF(OR(D266="",B266="",C266=""),"",IF(N(C266)&lt;=N(B266),"Check dates",IF(T266="Cancelled","",IF(COUNTIFS($D$5:$D$1004,D266,$B$5:$B$1004,"&lt;"&amp;C266,$C$5:$C$1004,"&gt;"&amp;B266,$T$5:$T$1004,"&lt;&gt;Cancelled")&gt;1,"Double-booked",""))))</f>
        <v/>
      </c>
      <c r="Z266" s="42" t="str">
        <f aca="false">IF(AND(AA266=1,ISNUMBER(C266)),C266+ROW()/100000,"")</f>
        <v/>
      </c>
      <c r="AA266" s="43" t="n">
        <f aca="false">IF(AND(D266&lt;&gt;"",ISNUMBER(B266),ISNUMBER(C266),N(H266)&gt;0,T266&lt;&gt;"Cancelled",J266&lt;&gt;""),1,0)</f>
        <v>0</v>
      </c>
      <c r="AB266" s="44" t="n">
        <f aca="false">IF(AA266=1,J266/H266,0)</f>
        <v>0</v>
      </c>
      <c r="AC266" s="44" t="n">
        <f aca="false">IF(AA266=1,Q266/H266,0)</f>
        <v>0</v>
      </c>
      <c r="AD266" s="44" t="n">
        <f aca="false">IF(AA266=1,R266/H266,0)</f>
        <v>0</v>
      </c>
      <c r="AE266" s="44" t="n">
        <f aca="false">IF(AA266=1,O266/H266,0)</f>
        <v>0</v>
      </c>
      <c r="AF266" s="44" t="n">
        <f aca="false">IF(AA266=1,K266/H266,0)</f>
        <v>0</v>
      </c>
      <c r="AG266" s="45" t="str">
        <f aca="false">IF(AA266=1,D266&amp;"|"&amp;TEXT(B266,"0"),"")</f>
        <v/>
      </c>
      <c r="AH266" s="43" t="n">
        <f aca="false">IF(AA266=1,H266,0)</f>
        <v>0</v>
      </c>
    </row>
    <row r="267" customFormat="false" ht="15" hidden="false" customHeight="false" outlineLevel="0" collapsed="false">
      <c r="A267" s="8" t="str">
        <f aca="false">IF(B267="","","B-"&amp;TEXT(ROW()-4,"0000"))</f>
        <v/>
      </c>
      <c r="B267" s="38"/>
      <c r="C267" s="38"/>
      <c r="D267" s="6"/>
      <c r="E267" s="6"/>
      <c r="F267" s="6"/>
      <c r="G267" s="11"/>
      <c r="H267" s="18" t="str">
        <f aca="false">IF(AND(ISNUMBER(B267),ISNUMBER(C267)),MAX(0,C267-B267),"")</f>
        <v/>
      </c>
      <c r="I267" s="37"/>
      <c r="J267" s="41" t="str">
        <f aca="false">IF(OR(D267="",N(H267)=0),"",IFERROR(IF(I267&lt;&gt;"",H267*I267,ROUND(((H267-(INT((WEEKDAY(B267-6)+H267-1)/7)+INT((WEEKDAY(B267-7)+H267-1)/7)))*INDEX(Properties!$E$5:$E$24,MATCH(D267,Properties!$A$5:$A$24,0))+(INT((WEEKDAY(B267-6)+H267-1)/7)+INT((WEEKDAY(B267-7)+H267-1)/7))*INDEX(Properties!$F$5:$F$24,MATCH(D267,Properties!$A$5:$A$24,0)))*(1-IF(H267&gt;=28,Settings!$B$10,IF(H267&gt;=7,Settings!$B$9,0))),2)),0))</f>
        <v/>
      </c>
      <c r="K267" s="41" t="str">
        <f aca="false">IF(J267="","",IFERROR(N(INDEX(Properties!$G$5:$G$24,MATCH(D267,Properties!$A$5:$A$24,0))),0))</f>
        <v/>
      </c>
      <c r="L267" s="41" t="str">
        <f aca="false">IF(J267="","",IFERROR(MAX(0,N(G267)-INDEX(Properties!$I$5:$I$24,MATCH(D267,Properties!$A$5:$A$24,0)))*N(INDEX(Properties!$J$5:$J$24,MATCH(D267,Properties!$A$5:$A$24,0)))*H267,0))</f>
        <v/>
      </c>
      <c r="M267" s="37"/>
      <c r="N267" s="41" t="str">
        <f aca="false">IF(J267="","",J267+K267+L267+N(M267))</f>
        <v/>
      </c>
      <c r="O267" s="41" t="str">
        <f aca="false">IF(N267="","",IF(P267&lt;&gt;"",N267-P267,ROUND(N267*IFERROR(INDEX(Settings!$E$5:$E$12,MATCH(F267,Settings!$D$5:$D$12,0)),0),2)))</f>
        <v/>
      </c>
      <c r="P267" s="37"/>
      <c r="Q267" s="41" t="str">
        <f aca="false">IF(N267="","",IF(P267&lt;&gt;"",P267,N267-O267))</f>
        <v/>
      </c>
      <c r="R267" s="41" t="str">
        <f aca="false">IF(J267="","",IFERROR(N(INDEX(Properties!$H$5:$H$24,MATCH(D267,Properties!$A$5:$A$24,0))),0))</f>
        <v/>
      </c>
      <c r="S267" s="41" t="str">
        <f aca="false">IF(Q267="","",Q267-R267)</f>
        <v/>
      </c>
      <c r="T267" s="6"/>
      <c r="U267" s="6"/>
      <c r="V267" s="6"/>
      <c r="W267" s="6"/>
      <c r="X267" s="6"/>
      <c r="Y267" s="8" t="str">
        <f aca="false">IF(OR(D267="",B267="",C267=""),"",IF(N(C267)&lt;=N(B267),"Check dates",IF(T267="Cancelled","",IF(COUNTIFS($D$5:$D$1004,D267,$B$5:$B$1004,"&lt;"&amp;C267,$C$5:$C$1004,"&gt;"&amp;B267,$T$5:$T$1004,"&lt;&gt;Cancelled")&gt;1,"Double-booked",""))))</f>
        <v/>
      </c>
      <c r="Z267" s="42" t="str">
        <f aca="false">IF(AND(AA267=1,ISNUMBER(C267)),C267+ROW()/100000,"")</f>
        <v/>
      </c>
      <c r="AA267" s="43" t="n">
        <f aca="false">IF(AND(D267&lt;&gt;"",ISNUMBER(B267),ISNUMBER(C267),N(H267)&gt;0,T267&lt;&gt;"Cancelled",J267&lt;&gt;""),1,0)</f>
        <v>0</v>
      </c>
      <c r="AB267" s="44" t="n">
        <f aca="false">IF(AA267=1,J267/H267,0)</f>
        <v>0</v>
      </c>
      <c r="AC267" s="44" t="n">
        <f aca="false">IF(AA267=1,Q267/H267,0)</f>
        <v>0</v>
      </c>
      <c r="AD267" s="44" t="n">
        <f aca="false">IF(AA267=1,R267/H267,0)</f>
        <v>0</v>
      </c>
      <c r="AE267" s="44" t="n">
        <f aca="false">IF(AA267=1,O267/H267,0)</f>
        <v>0</v>
      </c>
      <c r="AF267" s="44" t="n">
        <f aca="false">IF(AA267=1,K267/H267,0)</f>
        <v>0</v>
      </c>
      <c r="AG267" s="45" t="str">
        <f aca="false">IF(AA267=1,D267&amp;"|"&amp;TEXT(B267,"0"),"")</f>
        <v/>
      </c>
      <c r="AH267" s="43" t="n">
        <f aca="false">IF(AA267=1,H267,0)</f>
        <v>0</v>
      </c>
    </row>
    <row r="268" customFormat="false" ht="15" hidden="false" customHeight="false" outlineLevel="0" collapsed="false">
      <c r="A268" s="23" t="str">
        <f aca="false">IF(B268="","","B-"&amp;TEXT(ROW()-4,"0000"))</f>
        <v/>
      </c>
      <c r="B268" s="38"/>
      <c r="C268" s="38"/>
      <c r="D268" s="6"/>
      <c r="E268" s="6"/>
      <c r="F268" s="6"/>
      <c r="G268" s="11"/>
      <c r="H268" s="24" t="str">
        <f aca="false">IF(AND(ISNUMBER(B268),ISNUMBER(C268)),MAX(0,C268-B268),"")</f>
        <v/>
      </c>
      <c r="I268" s="37"/>
      <c r="J268" s="46" t="str">
        <f aca="false">IF(OR(D268="",N(H268)=0),"",IFERROR(IF(I268&lt;&gt;"",H268*I268,ROUND(((H268-(INT((WEEKDAY(B268-6)+H268-1)/7)+INT((WEEKDAY(B268-7)+H268-1)/7)))*INDEX(Properties!$E$5:$E$24,MATCH(D268,Properties!$A$5:$A$24,0))+(INT((WEEKDAY(B268-6)+H268-1)/7)+INT((WEEKDAY(B268-7)+H268-1)/7))*INDEX(Properties!$F$5:$F$24,MATCH(D268,Properties!$A$5:$A$24,0)))*(1-IF(H268&gt;=28,Settings!$B$10,IF(H268&gt;=7,Settings!$B$9,0))),2)),0))</f>
        <v/>
      </c>
      <c r="K268" s="46" t="str">
        <f aca="false">IF(J268="","",IFERROR(N(INDEX(Properties!$G$5:$G$24,MATCH(D268,Properties!$A$5:$A$24,0))),0))</f>
        <v/>
      </c>
      <c r="L268" s="46" t="str">
        <f aca="false">IF(J268="","",IFERROR(MAX(0,N(G268)-INDEX(Properties!$I$5:$I$24,MATCH(D268,Properties!$A$5:$A$24,0)))*N(INDEX(Properties!$J$5:$J$24,MATCH(D268,Properties!$A$5:$A$24,0)))*H268,0))</f>
        <v/>
      </c>
      <c r="M268" s="37"/>
      <c r="N268" s="46" t="str">
        <f aca="false">IF(J268="","",J268+K268+L268+N(M268))</f>
        <v/>
      </c>
      <c r="O268" s="46" t="str">
        <f aca="false">IF(N268="","",IF(P268&lt;&gt;"",N268-P268,ROUND(N268*IFERROR(INDEX(Settings!$E$5:$E$12,MATCH(F268,Settings!$D$5:$D$12,0)),0),2)))</f>
        <v/>
      </c>
      <c r="P268" s="37"/>
      <c r="Q268" s="46" t="str">
        <f aca="false">IF(N268="","",IF(P268&lt;&gt;"",P268,N268-O268))</f>
        <v/>
      </c>
      <c r="R268" s="46" t="str">
        <f aca="false">IF(J268="","",IFERROR(N(INDEX(Properties!$H$5:$H$24,MATCH(D268,Properties!$A$5:$A$24,0))),0))</f>
        <v/>
      </c>
      <c r="S268" s="46" t="str">
        <f aca="false">IF(Q268="","",Q268-R268)</f>
        <v/>
      </c>
      <c r="T268" s="6"/>
      <c r="U268" s="6"/>
      <c r="V268" s="6"/>
      <c r="W268" s="6"/>
      <c r="X268" s="6"/>
      <c r="Y268" s="8" t="str">
        <f aca="false">IF(OR(D268="",B268="",C268=""),"",IF(N(C268)&lt;=N(B268),"Check dates",IF(T268="Cancelled","",IF(COUNTIFS($D$5:$D$1004,D268,$B$5:$B$1004,"&lt;"&amp;C268,$C$5:$C$1004,"&gt;"&amp;B268,$T$5:$T$1004,"&lt;&gt;Cancelled")&gt;1,"Double-booked",""))))</f>
        <v/>
      </c>
      <c r="Z268" s="42" t="str">
        <f aca="false">IF(AND(AA268=1,ISNUMBER(C268)),C268+ROW()/100000,"")</f>
        <v/>
      </c>
      <c r="AA268" s="43" t="n">
        <f aca="false">IF(AND(D268&lt;&gt;"",ISNUMBER(B268),ISNUMBER(C268),N(H268)&gt;0,T268&lt;&gt;"Cancelled",J268&lt;&gt;""),1,0)</f>
        <v>0</v>
      </c>
      <c r="AB268" s="44" t="n">
        <f aca="false">IF(AA268=1,J268/H268,0)</f>
        <v>0</v>
      </c>
      <c r="AC268" s="44" t="n">
        <f aca="false">IF(AA268=1,Q268/H268,0)</f>
        <v>0</v>
      </c>
      <c r="AD268" s="44" t="n">
        <f aca="false">IF(AA268=1,R268/H268,0)</f>
        <v>0</v>
      </c>
      <c r="AE268" s="44" t="n">
        <f aca="false">IF(AA268=1,O268/H268,0)</f>
        <v>0</v>
      </c>
      <c r="AF268" s="44" t="n">
        <f aca="false">IF(AA268=1,K268/H268,0)</f>
        <v>0</v>
      </c>
      <c r="AG268" s="45" t="str">
        <f aca="false">IF(AA268=1,D268&amp;"|"&amp;TEXT(B268,"0"),"")</f>
        <v/>
      </c>
      <c r="AH268" s="43" t="n">
        <f aca="false">IF(AA268=1,H268,0)</f>
        <v>0</v>
      </c>
    </row>
    <row r="269" customFormat="false" ht="15" hidden="false" customHeight="false" outlineLevel="0" collapsed="false">
      <c r="A269" s="8" t="str">
        <f aca="false">IF(B269="","","B-"&amp;TEXT(ROW()-4,"0000"))</f>
        <v/>
      </c>
      <c r="B269" s="38"/>
      <c r="C269" s="38"/>
      <c r="D269" s="6"/>
      <c r="E269" s="6"/>
      <c r="F269" s="6"/>
      <c r="G269" s="11"/>
      <c r="H269" s="18" t="str">
        <f aca="false">IF(AND(ISNUMBER(B269),ISNUMBER(C269)),MAX(0,C269-B269),"")</f>
        <v/>
      </c>
      <c r="I269" s="37"/>
      <c r="J269" s="41" t="str">
        <f aca="false">IF(OR(D269="",N(H269)=0),"",IFERROR(IF(I269&lt;&gt;"",H269*I269,ROUND(((H269-(INT((WEEKDAY(B269-6)+H269-1)/7)+INT((WEEKDAY(B269-7)+H269-1)/7)))*INDEX(Properties!$E$5:$E$24,MATCH(D269,Properties!$A$5:$A$24,0))+(INT((WEEKDAY(B269-6)+H269-1)/7)+INT((WEEKDAY(B269-7)+H269-1)/7))*INDEX(Properties!$F$5:$F$24,MATCH(D269,Properties!$A$5:$A$24,0)))*(1-IF(H269&gt;=28,Settings!$B$10,IF(H269&gt;=7,Settings!$B$9,0))),2)),0))</f>
        <v/>
      </c>
      <c r="K269" s="41" t="str">
        <f aca="false">IF(J269="","",IFERROR(N(INDEX(Properties!$G$5:$G$24,MATCH(D269,Properties!$A$5:$A$24,0))),0))</f>
        <v/>
      </c>
      <c r="L269" s="41" t="str">
        <f aca="false">IF(J269="","",IFERROR(MAX(0,N(G269)-INDEX(Properties!$I$5:$I$24,MATCH(D269,Properties!$A$5:$A$24,0)))*N(INDEX(Properties!$J$5:$J$24,MATCH(D269,Properties!$A$5:$A$24,0)))*H269,0))</f>
        <v/>
      </c>
      <c r="M269" s="37"/>
      <c r="N269" s="41" t="str">
        <f aca="false">IF(J269="","",J269+K269+L269+N(M269))</f>
        <v/>
      </c>
      <c r="O269" s="41" t="str">
        <f aca="false">IF(N269="","",IF(P269&lt;&gt;"",N269-P269,ROUND(N269*IFERROR(INDEX(Settings!$E$5:$E$12,MATCH(F269,Settings!$D$5:$D$12,0)),0),2)))</f>
        <v/>
      </c>
      <c r="P269" s="37"/>
      <c r="Q269" s="41" t="str">
        <f aca="false">IF(N269="","",IF(P269&lt;&gt;"",P269,N269-O269))</f>
        <v/>
      </c>
      <c r="R269" s="41" t="str">
        <f aca="false">IF(J269="","",IFERROR(N(INDEX(Properties!$H$5:$H$24,MATCH(D269,Properties!$A$5:$A$24,0))),0))</f>
        <v/>
      </c>
      <c r="S269" s="41" t="str">
        <f aca="false">IF(Q269="","",Q269-R269)</f>
        <v/>
      </c>
      <c r="T269" s="6"/>
      <c r="U269" s="6"/>
      <c r="V269" s="6"/>
      <c r="W269" s="6"/>
      <c r="X269" s="6"/>
      <c r="Y269" s="8" t="str">
        <f aca="false">IF(OR(D269="",B269="",C269=""),"",IF(N(C269)&lt;=N(B269),"Check dates",IF(T269="Cancelled","",IF(COUNTIFS($D$5:$D$1004,D269,$B$5:$B$1004,"&lt;"&amp;C269,$C$5:$C$1004,"&gt;"&amp;B269,$T$5:$T$1004,"&lt;&gt;Cancelled")&gt;1,"Double-booked",""))))</f>
        <v/>
      </c>
      <c r="Z269" s="42" t="str">
        <f aca="false">IF(AND(AA269=1,ISNUMBER(C269)),C269+ROW()/100000,"")</f>
        <v/>
      </c>
      <c r="AA269" s="43" t="n">
        <f aca="false">IF(AND(D269&lt;&gt;"",ISNUMBER(B269),ISNUMBER(C269),N(H269)&gt;0,T269&lt;&gt;"Cancelled",J269&lt;&gt;""),1,0)</f>
        <v>0</v>
      </c>
      <c r="AB269" s="44" t="n">
        <f aca="false">IF(AA269=1,J269/H269,0)</f>
        <v>0</v>
      </c>
      <c r="AC269" s="44" t="n">
        <f aca="false">IF(AA269=1,Q269/H269,0)</f>
        <v>0</v>
      </c>
      <c r="AD269" s="44" t="n">
        <f aca="false">IF(AA269=1,R269/H269,0)</f>
        <v>0</v>
      </c>
      <c r="AE269" s="44" t="n">
        <f aca="false">IF(AA269=1,O269/H269,0)</f>
        <v>0</v>
      </c>
      <c r="AF269" s="44" t="n">
        <f aca="false">IF(AA269=1,K269/H269,0)</f>
        <v>0</v>
      </c>
      <c r="AG269" s="45" t="str">
        <f aca="false">IF(AA269=1,D269&amp;"|"&amp;TEXT(B269,"0"),"")</f>
        <v/>
      </c>
      <c r="AH269" s="43" t="n">
        <f aca="false">IF(AA269=1,H269,0)</f>
        <v>0</v>
      </c>
    </row>
    <row r="270" customFormat="false" ht="15" hidden="false" customHeight="false" outlineLevel="0" collapsed="false">
      <c r="A270" s="23" t="str">
        <f aca="false">IF(B270="","","B-"&amp;TEXT(ROW()-4,"0000"))</f>
        <v/>
      </c>
      <c r="B270" s="38"/>
      <c r="C270" s="38"/>
      <c r="D270" s="6"/>
      <c r="E270" s="6"/>
      <c r="F270" s="6"/>
      <c r="G270" s="11"/>
      <c r="H270" s="24" t="str">
        <f aca="false">IF(AND(ISNUMBER(B270),ISNUMBER(C270)),MAX(0,C270-B270),"")</f>
        <v/>
      </c>
      <c r="I270" s="37"/>
      <c r="J270" s="46" t="str">
        <f aca="false">IF(OR(D270="",N(H270)=0),"",IFERROR(IF(I270&lt;&gt;"",H270*I270,ROUND(((H270-(INT((WEEKDAY(B270-6)+H270-1)/7)+INT((WEEKDAY(B270-7)+H270-1)/7)))*INDEX(Properties!$E$5:$E$24,MATCH(D270,Properties!$A$5:$A$24,0))+(INT((WEEKDAY(B270-6)+H270-1)/7)+INT((WEEKDAY(B270-7)+H270-1)/7))*INDEX(Properties!$F$5:$F$24,MATCH(D270,Properties!$A$5:$A$24,0)))*(1-IF(H270&gt;=28,Settings!$B$10,IF(H270&gt;=7,Settings!$B$9,0))),2)),0))</f>
        <v/>
      </c>
      <c r="K270" s="46" t="str">
        <f aca="false">IF(J270="","",IFERROR(N(INDEX(Properties!$G$5:$G$24,MATCH(D270,Properties!$A$5:$A$24,0))),0))</f>
        <v/>
      </c>
      <c r="L270" s="46" t="str">
        <f aca="false">IF(J270="","",IFERROR(MAX(0,N(G270)-INDEX(Properties!$I$5:$I$24,MATCH(D270,Properties!$A$5:$A$24,0)))*N(INDEX(Properties!$J$5:$J$24,MATCH(D270,Properties!$A$5:$A$24,0)))*H270,0))</f>
        <v/>
      </c>
      <c r="M270" s="37"/>
      <c r="N270" s="46" t="str">
        <f aca="false">IF(J270="","",J270+K270+L270+N(M270))</f>
        <v/>
      </c>
      <c r="O270" s="46" t="str">
        <f aca="false">IF(N270="","",IF(P270&lt;&gt;"",N270-P270,ROUND(N270*IFERROR(INDEX(Settings!$E$5:$E$12,MATCH(F270,Settings!$D$5:$D$12,0)),0),2)))</f>
        <v/>
      </c>
      <c r="P270" s="37"/>
      <c r="Q270" s="46" t="str">
        <f aca="false">IF(N270="","",IF(P270&lt;&gt;"",P270,N270-O270))</f>
        <v/>
      </c>
      <c r="R270" s="46" t="str">
        <f aca="false">IF(J270="","",IFERROR(N(INDEX(Properties!$H$5:$H$24,MATCH(D270,Properties!$A$5:$A$24,0))),0))</f>
        <v/>
      </c>
      <c r="S270" s="46" t="str">
        <f aca="false">IF(Q270="","",Q270-R270)</f>
        <v/>
      </c>
      <c r="T270" s="6"/>
      <c r="U270" s="6"/>
      <c r="V270" s="6"/>
      <c r="W270" s="6"/>
      <c r="X270" s="6"/>
      <c r="Y270" s="8" t="str">
        <f aca="false">IF(OR(D270="",B270="",C270=""),"",IF(N(C270)&lt;=N(B270),"Check dates",IF(T270="Cancelled","",IF(COUNTIFS($D$5:$D$1004,D270,$B$5:$B$1004,"&lt;"&amp;C270,$C$5:$C$1004,"&gt;"&amp;B270,$T$5:$T$1004,"&lt;&gt;Cancelled")&gt;1,"Double-booked",""))))</f>
        <v/>
      </c>
      <c r="Z270" s="42" t="str">
        <f aca="false">IF(AND(AA270=1,ISNUMBER(C270)),C270+ROW()/100000,"")</f>
        <v/>
      </c>
      <c r="AA270" s="43" t="n">
        <f aca="false">IF(AND(D270&lt;&gt;"",ISNUMBER(B270),ISNUMBER(C270),N(H270)&gt;0,T270&lt;&gt;"Cancelled",J270&lt;&gt;""),1,0)</f>
        <v>0</v>
      </c>
      <c r="AB270" s="44" t="n">
        <f aca="false">IF(AA270=1,J270/H270,0)</f>
        <v>0</v>
      </c>
      <c r="AC270" s="44" t="n">
        <f aca="false">IF(AA270=1,Q270/H270,0)</f>
        <v>0</v>
      </c>
      <c r="AD270" s="44" t="n">
        <f aca="false">IF(AA270=1,R270/H270,0)</f>
        <v>0</v>
      </c>
      <c r="AE270" s="44" t="n">
        <f aca="false">IF(AA270=1,O270/H270,0)</f>
        <v>0</v>
      </c>
      <c r="AF270" s="44" t="n">
        <f aca="false">IF(AA270=1,K270/H270,0)</f>
        <v>0</v>
      </c>
      <c r="AG270" s="45" t="str">
        <f aca="false">IF(AA270=1,D270&amp;"|"&amp;TEXT(B270,"0"),"")</f>
        <v/>
      </c>
      <c r="AH270" s="43" t="n">
        <f aca="false">IF(AA270=1,H270,0)</f>
        <v>0</v>
      </c>
    </row>
    <row r="271" customFormat="false" ht="15" hidden="false" customHeight="false" outlineLevel="0" collapsed="false">
      <c r="A271" s="8" t="str">
        <f aca="false">IF(B271="","","B-"&amp;TEXT(ROW()-4,"0000"))</f>
        <v/>
      </c>
      <c r="B271" s="38"/>
      <c r="C271" s="38"/>
      <c r="D271" s="6"/>
      <c r="E271" s="6"/>
      <c r="F271" s="6"/>
      <c r="G271" s="11"/>
      <c r="H271" s="18" t="str">
        <f aca="false">IF(AND(ISNUMBER(B271),ISNUMBER(C271)),MAX(0,C271-B271),"")</f>
        <v/>
      </c>
      <c r="I271" s="37"/>
      <c r="J271" s="41" t="str">
        <f aca="false">IF(OR(D271="",N(H271)=0),"",IFERROR(IF(I271&lt;&gt;"",H271*I271,ROUND(((H271-(INT((WEEKDAY(B271-6)+H271-1)/7)+INT((WEEKDAY(B271-7)+H271-1)/7)))*INDEX(Properties!$E$5:$E$24,MATCH(D271,Properties!$A$5:$A$24,0))+(INT((WEEKDAY(B271-6)+H271-1)/7)+INT((WEEKDAY(B271-7)+H271-1)/7))*INDEX(Properties!$F$5:$F$24,MATCH(D271,Properties!$A$5:$A$24,0)))*(1-IF(H271&gt;=28,Settings!$B$10,IF(H271&gt;=7,Settings!$B$9,0))),2)),0))</f>
        <v/>
      </c>
      <c r="K271" s="41" t="str">
        <f aca="false">IF(J271="","",IFERROR(N(INDEX(Properties!$G$5:$G$24,MATCH(D271,Properties!$A$5:$A$24,0))),0))</f>
        <v/>
      </c>
      <c r="L271" s="41" t="str">
        <f aca="false">IF(J271="","",IFERROR(MAX(0,N(G271)-INDEX(Properties!$I$5:$I$24,MATCH(D271,Properties!$A$5:$A$24,0)))*N(INDEX(Properties!$J$5:$J$24,MATCH(D271,Properties!$A$5:$A$24,0)))*H271,0))</f>
        <v/>
      </c>
      <c r="M271" s="37"/>
      <c r="N271" s="41" t="str">
        <f aca="false">IF(J271="","",J271+K271+L271+N(M271))</f>
        <v/>
      </c>
      <c r="O271" s="41" t="str">
        <f aca="false">IF(N271="","",IF(P271&lt;&gt;"",N271-P271,ROUND(N271*IFERROR(INDEX(Settings!$E$5:$E$12,MATCH(F271,Settings!$D$5:$D$12,0)),0),2)))</f>
        <v/>
      </c>
      <c r="P271" s="37"/>
      <c r="Q271" s="41" t="str">
        <f aca="false">IF(N271="","",IF(P271&lt;&gt;"",P271,N271-O271))</f>
        <v/>
      </c>
      <c r="R271" s="41" t="str">
        <f aca="false">IF(J271="","",IFERROR(N(INDEX(Properties!$H$5:$H$24,MATCH(D271,Properties!$A$5:$A$24,0))),0))</f>
        <v/>
      </c>
      <c r="S271" s="41" t="str">
        <f aca="false">IF(Q271="","",Q271-R271)</f>
        <v/>
      </c>
      <c r="T271" s="6"/>
      <c r="U271" s="6"/>
      <c r="V271" s="6"/>
      <c r="W271" s="6"/>
      <c r="X271" s="6"/>
      <c r="Y271" s="8" t="str">
        <f aca="false">IF(OR(D271="",B271="",C271=""),"",IF(N(C271)&lt;=N(B271),"Check dates",IF(T271="Cancelled","",IF(COUNTIFS($D$5:$D$1004,D271,$B$5:$B$1004,"&lt;"&amp;C271,$C$5:$C$1004,"&gt;"&amp;B271,$T$5:$T$1004,"&lt;&gt;Cancelled")&gt;1,"Double-booked",""))))</f>
        <v/>
      </c>
      <c r="Z271" s="42" t="str">
        <f aca="false">IF(AND(AA271=1,ISNUMBER(C271)),C271+ROW()/100000,"")</f>
        <v/>
      </c>
      <c r="AA271" s="43" t="n">
        <f aca="false">IF(AND(D271&lt;&gt;"",ISNUMBER(B271),ISNUMBER(C271),N(H271)&gt;0,T271&lt;&gt;"Cancelled",J271&lt;&gt;""),1,0)</f>
        <v>0</v>
      </c>
      <c r="AB271" s="44" t="n">
        <f aca="false">IF(AA271=1,J271/H271,0)</f>
        <v>0</v>
      </c>
      <c r="AC271" s="44" t="n">
        <f aca="false">IF(AA271=1,Q271/H271,0)</f>
        <v>0</v>
      </c>
      <c r="AD271" s="44" t="n">
        <f aca="false">IF(AA271=1,R271/H271,0)</f>
        <v>0</v>
      </c>
      <c r="AE271" s="44" t="n">
        <f aca="false">IF(AA271=1,O271/H271,0)</f>
        <v>0</v>
      </c>
      <c r="AF271" s="44" t="n">
        <f aca="false">IF(AA271=1,K271/H271,0)</f>
        <v>0</v>
      </c>
      <c r="AG271" s="45" t="str">
        <f aca="false">IF(AA271=1,D271&amp;"|"&amp;TEXT(B271,"0"),"")</f>
        <v/>
      </c>
      <c r="AH271" s="43" t="n">
        <f aca="false">IF(AA271=1,H271,0)</f>
        <v>0</v>
      </c>
    </row>
    <row r="272" customFormat="false" ht="15" hidden="false" customHeight="false" outlineLevel="0" collapsed="false">
      <c r="A272" s="23" t="str">
        <f aca="false">IF(B272="","","B-"&amp;TEXT(ROW()-4,"0000"))</f>
        <v/>
      </c>
      <c r="B272" s="38"/>
      <c r="C272" s="38"/>
      <c r="D272" s="6"/>
      <c r="E272" s="6"/>
      <c r="F272" s="6"/>
      <c r="G272" s="11"/>
      <c r="H272" s="24" t="str">
        <f aca="false">IF(AND(ISNUMBER(B272),ISNUMBER(C272)),MAX(0,C272-B272),"")</f>
        <v/>
      </c>
      <c r="I272" s="37"/>
      <c r="J272" s="46" t="str">
        <f aca="false">IF(OR(D272="",N(H272)=0),"",IFERROR(IF(I272&lt;&gt;"",H272*I272,ROUND(((H272-(INT((WEEKDAY(B272-6)+H272-1)/7)+INT((WEEKDAY(B272-7)+H272-1)/7)))*INDEX(Properties!$E$5:$E$24,MATCH(D272,Properties!$A$5:$A$24,0))+(INT((WEEKDAY(B272-6)+H272-1)/7)+INT((WEEKDAY(B272-7)+H272-1)/7))*INDEX(Properties!$F$5:$F$24,MATCH(D272,Properties!$A$5:$A$24,0)))*(1-IF(H272&gt;=28,Settings!$B$10,IF(H272&gt;=7,Settings!$B$9,0))),2)),0))</f>
        <v/>
      </c>
      <c r="K272" s="46" t="str">
        <f aca="false">IF(J272="","",IFERROR(N(INDEX(Properties!$G$5:$G$24,MATCH(D272,Properties!$A$5:$A$24,0))),0))</f>
        <v/>
      </c>
      <c r="L272" s="46" t="str">
        <f aca="false">IF(J272="","",IFERROR(MAX(0,N(G272)-INDEX(Properties!$I$5:$I$24,MATCH(D272,Properties!$A$5:$A$24,0)))*N(INDEX(Properties!$J$5:$J$24,MATCH(D272,Properties!$A$5:$A$24,0)))*H272,0))</f>
        <v/>
      </c>
      <c r="M272" s="37"/>
      <c r="N272" s="46" t="str">
        <f aca="false">IF(J272="","",J272+K272+L272+N(M272))</f>
        <v/>
      </c>
      <c r="O272" s="46" t="str">
        <f aca="false">IF(N272="","",IF(P272&lt;&gt;"",N272-P272,ROUND(N272*IFERROR(INDEX(Settings!$E$5:$E$12,MATCH(F272,Settings!$D$5:$D$12,0)),0),2)))</f>
        <v/>
      </c>
      <c r="P272" s="37"/>
      <c r="Q272" s="46" t="str">
        <f aca="false">IF(N272="","",IF(P272&lt;&gt;"",P272,N272-O272))</f>
        <v/>
      </c>
      <c r="R272" s="46" t="str">
        <f aca="false">IF(J272="","",IFERROR(N(INDEX(Properties!$H$5:$H$24,MATCH(D272,Properties!$A$5:$A$24,0))),0))</f>
        <v/>
      </c>
      <c r="S272" s="46" t="str">
        <f aca="false">IF(Q272="","",Q272-R272)</f>
        <v/>
      </c>
      <c r="T272" s="6"/>
      <c r="U272" s="6"/>
      <c r="V272" s="6"/>
      <c r="W272" s="6"/>
      <c r="X272" s="6"/>
      <c r="Y272" s="8" t="str">
        <f aca="false">IF(OR(D272="",B272="",C272=""),"",IF(N(C272)&lt;=N(B272),"Check dates",IF(T272="Cancelled","",IF(COUNTIFS($D$5:$D$1004,D272,$B$5:$B$1004,"&lt;"&amp;C272,$C$5:$C$1004,"&gt;"&amp;B272,$T$5:$T$1004,"&lt;&gt;Cancelled")&gt;1,"Double-booked",""))))</f>
        <v/>
      </c>
      <c r="Z272" s="42" t="str">
        <f aca="false">IF(AND(AA272=1,ISNUMBER(C272)),C272+ROW()/100000,"")</f>
        <v/>
      </c>
      <c r="AA272" s="43" t="n">
        <f aca="false">IF(AND(D272&lt;&gt;"",ISNUMBER(B272),ISNUMBER(C272),N(H272)&gt;0,T272&lt;&gt;"Cancelled",J272&lt;&gt;""),1,0)</f>
        <v>0</v>
      </c>
      <c r="AB272" s="44" t="n">
        <f aca="false">IF(AA272=1,J272/H272,0)</f>
        <v>0</v>
      </c>
      <c r="AC272" s="44" t="n">
        <f aca="false">IF(AA272=1,Q272/H272,0)</f>
        <v>0</v>
      </c>
      <c r="AD272" s="44" t="n">
        <f aca="false">IF(AA272=1,R272/H272,0)</f>
        <v>0</v>
      </c>
      <c r="AE272" s="44" t="n">
        <f aca="false">IF(AA272=1,O272/H272,0)</f>
        <v>0</v>
      </c>
      <c r="AF272" s="44" t="n">
        <f aca="false">IF(AA272=1,K272/H272,0)</f>
        <v>0</v>
      </c>
      <c r="AG272" s="45" t="str">
        <f aca="false">IF(AA272=1,D272&amp;"|"&amp;TEXT(B272,"0"),"")</f>
        <v/>
      </c>
      <c r="AH272" s="43" t="n">
        <f aca="false">IF(AA272=1,H272,0)</f>
        <v>0</v>
      </c>
    </row>
    <row r="273" customFormat="false" ht="15" hidden="false" customHeight="false" outlineLevel="0" collapsed="false">
      <c r="A273" s="8" t="str">
        <f aca="false">IF(B273="","","B-"&amp;TEXT(ROW()-4,"0000"))</f>
        <v/>
      </c>
      <c r="B273" s="38"/>
      <c r="C273" s="38"/>
      <c r="D273" s="6"/>
      <c r="E273" s="6"/>
      <c r="F273" s="6"/>
      <c r="G273" s="11"/>
      <c r="H273" s="18" t="str">
        <f aca="false">IF(AND(ISNUMBER(B273),ISNUMBER(C273)),MAX(0,C273-B273),"")</f>
        <v/>
      </c>
      <c r="I273" s="37"/>
      <c r="J273" s="41" t="str">
        <f aca="false">IF(OR(D273="",N(H273)=0),"",IFERROR(IF(I273&lt;&gt;"",H273*I273,ROUND(((H273-(INT((WEEKDAY(B273-6)+H273-1)/7)+INT((WEEKDAY(B273-7)+H273-1)/7)))*INDEX(Properties!$E$5:$E$24,MATCH(D273,Properties!$A$5:$A$24,0))+(INT((WEEKDAY(B273-6)+H273-1)/7)+INT((WEEKDAY(B273-7)+H273-1)/7))*INDEX(Properties!$F$5:$F$24,MATCH(D273,Properties!$A$5:$A$24,0)))*(1-IF(H273&gt;=28,Settings!$B$10,IF(H273&gt;=7,Settings!$B$9,0))),2)),0))</f>
        <v/>
      </c>
      <c r="K273" s="41" t="str">
        <f aca="false">IF(J273="","",IFERROR(N(INDEX(Properties!$G$5:$G$24,MATCH(D273,Properties!$A$5:$A$24,0))),0))</f>
        <v/>
      </c>
      <c r="L273" s="41" t="str">
        <f aca="false">IF(J273="","",IFERROR(MAX(0,N(G273)-INDEX(Properties!$I$5:$I$24,MATCH(D273,Properties!$A$5:$A$24,0)))*N(INDEX(Properties!$J$5:$J$24,MATCH(D273,Properties!$A$5:$A$24,0)))*H273,0))</f>
        <v/>
      </c>
      <c r="M273" s="37"/>
      <c r="N273" s="41" t="str">
        <f aca="false">IF(J273="","",J273+K273+L273+N(M273))</f>
        <v/>
      </c>
      <c r="O273" s="41" t="str">
        <f aca="false">IF(N273="","",IF(P273&lt;&gt;"",N273-P273,ROUND(N273*IFERROR(INDEX(Settings!$E$5:$E$12,MATCH(F273,Settings!$D$5:$D$12,0)),0),2)))</f>
        <v/>
      </c>
      <c r="P273" s="37"/>
      <c r="Q273" s="41" t="str">
        <f aca="false">IF(N273="","",IF(P273&lt;&gt;"",P273,N273-O273))</f>
        <v/>
      </c>
      <c r="R273" s="41" t="str">
        <f aca="false">IF(J273="","",IFERROR(N(INDEX(Properties!$H$5:$H$24,MATCH(D273,Properties!$A$5:$A$24,0))),0))</f>
        <v/>
      </c>
      <c r="S273" s="41" t="str">
        <f aca="false">IF(Q273="","",Q273-R273)</f>
        <v/>
      </c>
      <c r="T273" s="6"/>
      <c r="U273" s="6"/>
      <c r="V273" s="6"/>
      <c r="W273" s="6"/>
      <c r="X273" s="6"/>
      <c r="Y273" s="8" t="str">
        <f aca="false">IF(OR(D273="",B273="",C273=""),"",IF(N(C273)&lt;=N(B273),"Check dates",IF(T273="Cancelled","",IF(COUNTIFS($D$5:$D$1004,D273,$B$5:$B$1004,"&lt;"&amp;C273,$C$5:$C$1004,"&gt;"&amp;B273,$T$5:$T$1004,"&lt;&gt;Cancelled")&gt;1,"Double-booked",""))))</f>
        <v/>
      </c>
      <c r="Z273" s="42" t="str">
        <f aca="false">IF(AND(AA273=1,ISNUMBER(C273)),C273+ROW()/100000,"")</f>
        <v/>
      </c>
      <c r="AA273" s="43" t="n">
        <f aca="false">IF(AND(D273&lt;&gt;"",ISNUMBER(B273),ISNUMBER(C273),N(H273)&gt;0,T273&lt;&gt;"Cancelled",J273&lt;&gt;""),1,0)</f>
        <v>0</v>
      </c>
      <c r="AB273" s="44" t="n">
        <f aca="false">IF(AA273=1,J273/H273,0)</f>
        <v>0</v>
      </c>
      <c r="AC273" s="44" t="n">
        <f aca="false">IF(AA273=1,Q273/H273,0)</f>
        <v>0</v>
      </c>
      <c r="AD273" s="44" t="n">
        <f aca="false">IF(AA273=1,R273/H273,0)</f>
        <v>0</v>
      </c>
      <c r="AE273" s="44" t="n">
        <f aca="false">IF(AA273=1,O273/H273,0)</f>
        <v>0</v>
      </c>
      <c r="AF273" s="44" t="n">
        <f aca="false">IF(AA273=1,K273/H273,0)</f>
        <v>0</v>
      </c>
      <c r="AG273" s="45" t="str">
        <f aca="false">IF(AA273=1,D273&amp;"|"&amp;TEXT(B273,"0"),"")</f>
        <v/>
      </c>
      <c r="AH273" s="43" t="n">
        <f aca="false">IF(AA273=1,H273,0)</f>
        <v>0</v>
      </c>
    </row>
    <row r="274" customFormat="false" ht="15" hidden="false" customHeight="false" outlineLevel="0" collapsed="false">
      <c r="A274" s="23" t="str">
        <f aca="false">IF(B274="","","B-"&amp;TEXT(ROW()-4,"0000"))</f>
        <v/>
      </c>
      <c r="B274" s="38"/>
      <c r="C274" s="38"/>
      <c r="D274" s="6"/>
      <c r="E274" s="6"/>
      <c r="F274" s="6"/>
      <c r="G274" s="11"/>
      <c r="H274" s="24" t="str">
        <f aca="false">IF(AND(ISNUMBER(B274),ISNUMBER(C274)),MAX(0,C274-B274),"")</f>
        <v/>
      </c>
      <c r="I274" s="37"/>
      <c r="J274" s="46" t="str">
        <f aca="false">IF(OR(D274="",N(H274)=0),"",IFERROR(IF(I274&lt;&gt;"",H274*I274,ROUND(((H274-(INT((WEEKDAY(B274-6)+H274-1)/7)+INT((WEEKDAY(B274-7)+H274-1)/7)))*INDEX(Properties!$E$5:$E$24,MATCH(D274,Properties!$A$5:$A$24,0))+(INT((WEEKDAY(B274-6)+H274-1)/7)+INT((WEEKDAY(B274-7)+H274-1)/7))*INDEX(Properties!$F$5:$F$24,MATCH(D274,Properties!$A$5:$A$24,0)))*(1-IF(H274&gt;=28,Settings!$B$10,IF(H274&gt;=7,Settings!$B$9,0))),2)),0))</f>
        <v/>
      </c>
      <c r="K274" s="46" t="str">
        <f aca="false">IF(J274="","",IFERROR(N(INDEX(Properties!$G$5:$G$24,MATCH(D274,Properties!$A$5:$A$24,0))),0))</f>
        <v/>
      </c>
      <c r="L274" s="46" t="str">
        <f aca="false">IF(J274="","",IFERROR(MAX(0,N(G274)-INDEX(Properties!$I$5:$I$24,MATCH(D274,Properties!$A$5:$A$24,0)))*N(INDEX(Properties!$J$5:$J$24,MATCH(D274,Properties!$A$5:$A$24,0)))*H274,0))</f>
        <v/>
      </c>
      <c r="M274" s="37"/>
      <c r="N274" s="46" t="str">
        <f aca="false">IF(J274="","",J274+K274+L274+N(M274))</f>
        <v/>
      </c>
      <c r="O274" s="46" t="str">
        <f aca="false">IF(N274="","",IF(P274&lt;&gt;"",N274-P274,ROUND(N274*IFERROR(INDEX(Settings!$E$5:$E$12,MATCH(F274,Settings!$D$5:$D$12,0)),0),2)))</f>
        <v/>
      </c>
      <c r="P274" s="37"/>
      <c r="Q274" s="46" t="str">
        <f aca="false">IF(N274="","",IF(P274&lt;&gt;"",P274,N274-O274))</f>
        <v/>
      </c>
      <c r="R274" s="46" t="str">
        <f aca="false">IF(J274="","",IFERROR(N(INDEX(Properties!$H$5:$H$24,MATCH(D274,Properties!$A$5:$A$24,0))),0))</f>
        <v/>
      </c>
      <c r="S274" s="46" t="str">
        <f aca="false">IF(Q274="","",Q274-R274)</f>
        <v/>
      </c>
      <c r="T274" s="6"/>
      <c r="U274" s="6"/>
      <c r="V274" s="6"/>
      <c r="W274" s="6"/>
      <c r="X274" s="6"/>
      <c r="Y274" s="8" t="str">
        <f aca="false">IF(OR(D274="",B274="",C274=""),"",IF(N(C274)&lt;=N(B274),"Check dates",IF(T274="Cancelled","",IF(COUNTIFS($D$5:$D$1004,D274,$B$5:$B$1004,"&lt;"&amp;C274,$C$5:$C$1004,"&gt;"&amp;B274,$T$5:$T$1004,"&lt;&gt;Cancelled")&gt;1,"Double-booked",""))))</f>
        <v/>
      </c>
      <c r="Z274" s="42" t="str">
        <f aca="false">IF(AND(AA274=1,ISNUMBER(C274)),C274+ROW()/100000,"")</f>
        <v/>
      </c>
      <c r="AA274" s="43" t="n">
        <f aca="false">IF(AND(D274&lt;&gt;"",ISNUMBER(B274),ISNUMBER(C274),N(H274)&gt;0,T274&lt;&gt;"Cancelled",J274&lt;&gt;""),1,0)</f>
        <v>0</v>
      </c>
      <c r="AB274" s="44" t="n">
        <f aca="false">IF(AA274=1,J274/H274,0)</f>
        <v>0</v>
      </c>
      <c r="AC274" s="44" t="n">
        <f aca="false">IF(AA274=1,Q274/H274,0)</f>
        <v>0</v>
      </c>
      <c r="AD274" s="44" t="n">
        <f aca="false">IF(AA274=1,R274/H274,0)</f>
        <v>0</v>
      </c>
      <c r="AE274" s="44" t="n">
        <f aca="false">IF(AA274=1,O274/H274,0)</f>
        <v>0</v>
      </c>
      <c r="AF274" s="44" t="n">
        <f aca="false">IF(AA274=1,K274/H274,0)</f>
        <v>0</v>
      </c>
      <c r="AG274" s="45" t="str">
        <f aca="false">IF(AA274=1,D274&amp;"|"&amp;TEXT(B274,"0"),"")</f>
        <v/>
      </c>
      <c r="AH274" s="43" t="n">
        <f aca="false">IF(AA274=1,H274,0)</f>
        <v>0</v>
      </c>
    </row>
    <row r="275" customFormat="false" ht="15" hidden="false" customHeight="false" outlineLevel="0" collapsed="false">
      <c r="A275" s="8" t="str">
        <f aca="false">IF(B275="","","B-"&amp;TEXT(ROW()-4,"0000"))</f>
        <v/>
      </c>
      <c r="B275" s="38"/>
      <c r="C275" s="38"/>
      <c r="D275" s="6"/>
      <c r="E275" s="6"/>
      <c r="F275" s="6"/>
      <c r="G275" s="11"/>
      <c r="H275" s="18" t="str">
        <f aca="false">IF(AND(ISNUMBER(B275),ISNUMBER(C275)),MAX(0,C275-B275),"")</f>
        <v/>
      </c>
      <c r="I275" s="37"/>
      <c r="J275" s="41" t="str">
        <f aca="false">IF(OR(D275="",N(H275)=0),"",IFERROR(IF(I275&lt;&gt;"",H275*I275,ROUND(((H275-(INT((WEEKDAY(B275-6)+H275-1)/7)+INT((WEEKDAY(B275-7)+H275-1)/7)))*INDEX(Properties!$E$5:$E$24,MATCH(D275,Properties!$A$5:$A$24,0))+(INT((WEEKDAY(B275-6)+H275-1)/7)+INT((WEEKDAY(B275-7)+H275-1)/7))*INDEX(Properties!$F$5:$F$24,MATCH(D275,Properties!$A$5:$A$24,0)))*(1-IF(H275&gt;=28,Settings!$B$10,IF(H275&gt;=7,Settings!$B$9,0))),2)),0))</f>
        <v/>
      </c>
      <c r="K275" s="41" t="str">
        <f aca="false">IF(J275="","",IFERROR(N(INDEX(Properties!$G$5:$G$24,MATCH(D275,Properties!$A$5:$A$24,0))),0))</f>
        <v/>
      </c>
      <c r="L275" s="41" t="str">
        <f aca="false">IF(J275="","",IFERROR(MAX(0,N(G275)-INDEX(Properties!$I$5:$I$24,MATCH(D275,Properties!$A$5:$A$24,0)))*N(INDEX(Properties!$J$5:$J$24,MATCH(D275,Properties!$A$5:$A$24,0)))*H275,0))</f>
        <v/>
      </c>
      <c r="M275" s="37"/>
      <c r="N275" s="41" t="str">
        <f aca="false">IF(J275="","",J275+K275+L275+N(M275))</f>
        <v/>
      </c>
      <c r="O275" s="41" t="str">
        <f aca="false">IF(N275="","",IF(P275&lt;&gt;"",N275-P275,ROUND(N275*IFERROR(INDEX(Settings!$E$5:$E$12,MATCH(F275,Settings!$D$5:$D$12,0)),0),2)))</f>
        <v/>
      </c>
      <c r="P275" s="37"/>
      <c r="Q275" s="41" t="str">
        <f aca="false">IF(N275="","",IF(P275&lt;&gt;"",P275,N275-O275))</f>
        <v/>
      </c>
      <c r="R275" s="41" t="str">
        <f aca="false">IF(J275="","",IFERROR(N(INDEX(Properties!$H$5:$H$24,MATCH(D275,Properties!$A$5:$A$24,0))),0))</f>
        <v/>
      </c>
      <c r="S275" s="41" t="str">
        <f aca="false">IF(Q275="","",Q275-R275)</f>
        <v/>
      </c>
      <c r="T275" s="6"/>
      <c r="U275" s="6"/>
      <c r="V275" s="6"/>
      <c r="W275" s="6"/>
      <c r="X275" s="6"/>
      <c r="Y275" s="8" t="str">
        <f aca="false">IF(OR(D275="",B275="",C275=""),"",IF(N(C275)&lt;=N(B275),"Check dates",IF(T275="Cancelled","",IF(COUNTIFS($D$5:$D$1004,D275,$B$5:$B$1004,"&lt;"&amp;C275,$C$5:$C$1004,"&gt;"&amp;B275,$T$5:$T$1004,"&lt;&gt;Cancelled")&gt;1,"Double-booked",""))))</f>
        <v/>
      </c>
      <c r="Z275" s="42" t="str">
        <f aca="false">IF(AND(AA275=1,ISNUMBER(C275)),C275+ROW()/100000,"")</f>
        <v/>
      </c>
      <c r="AA275" s="43" t="n">
        <f aca="false">IF(AND(D275&lt;&gt;"",ISNUMBER(B275),ISNUMBER(C275),N(H275)&gt;0,T275&lt;&gt;"Cancelled",J275&lt;&gt;""),1,0)</f>
        <v>0</v>
      </c>
      <c r="AB275" s="44" t="n">
        <f aca="false">IF(AA275=1,J275/H275,0)</f>
        <v>0</v>
      </c>
      <c r="AC275" s="44" t="n">
        <f aca="false">IF(AA275=1,Q275/H275,0)</f>
        <v>0</v>
      </c>
      <c r="AD275" s="44" t="n">
        <f aca="false">IF(AA275=1,R275/H275,0)</f>
        <v>0</v>
      </c>
      <c r="AE275" s="44" t="n">
        <f aca="false">IF(AA275=1,O275/H275,0)</f>
        <v>0</v>
      </c>
      <c r="AF275" s="44" t="n">
        <f aca="false">IF(AA275=1,K275/H275,0)</f>
        <v>0</v>
      </c>
      <c r="AG275" s="45" t="str">
        <f aca="false">IF(AA275=1,D275&amp;"|"&amp;TEXT(B275,"0"),"")</f>
        <v/>
      </c>
      <c r="AH275" s="43" t="n">
        <f aca="false">IF(AA275=1,H275,0)</f>
        <v>0</v>
      </c>
    </row>
    <row r="276" customFormat="false" ht="15" hidden="false" customHeight="false" outlineLevel="0" collapsed="false">
      <c r="A276" s="23" t="str">
        <f aca="false">IF(B276="","","B-"&amp;TEXT(ROW()-4,"0000"))</f>
        <v/>
      </c>
      <c r="B276" s="38"/>
      <c r="C276" s="38"/>
      <c r="D276" s="6"/>
      <c r="E276" s="6"/>
      <c r="F276" s="6"/>
      <c r="G276" s="11"/>
      <c r="H276" s="24" t="str">
        <f aca="false">IF(AND(ISNUMBER(B276),ISNUMBER(C276)),MAX(0,C276-B276),"")</f>
        <v/>
      </c>
      <c r="I276" s="37"/>
      <c r="J276" s="46" t="str">
        <f aca="false">IF(OR(D276="",N(H276)=0),"",IFERROR(IF(I276&lt;&gt;"",H276*I276,ROUND(((H276-(INT((WEEKDAY(B276-6)+H276-1)/7)+INT((WEEKDAY(B276-7)+H276-1)/7)))*INDEX(Properties!$E$5:$E$24,MATCH(D276,Properties!$A$5:$A$24,0))+(INT((WEEKDAY(B276-6)+H276-1)/7)+INT((WEEKDAY(B276-7)+H276-1)/7))*INDEX(Properties!$F$5:$F$24,MATCH(D276,Properties!$A$5:$A$24,0)))*(1-IF(H276&gt;=28,Settings!$B$10,IF(H276&gt;=7,Settings!$B$9,0))),2)),0))</f>
        <v/>
      </c>
      <c r="K276" s="46" t="str">
        <f aca="false">IF(J276="","",IFERROR(N(INDEX(Properties!$G$5:$G$24,MATCH(D276,Properties!$A$5:$A$24,0))),0))</f>
        <v/>
      </c>
      <c r="L276" s="46" t="str">
        <f aca="false">IF(J276="","",IFERROR(MAX(0,N(G276)-INDEX(Properties!$I$5:$I$24,MATCH(D276,Properties!$A$5:$A$24,0)))*N(INDEX(Properties!$J$5:$J$24,MATCH(D276,Properties!$A$5:$A$24,0)))*H276,0))</f>
        <v/>
      </c>
      <c r="M276" s="37"/>
      <c r="N276" s="46" t="str">
        <f aca="false">IF(J276="","",J276+K276+L276+N(M276))</f>
        <v/>
      </c>
      <c r="O276" s="46" t="str">
        <f aca="false">IF(N276="","",IF(P276&lt;&gt;"",N276-P276,ROUND(N276*IFERROR(INDEX(Settings!$E$5:$E$12,MATCH(F276,Settings!$D$5:$D$12,0)),0),2)))</f>
        <v/>
      </c>
      <c r="P276" s="37"/>
      <c r="Q276" s="46" t="str">
        <f aca="false">IF(N276="","",IF(P276&lt;&gt;"",P276,N276-O276))</f>
        <v/>
      </c>
      <c r="R276" s="46" t="str">
        <f aca="false">IF(J276="","",IFERROR(N(INDEX(Properties!$H$5:$H$24,MATCH(D276,Properties!$A$5:$A$24,0))),0))</f>
        <v/>
      </c>
      <c r="S276" s="46" t="str">
        <f aca="false">IF(Q276="","",Q276-R276)</f>
        <v/>
      </c>
      <c r="T276" s="6"/>
      <c r="U276" s="6"/>
      <c r="V276" s="6"/>
      <c r="W276" s="6"/>
      <c r="X276" s="6"/>
      <c r="Y276" s="8" t="str">
        <f aca="false">IF(OR(D276="",B276="",C276=""),"",IF(N(C276)&lt;=N(B276),"Check dates",IF(T276="Cancelled","",IF(COUNTIFS($D$5:$D$1004,D276,$B$5:$B$1004,"&lt;"&amp;C276,$C$5:$C$1004,"&gt;"&amp;B276,$T$5:$T$1004,"&lt;&gt;Cancelled")&gt;1,"Double-booked",""))))</f>
        <v/>
      </c>
      <c r="Z276" s="42" t="str">
        <f aca="false">IF(AND(AA276=1,ISNUMBER(C276)),C276+ROW()/100000,"")</f>
        <v/>
      </c>
      <c r="AA276" s="43" t="n">
        <f aca="false">IF(AND(D276&lt;&gt;"",ISNUMBER(B276),ISNUMBER(C276),N(H276)&gt;0,T276&lt;&gt;"Cancelled",J276&lt;&gt;""),1,0)</f>
        <v>0</v>
      </c>
      <c r="AB276" s="44" t="n">
        <f aca="false">IF(AA276=1,J276/H276,0)</f>
        <v>0</v>
      </c>
      <c r="AC276" s="44" t="n">
        <f aca="false">IF(AA276=1,Q276/H276,0)</f>
        <v>0</v>
      </c>
      <c r="AD276" s="44" t="n">
        <f aca="false">IF(AA276=1,R276/H276,0)</f>
        <v>0</v>
      </c>
      <c r="AE276" s="44" t="n">
        <f aca="false">IF(AA276=1,O276/H276,0)</f>
        <v>0</v>
      </c>
      <c r="AF276" s="44" t="n">
        <f aca="false">IF(AA276=1,K276/H276,0)</f>
        <v>0</v>
      </c>
      <c r="AG276" s="45" t="str">
        <f aca="false">IF(AA276=1,D276&amp;"|"&amp;TEXT(B276,"0"),"")</f>
        <v/>
      </c>
      <c r="AH276" s="43" t="n">
        <f aca="false">IF(AA276=1,H276,0)</f>
        <v>0</v>
      </c>
    </row>
    <row r="277" customFormat="false" ht="15" hidden="false" customHeight="false" outlineLevel="0" collapsed="false">
      <c r="A277" s="8" t="str">
        <f aca="false">IF(B277="","","B-"&amp;TEXT(ROW()-4,"0000"))</f>
        <v/>
      </c>
      <c r="B277" s="38"/>
      <c r="C277" s="38"/>
      <c r="D277" s="6"/>
      <c r="E277" s="6"/>
      <c r="F277" s="6"/>
      <c r="G277" s="11"/>
      <c r="H277" s="18" t="str">
        <f aca="false">IF(AND(ISNUMBER(B277),ISNUMBER(C277)),MAX(0,C277-B277),"")</f>
        <v/>
      </c>
      <c r="I277" s="37"/>
      <c r="J277" s="41" t="str">
        <f aca="false">IF(OR(D277="",N(H277)=0),"",IFERROR(IF(I277&lt;&gt;"",H277*I277,ROUND(((H277-(INT((WEEKDAY(B277-6)+H277-1)/7)+INT((WEEKDAY(B277-7)+H277-1)/7)))*INDEX(Properties!$E$5:$E$24,MATCH(D277,Properties!$A$5:$A$24,0))+(INT((WEEKDAY(B277-6)+H277-1)/7)+INT((WEEKDAY(B277-7)+H277-1)/7))*INDEX(Properties!$F$5:$F$24,MATCH(D277,Properties!$A$5:$A$24,0)))*(1-IF(H277&gt;=28,Settings!$B$10,IF(H277&gt;=7,Settings!$B$9,0))),2)),0))</f>
        <v/>
      </c>
      <c r="K277" s="41" t="str">
        <f aca="false">IF(J277="","",IFERROR(N(INDEX(Properties!$G$5:$G$24,MATCH(D277,Properties!$A$5:$A$24,0))),0))</f>
        <v/>
      </c>
      <c r="L277" s="41" t="str">
        <f aca="false">IF(J277="","",IFERROR(MAX(0,N(G277)-INDEX(Properties!$I$5:$I$24,MATCH(D277,Properties!$A$5:$A$24,0)))*N(INDEX(Properties!$J$5:$J$24,MATCH(D277,Properties!$A$5:$A$24,0)))*H277,0))</f>
        <v/>
      </c>
      <c r="M277" s="37"/>
      <c r="N277" s="41" t="str">
        <f aca="false">IF(J277="","",J277+K277+L277+N(M277))</f>
        <v/>
      </c>
      <c r="O277" s="41" t="str">
        <f aca="false">IF(N277="","",IF(P277&lt;&gt;"",N277-P277,ROUND(N277*IFERROR(INDEX(Settings!$E$5:$E$12,MATCH(F277,Settings!$D$5:$D$12,0)),0),2)))</f>
        <v/>
      </c>
      <c r="P277" s="37"/>
      <c r="Q277" s="41" t="str">
        <f aca="false">IF(N277="","",IF(P277&lt;&gt;"",P277,N277-O277))</f>
        <v/>
      </c>
      <c r="R277" s="41" t="str">
        <f aca="false">IF(J277="","",IFERROR(N(INDEX(Properties!$H$5:$H$24,MATCH(D277,Properties!$A$5:$A$24,0))),0))</f>
        <v/>
      </c>
      <c r="S277" s="41" t="str">
        <f aca="false">IF(Q277="","",Q277-R277)</f>
        <v/>
      </c>
      <c r="T277" s="6"/>
      <c r="U277" s="6"/>
      <c r="V277" s="6"/>
      <c r="W277" s="6"/>
      <c r="X277" s="6"/>
      <c r="Y277" s="8" t="str">
        <f aca="false">IF(OR(D277="",B277="",C277=""),"",IF(N(C277)&lt;=N(B277),"Check dates",IF(T277="Cancelled","",IF(COUNTIFS($D$5:$D$1004,D277,$B$5:$B$1004,"&lt;"&amp;C277,$C$5:$C$1004,"&gt;"&amp;B277,$T$5:$T$1004,"&lt;&gt;Cancelled")&gt;1,"Double-booked",""))))</f>
        <v/>
      </c>
      <c r="Z277" s="42" t="str">
        <f aca="false">IF(AND(AA277=1,ISNUMBER(C277)),C277+ROW()/100000,"")</f>
        <v/>
      </c>
      <c r="AA277" s="43" t="n">
        <f aca="false">IF(AND(D277&lt;&gt;"",ISNUMBER(B277),ISNUMBER(C277),N(H277)&gt;0,T277&lt;&gt;"Cancelled",J277&lt;&gt;""),1,0)</f>
        <v>0</v>
      </c>
      <c r="AB277" s="44" t="n">
        <f aca="false">IF(AA277=1,J277/H277,0)</f>
        <v>0</v>
      </c>
      <c r="AC277" s="44" t="n">
        <f aca="false">IF(AA277=1,Q277/H277,0)</f>
        <v>0</v>
      </c>
      <c r="AD277" s="44" t="n">
        <f aca="false">IF(AA277=1,R277/H277,0)</f>
        <v>0</v>
      </c>
      <c r="AE277" s="44" t="n">
        <f aca="false">IF(AA277=1,O277/H277,0)</f>
        <v>0</v>
      </c>
      <c r="AF277" s="44" t="n">
        <f aca="false">IF(AA277=1,K277/H277,0)</f>
        <v>0</v>
      </c>
      <c r="AG277" s="45" t="str">
        <f aca="false">IF(AA277=1,D277&amp;"|"&amp;TEXT(B277,"0"),"")</f>
        <v/>
      </c>
      <c r="AH277" s="43" t="n">
        <f aca="false">IF(AA277=1,H277,0)</f>
        <v>0</v>
      </c>
    </row>
    <row r="278" customFormat="false" ht="15" hidden="false" customHeight="false" outlineLevel="0" collapsed="false">
      <c r="A278" s="23" t="str">
        <f aca="false">IF(B278="","","B-"&amp;TEXT(ROW()-4,"0000"))</f>
        <v/>
      </c>
      <c r="B278" s="38"/>
      <c r="C278" s="38"/>
      <c r="D278" s="6"/>
      <c r="E278" s="6"/>
      <c r="F278" s="6"/>
      <c r="G278" s="11"/>
      <c r="H278" s="24" t="str">
        <f aca="false">IF(AND(ISNUMBER(B278),ISNUMBER(C278)),MAX(0,C278-B278),"")</f>
        <v/>
      </c>
      <c r="I278" s="37"/>
      <c r="J278" s="46" t="str">
        <f aca="false">IF(OR(D278="",N(H278)=0),"",IFERROR(IF(I278&lt;&gt;"",H278*I278,ROUND(((H278-(INT((WEEKDAY(B278-6)+H278-1)/7)+INT((WEEKDAY(B278-7)+H278-1)/7)))*INDEX(Properties!$E$5:$E$24,MATCH(D278,Properties!$A$5:$A$24,0))+(INT((WEEKDAY(B278-6)+H278-1)/7)+INT((WEEKDAY(B278-7)+H278-1)/7))*INDEX(Properties!$F$5:$F$24,MATCH(D278,Properties!$A$5:$A$24,0)))*(1-IF(H278&gt;=28,Settings!$B$10,IF(H278&gt;=7,Settings!$B$9,0))),2)),0))</f>
        <v/>
      </c>
      <c r="K278" s="46" t="str">
        <f aca="false">IF(J278="","",IFERROR(N(INDEX(Properties!$G$5:$G$24,MATCH(D278,Properties!$A$5:$A$24,0))),0))</f>
        <v/>
      </c>
      <c r="L278" s="46" t="str">
        <f aca="false">IF(J278="","",IFERROR(MAX(0,N(G278)-INDEX(Properties!$I$5:$I$24,MATCH(D278,Properties!$A$5:$A$24,0)))*N(INDEX(Properties!$J$5:$J$24,MATCH(D278,Properties!$A$5:$A$24,0)))*H278,0))</f>
        <v/>
      </c>
      <c r="M278" s="37"/>
      <c r="N278" s="46" t="str">
        <f aca="false">IF(J278="","",J278+K278+L278+N(M278))</f>
        <v/>
      </c>
      <c r="O278" s="46" t="str">
        <f aca="false">IF(N278="","",IF(P278&lt;&gt;"",N278-P278,ROUND(N278*IFERROR(INDEX(Settings!$E$5:$E$12,MATCH(F278,Settings!$D$5:$D$12,0)),0),2)))</f>
        <v/>
      </c>
      <c r="P278" s="37"/>
      <c r="Q278" s="46" t="str">
        <f aca="false">IF(N278="","",IF(P278&lt;&gt;"",P278,N278-O278))</f>
        <v/>
      </c>
      <c r="R278" s="46" t="str">
        <f aca="false">IF(J278="","",IFERROR(N(INDEX(Properties!$H$5:$H$24,MATCH(D278,Properties!$A$5:$A$24,0))),0))</f>
        <v/>
      </c>
      <c r="S278" s="46" t="str">
        <f aca="false">IF(Q278="","",Q278-R278)</f>
        <v/>
      </c>
      <c r="T278" s="6"/>
      <c r="U278" s="6"/>
      <c r="V278" s="6"/>
      <c r="W278" s="6"/>
      <c r="X278" s="6"/>
      <c r="Y278" s="8" t="str">
        <f aca="false">IF(OR(D278="",B278="",C278=""),"",IF(N(C278)&lt;=N(B278),"Check dates",IF(T278="Cancelled","",IF(COUNTIFS($D$5:$D$1004,D278,$B$5:$B$1004,"&lt;"&amp;C278,$C$5:$C$1004,"&gt;"&amp;B278,$T$5:$T$1004,"&lt;&gt;Cancelled")&gt;1,"Double-booked",""))))</f>
        <v/>
      </c>
      <c r="Z278" s="42" t="str">
        <f aca="false">IF(AND(AA278=1,ISNUMBER(C278)),C278+ROW()/100000,"")</f>
        <v/>
      </c>
      <c r="AA278" s="43" t="n">
        <f aca="false">IF(AND(D278&lt;&gt;"",ISNUMBER(B278),ISNUMBER(C278),N(H278)&gt;0,T278&lt;&gt;"Cancelled",J278&lt;&gt;""),1,0)</f>
        <v>0</v>
      </c>
      <c r="AB278" s="44" t="n">
        <f aca="false">IF(AA278=1,J278/H278,0)</f>
        <v>0</v>
      </c>
      <c r="AC278" s="44" t="n">
        <f aca="false">IF(AA278=1,Q278/H278,0)</f>
        <v>0</v>
      </c>
      <c r="AD278" s="44" t="n">
        <f aca="false">IF(AA278=1,R278/H278,0)</f>
        <v>0</v>
      </c>
      <c r="AE278" s="44" t="n">
        <f aca="false">IF(AA278=1,O278/H278,0)</f>
        <v>0</v>
      </c>
      <c r="AF278" s="44" t="n">
        <f aca="false">IF(AA278=1,K278/H278,0)</f>
        <v>0</v>
      </c>
      <c r="AG278" s="45" t="str">
        <f aca="false">IF(AA278=1,D278&amp;"|"&amp;TEXT(B278,"0"),"")</f>
        <v/>
      </c>
      <c r="AH278" s="43" t="n">
        <f aca="false">IF(AA278=1,H278,0)</f>
        <v>0</v>
      </c>
    </row>
    <row r="279" customFormat="false" ht="15" hidden="false" customHeight="false" outlineLevel="0" collapsed="false">
      <c r="A279" s="8" t="str">
        <f aca="false">IF(B279="","","B-"&amp;TEXT(ROW()-4,"0000"))</f>
        <v/>
      </c>
      <c r="B279" s="38"/>
      <c r="C279" s="38"/>
      <c r="D279" s="6"/>
      <c r="E279" s="6"/>
      <c r="F279" s="6"/>
      <c r="G279" s="11"/>
      <c r="H279" s="18" t="str">
        <f aca="false">IF(AND(ISNUMBER(B279),ISNUMBER(C279)),MAX(0,C279-B279),"")</f>
        <v/>
      </c>
      <c r="I279" s="37"/>
      <c r="J279" s="41" t="str">
        <f aca="false">IF(OR(D279="",N(H279)=0),"",IFERROR(IF(I279&lt;&gt;"",H279*I279,ROUND(((H279-(INT((WEEKDAY(B279-6)+H279-1)/7)+INT((WEEKDAY(B279-7)+H279-1)/7)))*INDEX(Properties!$E$5:$E$24,MATCH(D279,Properties!$A$5:$A$24,0))+(INT((WEEKDAY(B279-6)+H279-1)/7)+INT((WEEKDAY(B279-7)+H279-1)/7))*INDEX(Properties!$F$5:$F$24,MATCH(D279,Properties!$A$5:$A$24,0)))*(1-IF(H279&gt;=28,Settings!$B$10,IF(H279&gt;=7,Settings!$B$9,0))),2)),0))</f>
        <v/>
      </c>
      <c r="K279" s="41" t="str">
        <f aca="false">IF(J279="","",IFERROR(N(INDEX(Properties!$G$5:$G$24,MATCH(D279,Properties!$A$5:$A$24,0))),0))</f>
        <v/>
      </c>
      <c r="L279" s="41" t="str">
        <f aca="false">IF(J279="","",IFERROR(MAX(0,N(G279)-INDEX(Properties!$I$5:$I$24,MATCH(D279,Properties!$A$5:$A$24,0)))*N(INDEX(Properties!$J$5:$J$24,MATCH(D279,Properties!$A$5:$A$24,0)))*H279,0))</f>
        <v/>
      </c>
      <c r="M279" s="37"/>
      <c r="N279" s="41" t="str">
        <f aca="false">IF(J279="","",J279+K279+L279+N(M279))</f>
        <v/>
      </c>
      <c r="O279" s="41" t="str">
        <f aca="false">IF(N279="","",IF(P279&lt;&gt;"",N279-P279,ROUND(N279*IFERROR(INDEX(Settings!$E$5:$E$12,MATCH(F279,Settings!$D$5:$D$12,0)),0),2)))</f>
        <v/>
      </c>
      <c r="P279" s="37"/>
      <c r="Q279" s="41" t="str">
        <f aca="false">IF(N279="","",IF(P279&lt;&gt;"",P279,N279-O279))</f>
        <v/>
      </c>
      <c r="R279" s="41" t="str">
        <f aca="false">IF(J279="","",IFERROR(N(INDEX(Properties!$H$5:$H$24,MATCH(D279,Properties!$A$5:$A$24,0))),0))</f>
        <v/>
      </c>
      <c r="S279" s="41" t="str">
        <f aca="false">IF(Q279="","",Q279-R279)</f>
        <v/>
      </c>
      <c r="T279" s="6"/>
      <c r="U279" s="6"/>
      <c r="V279" s="6"/>
      <c r="W279" s="6"/>
      <c r="X279" s="6"/>
      <c r="Y279" s="8" t="str">
        <f aca="false">IF(OR(D279="",B279="",C279=""),"",IF(N(C279)&lt;=N(B279),"Check dates",IF(T279="Cancelled","",IF(COUNTIFS($D$5:$D$1004,D279,$B$5:$B$1004,"&lt;"&amp;C279,$C$5:$C$1004,"&gt;"&amp;B279,$T$5:$T$1004,"&lt;&gt;Cancelled")&gt;1,"Double-booked",""))))</f>
        <v/>
      </c>
      <c r="Z279" s="42" t="str">
        <f aca="false">IF(AND(AA279=1,ISNUMBER(C279)),C279+ROW()/100000,"")</f>
        <v/>
      </c>
      <c r="AA279" s="43" t="n">
        <f aca="false">IF(AND(D279&lt;&gt;"",ISNUMBER(B279),ISNUMBER(C279),N(H279)&gt;0,T279&lt;&gt;"Cancelled",J279&lt;&gt;""),1,0)</f>
        <v>0</v>
      </c>
      <c r="AB279" s="44" t="n">
        <f aca="false">IF(AA279=1,J279/H279,0)</f>
        <v>0</v>
      </c>
      <c r="AC279" s="44" t="n">
        <f aca="false">IF(AA279=1,Q279/H279,0)</f>
        <v>0</v>
      </c>
      <c r="AD279" s="44" t="n">
        <f aca="false">IF(AA279=1,R279/H279,0)</f>
        <v>0</v>
      </c>
      <c r="AE279" s="44" t="n">
        <f aca="false">IF(AA279=1,O279/H279,0)</f>
        <v>0</v>
      </c>
      <c r="AF279" s="44" t="n">
        <f aca="false">IF(AA279=1,K279/H279,0)</f>
        <v>0</v>
      </c>
      <c r="AG279" s="45" t="str">
        <f aca="false">IF(AA279=1,D279&amp;"|"&amp;TEXT(B279,"0"),"")</f>
        <v/>
      </c>
      <c r="AH279" s="43" t="n">
        <f aca="false">IF(AA279=1,H279,0)</f>
        <v>0</v>
      </c>
    </row>
    <row r="280" customFormat="false" ht="15" hidden="false" customHeight="false" outlineLevel="0" collapsed="false">
      <c r="A280" s="23" t="str">
        <f aca="false">IF(B280="","","B-"&amp;TEXT(ROW()-4,"0000"))</f>
        <v/>
      </c>
      <c r="B280" s="38"/>
      <c r="C280" s="38"/>
      <c r="D280" s="6"/>
      <c r="E280" s="6"/>
      <c r="F280" s="6"/>
      <c r="G280" s="11"/>
      <c r="H280" s="24" t="str">
        <f aca="false">IF(AND(ISNUMBER(B280),ISNUMBER(C280)),MAX(0,C280-B280),"")</f>
        <v/>
      </c>
      <c r="I280" s="37"/>
      <c r="J280" s="46" t="str">
        <f aca="false">IF(OR(D280="",N(H280)=0),"",IFERROR(IF(I280&lt;&gt;"",H280*I280,ROUND(((H280-(INT((WEEKDAY(B280-6)+H280-1)/7)+INT((WEEKDAY(B280-7)+H280-1)/7)))*INDEX(Properties!$E$5:$E$24,MATCH(D280,Properties!$A$5:$A$24,0))+(INT((WEEKDAY(B280-6)+H280-1)/7)+INT((WEEKDAY(B280-7)+H280-1)/7))*INDEX(Properties!$F$5:$F$24,MATCH(D280,Properties!$A$5:$A$24,0)))*(1-IF(H280&gt;=28,Settings!$B$10,IF(H280&gt;=7,Settings!$B$9,0))),2)),0))</f>
        <v/>
      </c>
      <c r="K280" s="46" t="str">
        <f aca="false">IF(J280="","",IFERROR(N(INDEX(Properties!$G$5:$G$24,MATCH(D280,Properties!$A$5:$A$24,0))),0))</f>
        <v/>
      </c>
      <c r="L280" s="46" t="str">
        <f aca="false">IF(J280="","",IFERROR(MAX(0,N(G280)-INDEX(Properties!$I$5:$I$24,MATCH(D280,Properties!$A$5:$A$24,0)))*N(INDEX(Properties!$J$5:$J$24,MATCH(D280,Properties!$A$5:$A$24,0)))*H280,0))</f>
        <v/>
      </c>
      <c r="M280" s="37"/>
      <c r="N280" s="46" t="str">
        <f aca="false">IF(J280="","",J280+K280+L280+N(M280))</f>
        <v/>
      </c>
      <c r="O280" s="46" t="str">
        <f aca="false">IF(N280="","",IF(P280&lt;&gt;"",N280-P280,ROUND(N280*IFERROR(INDEX(Settings!$E$5:$E$12,MATCH(F280,Settings!$D$5:$D$12,0)),0),2)))</f>
        <v/>
      </c>
      <c r="P280" s="37"/>
      <c r="Q280" s="46" t="str">
        <f aca="false">IF(N280="","",IF(P280&lt;&gt;"",P280,N280-O280))</f>
        <v/>
      </c>
      <c r="R280" s="46" t="str">
        <f aca="false">IF(J280="","",IFERROR(N(INDEX(Properties!$H$5:$H$24,MATCH(D280,Properties!$A$5:$A$24,0))),0))</f>
        <v/>
      </c>
      <c r="S280" s="46" t="str">
        <f aca="false">IF(Q280="","",Q280-R280)</f>
        <v/>
      </c>
      <c r="T280" s="6"/>
      <c r="U280" s="6"/>
      <c r="V280" s="6"/>
      <c r="W280" s="6"/>
      <c r="X280" s="6"/>
      <c r="Y280" s="8" t="str">
        <f aca="false">IF(OR(D280="",B280="",C280=""),"",IF(N(C280)&lt;=N(B280),"Check dates",IF(T280="Cancelled","",IF(COUNTIFS($D$5:$D$1004,D280,$B$5:$B$1004,"&lt;"&amp;C280,$C$5:$C$1004,"&gt;"&amp;B280,$T$5:$T$1004,"&lt;&gt;Cancelled")&gt;1,"Double-booked",""))))</f>
        <v/>
      </c>
      <c r="Z280" s="42" t="str">
        <f aca="false">IF(AND(AA280=1,ISNUMBER(C280)),C280+ROW()/100000,"")</f>
        <v/>
      </c>
      <c r="AA280" s="43" t="n">
        <f aca="false">IF(AND(D280&lt;&gt;"",ISNUMBER(B280),ISNUMBER(C280),N(H280)&gt;0,T280&lt;&gt;"Cancelled",J280&lt;&gt;""),1,0)</f>
        <v>0</v>
      </c>
      <c r="AB280" s="44" t="n">
        <f aca="false">IF(AA280=1,J280/H280,0)</f>
        <v>0</v>
      </c>
      <c r="AC280" s="44" t="n">
        <f aca="false">IF(AA280=1,Q280/H280,0)</f>
        <v>0</v>
      </c>
      <c r="AD280" s="44" t="n">
        <f aca="false">IF(AA280=1,R280/H280,0)</f>
        <v>0</v>
      </c>
      <c r="AE280" s="44" t="n">
        <f aca="false">IF(AA280=1,O280/H280,0)</f>
        <v>0</v>
      </c>
      <c r="AF280" s="44" t="n">
        <f aca="false">IF(AA280=1,K280/H280,0)</f>
        <v>0</v>
      </c>
      <c r="AG280" s="45" t="str">
        <f aca="false">IF(AA280=1,D280&amp;"|"&amp;TEXT(B280,"0"),"")</f>
        <v/>
      </c>
      <c r="AH280" s="43" t="n">
        <f aca="false">IF(AA280=1,H280,0)</f>
        <v>0</v>
      </c>
    </row>
    <row r="281" customFormat="false" ht="15" hidden="false" customHeight="false" outlineLevel="0" collapsed="false">
      <c r="A281" s="8" t="str">
        <f aca="false">IF(B281="","","B-"&amp;TEXT(ROW()-4,"0000"))</f>
        <v/>
      </c>
      <c r="B281" s="38"/>
      <c r="C281" s="38"/>
      <c r="D281" s="6"/>
      <c r="E281" s="6"/>
      <c r="F281" s="6"/>
      <c r="G281" s="11"/>
      <c r="H281" s="18" t="str">
        <f aca="false">IF(AND(ISNUMBER(B281),ISNUMBER(C281)),MAX(0,C281-B281),"")</f>
        <v/>
      </c>
      <c r="I281" s="37"/>
      <c r="J281" s="41" t="str">
        <f aca="false">IF(OR(D281="",N(H281)=0),"",IFERROR(IF(I281&lt;&gt;"",H281*I281,ROUND(((H281-(INT((WEEKDAY(B281-6)+H281-1)/7)+INT((WEEKDAY(B281-7)+H281-1)/7)))*INDEX(Properties!$E$5:$E$24,MATCH(D281,Properties!$A$5:$A$24,0))+(INT((WEEKDAY(B281-6)+H281-1)/7)+INT((WEEKDAY(B281-7)+H281-1)/7))*INDEX(Properties!$F$5:$F$24,MATCH(D281,Properties!$A$5:$A$24,0)))*(1-IF(H281&gt;=28,Settings!$B$10,IF(H281&gt;=7,Settings!$B$9,0))),2)),0))</f>
        <v/>
      </c>
      <c r="K281" s="41" t="str">
        <f aca="false">IF(J281="","",IFERROR(N(INDEX(Properties!$G$5:$G$24,MATCH(D281,Properties!$A$5:$A$24,0))),0))</f>
        <v/>
      </c>
      <c r="L281" s="41" t="str">
        <f aca="false">IF(J281="","",IFERROR(MAX(0,N(G281)-INDEX(Properties!$I$5:$I$24,MATCH(D281,Properties!$A$5:$A$24,0)))*N(INDEX(Properties!$J$5:$J$24,MATCH(D281,Properties!$A$5:$A$24,0)))*H281,0))</f>
        <v/>
      </c>
      <c r="M281" s="37"/>
      <c r="N281" s="41" t="str">
        <f aca="false">IF(J281="","",J281+K281+L281+N(M281))</f>
        <v/>
      </c>
      <c r="O281" s="41" t="str">
        <f aca="false">IF(N281="","",IF(P281&lt;&gt;"",N281-P281,ROUND(N281*IFERROR(INDEX(Settings!$E$5:$E$12,MATCH(F281,Settings!$D$5:$D$12,0)),0),2)))</f>
        <v/>
      </c>
      <c r="P281" s="37"/>
      <c r="Q281" s="41" t="str">
        <f aca="false">IF(N281="","",IF(P281&lt;&gt;"",P281,N281-O281))</f>
        <v/>
      </c>
      <c r="R281" s="41" t="str">
        <f aca="false">IF(J281="","",IFERROR(N(INDEX(Properties!$H$5:$H$24,MATCH(D281,Properties!$A$5:$A$24,0))),0))</f>
        <v/>
      </c>
      <c r="S281" s="41" t="str">
        <f aca="false">IF(Q281="","",Q281-R281)</f>
        <v/>
      </c>
      <c r="T281" s="6"/>
      <c r="U281" s="6"/>
      <c r="V281" s="6"/>
      <c r="W281" s="6"/>
      <c r="X281" s="6"/>
      <c r="Y281" s="8" t="str">
        <f aca="false">IF(OR(D281="",B281="",C281=""),"",IF(N(C281)&lt;=N(B281),"Check dates",IF(T281="Cancelled","",IF(COUNTIFS($D$5:$D$1004,D281,$B$5:$B$1004,"&lt;"&amp;C281,$C$5:$C$1004,"&gt;"&amp;B281,$T$5:$T$1004,"&lt;&gt;Cancelled")&gt;1,"Double-booked",""))))</f>
        <v/>
      </c>
      <c r="Z281" s="42" t="str">
        <f aca="false">IF(AND(AA281=1,ISNUMBER(C281)),C281+ROW()/100000,"")</f>
        <v/>
      </c>
      <c r="AA281" s="43" t="n">
        <f aca="false">IF(AND(D281&lt;&gt;"",ISNUMBER(B281),ISNUMBER(C281),N(H281)&gt;0,T281&lt;&gt;"Cancelled",J281&lt;&gt;""),1,0)</f>
        <v>0</v>
      </c>
      <c r="AB281" s="44" t="n">
        <f aca="false">IF(AA281=1,J281/H281,0)</f>
        <v>0</v>
      </c>
      <c r="AC281" s="44" t="n">
        <f aca="false">IF(AA281=1,Q281/H281,0)</f>
        <v>0</v>
      </c>
      <c r="AD281" s="44" t="n">
        <f aca="false">IF(AA281=1,R281/H281,0)</f>
        <v>0</v>
      </c>
      <c r="AE281" s="44" t="n">
        <f aca="false">IF(AA281=1,O281/H281,0)</f>
        <v>0</v>
      </c>
      <c r="AF281" s="44" t="n">
        <f aca="false">IF(AA281=1,K281/H281,0)</f>
        <v>0</v>
      </c>
      <c r="AG281" s="45" t="str">
        <f aca="false">IF(AA281=1,D281&amp;"|"&amp;TEXT(B281,"0"),"")</f>
        <v/>
      </c>
      <c r="AH281" s="43" t="n">
        <f aca="false">IF(AA281=1,H281,0)</f>
        <v>0</v>
      </c>
    </row>
    <row r="282" customFormat="false" ht="15" hidden="false" customHeight="false" outlineLevel="0" collapsed="false">
      <c r="A282" s="23" t="str">
        <f aca="false">IF(B282="","","B-"&amp;TEXT(ROW()-4,"0000"))</f>
        <v/>
      </c>
      <c r="B282" s="38"/>
      <c r="C282" s="38"/>
      <c r="D282" s="6"/>
      <c r="E282" s="6"/>
      <c r="F282" s="6"/>
      <c r="G282" s="11"/>
      <c r="H282" s="24" t="str">
        <f aca="false">IF(AND(ISNUMBER(B282),ISNUMBER(C282)),MAX(0,C282-B282),"")</f>
        <v/>
      </c>
      <c r="I282" s="37"/>
      <c r="J282" s="46" t="str">
        <f aca="false">IF(OR(D282="",N(H282)=0),"",IFERROR(IF(I282&lt;&gt;"",H282*I282,ROUND(((H282-(INT((WEEKDAY(B282-6)+H282-1)/7)+INT((WEEKDAY(B282-7)+H282-1)/7)))*INDEX(Properties!$E$5:$E$24,MATCH(D282,Properties!$A$5:$A$24,0))+(INT((WEEKDAY(B282-6)+H282-1)/7)+INT((WEEKDAY(B282-7)+H282-1)/7))*INDEX(Properties!$F$5:$F$24,MATCH(D282,Properties!$A$5:$A$24,0)))*(1-IF(H282&gt;=28,Settings!$B$10,IF(H282&gt;=7,Settings!$B$9,0))),2)),0))</f>
        <v/>
      </c>
      <c r="K282" s="46" t="str">
        <f aca="false">IF(J282="","",IFERROR(N(INDEX(Properties!$G$5:$G$24,MATCH(D282,Properties!$A$5:$A$24,0))),0))</f>
        <v/>
      </c>
      <c r="L282" s="46" t="str">
        <f aca="false">IF(J282="","",IFERROR(MAX(0,N(G282)-INDEX(Properties!$I$5:$I$24,MATCH(D282,Properties!$A$5:$A$24,0)))*N(INDEX(Properties!$J$5:$J$24,MATCH(D282,Properties!$A$5:$A$24,0)))*H282,0))</f>
        <v/>
      </c>
      <c r="M282" s="37"/>
      <c r="N282" s="46" t="str">
        <f aca="false">IF(J282="","",J282+K282+L282+N(M282))</f>
        <v/>
      </c>
      <c r="O282" s="46" t="str">
        <f aca="false">IF(N282="","",IF(P282&lt;&gt;"",N282-P282,ROUND(N282*IFERROR(INDEX(Settings!$E$5:$E$12,MATCH(F282,Settings!$D$5:$D$12,0)),0),2)))</f>
        <v/>
      </c>
      <c r="P282" s="37"/>
      <c r="Q282" s="46" t="str">
        <f aca="false">IF(N282="","",IF(P282&lt;&gt;"",P282,N282-O282))</f>
        <v/>
      </c>
      <c r="R282" s="46" t="str">
        <f aca="false">IF(J282="","",IFERROR(N(INDEX(Properties!$H$5:$H$24,MATCH(D282,Properties!$A$5:$A$24,0))),0))</f>
        <v/>
      </c>
      <c r="S282" s="46" t="str">
        <f aca="false">IF(Q282="","",Q282-R282)</f>
        <v/>
      </c>
      <c r="T282" s="6"/>
      <c r="U282" s="6"/>
      <c r="V282" s="6"/>
      <c r="W282" s="6"/>
      <c r="X282" s="6"/>
      <c r="Y282" s="8" t="str">
        <f aca="false">IF(OR(D282="",B282="",C282=""),"",IF(N(C282)&lt;=N(B282),"Check dates",IF(T282="Cancelled","",IF(COUNTIFS($D$5:$D$1004,D282,$B$5:$B$1004,"&lt;"&amp;C282,$C$5:$C$1004,"&gt;"&amp;B282,$T$5:$T$1004,"&lt;&gt;Cancelled")&gt;1,"Double-booked",""))))</f>
        <v/>
      </c>
      <c r="Z282" s="42" t="str">
        <f aca="false">IF(AND(AA282=1,ISNUMBER(C282)),C282+ROW()/100000,"")</f>
        <v/>
      </c>
      <c r="AA282" s="43" t="n">
        <f aca="false">IF(AND(D282&lt;&gt;"",ISNUMBER(B282),ISNUMBER(C282),N(H282)&gt;0,T282&lt;&gt;"Cancelled",J282&lt;&gt;""),1,0)</f>
        <v>0</v>
      </c>
      <c r="AB282" s="44" t="n">
        <f aca="false">IF(AA282=1,J282/H282,0)</f>
        <v>0</v>
      </c>
      <c r="AC282" s="44" t="n">
        <f aca="false">IF(AA282=1,Q282/H282,0)</f>
        <v>0</v>
      </c>
      <c r="AD282" s="44" t="n">
        <f aca="false">IF(AA282=1,R282/H282,0)</f>
        <v>0</v>
      </c>
      <c r="AE282" s="44" t="n">
        <f aca="false">IF(AA282=1,O282/H282,0)</f>
        <v>0</v>
      </c>
      <c r="AF282" s="44" t="n">
        <f aca="false">IF(AA282=1,K282/H282,0)</f>
        <v>0</v>
      </c>
      <c r="AG282" s="45" t="str">
        <f aca="false">IF(AA282=1,D282&amp;"|"&amp;TEXT(B282,"0"),"")</f>
        <v/>
      </c>
      <c r="AH282" s="43" t="n">
        <f aca="false">IF(AA282=1,H282,0)</f>
        <v>0</v>
      </c>
    </row>
    <row r="283" customFormat="false" ht="15" hidden="false" customHeight="false" outlineLevel="0" collapsed="false">
      <c r="A283" s="8" t="str">
        <f aca="false">IF(B283="","","B-"&amp;TEXT(ROW()-4,"0000"))</f>
        <v/>
      </c>
      <c r="B283" s="38"/>
      <c r="C283" s="38"/>
      <c r="D283" s="6"/>
      <c r="E283" s="6"/>
      <c r="F283" s="6"/>
      <c r="G283" s="11"/>
      <c r="H283" s="18" t="str">
        <f aca="false">IF(AND(ISNUMBER(B283),ISNUMBER(C283)),MAX(0,C283-B283),"")</f>
        <v/>
      </c>
      <c r="I283" s="37"/>
      <c r="J283" s="41" t="str">
        <f aca="false">IF(OR(D283="",N(H283)=0),"",IFERROR(IF(I283&lt;&gt;"",H283*I283,ROUND(((H283-(INT((WEEKDAY(B283-6)+H283-1)/7)+INT((WEEKDAY(B283-7)+H283-1)/7)))*INDEX(Properties!$E$5:$E$24,MATCH(D283,Properties!$A$5:$A$24,0))+(INT((WEEKDAY(B283-6)+H283-1)/7)+INT((WEEKDAY(B283-7)+H283-1)/7))*INDEX(Properties!$F$5:$F$24,MATCH(D283,Properties!$A$5:$A$24,0)))*(1-IF(H283&gt;=28,Settings!$B$10,IF(H283&gt;=7,Settings!$B$9,0))),2)),0))</f>
        <v/>
      </c>
      <c r="K283" s="41" t="str">
        <f aca="false">IF(J283="","",IFERROR(N(INDEX(Properties!$G$5:$G$24,MATCH(D283,Properties!$A$5:$A$24,0))),0))</f>
        <v/>
      </c>
      <c r="L283" s="41" t="str">
        <f aca="false">IF(J283="","",IFERROR(MAX(0,N(G283)-INDEX(Properties!$I$5:$I$24,MATCH(D283,Properties!$A$5:$A$24,0)))*N(INDEX(Properties!$J$5:$J$24,MATCH(D283,Properties!$A$5:$A$24,0)))*H283,0))</f>
        <v/>
      </c>
      <c r="M283" s="37"/>
      <c r="N283" s="41" t="str">
        <f aca="false">IF(J283="","",J283+K283+L283+N(M283))</f>
        <v/>
      </c>
      <c r="O283" s="41" t="str">
        <f aca="false">IF(N283="","",IF(P283&lt;&gt;"",N283-P283,ROUND(N283*IFERROR(INDEX(Settings!$E$5:$E$12,MATCH(F283,Settings!$D$5:$D$12,0)),0),2)))</f>
        <v/>
      </c>
      <c r="P283" s="37"/>
      <c r="Q283" s="41" t="str">
        <f aca="false">IF(N283="","",IF(P283&lt;&gt;"",P283,N283-O283))</f>
        <v/>
      </c>
      <c r="R283" s="41" t="str">
        <f aca="false">IF(J283="","",IFERROR(N(INDEX(Properties!$H$5:$H$24,MATCH(D283,Properties!$A$5:$A$24,0))),0))</f>
        <v/>
      </c>
      <c r="S283" s="41" t="str">
        <f aca="false">IF(Q283="","",Q283-R283)</f>
        <v/>
      </c>
      <c r="T283" s="6"/>
      <c r="U283" s="6"/>
      <c r="V283" s="6"/>
      <c r="W283" s="6"/>
      <c r="X283" s="6"/>
      <c r="Y283" s="8" t="str">
        <f aca="false">IF(OR(D283="",B283="",C283=""),"",IF(N(C283)&lt;=N(B283),"Check dates",IF(T283="Cancelled","",IF(COUNTIFS($D$5:$D$1004,D283,$B$5:$B$1004,"&lt;"&amp;C283,$C$5:$C$1004,"&gt;"&amp;B283,$T$5:$T$1004,"&lt;&gt;Cancelled")&gt;1,"Double-booked",""))))</f>
        <v/>
      </c>
      <c r="Z283" s="42" t="str">
        <f aca="false">IF(AND(AA283=1,ISNUMBER(C283)),C283+ROW()/100000,"")</f>
        <v/>
      </c>
      <c r="AA283" s="43" t="n">
        <f aca="false">IF(AND(D283&lt;&gt;"",ISNUMBER(B283),ISNUMBER(C283),N(H283)&gt;0,T283&lt;&gt;"Cancelled",J283&lt;&gt;""),1,0)</f>
        <v>0</v>
      </c>
      <c r="AB283" s="44" t="n">
        <f aca="false">IF(AA283=1,J283/H283,0)</f>
        <v>0</v>
      </c>
      <c r="AC283" s="44" t="n">
        <f aca="false">IF(AA283=1,Q283/H283,0)</f>
        <v>0</v>
      </c>
      <c r="AD283" s="44" t="n">
        <f aca="false">IF(AA283=1,R283/H283,0)</f>
        <v>0</v>
      </c>
      <c r="AE283" s="44" t="n">
        <f aca="false">IF(AA283=1,O283/H283,0)</f>
        <v>0</v>
      </c>
      <c r="AF283" s="44" t="n">
        <f aca="false">IF(AA283=1,K283/H283,0)</f>
        <v>0</v>
      </c>
      <c r="AG283" s="45" t="str">
        <f aca="false">IF(AA283=1,D283&amp;"|"&amp;TEXT(B283,"0"),"")</f>
        <v/>
      </c>
      <c r="AH283" s="43" t="n">
        <f aca="false">IF(AA283=1,H283,0)</f>
        <v>0</v>
      </c>
    </row>
    <row r="284" customFormat="false" ht="15" hidden="false" customHeight="false" outlineLevel="0" collapsed="false">
      <c r="A284" s="23" t="str">
        <f aca="false">IF(B284="","","B-"&amp;TEXT(ROW()-4,"0000"))</f>
        <v/>
      </c>
      <c r="B284" s="38"/>
      <c r="C284" s="38"/>
      <c r="D284" s="6"/>
      <c r="E284" s="6"/>
      <c r="F284" s="6"/>
      <c r="G284" s="11"/>
      <c r="H284" s="24" t="str">
        <f aca="false">IF(AND(ISNUMBER(B284),ISNUMBER(C284)),MAX(0,C284-B284),"")</f>
        <v/>
      </c>
      <c r="I284" s="37"/>
      <c r="J284" s="46" t="str">
        <f aca="false">IF(OR(D284="",N(H284)=0),"",IFERROR(IF(I284&lt;&gt;"",H284*I284,ROUND(((H284-(INT((WEEKDAY(B284-6)+H284-1)/7)+INT((WEEKDAY(B284-7)+H284-1)/7)))*INDEX(Properties!$E$5:$E$24,MATCH(D284,Properties!$A$5:$A$24,0))+(INT((WEEKDAY(B284-6)+H284-1)/7)+INT((WEEKDAY(B284-7)+H284-1)/7))*INDEX(Properties!$F$5:$F$24,MATCH(D284,Properties!$A$5:$A$24,0)))*(1-IF(H284&gt;=28,Settings!$B$10,IF(H284&gt;=7,Settings!$B$9,0))),2)),0))</f>
        <v/>
      </c>
      <c r="K284" s="46" t="str">
        <f aca="false">IF(J284="","",IFERROR(N(INDEX(Properties!$G$5:$G$24,MATCH(D284,Properties!$A$5:$A$24,0))),0))</f>
        <v/>
      </c>
      <c r="L284" s="46" t="str">
        <f aca="false">IF(J284="","",IFERROR(MAX(0,N(G284)-INDEX(Properties!$I$5:$I$24,MATCH(D284,Properties!$A$5:$A$24,0)))*N(INDEX(Properties!$J$5:$J$24,MATCH(D284,Properties!$A$5:$A$24,0)))*H284,0))</f>
        <v/>
      </c>
      <c r="M284" s="37"/>
      <c r="N284" s="46" t="str">
        <f aca="false">IF(J284="","",J284+K284+L284+N(M284))</f>
        <v/>
      </c>
      <c r="O284" s="46" t="str">
        <f aca="false">IF(N284="","",IF(P284&lt;&gt;"",N284-P284,ROUND(N284*IFERROR(INDEX(Settings!$E$5:$E$12,MATCH(F284,Settings!$D$5:$D$12,0)),0),2)))</f>
        <v/>
      </c>
      <c r="P284" s="37"/>
      <c r="Q284" s="46" t="str">
        <f aca="false">IF(N284="","",IF(P284&lt;&gt;"",P284,N284-O284))</f>
        <v/>
      </c>
      <c r="R284" s="46" t="str">
        <f aca="false">IF(J284="","",IFERROR(N(INDEX(Properties!$H$5:$H$24,MATCH(D284,Properties!$A$5:$A$24,0))),0))</f>
        <v/>
      </c>
      <c r="S284" s="46" t="str">
        <f aca="false">IF(Q284="","",Q284-R284)</f>
        <v/>
      </c>
      <c r="T284" s="6"/>
      <c r="U284" s="6"/>
      <c r="V284" s="6"/>
      <c r="W284" s="6"/>
      <c r="X284" s="6"/>
      <c r="Y284" s="8" t="str">
        <f aca="false">IF(OR(D284="",B284="",C284=""),"",IF(N(C284)&lt;=N(B284),"Check dates",IF(T284="Cancelled","",IF(COUNTIFS($D$5:$D$1004,D284,$B$5:$B$1004,"&lt;"&amp;C284,$C$5:$C$1004,"&gt;"&amp;B284,$T$5:$T$1004,"&lt;&gt;Cancelled")&gt;1,"Double-booked",""))))</f>
        <v/>
      </c>
      <c r="Z284" s="42" t="str">
        <f aca="false">IF(AND(AA284=1,ISNUMBER(C284)),C284+ROW()/100000,"")</f>
        <v/>
      </c>
      <c r="AA284" s="43" t="n">
        <f aca="false">IF(AND(D284&lt;&gt;"",ISNUMBER(B284),ISNUMBER(C284),N(H284)&gt;0,T284&lt;&gt;"Cancelled",J284&lt;&gt;""),1,0)</f>
        <v>0</v>
      </c>
      <c r="AB284" s="44" t="n">
        <f aca="false">IF(AA284=1,J284/H284,0)</f>
        <v>0</v>
      </c>
      <c r="AC284" s="44" t="n">
        <f aca="false">IF(AA284=1,Q284/H284,0)</f>
        <v>0</v>
      </c>
      <c r="AD284" s="44" t="n">
        <f aca="false">IF(AA284=1,R284/H284,0)</f>
        <v>0</v>
      </c>
      <c r="AE284" s="44" t="n">
        <f aca="false">IF(AA284=1,O284/H284,0)</f>
        <v>0</v>
      </c>
      <c r="AF284" s="44" t="n">
        <f aca="false">IF(AA284=1,K284/H284,0)</f>
        <v>0</v>
      </c>
      <c r="AG284" s="45" t="str">
        <f aca="false">IF(AA284=1,D284&amp;"|"&amp;TEXT(B284,"0"),"")</f>
        <v/>
      </c>
      <c r="AH284" s="43" t="n">
        <f aca="false">IF(AA284=1,H284,0)</f>
        <v>0</v>
      </c>
    </row>
    <row r="285" customFormat="false" ht="15" hidden="false" customHeight="false" outlineLevel="0" collapsed="false">
      <c r="A285" s="8" t="str">
        <f aca="false">IF(B285="","","B-"&amp;TEXT(ROW()-4,"0000"))</f>
        <v/>
      </c>
      <c r="B285" s="38"/>
      <c r="C285" s="38"/>
      <c r="D285" s="6"/>
      <c r="E285" s="6"/>
      <c r="F285" s="6"/>
      <c r="G285" s="11"/>
      <c r="H285" s="18" t="str">
        <f aca="false">IF(AND(ISNUMBER(B285),ISNUMBER(C285)),MAX(0,C285-B285),"")</f>
        <v/>
      </c>
      <c r="I285" s="37"/>
      <c r="J285" s="41" t="str">
        <f aca="false">IF(OR(D285="",N(H285)=0),"",IFERROR(IF(I285&lt;&gt;"",H285*I285,ROUND(((H285-(INT((WEEKDAY(B285-6)+H285-1)/7)+INT((WEEKDAY(B285-7)+H285-1)/7)))*INDEX(Properties!$E$5:$E$24,MATCH(D285,Properties!$A$5:$A$24,0))+(INT((WEEKDAY(B285-6)+H285-1)/7)+INT((WEEKDAY(B285-7)+H285-1)/7))*INDEX(Properties!$F$5:$F$24,MATCH(D285,Properties!$A$5:$A$24,0)))*(1-IF(H285&gt;=28,Settings!$B$10,IF(H285&gt;=7,Settings!$B$9,0))),2)),0))</f>
        <v/>
      </c>
      <c r="K285" s="41" t="str">
        <f aca="false">IF(J285="","",IFERROR(N(INDEX(Properties!$G$5:$G$24,MATCH(D285,Properties!$A$5:$A$24,0))),0))</f>
        <v/>
      </c>
      <c r="L285" s="41" t="str">
        <f aca="false">IF(J285="","",IFERROR(MAX(0,N(G285)-INDEX(Properties!$I$5:$I$24,MATCH(D285,Properties!$A$5:$A$24,0)))*N(INDEX(Properties!$J$5:$J$24,MATCH(D285,Properties!$A$5:$A$24,0)))*H285,0))</f>
        <v/>
      </c>
      <c r="M285" s="37"/>
      <c r="N285" s="41" t="str">
        <f aca="false">IF(J285="","",J285+K285+L285+N(M285))</f>
        <v/>
      </c>
      <c r="O285" s="41" t="str">
        <f aca="false">IF(N285="","",IF(P285&lt;&gt;"",N285-P285,ROUND(N285*IFERROR(INDEX(Settings!$E$5:$E$12,MATCH(F285,Settings!$D$5:$D$12,0)),0),2)))</f>
        <v/>
      </c>
      <c r="P285" s="37"/>
      <c r="Q285" s="41" t="str">
        <f aca="false">IF(N285="","",IF(P285&lt;&gt;"",P285,N285-O285))</f>
        <v/>
      </c>
      <c r="R285" s="41" t="str">
        <f aca="false">IF(J285="","",IFERROR(N(INDEX(Properties!$H$5:$H$24,MATCH(D285,Properties!$A$5:$A$24,0))),0))</f>
        <v/>
      </c>
      <c r="S285" s="41" t="str">
        <f aca="false">IF(Q285="","",Q285-R285)</f>
        <v/>
      </c>
      <c r="T285" s="6"/>
      <c r="U285" s="6"/>
      <c r="V285" s="6"/>
      <c r="W285" s="6"/>
      <c r="X285" s="6"/>
      <c r="Y285" s="8" t="str">
        <f aca="false">IF(OR(D285="",B285="",C285=""),"",IF(N(C285)&lt;=N(B285),"Check dates",IF(T285="Cancelled","",IF(COUNTIFS($D$5:$D$1004,D285,$B$5:$B$1004,"&lt;"&amp;C285,$C$5:$C$1004,"&gt;"&amp;B285,$T$5:$T$1004,"&lt;&gt;Cancelled")&gt;1,"Double-booked",""))))</f>
        <v/>
      </c>
      <c r="Z285" s="42" t="str">
        <f aca="false">IF(AND(AA285=1,ISNUMBER(C285)),C285+ROW()/100000,"")</f>
        <v/>
      </c>
      <c r="AA285" s="43" t="n">
        <f aca="false">IF(AND(D285&lt;&gt;"",ISNUMBER(B285),ISNUMBER(C285),N(H285)&gt;0,T285&lt;&gt;"Cancelled",J285&lt;&gt;""),1,0)</f>
        <v>0</v>
      </c>
      <c r="AB285" s="44" t="n">
        <f aca="false">IF(AA285=1,J285/H285,0)</f>
        <v>0</v>
      </c>
      <c r="AC285" s="44" t="n">
        <f aca="false">IF(AA285=1,Q285/H285,0)</f>
        <v>0</v>
      </c>
      <c r="AD285" s="44" t="n">
        <f aca="false">IF(AA285=1,R285/H285,0)</f>
        <v>0</v>
      </c>
      <c r="AE285" s="44" t="n">
        <f aca="false">IF(AA285=1,O285/H285,0)</f>
        <v>0</v>
      </c>
      <c r="AF285" s="44" t="n">
        <f aca="false">IF(AA285=1,K285/H285,0)</f>
        <v>0</v>
      </c>
      <c r="AG285" s="45" t="str">
        <f aca="false">IF(AA285=1,D285&amp;"|"&amp;TEXT(B285,"0"),"")</f>
        <v/>
      </c>
      <c r="AH285" s="43" t="n">
        <f aca="false">IF(AA285=1,H285,0)</f>
        <v>0</v>
      </c>
    </row>
    <row r="286" customFormat="false" ht="15" hidden="false" customHeight="false" outlineLevel="0" collapsed="false">
      <c r="A286" s="23" t="str">
        <f aca="false">IF(B286="","","B-"&amp;TEXT(ROW()-4,"0000"))</f>
        <v/>
      </c>
      <c r="B286" s="38"/>
      <c r="C286" s="38"/>
      <c r="D286" s="6"/>
      <c r="E286" s="6"/>
      <c r="F286" s="6"/>
      <c r="G286" s="11"/>
      <c r="H286" s="24" t="str">
        <f aca="false">IF(AND(ISNUMBER(B286),ISNUMBER(C286)),MAX(0,C286-B286),"")</f>
        <v/>
      </c>
      <c r="I286" s="37"/>
      <c r="J286" s="46" t="str">
        <f aca="false">IF(OR(D286="",N(H286)=0),"",IFERROR(IF(I286&lt;&gt;"",H286*I286,ROUND(((H286-(INT((WEEKDAY(B286-6)+H286-1)/7)+INT((WEEKDAY(B286-7)+H286-1)/7)))*INDEX(Properties!$E$5:$E$24,MATCH(D286,Properties!$A$5:$A$24,0))+(INT((WEEKDAY(B286-6)+H286-1)/7)+INT((WEEKDAY(B286-7)+H286-1)/7))*INDEX(Properties!$F$5:$F$24,MATCH(D286,Properties!$A$5:$A$24,0)))*(1-IF(H286&gt;=28,Settings!$B$10,IF(H286&gt;=7,Settings!$B$9,0))),2)),0))</f>
        <v/>
      </c>
      <c r="K286" s="46" t="str">
        <f aca="false">IF(J286="","",IFERROR(N(INDEX(Properties!$G$5:$G$24,MATCH(D286,Properties!$A$5:$A$24,0))),0))</f>
        <v/>
      </c>
      <c r="L286" s="46" t="str">
        <f aca="false">IF(J286="","",IFERROR(MAX(0,N(G286)-INDEX(Properties!$I$5:$I$24,MATCH(D286,Properties!$A$5:$A$24,0)))*N(INDEX(Properties!$J$5:$J$24,MATCH(D286,Properties!$A$5:$A$24,0)))*H286,0))</f>
        <v/>
      </c>
      <c r="M286" s="37"/>
      <c r="N286" s="46" t="str">
        <f aca="false">IF(J286="","",J286+K286+L286+N(M286))</f>
        <v/>
      </c>
      <c r="O286" s="46" t="str">
        <f aca="false">IF(N286="","",IF(P286&lt;&gt;"",N286-P286,ROUND(N286*IFERROR(INDEX(Settings!$E$5:$E$12,MATCH(F286,Settings!$D$5:$D$12,0)),0),2)))</f>
        <v/>
      </c>
      <c r="P286" s="37"/>
      <c r="Q286" s="46" t="str">
        <f aca="false">IF(N286="","",IF(P286&lt;&gt;"",P286,N286-O286))</f>
        <v/>
      </c>
      <c r="R286" s="46" t="str">
        <f aca="false">IF(J286="","",IFERROR(N(INDEX(Properties!$H$5:$H$24,MATCH(D286,Properties!$A$5:$A$24,0))),0))</f>
        <v/>
      </c>
      <c r="S286" s="46" t="str">
        <f aca="false">IF(Q286="","",Q286-R286)</f>
        <v/>
      </c>
      <c r="T286" s="6"/>
      <c r="U286" s="6"/>
      <c r="V286" s="6"/>
      <c r="W286" s="6"/>
      <c r="X286" s="6"/>
      <c r="Y286" s="8" t="str">
        <f aca="false">IF(OR(D286="",B286="",C286=""),"",IF(N(C286)&lt;=N(B286),"Check dates",IF(T286="Cancelled","",IF(COUNTIFS($D$5:$D$1004,D286,$B$5:$B$1004,"&lt;"&amp;C286,$C$5:$C$1004,"&gt;"&amp;B286,$T$5:$T$1004,"&lt;&gt;Cancelled")&gt;1,"Double-booked",""))))</f>
        <v/>
      </c>
      <c r="Z286" s="42" t="str">
        <f aca="false">IF(AND(AA286=1,ISNUMBER(C286)),C286+ROW()/100000,"")</f>
        <v/>
      </c>
      <c r="AA286" s="43" t="n">
        <f aca="false">IF(AND(D286&lt;&gt;"",ISNUMBER(B286),ISNUMBER(C286),N(H286)&gt;0,T286&lt;&gt;"Cancelled",J286&lt;&gt;""),1,0)</f>
        <v>0</v>
      </c>
      <c r="AB286" s="44" t="n">
        <f aca="false">IF(AA286=1,J286/H286,0)</f>
        <v>0</v>
      </c>
      <c r="AC286" s="44" t="n">
        <f aca="false">IF(AA286=1,Q286/H286,0)</f>
        <v>0</v>
      </c>
      <c r="AD286" s="44" t="n">
        <f aca="false">IF(AA286=1,R286/H286,0)</f>
        <v>0</v>
      </c>
      <c r="AE286" s="44" t="n">
        <f aca="false">IF(AA286=1,O286/H286,0)</f>
        <v>0</v>
      </c>
      <c r="AF286" s="44" t="n">
        <f aca="false">IF(AA286=1,K286/H286,0)</f>
        <v>0</v>
      </c>
      <c r="AG286" s="45" t="str">
        <f aca="false">IF(AA286=1,D286&amp;"|"&amp;TEXT(B286,"0"),"")</f>
        <v/>
      </c>
      <c r="AH286" s="43" t="n">
        <f aca="false">IF(AA286=1,H286,0)</f>
        <v>0</v>
      </c>
    </row>
    <row r="287" customFormat="false" ht="15" hidden="false" customHeight="false" outlineLevel="0" collapsed="false">
      <c r="A287" s="8" t="str">
        <f aca="false">IF(B287="","","B-"&amp;TEXT(ROW()-4,"0000"))</f>
        <v/>
      </c>
      <c r="B287" s="38"/>
      <c r="C287" s="38"/>
      <c r="D287" s="6"/>
      <c r="E287" s="6"/>
      <c r="F287" s="6"/>
      <c r="G287" s="11"/>
      <c r="H287" s="18" t="str">
        <f aca="false">IF(AND(ISNUMBER(B287),ISNUMBER(C287)),MAX(0,C287-B287),"")</f>
        <v/>
      </c>
      <c r="I287" s="37"/>
      <c r="J287" s="41" t="str">
        <f aca="false">IF(OR(D287="",N(H287)=0),"",IFERROR(IF(I287&lt;&gt;"",H287*I287,ROUND(((H287-(INT((WEEKDAY(B287-6)+H287-1)/7)+INT((WEEKDAY(B287-7)+H287-1)/7)))*INDEX(Properties!$E$5:$E$24,MATCH(D287,Properties!$A$5:$A$24,0))+(INT((WEEKDAY(B287-6)+H287-1)/7)+INT((WEEKDAY(B287-7)+H287-1)/7))*INDEX(Properties!$F$5:$F$24,MATCH(D287,Properties!$A$5:$A$24,0)))*(1-IF(H287&gt;=28,Settings!$B$10,IF(H287&gt;=7,Settings!$B$9,0))),2)),0))</f>
        <v/>
      </c>
      <c r="K287" s="41" t="str">
        <f aca="false">IF(J287="","",IFERROR(N(INDEX(Properties!$G$5:$G$24,MATCH(D287,Properties!$A$5:$A$24,0))),0))</f>
        <v/>
      </c>
      <c r="L287" s="41" t="str">
        <f aca="false">IF(J287="","",IFERROR(MAX(0,N(G287)-INDEX(Properties!$I$5:$I$24,MATCH(D287,Properties!$A$5:$A$24,0)))*N(INDEX(Properties!$J$5:$J$24,MATCH(D287,Properties!$A$5:$A$24,0)))*H287,0))</f>
        <v/>
      </c>
      <c r="M287" s="37"/>
      <c r="N287" s="41" t="str">
        <f aca="false">IF(J287="","",J287+K287+L287+N(M287))</f>
        <v/>
      </c>
      <c r="O287" s="41" t="str">
        <f aca="false">IF(N287="","",IF(P287&lt;&gt;"",N287-P287,ROUND(N287*IFERROR(INDEX(Settings!$E$5:$E$12,MATCH(F287,Settings!$D$5:$D$12,0)),0),2)))</f>
        <v/>
      </c>
      <c r="P287" s="37"/>
      <c r="Q287" s="41" t="str">
        <f aca="false">IF(N287="","",IF(P287&lt;&gt;"",P287,N287-O287))</f>
        <v/>
      </c>
      <c r="R287" s="41" t="str">
        <f aca="false">IF(J287="","",IFERROR(N(INDEX(Properties!$H$5:$H$24,MATCH(D287,Properties!$A$5:$A$24,0))),0))</f>
        <v/>
      </c>
      <c r="S287" s="41" t="str">
        <f aca="false">IF(Q287="","",Q287-R287)</f>
        <v/>
      </c>
      <c r="T287" s="6"/>
      <c r="U287" s="6"/>
      <c r="V287" s="6"/>
      <c r="W287" s="6"/>
      <c r="X287" s="6"/>
      <c r="Y287" s="8" t="str">
        <f aca="false">IF(OR(D287="",B287="",C287=""),"",IF(N(C287)&lt;=N(B287),"Check dates",IF(T287="Cancelled","",IF(COUNTIFS($D$5:$D$1004,D287,$B$5:$B$1004,"&lt;"&amp;C287,$C$5:$C$1004,"&gt;"&amp;B287,$T$5:$T$1004,"&lt;&gt;Cancelled")&gt;1,"Double-booked",""))))</f>
        <v/>
      </c>
      <c r="Z287" s="42" t="str">
        <f aca="false">IF(AND(AA287=1,ISNUMBER(C287)),C287+ROW()/100000,"")</f>
        <v/>
      </c>
      <c r="AA287" s="43" t="n">
        <f aca="false">IF(AND(D287&lt;&gt;"",ISNUMBER(B287),ISNUMBER(C287),N(H287)&gt;0,T287&lt;&gt;"Cancelled",J287&lt;&gt;""),1,0)</f>
        <v>0</v>
      </c>
      <c r="AB287" s="44" t="n">
        <f aca="false">IF(AA287=1,J287/H287,0)</f>
        <v>0</v>
      </c>
      <c r="AC287" s="44" t="n">
        <f aca="false">IF(AA287=1,Q287/H287,0)</f>
        <v>0</v>
      </c>
      <c r="AD287" s="44" t="n">
        <f aca="false">IF(AA287=1,R287/H287,0)</f>
        <v>0</v>
      </c>
      <c r="AE287" s="44" t="n">
        <f aca="false">IF(AA287=1,O287/H287,0)</f>
        <v>0</v>
      </c>
      <c r="AF287" s="44" t="n">
        <f aca="false">IF(AA287=1,K287/H287,0)</f>
        <v>0</v>
      </c>
      <c r="AG287" s="45" t="str">
        <f aca="false">IF(AA287=1,D287&amp;"|"&amp;TEXT(B287,"0"),"")</f>
        <v/>
      </c>
      <c r="AH287" s="43" t="n">
        <f aca="false">IF(AA287=1,H287,0)</f>
        <v>0</v>
      </c>
    </row>
    <row r="288" customFormat="false" ht="15" hidden="false" customHeight="false" outlineLevel="0" collapsed="false">
      <c r="A288" s="23" t="str">
        <f aca="false">IF(B288="","","B-"&amp;TEXT(ROW()-4,"0000"))</f>
        <v/>
      </c>
      <c r="B288" s="38"/>
      <c r="C288" s="38"/>
      <c r="D288" s="6"/>
      <c r="E288" s="6"/>
      <c r="F288" s="6"/>
      <c r="G288" s="11"/>
      <c r="H288" s="24" t="str">
        <f aca="false">IF(AND(ISNUMBER(B288),ISNUMBER(C288)),MAX(0,C288-B288),"")</f>
        <v/>
      </c>
      <c r="I288" s="37"/>
      <c r="J288" s="46" t="str">
        <f aca="false">IF(OR(D288="",N(H288)=0),"",IFERROR(IF(I288&lt;&gt;"",H288*I288,ROUND(((H288-(INT((WEEKDAY(B288-6)+H288-1)/7)+INT((WEEKDAY(B288-7)+H288-1)/7)))*INDEX(Properties!$E$5:$E$24,MATCH(D288,Properties!$A$5:$A$24,0))+(INT((WEEKDAY(B288-6)+H288-1)/7)+INT((WEEKDAY(B288-7)+H288-1)/7))*INDEX(Properties!$F$5:$F$24,MATCH(D288,Properties!$A$5:$A$24,0)))*(1-IF(H288&gt;=28,Settings!$B$10,IF(H288&gt;=7,Settings!$B$9,0))),2)),0))</f>
        <v/>
      </c>
      <c r="K288" s="46" t="str">
        <f aca="false">IF(J288="","",IFERROR(N(INDEX(Properties!$G$5:$G$24,MATCH(D288,Properties!$A$5:$A$24,0))),0))</f>
        <v/>
      </c>
      <c r="L288" s="46" t="str">
        <f aca="false">IF(J288="","",IFERROR(MAX(0,N(G288)-INDEX(Properties!$I$5:$I$24,MATCH(D288,Properties!$A$5:$A$24,0)))*N(INDEX(Properties!$J$5:$J$24,MATCH(D288,Properties!$A$5:$A$24,0)))*H288,0))</f>
        <v/>
      </c>
      <c r="M288" s="37"/>
      <c r="N288" s="46" t="str">
        <f aca="false">IF(J288="","",J288+K288+L288+N(M288))</f>
        <v/>
      </c>
      <c r="O288" s="46" t="str">
        <f aca="false">IF(N288="","",IF(P288&lt;&gt;"",N288-P288,ROUND(N288*IFERROR(INDEX(Settings!$E$5:$E$12,MATCH(F288,Settings!$D$5:$D$12,0)),0),2)))</f>
        <v/>
      </c>
      <c r="P288" s="37"/>
      <c r="Q288" s="46" t="str">
        <f aca="false">IF(N288="","",IF(P288&lt;&gt;"",P288,N288-O288))</f>
        <v/>
      </c>
      <c r="R288" s="46" t="str">
        <f aca="false">IF(J288="","",IFERROR(N(INDEX(Properties!$H$5:$H$24,MATCH(D288,Properties!$A$5:$A$24,0))),0))</f>
        <v/>
      </c>
      <c r="S288" s="46" t="str">
        <f aca="false">IF(Q288="","",Q288-R288)</f>
        <v/>
      </c>
      <c r="T288" s="6"/>
      <c r="U288" s="6"/>
      <c r="V288" s="6"/>
      <c r="W288" s="6"/>
      <c r="X288" s="6"/>
      <c r="Y288" s="8" t="str">
        <f aca="false">IF(OR(D288="",B288="",C288=""),"",IF(N(C288)&lt;=N(B288),"Check dates",IF(T288="Cancelled","",IF(COUNTIFS($D$5:$D$1004,D288,$B$5:$B$1004,"&lt;"&amp;C288,$C$5:$C$1004,"&gt;"&amp;B288,$T$5:$T$1004,"&lt;&gt;Cancelled")&gt;1,"Double-booked",""))))</f>
        <v/>
      </c>
      <c r="Z288" s="42" t="str">
        <f aca="false">IF(AND(AA288=1,ISNUMBER(C288)),C288+ROW()/100000,"")</f>
        <v/>
      </c>
      <c r="AA288" s="43" t="n">
        <f aca="false">IF(AND(D288&lt;&gt;"",ISNUMBER(B288),ISNUMBER(C288),N(H288)&gt;0,T288&lt;&gt;"Cancelled",J288&lt;&gt;""),1,0)</f>
        <v>0</v>
      </c>
      <c r="AB288" s="44" t="n">
        <f aca="false">IF(AA288=1,J288/H288,0)</f>
        <v>0</v>
      </c>
      <c r="AC288" s="44" t="n">
        <f aca="false">IF(AA288=1,Q288/H288,0)</f>
        <v>0</v>
      </c>
      <c r="AD288" s="44" t="n">
        <f aca="false">IF(AA288=1,R288/H288,0)</f>
        <v>0</v>
      </c>
      <c r="AE288" s="44" t="n">
        <f aca="false">IF(AA288=1,O288/H288,0)</f>
        <v>0</v>
      </c>
      <c r="AF288" s="44" t="n">
        <f aca="false">IF(AA288=1,K288/H288,0)</f>
        <v>0</v>
      </c>
      <c r="AG288" s="45" t="str">
        <f aca="false">IF(AA288=1,D288&amp;"|"&amp;TEXT(B288,"0"),"")</f>
        <v/>
      </c>
      <c r="AH288" s="43" t="n">
        <f aca="false">IF(AA288=1,H288,0)</f>
        <v>0</v>
      </c>
    </row>
    <row r="289" customFormat="false" ht="15" hidden="false" customHeight="false" outlineLevel="0" collapsed="false">
      <c r="A289" s="8" t="str">
        <f aca="false">IF(B289="","","B-"&amp;TEXT(ROW()-4,"0000"))</f>
        <v/>
      </c>
      <c r="B289" s="38"/>
      <c r="C289" s="38"/>
      <c r="D289" s="6"/>
      <c r="E289" s="6"/>
      <c r="F289" s="6"/>
      <c r="G289" s="11"/>
      <c r="H289" s="18" t="str">
        <f aca="false">IF(AND(ISNUMBER(B289),ISNUMBER(C289)),MAX(0,C289-B289),"")</f>
        <v/>
      </c>
      <c r="I289" s="37"/>
      <c r="J289" s="41" t="str">
        <f aca="false">IF(OR(D289="",N(H289)=0),"",IFERROR(IF(I289&lt;&gt;"",H289*I289,ROUND(((H289-(INT((WEEKDAY(B289-6)+H289-1)/7)+INT((WEEKDAY(B289-7)+H289-1)/7)))*INDEX(Properties!$E$5:$E$24,MATCH(D289,Properties!$A$5:$A$24,0))+(INT((WEEKDAY(B289-6)+H289-1)/7)+INT((WEEKDAY(B289-7)+H289-1)/7))*INDEX(Properties!$F$5:$F$24,MATCH(D289,Properties!$A$5:$A$24,0)))*(1-IF(H289&gt;=28,Settings!$B$10,IF(H289&gt;=7,Settings!$B$9,0))),2)),0))</f>
        <v/>
      </c>
      <c r="K289" s="41" t="str">
        <f aca="false">IF(J289="","",IFERROR(N(INDEX(Properties!$G$5:$G$24,MATCH(D289,Properties!$A$5:$A$24,0))),0))</f>
        <v/>
      </c>
      <c r="L289" s="41" t="str">
        <f aca="false">IF(J289="","",IFERROR(MAX(0,N(G289)-INDEX(Properties!$I$5:$I$24,MATCH(D289,Properties!$A$5:$A$24,0)))*N(INDEX(Properties!$J$5:$J$24,MATCH(D289,Properties!$A$5:$A$24,0)))*H289,0))</f>
        <v/>
      </c>
      <c r="M289" s="37"/>
      <c r="N289" s="41" t="str">
        <f aca="false">IF(J289="","",J289+K289+L289+N(M289))</f>
        <v/>
      </c>
      <c r="O289" s="41" t="str">
        <f aca="false">IF(N289="","",IF(P289&lt;&gt;"",N289-P289,ROUND(N289*IFERROR(INDEX(Settings!$E$5:$E$12,MATCH(F289,Settings!$D$5:$D$12,0)),0),2)))</f>
        <v/>
      </c>
      <c r="P289" s="37"/>
      <c r="Q289" s="41" t="str">
        <f aca="false">IF(N289="","",IF(P289&lt;&gt;"",P289,N289-O289))</f>
        <v/>
      </c>
      <c r="R289" s="41" t="str">
        <f aca="false">IF(J289="","",IFERROR(N(INDEX(Properties!$H$5:$H$24,MATCH(D289,Properties!$A$5:$A$24,0))),0))</f>
        <v/>
      </c>
      <c r="S289" s="41" t="str">
        <f aca="false">IF(Q289="","",Q289-R289)</f>
        <v/>
      </c>
      <c r="T289" s="6"/>
      <c r="U289" s="6"/>
      <c r="V289" s="6"/>
      <c r="W289" s="6"/>
      <c r="X289" s="6"/>
      <c r="Y289" s="8" t="str">
        <f aca="false">IF(OR(D289="",B289="",C289=""),"",IF(N(C289)&lt;=N(B289),"Check dates",IF(T289="Cancelled","",IF(COUNTIFS($D$5:$D$1004,D289,$B$5:$B$1004,"&lt;"&amp;C289,$C$5:$C$1004,"&gt;"&amp;B289,$T$5:$T$1004,"&lt;&gt;Cancelled")&gt;1,"Double-booked",""))))</f>
        <v/>
      </c>
      <c r="Z289" s="42" t="str">
        <f aca="false">IF(AND(AA289=1,ISNUMBER(C289)),C289+ROW()/100000,"")</f>
        <v/>
      </c>
      <c r="AA289" s="43" t="n">
        <f aca="false">IF(AND(D289&lt;&gt;"",ISNUMBER(B289),ISNUMBER(C289),N(H289)&gt;0,T289&lt;&gt;"Cancelled",J289&lt;&gt;""),1,0)</f>
        <v>0</v>
      </c>
      <c r="AB289" s="44" t="n">
        <f aca="false">IF(AA289=1,J289/H289,0)</f>
        <v>0</v>
      </c>
      <c r="AC289" s="44" t="n">
        <f aca="false">IF(AA289=1,Q289/H289,0)</f>
        <v>0</v>
      </c>
      <c r="AD289" s="44" t="n">
        <f aca="false">IF(AA289=1,R289/H289,0)</f>
        <v>0</v>
      </c>
      <c r="AE289" s="44" t="n">
        <f aca="false">IF(AA289=1,O289/H289,0)</f>
        <v>0</v>
      </c>
      <c r="AF289" s="44" t="n">
        <f aca="false">IF(AA289=1,K289/H289,0)</f>
        <v>0</v>
      </c>
      <c r="AG289" s="45" t="str">
        <f aca="false">IF(AA289=1,D289&amp;"|"&amp;TEXT(B289,"0"),"")</f>
        <v/>
      </c>
      <c r="AH289" s="43" t="n">
        <f aca="false">IF(AA289=1,H289,0)</f>
        <v>0</v>
      </c>
    </row>
    <row r="290" customFormat="false" ht="15" hidden="false" customHeight="false" outlineLevel="0" collapsed="false">
      <c r="A290" s="23" t="str">
        <f aca="false">IF(B290="","","B-"&amp;TEXT(ROW()-4,"0000"))</f>
        <v/>
      </c>
      <c r="B290" s="38"/>
      <c r="C290" s="38"/>
      <c r="D290" s="6"/>
      <c r="E290" s="6"/>
      <c r="F290" s="6"/>
      <c r="G290" s="11"/>
      <c r="H290" s="24" t="str">
        <f aca="false">IF(AND(ISNUMBER(B290),ISNUMBER(C290)),MAX(0,C290-B290),"")</f>
        <v/>
      </c>
      <c r="I290" s="37"/>
      <c r="J290" s="46" t="str">
        <f aca="false">IF(OR(D290="",N(H290)=0),"",IFERROR(IF(I290&lt;&gt;"",H290*I290,ROUND(((H290-(INT((WEEKDAY(B290-6)+H290-1)/7)+INT((WEEKDAY(B290-7)+H290-1)/7)))*INDEX(Properties!$E$5:$E$24,MATCH(D290,Properties!$A$5:$A$24,0))+(INT((WEEKDAY(B290-6)+H290-1)/7)+INT((WEEKDAY(B290-7)+H290-1)/7))*INDEX(Properties!$F$5:$F$24,MATCH(D290,Properties!$A$5:$A$24,0)))*(1-IF(H290&gt;=28,Settings!$B$10,IF(H290&gt;=7,Settings!$B$9,0))),2)),0))</f>
        <v/>
      </c>
      <c r="K290" s="46" t="str">
        <f aca="false">IF(J290="","",IFERROR(N(INDEX(Properties!$G$5:$G$24,MATCH(D290,Properties!$A$5:$A$24,0))),0))</f>
        <v/>
      </c>
      <c r="L290" s="46" t="str">
        <f aca="false">IF(J290="","",IFERROR(MAX(0,N(G290)-INDEX(Properties!$I$5:$I$24,MATCH(D290,Properties!$A$5:$A$24,0)))*N(INDEX(Properties!$J$5:$J$24,MATCH(D290,Properties!$A$5:$A$24,0)))*H290,0))</f>
        <v/>
      </c>
      <c r="M290" s="37"/>
      <c r="N290" s="46" t="str">
        <f aca="false">IF(J290="","",J290+K290+L290+N(M290))</f>
        <v/>
      </c>
      <c r="O290" s="46" t="str">
        <f aca="false">IF(N290="","",IF(P290&lt;&gt;"",N290-P290,ROUND(N290*IFERROR(INDEX(Settings!$E$5:$E$12,MATCH(F290,Settings!$D$5:$D$12,0)),0),2)))</f>
        <v/>
      </c>
      <c r="P290" s="37"/>
      <c r="Q290" s="46" t="str">
        <f aca="false">IF(N290="","",IF(P290&lt;&gt;"",P290,N290-O290))</f>
        <v/>
      </c>
      <c r="R290" s="46" t="str">
        <f aca="false">IF(J290="","",IFERROR(N(INDEX(Properties!$H$5:$H$24,MATCH(D290,Properties!$A$5:$A$24,0))),0))</f>
        <v/>
      </c>
      <c r="S290" s="46" t="str">
        <f aca="false">IF(Q290="","",Q290-R290)</f>
        <v/>
      </c>
      <c r="T290" s="6"/>
      <c r="U290" s="6"/>
      <c r="V290" s="6"/>
      <c r="W290" s="6"/>
      <c r="X290" s="6"/>
      <c r="Y290" s="8" t="str">
        <f aca="false">IF(OR(D290="",B290="",C290=""),"",IF(N(C290)&lt;=N(B290),"Check dates",IF(T290="Cancelled","",IF(COUNTIFS($D$5:$D$1004,D290,$B$5:$B$1004,"&lt;"&amp;C290,$C$5:$C$1004,"&gt;"&amp;B290,$T$5:$T$1004,"&lt;&gt;Cancelled")&gt;1,"Double-booked",""))))</f>
        <v/>
      </c>
      <c r="Z290" s="42" t="str">
        <f aca="false">IF(AND(AA290=1,ISNUMBER(C290)),C290+ROW()/100000,"")</f>
        <v/>
      </c>
      <c r="AA290" s="43" t="n">
        <f aca="false">IF(AND(D290&lt;&gt;"",ISNUMBER(B290),ISNUMBER(C290),N(H290)&gt;0,T290&lt;&gt;"Cancelled",J290&lt;&gt;""),1,0)</f>
        <v>0</v>
      </c>
      <c r="AB290" s="44" t="n">
        <f aca="false">IF(AA290=1,J290/H290,0)</f>
        <v>0</v>
      </c>
      <c r="AC290" s="44" t="n">
        <f aca="false">IF(AA290=1,Q290/H290,0)</f>
        <v>0</v>
      </c>
      <c r="AD290" s="44" t="n">
        <f aca="false">IF(AA290=1,R290/H290,0)</f>
        <v>0</v>
      </c>
      <c r="AE290" s="44" t="n">
        <f aca="false">IF(AA290=1,O290/H290,0)</f>
        <v>0</v>
      </c>
      <c r="AF290" s="44" t="n">
        <f aca="false">IF(AA290=1,K290/H290,0)</f>
        <v>0</v>
      </c>
      <c r="AG290" s="45" t="str">
        <f aca="false">IF(AA290=1,D290&amp;"|"&amp;TEXT(B290,"0"),"")</f>
        <v/>
      </c>
      <c r="AH290" s="43" t="n">
        <f aca="false">IF(AA290=1,H290,0)</f>
        <v>0</v>
      </c>
    </row>
    <row r="291" customFormat="false" ht="15" hidden="false" customHeight="false" outlineLevel="0" collapsed="false">
      <c r="A291" s="8" t="str">
        <f aca="false">IF(B291="","","B-"&amp;TEXT(ROW()-4,"0000"))</f>
        <v/>
      </c>
      <c r="B291" s="38"/>
      <c r="C291" s="38"/>
      <c r="D291" s="6"/>
      <c r="E291" s="6"/>
      <c r="F291" s="6"/>
      <c r="G291" s="11"/>
      <c r="H291" s="18" t="str">
        <f aca="false">IF(AND(ISNUMBER(B291),ISNUMBER(C291)),MAX(0,C291-B291),"")</f>
        <v/>
      </c>
      <c r="I291" s="37"/>
      <c r="J291" s="41" t="str">
        <f aca="false">IF(OR(D291="",N(H291)=0),"",IFERROR(IF(I291&lt;&gt;"",H291*I291,ROUND(((H291-(INT((WEEKDAY(B291-6)+H291-1)/7)+INT((WEEKDAY(B291-7)+H291-1)/7)))*INDEX(Properties!$E$5:$E$24,MATCH(D291,Properties!$A$5:$A$24,0))+(INT((WEEKDAY(B291-6)+H291-1)/7)+INT((WEEKDAY(B291-7)+H291-1)/7))*INDEX(Properties!$F$5:$F$24,MATCH(D291,Properties!$A$5:$A$24,0)))*(1-IF(H291&gt;=28,Settings!$B$10,IF(H291&gt;=7,Settings!$B$9,0))),2)),0))</f>
        <v/>
      </c>
      <c r="K291" s="41" t="str">
        <f aca="false">IF(J291="","",IFERROR(N(INDEX(Properties!$G$5:$G$24,MATCH(D291,Properties!$A$5:$A$24,0))),0))</f>
        <v/>
      </c>
      <c r="L291" s="41" t="str">
        <f aca="false">IF(J291="","",IFERROR(MAX(0,N(G291)-INDEX(Properties!$I$5:$I$24,MATCH(D291,Properties!$A$5:$A$24,0)))*N(INDEX(Properties!$J$5:$J$24,MATCH(D291,Properties!$A$5:$A$24,0)))*H291,0))</f>
        <v/>
      </c>
      <c r="M291" s="37"/>
      <c r="N291" s="41" t="str">
        <f aca="false">IF(J291="","",J291+K291+L291+N(M291))</f>
        <v/>
      </c>
      <c r="O291" s="41" t="str">
        <f aca="false">IF(N291="","",IF(P291&lt;&gt;"",N291-P291,ROUND(N291*IFERROR(INDEX(Settings!$E$5:$E$12,MATCH(F291,Settings!$D$5:$D$12,0)),0),2)))</f>
        <v/>
      </c>
      <c r="P291" s="37"/>
      <c r="Q291" s="41" t="str">
        <f aca="false">IF(N291="","",IF(P291&lt;&gt;"",P291,N291-O291))</f>
        <v/>
      </c>
      <c r="R291" s="41" t="str">
        <f aca="false">IF(J291="","",IFERROR(N(INDEX(Properties!$H$5:$H$24,MATCH(D291,Properties!$A$5:$A$24,0))),0))</f>
        <v/>
      </c>
      <c r="S291" s="41" t="str">
        <f aca="false">IF(Q291="","",Q291-R291)</f>
        <v/>
      </c>
      <c r="T291" s="6"/>
      <c r="U291" s="6"/>
      <c r="V291" s="6"/>
      <c r="W291" s="6"/>
      <c r="X291" s="6"/>
      <c r="Y291" s="8" t="str">
        <f aca="false">IF(OR(D291="",B291="",C291=""),"",IF(N(C291)&lt;=N(B291),"Check dates",IF(T291="Cancelled","",IF(COUNTIFS($D$5:$D$1004,D291,$B$5:$B$1004,"&lt;"&amp;C291,$C$5:$C$1004,"&gt;"&amp;B291,$T$5:$T$1004,"&lt;&gt;Cancelled")&gt;1,"Double-booked",""))))</f>
        <v/>
      </c>
      <c r="Z291" s="42" t="str">
        <f aca="false">IF(AND(AA291=1,ISNUMBER(C291)),C291+ROW()/100000,"")</f>
        <v/>
      </c>
      <c r="AA291" s="43" t="n">
        <f aca="false">IF(AND(D291&lt;&gt;"",ISNUMBER(B291),ISNUMBER(C291),N(H291)&gt;0,T291&lt;&gt;"Cancelled",J291&lt;&gt;""),1,0)</f>
        <v>0</v>
      </c>
      <c r="AB291" s="44" t="n">
        <f aca="false">IF(AA291=1,J291/H291,0)</f>
        <v>0</v>
      </c>
      <c r="AC291" s="44" t="n">
        <f aca="false">IF(AA291=1,Q291/H291,0)</f>
        <v>0</v>
      </c>
      <c r="AD291" s="44" t="n">
        <f aca="false">IF(AA291=1,R291/H291,0)</f>
        <v>0</v>
      </c>
      <c r="AE291" s="44" t="n">
        <f aca="false">IF(AA291=1,O291/H291,0)</f>
        <v>0</v>
      </c>
      <c r="AF291" s="44" t="n">
        <f aca="false">IF(AA291=1,K291/H291,0)</f>
        <v>0</v>
      </c>
      <c r="AG291" s="45" t="str">
        <f aca="false">IF(AA291=1,D291&amp;"|"&amp;TEXT(B291,"0"),"")</f>
        <v/>
      </c>
      <c r="AH291" s="43" t="n">
        <f aca="false">IF(AA291=1,H291,0)</f>
        <v>0</v>
      </c>
    </row>
    <row r="292" customFormat="false" ht="15" hidden="false" customHeight="false" outlineLevel="0" collapsed="false">
      <c r="A292" s="23" t="str">
        <f aca="false">IF(B292="","","B-"&amp;TEXT(ROW()-4,"0000"))</f>
        <v/>
      </c>
      <c r="B292" s="38"/>
      <c r="C292" s="38"/>
      <c r="D292" s="6"/>
      <c r="E292" s="6"/>
      <c r="F292" s="6"/>
      <c r="G292" s="11"/>
      <c r="H292" s="24" t="str">
        <f aca="false">IF(AND(ISNUMBER(B292),ISNUMBER(C292)),MAX(0,C292-B292),"")</f>
        <v/>
      </c>
      <c r="I292" s="37"/>
      <c r="J292" s="46" t="str">
        <f aca="false">IF(OR(D292="",N(H292)=0),"",IFERROR(IF(I292&lt;&gt;"",H292*I292,ROUND(((H292-(INT((WEEKDAY(B292-6)+H292-1)/7)+INT((WEEKDAY(B292-7)+H292-1)/7)))*INDEX(Properties!$E$5:$E$24,MATCH(D292,Properties!$A$5:$A$24,0))+(INT((WEEKDAY(B292-6)+H292-1)/7)+INT((WEEKDAY(B292-7)+H292-1)/7))*INDEX(Properties!$F$5:$F$24,MATCH(D292,Properties!$A$5:$A$24,0)))*(1-IF(H292&gt;=28,Settings!$B$10,IF(H292&gt;=7,Settings!$B$9,0))),2)),0))</f>
        <v/>
      </c>
      <c r="K292" s="46" t="str">
        <f aca="false">IF(J292="","",IFERROR(N(INDEX(Properties!$G$5:$G$24,MATCH(D292,Properties!$A$5:$A$24,0))),0))</f>
        <v/>
      </c>
      <c r="L292" s="46" t="str">
        <f aca="false">IF(J292="","",IFERROR(MAX(0,N(G292)-INDEX(Properties!$I$5:$I$24,MATCH(D292,Properties!$A$5:$A$24,0)))*N(INDEX(Properties!$J$5:$J$24,MATCH(D292,Properties!$A$5:$A$24,0)))*H292,0))</f>
        <v/>
      </c>
      <c r="M292" s="37"/>
      <c r="N292" s="46" t="str">
        <f aca="false">IF(J292="","",J292+K292+L292+N(M292))</f>
        <v/>
      </c>
      <c r="O292" s="46" t="str">
        <f aca="false">IF(N292="","",IF(P292&lt;&gt;"",N292-P292,ROUND(N292*IFERROR(INDEX(Settings!$E$5:$E$12,MATCH(F292,Settings!$D$5:$D$12,0)),0),2)))</f>
        <v/>
      </c>
      <c r="P292" s="37"/>
      <c r="Q292" s="46" t="str">
        <f aca="false">IF(N292="","",IF(P292&lt;&gt;"",P292,N292-O292))</f>
        <v/>
      </c>
      <c r="R292" s="46" t="str">
        <f aca="false">IF(J292="","",IFERROR(N(INDEX(Properties!$H$5:$H$24,MATCH(D292,Properties!$A$5:$A$24,0))),0))</f>
        <v/>
      </c>
      <c r="S292" s="46" t="str">
        <f aca="false">IF(Q292="","",Q292-R292)</f>
        <v/>
      </c>
      <c r="T292" s="6"/>
      <c r="U292" s="6"/>
      <c r="V292" s="6"/>
      <c r="W292" s="6"/>
      <c r="X292" s="6"/>
      <c r="Y292" s="8" t="str">
        <f aca="false">IF(OR(D292="",B292="",C292=""),"",IF(N(C292)&lt;=N(B292),"Check dates",IF(T292="Cancelled","",IF(COUNTIFS($D$5:$D$1004,D292,$B$5:$B$1004,"&lt;"&amp;C292,$C$5:$C$1004,"&gt;"&amp;B292,$T$5:$T$1004,"&lt;&gt;Cancelled")&gt;1,"Double-booked",""))))</f>
        <v/>
      </c>
      <c r="Z292" s="42" t="str">
        <f aca="false">IF(AND(AA292=1,ISNUMBER(C292)),C292+ROW()/100000,"")</f>
        <v/>
      </c>
      <c r="AA292" s="43" t="n">
        <f aca="false">IF(AND(D292&lt;&gt;"",ISNUMBER(B292),ISNUMBER(C292),N(H292)&gt;0,T292&lt;&gt;"Cancelled",J292&lt;&gt;""),1,0)</f>
        <v>0</v>
      </c>
      <c r="AB292" s="44" t="n">
        <f aca="false">IF(AA292=1,J292/H292,0)</f>
        <v>0</v>
      </c>
      <c r="AC292" s="44" t="n">
        <f aca="false">IF(AA292=1,Q292/H292,0)</f>
        <v>0</v>
      </c>
      <c r="AD292" s="44" t="n">
        <f aca="false">IF(AA292=1,R292/H292,0)</f>
        <v>0</v>
      </c>
      <c r="AE292" s="44" t="n">
        <f aca="false">IF(AA292=1,O292/H292,0)</f>
        <v>0</v>
      </c>
      <c r="AF292" s="44" t="n">
        <f aca="false">IF(AA292=1,K292/H292,0)</f>
        <v>0</v>
      </c>
      <c r="AG292" s="45" t="str">
        <f aca="false">IF(AA292=1,D292&amp;"|"&amp;TEXT(B292,"0"),"")</f>
        <v/>
      </c>
      <c r="AH292" s="43" t="n">
        <f aca="false">IF(AA292=1,H292,0)</f>
        <v>0</v>
      </c>
    </row>
    <row r="293" customFormat="false" ht="15" hidden="false" customHeight="false" outlineLevel="0" collapsed="false">
      <c r="A293" s="8" t="str">
        <f aca="false">IF(B293="","","B-"&amp;TEXT(ROW()-4,"0000"))</f>
        <v/>
      </c>
      <c r="B293" s="38"/>
      <c r="C293" s="38"/>
      <c r="D293" s="6"/>
      <c r="E293" s="6"/>
      <c r="F293" s="6"/>
      <c r="G293" s="11"/>
      <c r="H293" s="18" t="str">
        <f aca="false">IF(AND(ISNUMBER(B293),ISNUMBER(C293)),MAX(0,C293-B293),"")</f>
        <v/>
      </c>
      <c r="I293" s="37"/>
      <c r="J293" s="41" t="str">
        <f aca="false">IF(OR(D293="",N(H293)=0),"",IFERROR(IF(I293&lt;&gt;"",H293*I293,ROUND(((H293-(INT((WEEKDAY(B293-6)+H293-1)/7)+INT((WEEKDAY(B293-7)+H293-1)/7)))*INDEX(Properties!$E$5:$E$24,MATCH(D293,Properties!$A$5:$A$24,0))+(INT((WEEKDAY(B293-6)+H293-1)/7)+INT((WEEKDAY(B293-7)+H293-1)/7))*INDEX(Properties!$F$5:$F$24,MATCH(D293,Properties!$A$5:$A$24,0)))*(1-IF(H293&gt;=28,Settings!$B$10,IF(H293&gt;=7,Settings!$B$9,0))),2)),0))</f>
        <v/>
      </c>
      <c r="K293" s="41" t="str">
        <f aca="false">IF(J293="","",IFERROR(N(INDEX(Properties!$G$5:$G$24,MATCH(D293,Properties!$A$5:$A$24,0))),0))</f>
        <v/>
      </c>
      <c r="L293" s="41" t="str">
        <f aca="false">IF(J293="","",IFERROR(MAX(0,N(G293)-INDEX(Properties!$I$5:$I$24,MATCH(D293,Properties!$A$5:$A$24,0)))*N(INDEX(Properties!$J$5:$J$24,MATCH(D293,Properties!$A$5:$A$24,0)))*H293,0))</f>
        <v/>
      </c>
      <c r="M293" s="37"/>
      <c r="N293" s="41" t="str">
        <f aca="false">IF(J293="","",J293+K293+L293+N(M293))</f>
        <v/>
      </c>
      <c r="O293" s="41" t="str">
        <f aca="false">IF(N293="","",IF(P293&lt;&gt;"",N293-P293,ROUND(N293*IFERROR(INDEX(Settings!$E$5:$E$12,MATCH(F293,Settings!$D$5:$D$12,0)),0),2)))</f>
        <v/>
      </c>
      <c r="P293" s="37"/>
      <c r="Q293" s="41" t="str">
        <f aca="false">IF(N293="","",IF(P293&lt;&gt;"",P293,N293-O293))</f>
        <v/>
      </c>
      <c r="R293" s="41" t="str">
        <f aca="false">IF(J293="","",IFERROR(N(INDEX(Properties!$H$5:$H$24,MATCH(D293,Properties!$A$5:$A$24,0))),0))</f>
        <v/>
      </c>
      <c r="S293" s="41" t="str">
        <f aca="false">IF(Q293="","",Q293-R293)</f>
        <v/>
      </c>
      <c r="T293" s="6"/>
      <c r="U293" s="6"/>
      <c r="V293" s="6"/>
      <c r="W293" s="6"/>
      <c r="X293" s="6"/>
      <c r="Y293" s="8" t="str">
        <f aca="false">IF(OR(D293="",B293="",C293=""),"",IF(N(C293)&lt;=N(B293),"Check dates",IF(T293="Cancelled","",IF(COUNTIFS($D$5:$D$1004,D293,$B$5:$B$1004,"&lt;"&amp;C293,$C$5:$C$1004,"&gt;"&amp;B293,$T$5:$T$1004,"&lt;&gt;Cancelled")&gt;1,"Double-booked",""))))</f>
        <v/>
      </c>
      <c r="Z293" s="42" t="str">
        <f aca="false">IF(AND(AA293=1,ISNUMBER(C293)),C293+ROW()/100000,"")</f>
        <v/>
      </c>
      <c r="AA293" s="43" t="n">
        <f aca="false">IF(AND(D293&lt;&gt;"",ISNUMBER(B293),ISNUMBER(C293),N(H293)&gt;0,T293&lt;&gt;"Cancelled",J293&lt;&gt;""),1,0)</f>
        <v>0</v>
      </c>
      <c r="AB293" s="44" t="n">
        <f aca="false">IF(AA293=1,J293/H293,0)</f>
        <v>0</v>
      </c>
      <c r="AC293" s="44" t="n">
        <f aca="false">IF(AA293=1,Q293/H293,0)</f>
        <v>0</v>
      </c>
      <c r="AD293" s="44" t="n">
        <f aca="false">IF(AA293=1,R293/H293,0)</f>
        <v>0</v>
      </c>
      <c r="AE293" s="44" t="n">
        <f aca="false">IF(AA293=1,O293/H293,0)</f>
        <v>0</v>
      </c>
      <c r="AF293" s="44" t="n">
        <f aca="false">IF(AA293=1,K293/H293,0)</f>
        <v>0</v>
      </c>
      <c r="AG293" s="45" t="str">
        <f aca="false">IF(AA293=1,D293&amp;"|"&amp;TEXT(B293,"0"),"")</f>
        <v/>
      </c>
      <c r="AH293" s="43" t="n">
        <f aca="false">IF(AA293=1,H293,0)</f>
        <v>0</v>
      </c>
    </row>
    <row r="294" customFormat="false" ht="15" hidden="false" customHeight="false" outlineLevel="0" collapsed="false">
      <c r="A294" s="23" t="str">
        <f aca="false">IF(B294="","","B-"&amp;TEXT(ROW()-4,"0000"))</f>
        <v/>
      </c>
      <c r="B294" s="38"/>
      <c r="C294" s="38"/>
      <c r="D294" s="6"/>
      <c r="E294" s="6"/>
      <c r="F294" s="6"/>
      <c r="G294" s="11"/>
      <c r="H294" s="24" t="str">
        <f aca="false">IF(AND(ISNUMBER(B294),ISNUMBER(C294)),MAX(0,C294-B294),"")</f>
        <v/>
      </c>
      <c r="I294" s="37"/>
      <c r="J294" s="46" t="str">
        <f aca="false">IF(OR(D294="",N(H294)=0),"",IFERROR(IF(I294&lt;&gt;"",H294*I294,ROUND(((H294-(INT((WEEKDAY(B294-6)+H294-1)/7)+INT((WEEKDAY(B294-7)+H294-1)/7)))*INDEX(Properties!$E$5:$E$24,MATCH(D294,Properties!$A$5:$A$24,0))+(INT((WEEKDAY(B294-6)+H294-1)/7)+INT((WEEKDAY(B294-7)+H294-1)/7))*INDEX(Properties!$F$5:$F$24,MATCH(D294,Properties!$A$5:$A$24,0)))*(1-IF(H294&gt;=28,Settings!$B$10,IF(H294&gt;=7,Settings!$B$9,0))),2)),0))</f>
        <v/>
      </c>
      <c r="K294" s="46" t="str">
        <f aca="false">IF(J294="","",IFERROR(N(INDEX(Properties!$G$5:$G$24,MATCH(D294,Properties!$A$5:$A$24,0))),0))</f>
        <v/>
      </c>
      <c r="L294" s="46" t="str">
        <f aca="false">IF(J294="","",IFERROR(MAX(0,N(G294)-INDEX(Properties!$I$5:$I$24,MATCH(D294,Properties!$A$5:$A$24,0)))*N(INDEX(Properties!$J$5:$J$24,MATCH(D294,Properties!$A$5:$A$24,0)))*H294,0))</f>
        <v/>
      </c>
      <c r="M294" s="37"/>
      <c r="N294" s="46" t="str">
        <f aca="false">IF(J294="","",J294+K294+L294+N(M294))</f>
        <v/>
      </c>
      <c r="O294" s="46" t="str">
        <f aca="false">IF(N294="","",IF(P294&lt;&gt;"",N294-P294,ROUND(N294*IFERROR(INDEX(Settings!$E$5:$E$12,MATCH(F294,Settings!$D$5:$D$12,0)),0),2)))</f>
        <v/>
      </c>
      <c r="P294" s="37"/>
      <c r="Q294" s="46" t="str">
        <f aca="false">IF(N294="","",IF(P294&lt;&gt;"",P294,N294-O294))</f>
        <v/>
      </c>
      <c r="R294" s="46" t="str">
        <f aca="false">IF(J294="","",IFERROR(N(INDEX(Properties!$H$5:$H$24,MATCH(D294,Properties!$A$5:$A$24,0))),0))</f>
        <v/>
      </c>
      <c r="S294" s="46" t="str">
        <f aca="false">IF(Q294="","",Q294-R294)</f>
        <v/>
      </c>
      <c r="T294" s="6"/>
      <c r="U294" s="6"/>
      <c r="V294" s="6"/>
      <c r="W294" s="6"/>
      <c r="X294" s="6"/>
      <c r="Y294" s="8" t="str">
        <f aca="false">IF(OR(D294="",B294="",C294=""),"",IF(N(C294)&lt;=N(B294),"Check dates",IF(T294="Cancelled","",IF(COUNTIFS($D$5:$D$1004,D294,$B$5:$B$1004,"&lt;"&amp;C294,$C$5:$C$1004,"&gt;"&amp;B294,$T$5:$T$1004,"&lt;&gt;Cancelled")&gt;1,"Double-booked",""))))</f>
        <v/>
      </c>
      <c r="Z294" s="42" t="str">
        <f aca="false">IF(AND(AA294=1,ISNUMBER(C294)),C294+ROW()/100000,"")</f>
        <v/>
      </c>
      <c r="AA294" s="43" t="n">
        <f aca="false">IF(AND(D294&lt;&gt;"",ISNUMBER(B294),ISNUMBER(C294),N(H294)&gt;0,T294&lt;&gt;"Cancelled",J294&lt;&gt;""),1,0)</f>
        <v>0</v>
      </c>
      <c r="AB294" s="44" t="n">
        <f aca="false">IF(AA294=1,J294/H294,0)</f>
        <v>0</v>
      </c>
      <c r="AC294" s="44" t="n">
        <f aca="false">IF(AA294=1,Q294/H294,0)</f>
        <v>0</v>
      </c>
      <c r="AD294" s="44" t="n">
        <f aca="false">IF(AA294=1,R294/H294,0)</f>
        <v>0</v>
      </c>
      <c r="AE294" s="44" t="n">
        <f aca="false">IF(AA294=1,O294/H294,0)</f>
        <v>0</v>
      </c>
      <c r="AF294" s="44" t="n">
        <f aca="false">IF(AA294=1,K294/H294,0)</f>
        <v>0</v>
      </c>
      <c r="AG294" s="45" t="str">
        <f aca="false">IF(AA294=1,D294&amp;"|"&amp;TEXT(B294,"0"),"")</f>
        <v/>
      </c>
      <c r="AH294" s="43" t="n">
        <f aca="false">IF(AA294=1,H294,0)</f>
        <v>0</v>
      </c>
    </row>
    <row r="295" customFormat="false" ht="15" hidden="false" customHeight="false" outlineLevel="0" collapsed="false">
      <c r="A295" s="8" t="str">
        <f aca="false">IF(B295="","","B-"&amp;TEXT(ROW()-4,"0000"))</f>
        <v/>
      </c>
      <c r="B295" s="38"/>
      <c r="C295" s="38"/>
      <c r="D295" s="6"/>
      <c r="E295" s="6"/>
      <c r="F295" s="6"/>
      <c r="G295" s="11"/>
      <c r="H295" s="18" t="str">
        <f aca="false">IF(AND(ISNUMBER(B295),ISNUMBER(C295)),MAX(0,C295-B295),"")</f>
        <v/>
      </c>
      <c r="I295" s="37"/>
      <c r="J295" s="41" t="str">
        <f aca="false">IF(OR(D295="",N(H295)=0),"",IFERROR(IF(I295&lt;&gt;"",H295*I295,ROUND(((H295-(INT((WEEKDAY(B295-6)+H295-1)/7)+INT((WEEKDAY(B295-7)+H295-1)/7)))*INDEX(Properties!$E$5:$E$24,MATCH(D295,Properties!$A$5:$A$24,0))+(INT((WEEKDAY(B295-6)+H295-1)/7)+INT((WEEKDAY(B295-7)+H295-1)/7))*INDEX(Properties!$F$5:$F$24,MATCH(D295,Properties!$A$5:$A$24,0)))*(1-IF(H295&gt;=28,Settings!$B$10,IF(H295&gt;=7,Settings!$B$9,0))),2)),0))</f>
        <v/>
      </c>
      <c r="K295" s="41" t="str">
        <f aca="false">IF(J295="","",IFERROR(N(INDEX(Properties!$G$5:$G$24,MATCH(D295,Properties!$A$5:$A$24,0))),0))</f>
        <v/>
      </c>
      <c r="L295" s="41" t="str">
        <f aca="false">IF(J295="","",IFERROR(MAX(0,N(G295)-INDEX(Properties!$I$5:$I$24,MATCH(D295,Properties!$A$5:$A$24,0)))*N(INDEX(Properties!$J$5:$J$24,MATCH(D295,Properties!$A$5:$A$24,0)))*H295,0))</f>
        <v/>
      </c>
      <c r="M295" s="37"/>
      <c r="N295" s="41" t="str">
        <f aca="false">IF(J295="","",J295+K295+L295+N(M295))</f>
        <v/>
      </c>
      <c r="O295" s="41" t="str">
        <f aca="false">IF(N295="","",IF(P295&lt;&gt;"",N295-P295,ROUND(N295*IFERROR(INDEX(Settings!$E$5:$E$12,MATCH(F295,Settings!$D$5:$D$12,0)),0),2)))</f>
        <v/>
      </c>
      <c r="P295" s="37"/>
      <c r="Q295" s="41" t="str">
        <f aca="false">IF(N295="","",IF(P295&lt;&gt;"",P295,N295-O295))</f>
        <v/>
      </c>
      <c r="R295" s="41" t="str">
        <f aca="false">IF(J295="","",IFERROR(N(INDEX(Properties!$H$5:$H$24,MATCH(D295,Properties!$A$5:$A$24,0))),0))</f>
        <v/>
      </c>
      <c r="S295" s="41" t="str">
        <f aca="false">IF(Q295="","",Q295-R295)</f>
        <v/>
      </c>
      <c r="T295" s="6"/>
      <c r="U295" s="6"/>
      <c r="V295" s="6"/>
      <c r="W295" s="6"/>
      <c r="X295" s="6"/>
      <c r="Y295" s="8" t="str">
        <f aca="false">IF(OR(D295="",B295="",C295=""),"",IF(N(C295)&lt;=N(B295),"Check dates",IF(T295="Cancelled","",IF(COUNTIFS($D$5:$D$1004,D295,$B$5:$B$1004,"&lt;"&amp;C295,$C$5:$C$1004,"&gt;"&amp;B295,$T$5:$T$1004,"&lt;&gt;Cancelled")&gt;1,"Double-booked",""))))</f>
        <v/>
      </c>
      <c r="Z295" s="42" t="str">
        <f aca="false">IF(AND(AA295=1,ISNUMBER(C295)),C295+ROW()/100000,"")</f>
        <v/>
      </c>
      <c r="AA295" s="43" t="n">
        <f aca="false">IF(AND(D295&lt;&gt;"",ISNUMBER(B295),ISNUMBER(C295),N(H295)&gt;0,T295&lt;&gt;"Cancelled",J295&lt;&gt;""),1,0)</f>
        <v>0</v>
      </c>
      <c r="AB295" s="44" t="n">
        <f aca="false">IF(AA295=1,J295/H295,0)</f>
        <v>0</v>
      </c>
      <c r="AC295" s="44" t="n">
        <f aca="false">IF(AA295=1,Q295/H295,0)</f>
        <v>0</v>
      </c>
      <c r="AD295" s="44" t="n">
        <f aca="false">IF(AA295=1,R295/H295,0)</f>
        <v>0</v>
      </c>
      <c r="AE295" s="44" t="n">
        <f aca="false">IF(AA295=1,O295/H295,0)</f>
        <v>0</v>
      </c>
      <c r="AF295" s="44" t="n">
        <f aca="false">IF(AA295=1,K295/H295,0)</f>
        <v>0</v>
      </c>
      <c r="AG295" s="45" t="str">
        <f aca="false">IF(AA295=1,D295&amp;"|"&amp;TEXT(B295,"0"),"")</f>
        <v/>
      </c>
      <c r="AH295" s="43" t="n">
        <f aca="false">IF(AA295=1,H295,0)</f>
        <v>0</v>
      </c>
    </row>
    <row r="296" customFormat="false" ht="15" hidden="false" customHeight="false" outlineLevel="0" collapsed="false">
      <c r="A296" s="23" t="str">
        <f aca="false">IF(B296="","","B-"&amp;TEXT(ROW()-4,"0000"))</f>
        <v/>
      </c>
      <c r="B296" s="38"/>
      <c r="C296" s="38"/>
      <c r="D296" s="6"/>
      <c r="E296" s="6"/>
      <c r="F296" s="6"/>
      <c r="G296" s="11"/>
      <c r="H296" s="24" t="str">
        <f aca="false">IF(AND(ISNUMBER(B296),ISNUMBER(C296)),MAX(0,C296-B296),"")</f>
        <v/>
      </c>
      <c r="I296" s="37"/>
      <c r="J296" s="46" t="str">
        <f aca="false">IF(OR(D296="",N(H296)=0),"",IFERROR(IF(I296&lt;&gt;"",H296*I296,ROUND(((H296-(INT((WEEKDAY(B296-6)+H296-1)/7)+INT((WEEKDAY(B296-7)+H296-1)/7)))*INDEX(Properties!$E$5:$E$24,MATCH(D296,Properties!$A$5:$A$24,0))+(INT((WEEKDAY(B296-6)+H296-1)/7)+INT((WEEKDAY(B296-7)+H296-1)/7))*INDEX(Properties!$F$5:$F$24,MATCH(D296,Properties!$A$5:$A$24,0)))*(1-IF(H296&gt;=28,Settings!$B$10,IF(H296&gt;=7,Settings!$B$9,0))),2)),0))</f>
        <v/>
      </c>
      <c r="K296" s="46" t="str">
        <f aca="false">IF(J296="","",IFERROR(N(INDEX(Properties!$G$5:$G$24,MATCH(D296,Properties!$A$5:$A$24,0))),0))</f>
        <v/>
      </c>
      <c r="L296" s="46" t="str">
        <f aca="false">IF(J296="","",IFERROR(MAX(0,N(G296)-INDEX(Properties!$I$5:$I$24,MATCH(D296,Properties!$A$5:$A$24,0)))*N(INDEX(Properties!$J$5:$J$24,MATCH(D296,Properties!$A$5:$A$24,0)))*H296,0))</f>
        <v/>
      </c>
      <c r="M296" s="37"/>
      <c r="N296" s="46" t="str">
        <f aca="false">IF(J296="","",J296+K296+L296+N(M296))</f>
        <v/>
      </c>
      <c r="O296" s="46" t="str">
        <f aca="false">IF(N296="","",IF(P296&lt;&gt;"",N296-P296,ROUND(N296*IFERROR(INDEX(Settings!$E$5:$E$12,MATCH(F296,Settings!$D$5:$D$12,0)),0),2)))</f>
        <v/>
      </c>
      <c r="P296" s="37"/>
      <c r="Q296" s="46" t="str">
        <f aca="false">IF(N296="","",IF(P296&lt;&gt;"",P296,N296-O296))</f>
        <v/>
      </c>
      <c r="R296" s="46" t="str">
        <f aca="false">IF(J296="","",IFERROR(N(INDEX(Properties!$H$5:$H$24,MATCH(D296,Properties!$A$5:$A$24,0))),0))</f>
        <v/>
      </c>
      <c r="S296" s="46" t="str">
        <f aca="false">IF(Q296="","",Q296-R296)</f>
        <v/>
      </c>
      <c r="T296" s="6"/>
      <c r="U296" s="6"/>
      <c r="V296" s="6"/>
      <c r="W296" s="6"/>
      <c r="X296" s="6"/>
      <c r="Y296" s="8" t="str">
        <f aca="false">IF(OR(D296="",B296="",C296=""),"",IF(N(C296)&lt;=N(B296),"Check dates",IF(T296="Cancelled","",IF(COUNTIFS($D$5:$D$1004,D296,$B$5:$B$1004,"&lt;"&amp;C296,$C$5:$C$1004,"&gt;"&amp;B296,$T$5:$T$1004,"&lt;&gt;Cancelled")&gt;1,"Double-booked",""))))</f>
        <v/>
      </c>
      <c r="Z296" s="42" t="str">
        <f aca="false">IF(AND(AA296=1,ISNUMBER(C296)),C296+ROW()/100000,"")</f>
        <v/>
      </c>
      <c r="AA296" s="43" t="n">
        <f aca="false">IF(AND(D296&lt;&gt;"",ISNUMBER(B296),ISNUMBER(C296),N(H296)&gt;0,T296&lt;&gt;"Cancelled",J296&lt;&gt;""),1,0)</f>
        <v>0</v>
      </c>
      <c r="AB296" s="44" t="n">
        <f aca="false">IF(AA296=1,J296/H296,0)</f>
        <v>0</v>
      </c>
      <c r="AC296" s="44" t="n">
        <f aca="false">IF(AA296=1,Q296/H296,0)</f>
        <v>0</v>
      </c>
      <c r="AD296" s="44" t="n">
        <f aca="false">IF(AA296=1,R296/H296,0)</f>
        <v>0</v>
      </c>
      <c r="AE296" s="44" t="n">
        <f aca="false">IF(AA296=1,O296/H296,0)</f>
        <v>0</v>
      </c>
      <c r="AF296" s="44" t="n">
        <f aca="false">IF(AA296=1,K296/H296,0)</f>
        <v>0</v>
      </c>
      <c r="AG296" s="45" t="str">
        <f aca="false">IF(AA296=1,D296&amp;"|"&amp;TEXT(B296,"0"),"")</f>
        <v/>
      </c>
      <c r="AH296" s="43" t="n">
        <f aca="false">IF(AA296=1,H296,0)</f>
        <v>0</v>
      </c>
    </row>
    <row r="297" customFormat="false" ht="15" hidden="false" customHeight="false" outlineLevel="0" collapsed="false">
      <c r="A297" s="8" t="str">
        <f aca="false">IF(B297="","","B-"&amp;TEXT(ROW()-4,"0000"))</f>
        <v/>
      </c>
      <c r="B297" s="38"/>
      <c r="C297" s="38"/>
      <c r="D297" s="6"/>
      <c r="E297" s="6"/>
      <c r="F297" s="6"/>
      <c r="G297" s="11"/>
      <c r="H297" s="18" t="str">
        <f aca="false">IF(AND(ISNUMBER(B297),ISNUMBER(C297)),MAX(0,C297-B297),"")</f>
        <v/>
      </c>
      <c r="I297" s="37"/>
      <c r="J297" s="41" t="str">
        <f aca="false">IF(OR(D297="",N(H297)=0),"",IFERROR(IF(I297&lt;&gt;"",H297*I297,ROUND(((H297-(INT((WEEKDAY(B297-6)+H297-1)/7)+INT((WEEKDAY(B297-7)+H297-1)/7)))*INDEX(Properties!$E$5:$E$24,MATCH(D297,Properties!$A$5:$A$24,0))+(INT((WEEKDAY(B297-6)+H297-1)/7)+INT((WEEKDAY(B297-7)+H297-1)/7))*INDEX(Properties!$F$5:$F$24,MATCH(D297,Properties!$A$5:$A$24,0)))*(1-IF(H297&gt;=28,Settings!$B$10,IF(H297&gt;=7,Settings!$B$9,0))),2)),0))</f>
        <v/>
      </c>
      <c r="K297" s="41" t="str">
        <f aca="false">IF(J297="","",IFERROR(N(INDEX(Properties!$G$5:$G$24,MATCH(D297,Properties!$A$5:$A$24,0))),0))</f>
        <v/>
      </c>
      <c r="L297" s="41" t="str">
        <f aca="false">IF(J297="","",IFERROR(MAX(0,N(G297)-INDEX(Properties!$I$5:$I$24,MATCH(D297,Properties!$A$5:$A$24,0)))*N(INDEX(Properties!$J$5:$J$24,MATCH(D297,Properties!$A$5:$A$24,0)))*H297,0))</f>
        <v/>
      </c>
      <c r="M297" s="37"/>
      <c r="N297" s="41" t="str">
        <f aca="false">IF(J297="","",J297+K297+L297+N(M297))</f>
        <v/>
      </c>
      <c r="O297" s="41" t="str">
        <f aca="false">IF(N297="","",IF(P297&lt;&gt;"",N297-P297,ROUND(N297*IFERROR(INDEX(Settings!$E$5:$E$12,MATCH(F297,Settings!$D$5:$D$12,0)),0),2)))</f>
        <v/>
      </c>
      <c r="P297" s="37"/>
      <c r="Q297" s="41" t="str">
        <f aca="false">IF(N297="","",IF(P297&lt;&gt;"",P297,N297-O297))</f>
        <v/>
      </c>
      <c r="R297" s="41" t="str">
        <f aca="false">IF(J297="","",IFERROR(N(INDEX(Properties!$H$5:$H$24,MATCH(D297,Properties!$A$5:$A$24,0))),0))</f>
        <v/>
      </c>
      <c r="S297" s="41" t="str">
        <f aca="false">IF(Q297="","",Q297-R297)</f>
        <v/>
      </c>
      <c r="T297" s="6"/>
      <c r="U297" s="6"/>
      <c r="V297" s="6"/>
      <c r="W297" s="6"/>
      <c r="X297" s="6"/>
      <c r="Y297" s="8" t="str">
        <f aca="false">IF(OR(D297="",B297="",C297=""),"",IF(N(C297)&lt;=N(B297),"Check dates",IF(T297="Cancelled","",IF(COUNTIFS($D$5:$D$1004,D297,$B$5:$B$1004,"&lt;"&amp;C297,$C$5:$C$1004,"&gt;"&amp;B297,$T$5:$T$1004,"&lt;&gt;Cancelled")&gt;1,"Double-booked",""))))</f>
        <v/>
      </c>
      <c r="Z297" s="42" t="str">
        <f aca="false">IF(AND(AA297=1,ISNUMBER(C297)),C297+ROW()/100000,"")</f>
        <v/>
      </c>
      <c r="AA297" s="43" t="n">
        <f aca="false">IF(AND(D297&lt;&gt;"",ISNUMBER(B297),ISNUMBER(C297),N(H297)&gt;0,T297&lt;&gt;"Cancelled",J297&lt;&gt;""),1,0)</f>
        <v>0</v>
      </c>
      <c r="AB297" s="44" t="n">
        <f aca="false">IF(AA297=1,J297/H297,0)</f>
        <v>0</v>
      </c>
      <c r="AC297" s="44" t="n">
        <f aca="false">IF(AA297=1,Q297/H297,0)</f>
        <v>0</v>
      </c>
      <c r="AD297" s="44" t="n">
        <f aca="false">IF(AA297=1,R297/H297,0)</f>
        <v>0</v>
      </c>
      <c r="AE297" s="44" t="n">
        <f aca="false">IF(AA297=1,O297/H297,0)</f>
        <v>0</v>
      </c>
      <c r="AF297" s="44" t="n">
        <f aca="false">IF(AA297=1,K297/H297,0)</f>
        <v>0</v>
      </c>
      <c r="AG297" s="45" t="str">
        <f aca="false">IF(AA297=1,D297&amp;"|"&amp;TEXT(B297,"0"),"")</f>
        <v/>
      </c>
      <c r="AH297" s="43" t="n">
        <f aca="false">IF(AA297=1,H297,0)</f>
        <v>0</v>
      </c>
    </row>
    <row r="298" customFormat="false" ht="15" hidden="false" customHeight="false" outlineLevel="0" collapsed="false">
      <c r="A298" s="23" t="str">
        <f aca="false">IF(B298="","","B-"&amp;TEXT(ROW()-4,"0000"))</f>
        <v/>
      </c>
      <c r="B298" s="38"/>
      <c r="C298" s="38"/>
      <c r="D298" s="6"/>
      <c r="E298" s="6"/>
      <c r="F298" s="6"/>
      <c r="G298" s="11"/>
      <c r="H298" s="24" t="str">
        <f aca="false">IF(AND(ISNUMBER(B298),ISNUMBER(C298)),MAX(0,C298-B298),"")</f>
        <v/>
      </c>
      <c r="I298" s="37"/>
      <c r="J298" s="46" t="str">
        <f aca="false">IF(OR(D298="",N(H298)=0),"",IFERROR(IF(I298&lt;&gt;"",H298*I298,ROUND(((H298-(INT((WEEKDAY(B298-6)+H298-1)/7)+INT((WEEKDAY(B298-7)+H298-1)/7)))*INDEX(Properties!$E$5:$E$24,MATCH(D298,Properties!$A$5:$A$24,0))+(INT((WEEKDAY(B298-6)+H298-1)/7)+INT((WEEKDAY(B298-7)+H298-1)/7))*INDEX(Properties!$F$5:$F$24,MATCH(D298,Properties!$A$5:$A$24,0)))*(1-IF(H298&gt;=28,Settings!$B$10,IF(H298&gt;=7,Settings!$B$9,0))),2)),0))</f>
        <v/>
      </c>
      <c r="K298" s="46" t="str">
        <f aca="false">IF(J298="","",IFERROR(N(INDEX(Properties!$G$5:$G$24,MATCH(D298,Properties!$A$5:$A$24,0))),0))</f>
        <v/>
      </c>
      <c r="L298" s="46" t="str">
        <f aca="false">IF(J298="","",IFERROR(MAX(0,N(G298)-INDEX(Properties!$I$5:$I$24,MATCH(D298,Properties!$A$5:$A$24,0)))*N(INDEX(Properties!$J$5:$J$24,MATCH(D298,Properties!$A$5:$A$24,0)))*H298,0))</f>
        <v/>
      </c>
      <c r="M298" s="37"/>
      <c r="N298" s="46" t="str">
        <f aca="false">IF(J298="","",J298+K298+L298+N(M298))</f>
        <v/>
      </c>
      <c r="O298" s="46" t="str">
        <f aca="false">IF(N298="","",IF(P298&lt;&gt;"",N298-P298,ROUND(N298*IFERROR(INDEX(Settings!$E$5:$E$12,MATCH(F298,Settings!$D$5:$D$12,0)),0),2)))</f>
        <v/>
      </c>
      <c r="P298" s="37"/>
      <c r="Q298" s="46" t="str">
        <f aca="false">IF(N298="","",IF(P298&lt;&gt;"",P298,N298-O298))</f>
        <v/>
      </c>
      <c r="R298" s="46" t="str">
        <f aca="false">IF(J298="","",IFERROR(N(INDEX(Properties!$H$5:$H$24,MATCH(D298,Properties!$A$5:$A$24,0))),0))</f>
        <v/>
      </c>
      <c r="S298" s="46" t="str">
        <f aca="false">IF(Q298="","",Q298-R298)</f>
        <v/>
      </c>
      <c r="T298" s="6"/>
      <c r="U298" s="6"/>
      <c r="V298" s="6"/>
      <c r="W298" s="6"/>
      <c r="X298" s="6"/>
      <c r="Y298" s="8" t="str">
        <f aca="false">IF(OR(D298="",B298="",C298=""),"",IF(N(C298)&lt;=N(B298),"Check dates",IF(T298="Cancelled","",IF(COUNTIFS($D$5:$D$1004,D298,$B$5:$B$1004,"&lt;"&amp;C298,$C$5:$C$1004,"&gt;"&amp;B298,$T$5:$T$1004,"&lt;&gt;Cancelled")&gt;1,"Double-booked",""))))</f>
        <v/>
      </c>
      <c r="Z298" s="42" t="str">
        <f aca="false">IF(AND(AA298=1,ISNUMBER(C298)),C298+ROW()/100000,"")</f>
        <v/>
      </c>
      <c r="AA298" s="43" t="n">
        <f aca="false">IF(AND(D298&lt;&gt;"",ISNUMBER(B298),ISNUMBER(C298),N(H298)&gt;0,T298&lt;&gt;"Cancelled",J298&lt;&gt;""),1,0)</f>
        <v>0</v>
      </c>
      <c r="AB298" s="44" t="n">
        <f aca="false">IF(AA298=1,J298/H298,0)</f>
        <v>0</v>
      </c>
      <c r="AC298" s="44" t="n">
        <f aca="false">IF(AA298=1,Q298/H298,0)</f>
        <v>0</v>
      </c>
      <c r="AD298" s="44" t="n">
        <f aca="false">IF(AA298=1,R298/H298,0)</f>
        <v>0</v>
      </c>
      <c r="AE298" s="44" t="n">
        <f aca="false">IF(AA298=1,O298/H298,0)</f>
        <v>0</v>
      </c>
      <c r="AF298" s="44" t="n">
        <f aca="false">IF(AA298=1,K298/H298,0)</f>
        <v>0</v>
      </c>
      <c r="AG298" s="45" t="str">
        <f aca="false">IF(AA298=1,D298&amp;"|"&amp;TEXT(B298,"0"),"")</f>
        <v/>
      </c>
      <c r="AH298" s="43" t="n">
        <f aca="false">IF(AA298=1,H298,0)</f>
        <v>0</v>
      </c>
    </row>
    <row r="299" customFormat="false" ht="15" hidden="false" customHeight="false" outlineLevel="0" collapsed="false">
      <c r="A299" s="8" t="str">
        <f aca="false">IF(B299="","","B-"&amp;TEXT(ROW()-4,"0000"))</f>
        <v/>
      </c>
      <c r="B299" s="38"/>
      <c r="C299" s="38"/>
      <c r="D299" s="6"/>
      <c r="E299" s="6"/>
      <c r="F299" s="6"/>
      <c r="G299" s="11"/>
      <c r="H299" s="18" t="str">
        <f aca="false">IF(AND(ISNUMBER(B299),ISNUMBER(C299)),MAX(0,C299-B299),"")</f>
        <v/>
      </c>
      <c r="I299" s="37"/>
      <c r="J299" s="41" t="str">
        <f aca="false">IF(OR(D299="",N(H299)=0),"",IFERROR(IF(I299&lt;&gt;"",H299*I299,ROUND(((H299-(INT((WEEKDAY(B299-6)+H299-1)/7)+INT((WEEKDAY(B299-7)+H299-1)/7)))*INDEX(Properties!$E$5:$E$24,MATCH(D299,Properties!$A$5:$A$24,0))+(INT((WEEKDAY(B299-6)+H299-1)/7)+INT((WEEKDAY(B299-7)+H299-1)/7))*INDEX(Properties!$F$5:$F$24,MATCH(D299,Properties!$A$5:$A$24,0)))*(1-IF(H299&gt;=28,Settings!$B$10,IF(H299&gt;=7,Settings!$B$9,0))),2)),0))</f>
        <v/>
      </c>
      <c r="K299" s="41" t="str">
        <f aca="false">IF(J299="","",IFERROR(N(INDEX(Properties!$G$5:$G$24,MATCH(D299,Properties!$A$5:$A$24,0))),0))</f>
        <v/>
      </c>
      <c r="L299" s="41" t="str">
        <f aca="false">IF(J299="","",IFERROR(MAX(0,N(G299)-INDEX(Properties!$I$5:$I$24,MATCH(D299,Properties!$A$5:$A$24,0)))*N(INDEX(Properties!$J$5:$J$24,MATCH(D299,Properties!$A$5:$A$24,0)))*H299,0))</f>
        <v/>
      </c>
      <c r="M299" s="37"/>
      <c r="N299" s="41" t="str">
        <f aca="false">IF(J299="","",J299+K299+L299+N(M299))</f>
        <v/>
      </c>
      <c r="O299" s="41" t="str">
        <f aca="false">IF(N299="","",IF(P299&lt;&gt;"",N299-P299,ROUND(N299*IFERROR(INDEX(Settings!$E$5:$E$12,MATCH(F299,Settings!$D$5:$D$12,0)),0),2)))</f>
        <v/>
      </c>
      <c r="P299" s="37"/>
      <c r="Q299" s="41" t="str">
        <f aca="false">IF(N299="","",IF(P299&lt;&gt;"",P299,N299-O299))</f>
        <v/>
      </c>
      <c r="R299" s="41" t="str">
        <f aca="false">IF(J299="","",IFERROR(N(INDEX(Properties!$H$5:$H$24,MATCH(D299,Properties!$A$5:$A$24,0))),0))</f>
        <v/>
      </c>
      <c r="S299" s="41" t="str">
        <f aca="false">IF(Q299="","",Q299-R299)</f>
        <v/>
      </c>
      <c r="T299" s="6"/>
      <c r="U299" s="6"/>
      <c r="V299" s="6"/>
      <c r="W299" s="6"/>
      <c r="X299" s="6"/>
      <c r="Y299" s="8" t="str">
        <f aca="false">IF(OR(D299="",B299="",C299=""),"",IF(N(C299)&lt;=N(B299),"Check dates",IF(T299="Cancelled","",IF(COUNTIFS($D$5:$D$1004,D299,$B$5:$B$1004,"&lt;"&amp;C299,$C$5:$C$1004,"&gt;"&amp;B299,$T$5:$T$1004,"&lt;&gt;Cancelled")&gt;1,"Double-booked",""))))</f>
        <v/>
      </c>
      <c r="Z299" s="42" t="str">
        <f aca="false">IF(AND(AA299=1,ISNUMBER(C299)),C299+ROW()/100000,"")</f>
        <v/>
      </c>
      <c r="AA299" s="43" t="n">
        <f aca="false">IF(AND(D299&lt;&gt;"",ISNUMBER(B299),ISNUMBER(C299),N(H299)&gt;0,T299&lt;&gt;"Cancelled",J299&lt;&gt;""),1,0)</f>
        <v>0</v>
      </c>
      <c r="AB299" s="44" t="n">
        <f aca="false">IF(AA299=1,J299/H299,0)</f>
        <v>0</v>
      </c>
      <c r="AC299" s="44" t="n">
        <f aca="false">IF(AA299=1,Q299/H299,0)</f>
        <v>0</v>
      </c>
      <c r="AD299" s="44" t="n">
        <f aca="false">IF(AA299=1,R299/H299,0)</f>
        <v>0</v>
      </c>
      <c r="AE299" s="44" t="n">
        <f aca="false">IF(AA299=1,O299/H299,0)</f>
        <v>0</v>
      </c>
      <c r="AF299" s="44" t="n">
        <f aca="false">IF(AA299=1,K299/H299,0)</f>
        <v>0</v>
      </c>
      <c r="AG299" s="45" t="str">
        <f aca="false">IF(AA299=1,D299&amp;"|"&amp;TEXT(B299,"0"),"")</f>
        <v/>
      </c>
      <c r="AH299" s="43" t="n">
        <f aca="false">IF(AA299=1,H299,0)</f>
        <v>0</v>
      </c>
    </row>
    <row r="300" customFormat="false" ht="15" hidden="false" customHeight="false" outlineLevel="0" collapsed="false">
      <c r="A300" s="23" t="str">
        <f aca="false">IF(B300="","","B-"&amp;TEXT(ROW()-4,"0000"))</f>
        <v/>
      </c>
      <c r="B300" s="38"/>
      <c r="C300" s="38"/>
      <c r="D300" s="6"/>
      <c r="E300" s="6"/>
      <c r="F300" s="6"/>
      <c r="G300" s="11"/>
      <c r="H300" s="24" t="str">
        <f aca="false">IF(AND(ISNUMBER(B300),ISNUMBER(C300)),MAX(0,C300-B300),"")</f>
        <v/>
      </c>
      <c r="I300" s="37"/>
      <c r="J300" s="46" t="str">
        <f aca="false">IF(OR(D300="",N(H300)=0),"",IFERROR(IF(I300&lt;&gt;"",H300*I300,ROUND(((H300-(INT((WEEKDAY(B300-6)+H300-1)/7)+INT((WEEKDAY(B300-7)+H300-1)/7)))*INDEX(Properties!$E$5:$E$24,MATCH(D300,Properties!$A$5:$A$24,0))+(INT((WEEKDAY(B300-6)+H300-1)/7)+INT((WEEKDAY(B300-7)+H300-1)/7))*INDEX(Properties!$F$5:$F$24,MATCH(D300,Properties!$A$5:$A$24,0)))*(1-IF(H300&gt;=28,Settings!$B$10,IF(H300&gt;=7,Settings!$B$9,0))),2)),0))</f>
        <v/>
      </c>
      <c r="K300" s="46" t="str">
        <f aca="false">IF(J300="","",IFERROR(N(INDEX(Properties!$G$5:$G$24,MATCH(D300,Properties!$A$5:$A$24,0))),0))</f>
        <v/>
      </c>
      <c r="L300" s="46" t="str">
        <f aca="false">IF(J300="","",IFERROR(MAX(0,N(G300)-INDEX(Properties!$I$5:$I$24,MATCH(D300,Properties!$A$5:$A$24,0)))*N(INDEX(Properties!$J$5:$J$24,MATCH(D300,Properties!$A$5:$A$24,0)))*H300,0))</f>
        <v/>
      </c>
      <c r="M300" s="37"/>
      <c r="N300" s="46" t="str">
        <f aca="false">IF(J300="","",J300+K300+L300+N(M300))</f>
        <v/>
      </c>
      <c r="O300" s="46" t="str">
        <f aca="false">IF(N300="","",IF(P300&lt;&gt;"",N300-P300,ROUND(N300*IFERROR(INDEX(Settings!$E$5:$E$12,MATCH(F300,Settings!$D$5:$D$12,0)),0),2)))</f>
        <v/>
      </c>
      <c r="P300" s="37"/>
      <c r="Q300" s="46" t="str">
        <f aca="false">IF(N300="","",IF(P300&lt;&gt;"",P300,N300-O300))</f>
        <v/>
      </c>
      <c r="R300" s="46" t="str">
        <f aca="false">IF(J300="","",IFERROR(N(INDEX(Properties!$H$5:$H$24,MATCH(D300,Properties!$A$5:$A$24,0))),0))</f>
        <v/>
      </c>
      <c r="S300" s="46" t="str">
        <f aca="false">IF(Q300="","",Q300-R300)</f>
        <v/>
      </c>
      <c r="T300" s="6"/>
      <c r="U300" s="6"/>
      <c r="V300" s="6"/>
      <c r="W300" s="6"/>
      <c r="X300" s="6"/>
      <c r="Y300" s="8" t="str">
        <f aca="false">IF(OR(D300="",B300="",C300=""),"",IF(N(C300)&lt;=N(B300),"Check dates",IF(T300="Cancelled","",IF(COUNTIFS($D$5:$D$1004,D300,$B$5:$B$1004,"&lt;"&amp;C300,$C$5:$C$1004,"&gt;"&amp;B300,$T$5:$T$1004,"&lt;&gt;Cancelled")&gt;1,"Double-booked",""))))</f>
        <v/>
      </c>
      <c r="Z300" s="42" t="str">
        <f aca="false">IF(AND(AA300=1,ISNUMBER(C300)),C300+ROW()/100000,"")</f>
        <v/>
      </c>
      <c r="AA300" s="43" t="n">
        <f aca="false">IF(AND(D300&lt;&gt;"",ISNUMBER(B300),ISNUMBER(C300),N(H300)&gt;0,T300&lt;&gt;"Cancelled",J300&lt;&gt;""),1,0)</f>
        <v>0</v>
      </c>
      <c r="AB300" s="44" t="n">
        <f aca="false">IF(AA300=1,J300/H300,0)</f>
        <v>0</v>
      </c>
      <c r="AC300" s="44" t="n">
        <f aca="false">IF(AA300=1,Q300/H300,0)</f>
        <v>0</v>
      </c>
      <c r="AD300" s="44" t="n">
        <f aca="false">IF(AA300=1,R300/H300,0)</f>
        <v>0</v>
      </c>
      <c r="AE300" s="44" t="n">
        <f aca="false">IF(AA300=1,O300/H300,0)</f>
        <v>0</v>
      </c>
      <c r="AF300" s="44" t="n">
        <f aca="false">IF(AA300=1,K300/H300,0)</f>
        <v>0</v>
      </c>
      <c r="AG300" s="45" t="str">
        <f aca="false">IF(AA300=1,D300&amp;"|"&amp;TEXT(B300,"0"),"")</f>
        <v/>
      </c>
      <c r="AH300" s="43" t="n">
        <f aca="false">IF(AA300=1,H300,0)</f>
        <v>0</v>
      </c>
    </row>
    <row r="301" customFormat="false" ht="15" hidden="false" customHeight="false" outlineLevel="0" collapsed="false">
      <c r="A301" s="8" t="str">
        <f aca="false">IF(B301="","","B-"&amp;TEXT(ROW()-4,"0000"))</f>
        <v/>
      </c>
      <c r="B301" s="38"/>
      <c r="C301" s="38"/>
      <c r="D301" s="6"/>
      <c r="E301" s="6"/>
      <c r="F301" s="6"/>
      <c r="G301" s="11"/>
      <c r="H301" s="18" t="str">
        <f aca="false">IF(AND(ISNUMBER(B301),ISNUMBER(C301)),MAX(0,C301-B301),"")</f>
        <v/>
      </c>
      <c r="I301" s="37"/>
      <c r="J301" s="41" t="str">
        <f aca="false">IF(OR(D301="",N(H301)=0),"",IFERROR(IF(I301&lt;&gt;"",H301*I301,ROUND(((H301-(INT((WEEKDAY(B301-6)+H301-1)/7)+INT((WEEKDAY(B301-7)+H301-1)/7)))*INDEX(Properties!$E$5:$E$24,MATCH(D301,Properties!$A$5:$A$24,0))+(INT((WEEKDAY(B301-6)+H301-1)/7)+INT((WEEKDAY(B301-7)+H301-1)/7))*INDEX(Properties!$F$5:$F$24,MATCH(D301,Properties!$A$5:$A$24,0)))*(1-IF(H301&gt;=28,Settings!$B$10,IF(H301&gt;=7,Settings!$B$9,0))),2)),0))</f>
        <v/>
      </c>
      <c r="K301" s="41" t="str">
        <f aca="false">IF(J301="","",IFERROR(N(INDEX(Properties!$G$5:$G$24,MATCH(D301,Properties!$A$5:$A$24,0))),0))</f>
        <v/>
      </c>
      <c r="L301" s="41" t="str">
        <f aca="false">IF(J301="","",IFERROR(MAX(0,N(G301)-INDEX(Properties!$I$5:$I$24,MATCH(D301,Properties!$A$5:$A$24,0)))*N(INDEX(Properties!$J$5:$J$24,MATCH(D301,Properties!$A$5:$A$24,0)))*H301,0))</f>
        <v/>
      </c>
      <c r="M301" s="37"/>
      <c r="N301" s="41" t="str">
        <f aca="false">IF(J301="","",J301+K301+L301+N(M301))</f>
        <v/>
      </c>
      <c r="O301" s="41" t="str">
        <f aca="false">IF(N301="","",IF(P301&lt;&gt;"",N301-P301,ROUND(N301*IFERROR(INDEX(Settings!$E$5:$E$12,MATCH(F301,Settings!$D$5:$D$12,0)),0),2)))</f>
        <v/>
      </c>
      <c r="P301" s="37"/>
      <c r="Q301" s="41" t="str">
        <f aca="false">IF(N301="","",IF(P301&lt;&gt;"",P301,N301-O301))</f>
        <v/>
      </c>
      <c r="R301" s="41" t="str">
        <f aca="false">IF(J301="","",IFERROR(N(INDEX(Properties!$H$5:$H$24,MATCH(D301,Properties!$A$5:$A$24,0))),0))</f>
        <v/>
      </c>
      <c r="S301" s="41" t="str">
        <f aca="false">IF(Q301="","",Q301-R301)</f>
        <v/>
      </c>
      <c r="T301" s="6"/>
      <c r="U301" s="6"/>
      <c r="V301" s="6"/>
      <c r="W301" s="6"/>
      <c r="X301" s="6"/>
      <c r="Y301" s="8" t="str">
        <f aca="false">IF(OR(D301="",B301="",C301=""),"",IF(N(C301)&lt;=N(B301),"Check dates",IF(T301="Cancelled","",IF(COUNTIFS($D$5:$D$1004,D301,$B$5:$B$1004,"&lt;"&amp;C301,$C$5:$C$1004,"&gt;"&amp;B301,$T$5:$T$1004,"&lt;&gt;Cancelled")&gt;1,"Double-booked",""))))</f>
        <v/>
      </c>
      <c r="Z301" s="42" t="str">
        <f aca="false">IF(AND(AA301=1,ISNUMBER(C301)),C301+ROW()/100000,"")</f>
        <v/>
      </c>
      <c r="AA301" s="43" t="n">
        <f aca="false">IF(AND(D301&lt;&gt;"",ISNUMBER(B301),ISNUMBER(C301),N(H301)&gt;0,T301&lt;&gt;"Cancelled",J301&lt;&gt;""),1,0)</f>
        <v>0</v>
      </c>
      <c r="AB301" s="44" t="n">
        <f aca="false">IF(AA301=1,J301/H301,0)</f>
        <v>0</v>
      </c>
      <c r="AC301" s="44" t="n">
        <f aca="false">IF(AA301=1,Q301/H301,0)</f>
        <v>0</v>
      </c>
      <c r="AD301" s="44" t="n">
        <f aca="false">IF(AA301=1,R301/H301,0)</f>
        <v>0</v>
      </c>
      <c r="AE301" s="44" t="n">
        <f aca="false">IF(AA301=1,O301/H301,0)</f>
        <v>0</v>
      </c>
      <c r="AF301" s="44" t="n">
        <f aca="false">IF(AA301=1,K301/H301,0)</f>
        <v>0</v>
      </c>
      <c r="AG301" s="45" t="str">
        <f aca="false">IF(AA301=1,D301&amp;"|"&amp;TEXT(B301,"0"),"")</f>
        <v/>
      </c>
      <c r="AH301" s="43" t="n">
        <f aca="false">IF(AA301=1,H301,0)</f>
        <v>0</v>
      </c>
    </row>
    <row r="302" customFormat="false" ht="15" hidden="false" customHeight="false" outlineLevel="0" collapsed="false">
      <c r="A302" s="23" t="str">
        <f aca="false">IF(B302="","","B-"&amp;TEXT(ROW()-4,"0000"))</f>
        <v/>
      </c>
      <c r="B302" s="38"/>
      <c r="C302" s="38"/>
      <c r="D302" s="6"/>
      <c r="E302" s="6"/>
      <c r="F302" s="6"/>
      <c r="G302" s="11"/>
      <c r="H302" s="24" t="str">
        <f aca="false">IF(AND(ISNUMBER(B302),ISNUMBER(C302)),MAX(0,C302-B302),"")</f>
        <v/>
      </c>
      <c r="I302" s="37"/>
      <c r="J302" s="46" t="str">
        <f aca="false">IF(OR(D302="",N(H302)=0),"",IFERROR(IF(I302&lt;&gt;"",H302*I302,ROUND(((H302-(INT((WEEKDAY(B302-6)+H302-1)/7)+INT((WEEKDAY(B302-7)+H302-1)/7)))*INDEX(Properties!$E$5:$E$24,MATCH(D302,Properties!$A$5:$A$24,0))+(INT((WEEKDAY(B302-6)+H302-1)/7)+INT((WEEKDAY(B302-7)+H302-1)/7))*INDEX(Properties!$F$5:$F$24,MATCH(D302,Properties!$A$5:$A$24,0)))*(1-IF(H302&gt;=28,Settings!$B$10,IF(H302&gt;=7,Settings!$B$9,0))),2)),0))</f>
        <v/>
      </c>
      <c r="K302" s="46" t="str">
        <f aca="false">IF(J302="","",IFERROR(N(INDEX(Properties!$G$5:$G$24,MATCH(D302,Properties!$A$5:$A$24,0))),0))</f>
        <v/>
      </c>
      <c r="L302" s="46" t="str">
        <f aca="false">IF(J302="","",IFERROR(MAX(0,N(G302)-INDEX(Properties!$I$5:$I$24,MATCH(D302,Properties!$A$5:$A$24,0)))*N(INDEX(Properties!$J$5:$J$24,MATCH(D302,Properties!$A$5:$A$24,0)))*H302,0))</f>
        <v/>
      </c>
      <c r="M302" s="37"/>
      <c r="N302" s="46" t="str">
        <f aca="false">IF(J302="","",J302+K302+L302+N(M302))</f>
        <v/>
      </c>
      <c r="O302" s="46" t="str">
        <f aca="false">IF(N302="","",IF(P302&lt;&gt;"",N302-P302,ROUND(N302*IFERROR(INDEX(Settings!$E$5:$E$12,MATCH(F302,Settings!$D$5:$D$12,0)),0),2)))</f>
        <v/>
      </c>
      <c r="P302" s="37"/>
      <c r="Q302" s="46" t="str">
        <f aca="false">IF(N302="","",IF(P302&lt;&gt;"",P302,N302-O302))</f>
        <v/>
      </c>
      <c r="R302" s="46" t="str">
        <f aca="false">IF(J302="","",IFERROR(N(INDEX(Properties!$H$5:$H$24,MATCH(D302,Properties!$A$5:$A$24,0))),0))</f>
        <v/>
      </c>
      <c r="S302" s="46" t="str">
        <f aca="false">IF(Q302="","",Q302-R302)</f>
        <v/>
      </c>
      <c r="T302" s="6"/>
      <c r="U302" s="6"/>
      <c r="V302" s="6"/>
      <c r="W302" s="6"/>
      <c r="X302" s="6"/>
      <c r="Y302" s="8" t="str">
        <f aca="false">IF(OR(D302="",B302="",C302=""),"",IF(N(C302)&lt;=N(B302),"Check dates",IF(T302="Cancelled","",IF(COUNTIFS($D$5:$D$1004,D302,$B$5:$B$1004,"&lt;"&amp;C302,$C$5:$C$1004,"&gt;"&amp;B302,$T$5:$T$1004,"&lt;&gt;Cancelled")&gt;1,"Double-booked",""))))</f>
        <v/>
      </c>
      <c r="Z302" s="42" t="str">
        <f aca="false">IF(AND(AA302=1,ISNUMBER(C302)),C302+ROW()/100000,"")</f>
        <v/>
      </c>
      <c r="AA302" s="43" t="n">
        <f aca="false">IF(AND(D302&lt;&gt;"",ISNUMBER(B302),ISNUMBER(C302),N(H302)&gt;0,T302&lt;&gt;"Cancelled",J302&lt;&gt;""),1,0)</f>
        <v>0</v>
      </c>
      <c r="AB302" s="44" t="n">
        <f aca="false">IF(AA302=1,J302/H302,0)</f>
        <v>0</v>
      </c>
      <c r="AC302" s="44" t="n">
        <f aca="false">IF(AA302=1,Q302/H302,0)</f>
        <v>0</v>
      </c>
      <c r="AD302" s="44" t="n">
        <f aca="false">IF(AA302=1,R302/H302,0)</f>
        <v>0</v>
      </c>
      <c r="AE302" s="44" t="n">
        <f aca="false">IF(AA302=1,O302/H302,0)</f>
        <v>0</v>
      </c>
      <c r="AF302" s="44" t="n">
        <f aca="false">IF(AA302=1,K302/H302,0)</f>
        <v>0</v>
      </c>
      <c r="AG302" s="45" t="str">
        <f aca="false">IF(AA302=1,D302&amp;"|"&amp;TEXT(B302,"0"),"")</f>
        <v/>
      </c>
      <c r="AH302" s="43" t="n">
        <f aca="false">IF(AA302=1,H302,0)</f>
        <v>0</v>
      </c>
    </row>
    <row r="303" customFormat="false" ht="15" hidden="false" customHeight="false" outlineLevel="0" collapsed="false">
      <c r="A303" s="8" t="str">
        <f aca="false">IF(B303="","","B-"&amp;TEXT(ROW()-4,"0000"))</f>
        <v/>
      </c>
      <c r="B303" s="38"/>
      <c r="C303" s="38"/>
      <c r="D303" s="6"/>
      <c r="E303" s="6"/>
      <c r="F303" s="6"/>
      <c r="G303" s="11"/>
      <c r="H303" s="18" t="str">
        <f aca="false">IF(AND(ISNUMBER(B303),ISNUMBER(C303)),MAX(0,C303-B303),"")</f>
        <v/>
      </c>
      <c r="I303" s="37"/>
      <c r="J303" s="41" t="str">
        <f aca="false">IF(OR(D303="",N(H303)=0),"",IFERROR(IF(I303&lt;&gt;"",H303*I303,ROUND(((H303-(INT((WEEKDAY(B303-6)+H303-1)/7)+INT((WEEKDAY(B303-7)+H303-1)/7)))*INDEX(Properties!$E$5:$E$24,MATCH(D303,Properties!$A$5:$A$24,0))+(INT((WEEKDAY(B303-6)+H303-1)/7)+INT((WEEKDAY(B303-7)+H303-1)/7))*INDEX(Properties!$F$5:$F$24,MATCH(D303,Properties!$A$5:$A$24,0)))*(1-IF(H303&gt;=28,Settings!$B$10,IF(H303&gt;=7,Settings!$B$9,0))),2)),0))</f>
        <v/>
      </c>
      <c r="K303" s="41" t="str">
        <f aca="false">IF(J303="","",IFERROR(N(INDEX(Properties!$G$5:$G$24,MATCH(D303,Properties!$A$5:$A$24,0))),0))</f>
        <v/>
      </c>
      <c r="L303" s="41" t="str">
        <f aca="false">IF(J303="","",IFERROR(MAX(0,N(G303)-INDEX(Properties!$I$5:$I$24,MATCH(D303,Properties!$A$5:$A$24,0)))*N(INDEX(Properties!$J$5:$J$24,MATCH(D303,Properties!$A$5:$A$24,0)))*H303,0))</f>
        <v/>
      </c>
      <c r="M303" s="37"/>
      <c r="N303" s="41" t="str">
        <f aca="false">IF(J303="","",J303+K303+L303+N(M303))</f>
        <v/>
      </c>
      <c r="O303" s="41" t="str">
        <f aca="false">IF(N303="","",IF(P303&lt;&gt;"",N303-P303,ROUND(N303*IFERROR(INDEX(Settings!$E$5:$E$12,MATCH(F303,Settings!$D$5:$D$12,0)),0),2)))</f>
        <v/>
      </c>
      <c r="P303" s="37"/>
      <c r="Q303" s="41" t="str">
        <f aca="false">IF(N303="","",IF(P303&lt;&gt;"",P303,N303-O303))</f>
        <v/>
      </c>
      <c r="R303" s="41" t="str">
        <f aca="false">IF(J303="","",IFERROR(N(INDEX(Properties!$H$5:$H$24,MATCH(D303,Properties!$A$5:$A$24,0))),0))</f>
        <v/>
      </c>
      <c r="S303" s="41" t="str">
        <f aca="false">IF(Q303="","",Q303-R303)</f>
        <v/>
      </c>
      <c r="T303" s="6"/>
      <c r="U303" s="6"/>
      <c r="V303" s="6"/>
      <c r="W303" s="6"/>
      <c r="X303" s="6"/>
      <c r="Y303" s="8" t="str">
        <f aca="false">IF(OR(D303="",B303="",C303=""),"",IF(N(C303)&lt;=N(B303),"Check dates",IF(T303="Cancelled","",IF(COUNTIFS($D$5:$D$1004,D303,$B$5:$B$1004,"&lt;"&amp;C303,$C$5:$C$1004,"&gt;"&amp;B303,$T$5:$T$1004,"&lt;&gt;Cancelled")&gt;1,"Double-booked",""))))</f>
        <v/>
      </c>
      <c r="Z303" s="42" t="str">
        <f aca="false">IF(AND(AA303=1,ISNUMBER(C303)),C303+ROW()/100000,"")</f>
        <v/>
      </c>
      <c r="AA303" s="43" t="n">
        <f aca="false">IF(AND(D303&lt;&gt;"",ISNUMBER(B303),ISNUMBER(C303),N(H303)&gt;0,T303&lt;&gt;"Cancelled",J303&lt;&gt;""),1,0)</f>
        <v>0</v>
      </c>
      <c r="AB303" s="44" t="n">
        <f aca="false">IF(AA303=1,J303/H303,0)</f>
        <v>0</v>
      </c>
      <c r="AC303" s="44" t="n">
        <f aca="false">IF(AA303=1,Q303/H303,0)</f>
        <v>0</v>
      </c>
      <c r="AD303" s="44" t="n">
        <f aca="false">IF(AA303=1,R303/H303,0)</f>
        <v>0</v>
      </c>
      <c r="AE303" s="44" t="n">
        <f aca="false">IF(AA303=1,O303/H303,0)</f>
        <v>0</v>
      </c>
      <c r="AF303" s="44" t="n">
        <f aca="false">IF(AA303=1,K303/H303,0)</f>
        <v>0</v>
      </c>
      <c r="AG303" s="45" t="str">
        <f aca="false">IF(AA303=1,D303&amp;"|"&amp;TEXT(B303,"0"),"")</f>
        <v/>
      </c>
      <c r="AH303" s="43" t="n">
        <f aca="false">IF(AA303=1,H303,0)</f>
        <v>0</v>
      </c>
    </row>
    <row r="304" customFormat="false" ht="15" hidden="false" customHeight="false" outlineLevel="0" collapsed="false">
      <c r="A304" s="23" t="str">
        <f aca="false">IF(B304="","","B-"&amp;TEXT(ROW()-4,"0000"))</f>
        <v/>
      </c>
      <c r="B304" s="38"/>
      <c r="C304" s="38"/>
      <c r="D304" s="6"/>
      <c r="E304" s="6"/>
      <c r="F304" s="6"/>
      <c r="G304" s="11"/>
      <c r="H304" s="24" t="str">
        <f aca="false">IF(AND(ISNUMBER(B304),ISNUMBER(C304)),MAX(0,C304-B304),"")</f>
        <v/>
      </c>
      <c r="I304" s="37"/>
      <c r="J304" s="46" t="str">
        <f aca="false">IF(OR(D304="",N(H304)=0),"",IFERROR(IF(I304&lt;&gt;"",H304*I304,ROUND(((H304-(INT((WEEKDAY(B304-6)+H304-1)/7)+INT((WEEKDAY(B304-7)+H304-1)/7)))*INDEX(Properties!$E$5:$E$24,MATCH(D304,Properties!$A$5:$A$24,0))+(INT((WEEKDAY(B304-6)+H304-1)/7)+INT((WEEKDAY(B304-7)+H304-1)/7))*INDEX(Properties!$F$5:$F$24,MATCH(D304,Properties!$A$5:$A$24,0)))*(1-IF(H304&gt;=28,Settings!$B$10,IF(H304&gt;=7,Settings!$B$9,0))),2)),0))</f>
        <v/>
      </c>
      <c r="K304" s="46" t="str">
        <f aca="false">IF(J304="","",IFERROR(N(INDEX(Properties!$G$5:$G$24,MATCH(D304,Properties!$A$5:$A$24,0))),0))</f>
        <v/>
      </c>
      <c r="L304" s="46" t="str">
        <f aca="false">IF(J304="","",IFERROR(MAX(0,N(G304)-INDEX(Properties!$I$5:$I$24,MATCH(D304,Properties!$A$5:$A$24,0)))*N(INDEX(Properties!$J$5:$J$24,MATCH(D304,Properties!$A$5:$A$24,0)))*H304,0))</f>
        <v/>
      </c>
      <c r="M304" s="37"/>
      <c r="N304" s="46" t="str">
        <f aca="false">IF(J304="","",J304+K304+L304+N(M304))</f>
        <v/>
      </c>
      <c r="O304" s="46" t="str">
        <f aca="false">IF(N304="","",IF(P304&lt;&gt;"",N304-P304,ROUND(N304*IFERROR(INDEX(Settings!$E$5:$E$12,MATCH(F304,Settings!$D$5:$D$12,0)),0),2)))</f>
        <v/>
      </c>
      <c r="P304" s="37"/>
      <c r="Q304" s="46" t="str">
        <f aca="false">IF(N304="","",IF(P304&lt;&gt;"",P304,N304-O304))</f>
        <v/>
      </c>
      <c r="R304" s="46" t="str">
        <f aca="false">IF(J304="","",IFERROR(N(INDEX(Properties!$H$5:$H$24,MATCH(D304,Properties!$A$5:$A$24,0))),0))</f>
        <v/>
      </c>
      <c r="S304" s="46" t="str">
        <f aca="false">IF(Q304="","",Q304-R304)</f>
        <v/>
      </c>
      <c r="T304" s="6"/>
      <c r="U304" s="6"/>
      <c r="V304" s="6"/>
      <c r="W304" s="6"/>
      <c r="X304" s="6"/>
      <c r="Y304" s="8" t="str">
        <f aca="false">IF(OR(D304="",B304="",C304=""),"",IF(N(C304)&lt;=N(B304),"Check dates",IF(T304="Cancelled","",IF(COUNTIFS($D$5:$D$1004,D304,$B$5:$B$1004,"&lt;"&amp;C304,$C$5:$C$1004,"&gt;"&amp;B304,$T$5:$T$1004,"&lt;&gt;Cancelled")&gt;1,"Double-booked",""))))</f>
        <v/>
      </c>
      <c r="Z304" s="42" t="str">
        <f aca="false">IF(AND(AA304=1,ISNUMBER(C304)),C304+ROW()/100000,"")</f>
        <v/>
      </c>
      <c r="AA304" s="43" t="n">
        <f aca="false">IF(AND(D304&lt;&gt;"",ISNUMBER(B304),ISNUMBER(C304),N(H304)&gt;0,T304&lt;&gt;"Cancelled",J304&lt;&gt;""),1,0)</f>
        <v>0</v>
      </c>
      <c r="AB304" s="44" t="n">
        <f aca="false">IF(AA304=1,J304/H304,0)</f>
        <v>0</v>
      </c>
      <c r="AC304" s="44" t="n">
        <f aca="false">IF(AA304=1,Q304/H304,0)</f>
        <v>0</v>
      </c>
      <c r="AD304" s="44" t="n">
        <f aca="false">IF(AA304=1,R304/H304,0)</f>
        <v>0</v>
      </c>
      <c r="AE304" s="44" t="n">
        <f aca="false">IF(AA304=1,O304/H304,0)</f>
        <v>0</v>
      </c>
      <c r="AF304" s="44" t="n">
        <f aca="false">IF(AA304=1,K304/H304,0)</f>
        <v>0</v>
      </c>
      <c r="AG304" s="45" t="str">
        <f aca="false">IF(AA304=1,D304&amp;"|"&amp;TEXT(B304,"0"),"")</f>
        <v/>
      </c>
      <c r="AH304" s="43" t="n">
        <f aca="false">IF(AA304=1,H304,0)</f>
        <v>0</v>
      </c>
    </row>
    <row r="305" customFormat="false" ht="15" hidden="false" customHeight="false" outlineLevel="0" collapsed="false">
      <c r="A305" s="8" t="str">
        <f aca="false">IF(B305="","","B-"&amp;TEXT(ROW()-4,"0000"))</f>
        <v/>
      </c>
      <c r="B305" s="38"/>
      <c r="C305" s="38"/>
      <c r="D305" s="6"/>
      <c r="E305" s="6"/>
      <c r="F305" s="6"/>
      <c r="G305" s="11"/>
      <c r="H305" s="18" t="str">
        <f aca="false">IF(AND(ISNUMBER(B305),ISNUMBER(C305)),MAX(0,C305-B305),"")</f>
        <v/>
      </c>
      <c r="I305" s="37"/>
      <c r="J305" s="41" t="str">
        <f aca="false">IF(OR(D305="",N(H305)=0),"",IFERROR(IF(I305&lt;&gt;"",H305*I305,ROUND(((H305-(INT((WEEKDAY(B305-6)+H305-1)/7)+INT((WEEKDAY(B305-7)+H305-1)/7)))*INDEX(Properties!$E$5:$E$24,MATCH(D305,Properties!$A$5:$A$24,0))+(INT((WEEKDAY(B305-6)+H305-1)/7)+INT((WEEKDAY(B305-7)+H305-1)/7))*INDEX(Properties!$F$5:$F$24,MATCH(D305,Properties!$A$5:$A$24,0)))*(1-IF(H305&gt;=28,Settings!$B$10,IF(H305&gt;=7,Settings!$B$9,0))),2)),0))</f>
        <v/>
      </c>
      <c r="K305" s="41" t="str">
        <f aca="false">IF(J305="","",IFERROR(N(INDEX(Properties!$G$5:$G$24,MATCH(D305,Properties!$A$5:$A$24,0))),0))</f>
        <v/>
      </c>
      <c r="L305" s="41" t="str">
        <f aca="false">IF(J305="","",IFERROR(MAX(0,N(G305)-INDEX(Properties!$I$5:$I$24,MATCH(D305,Properties!$A$5:$A$24,0)))*N(INDEX(Properties!$J$5:$J$24,MATCH(D305,Properties!$A$5:$A$24,0)))*H305,0))</f>
        <v/>
      </c>
      <c r="M305" s="37"/>
      <c r="N305" s="41" t="str">
        <f aca="false">IF(J305="","",J305+K305+L305+N(M305))</f>
        <v/>
      </c>
      <c r="O305" s="41" t="str">
        <f aca="false">IF(N305="","",IF(P305&lt;&gt;"",N305-P305,ROUND(N305*IFERROR(INDEX(Settings!$E$5:$E$12,MATCH(F305,Settings!$D$5:$D$12,0)),0),2)))</f>
        <v/>
      </c>
      <c r="P305" s="37"/>
      <c r="Q305" s="41" t="str">
        <f aca="false">IF(N305="","",IF(P305&lt;&gt;"",P305,N305-O305))</f>
        <v/>
      </c>
      <c r="R305" s="41" t="str">
        <f aca="false">IF(J305="","",IFERROR(N(INDEX(Properties!$H$5:$H$24,MATCH(D305,Properties!$A$5:$A$24,0))),0))</f>
        <v/>
      </c>
      <c r="S305" s="41" t="str">
        <f aca="false">IF(Q305="","",Q305-R305)</f>
        <v/>
      </c>
      <c r="T305" s="6"/>
      <c r="U305" s="6"/>
      <c r="V305" s="6"/>
      <c r="W305" s="6"/>
      <c r="X305" s="6"/>
      <c r="Y305" s="8" t="str">
        <f aca="false">IF(OR(D305="",B305="",C305=""),"",IF(N(C305)&lt;=N(B305),"Check dates",IF(T305="Cancelled","",IF(COUNTIFS($D$5:$D$1004,D305,$B$5:$B$1004,"&lt;"&amp;C305,$C$5:$C$1004,"&gt;"&amp;B305,$T$5:$T$1004,"&lt;&gt;Cancelled")&gt;1,"Double-booked",""))))</f>
        <v/>
      </c>
      <c r="Z305" s="42" t="str">
        <f aca="false">IF(AND(AA305=1,ISNUMBER(C305)),C305+ROW()/100000,"")</f>
        <v/>
      </c>
      <c r="AA305" s="43" t="n">
        <f aca="false">IF(AND(D305&lt;&gt;"",ISNUMBER(B305),ISNUMBER(C305),N(H305)&gt;0,T305&lt;&gt;"Cancelled",J305&lt;&gt;""),1,0)</f>
        <v>0</v>
      </c>
      <c r="AB305" s="44" t="n">
        <f aca="false">IF(AA305=1,J305/H305,0)</f>
        <v>0</v>
      </c>
      <c r="AC305" s="44" t="n">
        <f aca="false">IF(AA305=1,Q305/H305,0)</f>
        <v>0</v>
      </c>
      <c r="AD305" s="44" t="n">
        <f aca="false">IF(AA305=1,R305/H305,0)</f>
        <v>0</v>
      </c>
      <c r="AE305" s="44" t="n">
        <f aca="false">IF(AA305=1,O305/H305,0)</f>
        <v>0</v>
      </c>
      <c r="AF305" s="44" t="n">
        <f aca="false">IF(AA305=1,K305/H305,0)</f>
        <v>0</v>
      </c>
      <c r="AG305" s="45" t="str">
        <f aca="false">IF(AA305=1,D305&amp;"|"&amp;TEXT(B305,"0"),"")</f>
        <v/>
      </c>
      <c r="AH305" s="43" t="n">
        <f aca="false">IF(AA305=1,H305,0)</f>
        <v>0</v>
      </c>
    </row>
    <row r="306" customFormat="false" ht="15" hidden="false" customHeight="false" outlineLevel="0" collapsed="false">
      <c r="A306" s="23" t="str">
        <f aca="false">IF(B306="","","B-"&amp;TEXT(ROW()-4,"0000"))</f>
        <v/>
      </c>
      <c r="B306" s="38"/>
      <c r="C306" s="38"/>
      <c r="D306" s="6"/>
      <c r="E306" s="6"/>
      <c r="F306" s="6"/>
      <c r="G306" s="11"/>
      <c r="H306" s="24" t="str">
        <f aca="false">IF(AND(ISNUMBER(B306),ISNUMBER(C306)),MAX(0,C306-B306),"")</f>
        <v/>
      </c>
      <c r="I306" s="37"/>
      <c r="J306" s="46" t="str">
        <f aca="false">IF(OR(D306="",N(H306)=0),"",IFERROR(IF(I306&lt;&gt;"",H306*I306,ROUND(((H306-(INT((WEEKDAY(B306-6)+H306-1)/7)+INT((WEEKDAY(B306-7)+H306-1)/7)))*INDEX(Properties!$E$5:$E$24,MATCH(D306,Properties!$A$5:$A$24,0))+(INT((WEEKDAY(B306-6)+H306-1)/7)+INT((WEEKDAY(B306-7)+H306-1)/7))*INDEX(Properties!$F$5:$F$24,MATCH(D306,Properties!$A$5:$A$24,0)))*(1-IF(H306&gt;=28,Settings!$B$10,IF(H306&gt;=7,Settings!$B$9,0))),2)),0))</f>
        <v/>
      </c>
      <c r="K306" s="46" t="str">
        <f aca="false">IF(J306="","",IFERROR(N(INDEX(Properties!$G$5:$G$24,MATCH(D306,Properties!$A$5:$A$24,0))),0))</f>
        <v/>
      </c>
      <c r="L306" s="46" t="str">
        <f aca="false">IF(J306="","",IFERROR(MAX(0,N(G306)-INDEX(Properties!$I$5:$I$24,MATCH(D306,Properties!$A$5:$A$24,0)))*N(INDEX(Properties!$J$5:$J$24,MATCH(D306,Properties!$A$5:$A$24,0)))*H306,0))</f>
        <v/>
      </c>
      <c r="M306" s="37"/>
      <c r="N306" s="46" t="str">
        <f aca="false">IF(J306="","",J306+K306+L306+N(M306))</f>
        <v/>
      </c>
      <c r="O306" s="46" t="str">
        <f aca="false">IF(N306="","",IF(P306&lt;&gt;"",N306-P306,ROUND(N306*IFERROR(INDEX(Settings!$E$5:$E$12,MATCH(F306,Settings!$D$5:$D$12,0)),0),2)))</f>
        <v/>
      </c>
      <c r="P306" s="37"/>
      <c r="Q306" s="46" t="str">
        <f aca="false">IF(N306="","",IF(P306&lt;&gt;"",P306,N306-O306))</f>
        <v/>
      </c>
      <c r="R306" s="46" t="str">
        <f aca="false">IF(J306="","",IFERROR(N(INDEX(Properties!$H$5:$H$24,MATCH(D306,Properties!$A$5:$A$24,0))),0))</f>
        <v/>
      </c>
      <c r="S306" s="46" t="str">
        <f aca="false">IF(Q306="","",Q306-R306)</f>
        <v/>
      </c>
      <c r="T306" s="6"/>
      <c r="U306" s="6"/>
      <c r="V306" s="6"/>
      <c r="W306" s="6"/>
      <c r="X306" s="6"/>
      <c r="Y306" s="8" t="str">
        <f aca="false">IF(OR(D306="",B306="",C306=""),"",IF(N(C306)&lt;=N(B306),"Check dates",IF(T306="Cancelled","",IF(COUNTIFS($D$5:$D$1004,D306,$B$5:$B$1004,"&lt;"&amp;C306,$C$5:$C$1004,"&gt;"&amp;B306,$T$5:$T$1004,"&lt;&gt;Cancelled")&gt;1,"Double-booked",""))))</f>
        <v/>
      </c>
      <c r="Z306" s="42" t="str">
        <f aca="false">IF(AND(AA306=1,ISNUMBER(C306)),C306+ROW()/100000,"")</f>
        <v/>
      </c>
      <c r="AA306" s="43" t="n">
        <f aca="false">IF(AND(D306&lt;&gt;"",ISNUMBER(B306),ISNUMBER(C306),N(H306)&gt;0,T306&lt;&gt;"Cancelled",J306&lt;&gt;""),1,0)</f>
        <v>0</v>
      </c>
      <c r="AB306" s="44" t="n">
        <f aca="false">IF(AA306=1,J306/H306,0)</f>
        <v>0</v>
      </c>
      <c r="AC306" s="44" t="n">
        <f aca="false">IF(AA306=1,Q306/H306,0)</f>
        <v>0</v>
      </c>
      <c r="AD306" s="44" t="n">
        <f aca="false">IF(AA306=1,R306/H306,0)</f>
        <v>0</v>
      </c>
      <c r="AE306" s="44" t="n">
        <f aca="false">IF(AA306=1,O306/H306,0)</f>
        <v>0</v>
      </c>
      <c r="AF306" s="44" t="n">
        <f aca="false">IF(AA306=1,K306/H306,0)</f>
        <v>0</v>
      </c>
      <c r="AG306" s="45" t="str">
        <f aca="false">IF(AA306=1,D306&amp;"|"&amp;TEXT(B306,"0"),"")</f>
        <v/>
      </c>
      <c r="AH306" s="43" t="n">
        <f aca="false">IF(AA306=1,H306,0)</f>
        <v>0</v>
      </c>
    </row>
    <row r="307" customFormat="false" ht="15" hidden="false" customHeight="false" outlineLevel="0" collapsed="false">
      <c r="A307" s="8" t="str">
        <f aca="false">IF(B307="","","B-"&amp;TEXT(ROW()-4,"0000"))</f>
        <v/>
      </c>
      <c r="B307" s="38"/>
      <c r="C307" s="38"/>
      <c r="D307" s="6"/>
      <c r="E307" s="6"/>
      <c r="F307" s="6"/>
      <c r="G307" s="11"/>
      <c r="H307" s="18" t="str">
        <f aca="false">IF(AND(ISNUMBER(B307),ISNUMBER(C307)),MAX(0,C307-B307),"")</f>
        <v/>
      </c>
      <c r="I307" s="37"/>
      <c r="J307" s="41" t="str">
        <f aca="false">IF(OR(D307="",N(H307)=0),"",IFERROR(IF(I307&lt;&gt;"",H307*I307,ROUND(((H307-(INT((WEEKDAY(B307-6)+H307-1)/7)+INT((WEEKDAY(B307-7)+H307-1)/7)))*INDEX(Properties!$E$5:$E$24,MATCH(D307,Properties!$A$5:$A$24,0))+(INT((WEEKDAY(B307-6)+H307-1)/7)+INT((WEEKDAY(B307-7)+H307-1)/7))*INDEX(Properties!$F$5:$F$24,MATCH(D307,Properties!$A$5:$A$24,0)))*(1-IF(H307&gt;=28,Settings!$B$10,IF(H307&gt;=7,Settings!$B$9,0))),2)),0))</f>
        <v/>
      </c>
      <c r="K307" s="41" t="str">
        <f aca="false">IF(J307="","",IFERROR(N(INDEX(Properties!$G$5:$G$24,MATCH(D307,Properties!$A$5:$A$24,0))),0))</f>
        <v/>
      </c>
      <c r="L307" s="41" t="str">
        <f aca="false">IF(J307="","",IFERROR(MAX(0,N(G307)-INDEX(Properties!$I$5:$I$24,MATCH(D307,Properties!$A$5:$A$24,0)))*N(INDEX(Properties!$J$5:$J$24,MATCH(D307,Properties!$A$5:$A$24,0)))*H307,0))</f>
        <v/>
      </c>
      <c r="M307" s="37"/>
      <c r="N307" s="41" t="str">
        <f aca="false">IF(J307="","",J307+K307+L307+N(M307))</f>
        <v/>
      </c>
      <c r="O307" s="41" t="str">
        <f aca="false">IF(N307="","",IF(P307&lt;&gt;"",N307-P307,ROUND(N307*IFERROR(INDEX(Settings!$E$5:$E$12,MATCH(F307,Settings!$D$5:$D$12,0)),0),2)))</f>
        <v/>
      </c>
      <c r="P307" s="37"/>
      <c r="Q307" s="41" t="str">
        <f aca="false">IF(N307="","",IF(P307&lt;&gt;"",P307,N307-O307))</f>
        <v/>
      </c>
      <c r="R307" s="41" t="str">
        <f aca="false">IF(J307="","",IFERROR(N(INDEX(Properties!$H$5:$H$24,MATCH(D307,Properties!$A$5:$A$24,0))),0))</f>
        <v/>
      </c>
      <c r="S307" s="41" t="str">
        <f aca="false">IF(Q307="","",Q307-R307)</f>
        <v/>
      </c>
      <c r="T307" s="6"/>
      <c r="U307" s="6"/>
      <c r="V307" s="6"/>
      <c r="W307" s="6"/>
      <c r="X307" s="6"/>
      <c r="Y307" s="8" t="str">
        <f aca="false">IF(OR(D307="",B307="",C307=""),"",IF(N(C307)&lt;=N(B307),"Check dates",IF(T307="Cancelled","",IF(COUNTIFS($D$5:$D$1004,D307,$B$5:$B$1004,"&lt;"&amp;C307,$C$5:$C$1004,"&gt;"&amp;B307,$T$5:$T$1004,"&lt;&gt;Cancelled")&gt;1,"Double-booked",""))))</f>
        <v/>
      </c>
      <c r="Z307" s="42" t="str">
        <f aca="false">IF(AND(AA307=1,ISNUMBER(C307)),C307+ROW()/100000,"")</f>
        <v/>
      </c>
      <c r="AA307" s="43" t="n">
        <f aca="false">IF(AND(D307&lt;&gt;"",ISNUMBER(B307),ISNUMBER(C307),N(H307)&gt;0,T307&lt;&gt;"Cancelled",J307&lt;&gt;""),1,0)</f>
        <v>0</v>
      </c>
      <c r="AB307" s="44" t="n">
        <f aca="false">IF(AA307=1,J307/H307,0)</f>
        <v>0</v>
      </c>
      <c r="AC307" s="44" t="n">
        <f aca="false">IF(AA307=1,Q307/H307,0)</f>
        <v>0</v>
      </c>
      <c r="AD307" s="44" t="n">
        <f aca="false">IF(AA307=1,R307/H307,0)</f>
        <v>0</v>
      </c>
      <c r="AE307" s="44" t="n">
        <f aca="false">IF(AA307=1,O307/H307,0)</f>
        <v>0</v>
      </c>
      <c r="AF307" s="44" t="n">
        <f aca="false">IF(AA307=1,K307/H307,0)</f>
        <v>0</v>
      </c>
      <c r="AG307" s="45" t="str">
        <f aca="false">IF(AA307=1,D307&amp;"|"&amp;TEXT(B307,"0"),"")</f>
        <v/>
      </c>
      <c r="AH307" s="43" t="n">
        <f aca="false">IF(AA307=1,H307,0)</f>
        <v>0</v>
      </c>
    </row>
    <row r="308" customFormat="false" ht="15" hidden="false" customHeight="false" outlineLevel="0" collapsed="false">
      <c r="A308" s="23" t="str">
        <f aca="false">IF(B308="","","B-"&amp;TEXT(ROW()-4,"0000"))</f>
        <v/>
      </c>
      <c r="B308" s="38"/>
      <c r="C308" s="38"/>
      <c r="D308" s="6"/>
      <c r="E308" s="6"/>
      <c r="F308" s="6"/>
      <c r="G308" s="11"/>
      <c r="H308" s="24" t="str">
        <f aca="false">IF(AND(ISNUMBER(B308),ISNUMBER(C308)),MAX(0,C308-B308),"")</f>
        <v/>
      </c>
      <c r="I308" s="37"/>
      <c r="J308" s="46" t="str">
        <f aca="false">IF(OR(D308="",N(H308)=0),"",IFERROR(IF(I308&lt;&gt;"",H308*I308,ROUND(((H308-(INT((WEEKDAY(B308-6)+H308-1)/7)+INT((WEEKDAY(B308-7)+H308-1)/7)))*INDEX(Properties!$E$5:$E$24,MATCH(D308,Properties!$A$5:$A$24,0))+(INT((WEEKDAY(B308-6)+H308-1)/7)+INT((WEEKDAY(B308-7)+H308-1)/7))*INDEX(Properties!$F$5:$F$24,MATCH(D308,Properties!$A$5:$A$24,0)))*(1-IF(H308&gt;=28,Settings!$B$10,IF(H308&gt;=7,Settings!$B$9,0))),2)),0))</f>
        <v/>
      </c>
      <c r="K308" s="46" t="str">
        <f aca="false">IF(J308="","",IFERROR(N(INDEX(Properties!$G$5:$G$24,MATCH(D308,Properties!$A$5:$A$24,0))),0))</f>
        <v/>
      </c>
      <c r="L308" s="46" t="str">
        <f aca="false">IF(J308="","",IFERROR(MAX(0,N(G308)-INDEX(Properties!$I$5:$I$24,MATCH(D308,Properties!$A$5:$A$24,0)))*N(INDEX(Properties!$J$5:$J$24,MATCH(D308,Properties!$A$5:$A$24,0)))*H308,0))</f>
        <v/>
      </c>
      <c r="M308" s="37"/>
      <c r="N308" s="46" t="str">
        <f aca="false">IF(J308="","",J308+K308+L308+N(M308))</f>
        <v/>
      </c>
      <c r="O308" s="46" t="str">
        <f aca="false">IF(N308="","",IF(P308&lt;&gt;"",N308-P308,ROUND(N308*IFERROR(INDEX(Settings!$E$5:$E$12,MATCH(F308,Settings!$D$5:$D$12,0)),0),2)))</f>
        <v/>
      </c>
      <c r="P308" s="37"/>
      <c r="Q308" s="46" t="str">
        <f aca="false">IF(N308="","",IF(P308&lt;&gt;"",P308,N308-O308))</f>
        <v/>
      </c>
      <c r="R308" s="46" t="str">
        <f aca="false">IF(J308="","",IFERROR(N(INDEX(Properties!$H$5:$H$24,MATCH(D308,Properties!$A$5:$A$24,0))),0))</f>
        <v/>
      </c>
      <c r="S308" s="46" t="str">
        <f aca="false">IF(Q308="","",Q308-R308)</f>
        <v/>
      </c>
      <c r="T308" s="6"/>
      <c r="U308" s="6"/>
      <c r="V308" s="6"/>
      <c r="W308" s="6"/>
      <c r="X308" s="6"/>
      <c r="Y308" s="8" t="str">
        <f aca="false">IF(OR(D308="",B308="",C308=""),"",IF(N(C308)&lt;=N(B308),"Check dates",IF(T308="Cancelled","",IF(COUNTIFS($D$5:$D$1004,D308,$B$5:$B$1004,"&lt;"&amp;C308,$C$5:$C$1004,"&gt;"&amp;B308,$T$5:$T$1004,"&lt;&gt;Cancelled")&gt;1,"Double-booked",""))))</f>
        <v/>
      </c>
      <c r="Z308" s="42" t="str">
        <f aca="false">IF(AND(AA308=1,ISNUMBER(C308)),C308+ROW()/100000,"")</f>
        <v/>
      </c>
      <c r="AA308" s="43" t="n">
        <f aca="false">IF(AND(D308&lt;&gt;"",ISNUMBER(B308),ISNUMBER(C308),N(H308)&gt;0,T308&lt;&gt;"Cancelled",J308&lt;&gt;""),1,0)</f>
        <v>0</v>
      </c>
      <c r="AB308" s="44" t="n">
        <f aca="false">IF(AA308=1,J308/H308,0)</f>
        <v>0</v>
      </c>
      <c r="AC308" s="44" t="n">
        <f aca="false">IF(AA308=1,Q308/H308,0)</f>
        <v>0</v>
      </c>
      <c r="AD308" s="44" t="n">
        <f aca="false">IF(AA308=1,R308/H308,0)</f>
        <v>0</v>
      </c>
      <c r="AE308" s="44" t="n">
        <f aca="false">IF(AA308=1,O308/H308,0)</f>
        <v>0</v>
      </c>
      <c r="AF308" s="44" t="n">
        <f aca="false">IF(AA308=1,K308/H308,0)</f>
        <v>0</v>
      </c>
      <c r="AG308" s="45" t="str">
        <f aca="false">IF(AA308=1,D308&amp;"|"&amp;TEXT(B308,"0"),"")</f>
        <v/>
      </c>
      <c r="AH308" s="43" t="n">
        <f aca="false">IF(AA308=1,H308,0)</f>
        <v>0</v>
      </c>
    </row>
    <row r="309" customFormat="false" ht="15" hidden="false" customHeight="false" outlineLevel="0" collapsed="false">
      <c r="A309" s="8" t="str">
        <f aca="false">IF(B309="","","B-"&amp;TEXT(ROW()-4,"0000"))</f>
        <v/>
      </c>
      <c r="B309" s="38"/>
      <c r="C309" s="38"/>
      <c r="D309" s="6"/>
      <c r="E309" s="6"/>
      <c r="F309" s="6"/>
      <c r="G309" s="11"/>
      <c r="H309" s="18" t="str">
        <f aca="false">IF(AND(ISNUMBER(B309),ISNUMBER(C309)),MAX(0,C309-B309),"")</f>
        <v/>
      </c>
      <c r="I309" s="37"/>
      <c r="J309" s="41" t="str">
        <f aca="false">IF(OR(D309="",N(H309)=0),"",IFERROR(IF(I309&lt;&gt;"",H309*I309,ROUND(((H309-(INT((WEEKDAY(B309-6)+H309-1)/7)+INT((WEEKDAY(B309-7)+H309-1)/7)))*INDEX(Properties!$E$5:$E$24,MATCH(D309,Properties!$A$5:$A$24,0))+(INT((WEEKDAY(B309-6)+H309-1)/7)+INT((WEEKDAY(B309-7)+H309-1)/7))*INDEX(Properties!$F$5:$F$24,MATCH(D309,Properties!$A$5:$A$24,0)))*(1-IF(H309&gt;=28,Settings!$B$10,IF(H309&gt;=7,Settings!$B$9,0))),2)),0))</f>
        <v/>
      </c>
      <c r="K309" s="41" t="str">
        <f aca="false">IF(J309="","",IFERROR(N(INDEX(Properties!$G$5:$G$24,MATCH(D309,Properties!$A$5:$A$24,0))),0))</f>
        <v/>
      </c>
      <c r="L309" s="41" t="str">
        <f aca="false">IF(J309="","",IFERROR(MAX(0,N(G309)-INDEX(Properties!$I$5:$I$24,MATCH(D309,Properties!$A$5:$A$24,0)))*N(INDEX(Properties!$J$5:$J$24,MATCH(D309,Properties!$A$5:$A$24,0)))*H309,0))</f>
        <v/>
      </c>
      <c r="M309" s="37"/>
      <c r="N309" s="41" t="str">
        <f aca="false">IF(J309="","",J309+K309+L309+N(M309))</f>
        <v/>
      </c>
      <c r="O309" s="41" t="str">
        <f aca="false">IF(N309="","",IF(P309&lt;&gt;"",N309-P309,ROUND(N309*IFERROR(INDEX(Settings!$E$5:$E$12,MATCH(F309,Settings!$D$5:$D$12,0)),0),2)))</f>
        <v/>
      </c>
      <c r="P309" s="37"/>
      <c r="Q309" s="41" t="str">
        <f aca="false">IF(N309="","",IF(P309&lt;&gt;"",P309,N309-O309))</f>
        <v/>
      </c>
      <c r="R309" s="41" t="str">
        <f aca="false">IF(J309="","",IFERROR(N(INDEX(Properties!$H$5:$H$24,MATCH(D309,Properties!$A$5:$A$24,0))),0))</f>
        <v/>
      </c>
      <c r="S309" s="41" t="str">
        <f aca="false">IF(Q309="","",Q309-R309)</f>
        <v/>
      </c>
      <c r="T309" s="6"/>
      <c r="U309" s="6"/>
      <c r="V309" s="6"/>
      <c r="W309" s="6"/>
      <c r="X309" s="6"/>
      <c r="Y309" s="8" t="str">
        <f aca="false">IF(OR(D309="",B309="",C309=""),"",IF(N(C309)&lt;=N(B309),"Check dates",IF(T309="Cancelled","",IF(COUNTIFS($D$5:$D$1004,D309,$B$5:$B$1004,"&lt;"&amp;C309,$C$5:$C$1004,"&gt;"&amp;B309,$T$5:$T$1004,"&lt;&gt;Cancelled")&gt;1,"Double-booked",""))))</f>
        <v/>
      </c>
      <c r="Z309" s="42" t="str">
        <f aca="false">IF(AND(AA309=1,ISNUMBER(C309)),C309+ROW()/100000,"")</f>
        <v/>
      </c>
      <c r="AA309" s="43" t="n">
        <f aca="false">IF(AND(D309&lt;&gt;"",ISNUMBER(B309),ISNUMBER(C309),N(H309)&gt;0,T309&lt;&gt;"Cancelled",J309&lt;&gt;""),1,0)</f>
        <v>0</v>
      </c>
      <c r="AB309" s="44" t="n">
        <f aca="false">IF(AA309=1,J309/H309,0)</f>
        <v>0</v>
      </c>
      <c r="AC309" s="44" t="n">
        <f aca="false">IF(AA309=1,Q309/H309,0)</f>
        <v>0</v>
      </c>
      <c r="AD309" s="44" t="n">
        <f aca="false">IF(AA309=1,R309/H309,0)</f>
        <v>0</v>
      </c>
      <c r="AE309" s="44" t="n">
        <f aca="false">IF(AA309=1,O309/H309,0)</f>
        <v>0</v>
      </c>
      <c r="AF309" s="44" t="n">
        <f aca="false">IF(AA309=1,K309/H309,0)</f>
        <v>0</v>
      </c>
      <c r="AG309" s="45" t="str">
        <f aca="false">IF(AA309=1,D309&amp;"|"&amp;TEXT(B309,"0"),"")</f>
        <v/>
      </c>
      <c r="AH309" s="43" t="n">
        <f aca="false">IF(AA309=1,H309,0)</f>
        <v>0</v>
      </c>
    </row>
    <row r="310" customFormat="false" ht="15" hidden="false" customHeight="false" outlineLevel="0" collapsed="false">
      <c r="A310" s="23" t="str">
        <f aca="false">IF(B310="","","B-"&amp;TEXT(ROW()-4,"0000"))</f>
        <v/>
      </c>
      <c r="B310" s="38"/>
      <c r="C310" s="38"/>
      <c r="D310" s="6"/>
      <c r="E310" s="6"/>
      <c r="F310" s="6"/>
      <c r="G310" s="11"/>
      <c r="H310" s="24" t="str">
        <f aca="false">IF(AND(ISNUMBER(B310),ISNUMBER(C310)),MAX(0,C310-B310),"")</f>
        <v/>
      </c>
      <c r="I310" s="37"/>
      <c r="J310" s="46" t="str">
        <f aca="false">IF(OR(D310="",N(H310)=0),"",IFERROR(IF(I310&lt;&gt;"",H310*I310,ROUND(((H310-(INT((WEEKDAY(B310-6)+H310-1)/7)+INT((WEEKDAY(B310-7)+H310-1)/7)))*INDEX(Properties!$E$5:$E$24,MATCH(D310,Properties!$A$5:$A$24,0))+(INT((WEEKDAY(B310-6)+H310-1)/7)+INT((WEEKDAY(B310-7)+H310-1)/7))*INDEX(Properties!$F$5:$F$24,MATCH(D310,Properties!$A$5:$A$24,0)))*(1-IF(H310&gt;=28,Settings!$B$10,IF(H310&gt;=7,Settings!$B$9,0))),2)),0))</f>
        <v/>
      </c>
      <c r="K310" s="46" t="str">
        <f aca="false">IF(J310="","",IFERROR(N(INDEX(Properties!$G$5:$G$24,MATCH(D310,Properties!$A$5:$A$24,0))),0))</f>
        <v/>
      </c>
      <c r="L310" s="46" t="str">
        <f aca="false">IF(J310="","",IFERROR(MAX(0,N(G310)-INDEX(Properties!$I$5:$I$24,MATCH(D310,Properties!$A$5:$A$24,0)))*N(INDEX(Properties!$J$5:$J$24,MATCH(D310,Properties!$A$5:$A$24,0)))*H310,0))</f>
        <v/>
      </c>
      <c r="M310" s="37"/>
      <c r="N310" s="46" t="str">
        <f aca="false">IF(J310="","",J310+K310+L310+N(M310))</f>
        <v/>
      </c>
      <c r="O310" s="46" t="str">
        <f aca="false">IF(N310="","",IF(P310&lt;&gt;"",N310-P310,ROUND(N310*IFERROR(INDEX(Settings!$E$5:$E$12,MATCH(F310,Settings!$D$5:$D$12,0)),0),2)))</f>
        <v/>
      </c>
      <c r="P310" s="37"/>
      <c r="Q310" s="46" t="str">
        <f aca="false">IF(N310="","",IF(P310&lt;&gt;"",P310,N310-O310))</f>
        <v/>
      </c>
      <c r="R310" s="46" t="str">
        <f aca="false">IF(J310="","",IFERROR(N(INDEX(Properties!$H$5:$H$24,MATCH(D310,Properties!$A$5:$A$24,0))),0))</f>
        <v/>
      </c>
      <c r="S310" s="46" t="str">
        <f aca="false">IF(Q310="","",Q310-R310)</f>
        <v/>
      </c>
      <c r="T310" s="6"/>
      <c r="U310" s="6"/>
      <c r="V310" s="6"/>
      <c r="W310" s="6"/>
      <c r="X310" s="6"/>
      <c r="Y310" s="8" t="str">
        <f aca="false">IF(OR(D310="",B310="",C310=""),"",IF(N(C310)&lt;=N(B310),"Check dates",IF(T310="Cancelled","",IF(COUNTIFS($D$5:$D$1004,D310,$B$5:$B$1004,"&lt;"&amp;C310,$C$5:$C$1004,"&gt;"&amp;B310,$T$5:$T$1004,"&lt;&gt;Cancelled")&gt;1,"Double-booked",""))))</f>
        <v/>
      </c>
      <c r="Z310" s="42" t="str">
        <f aca="false">IF(AND(AA310=1,ISNUMBER(C310)),C310+ROW()/100000,"")</f>
        <v/>
      </c>
      <c r="AA310" s="43" t="n">
        <f aca="false">IF(AND(D310&lt;&gt;"",ISNUMBER(B310),ISNUMBER(C310),N(H310)&gt;0,T310&lt;&gt;"Cancelled",J310&lt;&gt;""),1,0)</f>
        <v>0</v>
      </c>
      <c r="AB310" s="44" t="n">
        <f aca="false">IF(AA310=1,J310/H310,0)</f>
        <v>0</v>
      </c>
      <c r="AC310" s="44" t="n">
        <f aca="false">IF(AA310=1,Q310/H310,0)</f>
        <v>0</v>
      </c>
      <c r="AD310" s="44" t="n">
        <f aca="false">IF(AA310=1,R310/H310,0)</f>
        <v>0</v>
      </c>
      <c r="AE310" s="44" t="n">
        <f aca="false">IF(AA310=1,O310/H310,0)</f>
        <v>0</v>
      </c>
      <c r="AF310" s="44" t="n">
        <f aca="false">IF(AA310=1,K310/H310,0)</f>
        <v>0</v>
      </c>
      <c r="AG310" s="45" t="str">
        <f aca="false">IF(AA310=1,D310&amp;"|"&amp;TEXT(B310,"0"),"")</f>
        <v/>
      </c>
      <c r="AH310" s="43" t="n">
        <f aca="false">IF(AA310=1,H310,0)</f>
        <v>0</v>
      </c>
    </row>
    <row r="311" customFormat="false" ht="15" hidden="false" customHeight="false" outlineLevel="0" collapsed="false">
      <c r="A311" s="8" t="str">
        <f aca="false">IF(B311="","","B-"&amp;TEXT(ROW()-4,"0000"))</f>
        <v/>
      </c>
      <c r="B311" s="38"/>
      <c r="C311" s="38"/>
      <c r="D311" s="6"/>
      <c r="E311" s="6"/>
      <c r="F311" s="6"/>
      <c r="G311" s="11"/>
      <c r="H311" s="18" t="str">
        <f aca="false">IF(AND(ISNUMBER(B311),ISNUMBER(C311)),MAX(0,C311-B311),"")</f>
        <v/>
      </c>
      <c r="I311" s="37"/>
      <c r="J311" s="41" t="str">
        <f aca="false">IF(OR(D311="",N(H311)=0),"",IFERROR(IF(I311&lt;&gt;"",H311*I311,ROUND(((H311-(INT((WEEKDAY(B311-6)+H311-1)/7)+INT((WEEKDAY(B311-7)+H311-1)/7)))*INDEX(Properties!$E$5:$E$24,MATCH(D311,Properties!$A$5:$A$24,0))+(INT((WEEKDAY(B311-6)+H311-1)/7)+INT((WEEKDAY(B311-7)+H311-1)/7))*INDEX(Properties!$F$5:$F$24,MATCH(D311,Properties!$A$5:$A$24,0)))*(1-IF(H311&gt;=28,Settings!$B$10,IF(H311&gt;=7,Settings!$B$9,0))),2)),0))</f>
        <v/>
      </c>
      <c r="K311" s="41" t="str">
        <f aca="false">IF(J311="","",IFERROR(N(INDEX(Properties!$G$5:$G$24,MATCH(D311,Properties!$A$5:$A$24,0))),0))</f>
        <v/>
      </c>
      <c r="L311" s="41" t="str">
        <f aca="false">IF(J311="","",IFERROR(MAX(0,N(G311)-INDEX(Properties!$I$5:$I$24,MATCH(D311,Properties!$A$5:$A$24,0)))*N(INDEX(Properties!$J$5:$J$24,MATCH(D311,Properties!$A$5:$A$24,0)))*H311,0))</f>
        <v/>
      </c>
      <c r="M311" s="37"/>
      <c r="N311" s="41" t="str">
        <f aca="false">IF(J311="","",J311+K311+L311+N(M311))</f>
        <v/>
      </c>
      <c r="O311" s="41" t="str">
        <f aca="false">IF(N311="","",IF(P311&lt;&gt;"",N311-P311,ROUND(N311*IFERROR(INDEX(Settings!$E$5:$E$12,MATCH(F311,Settings!$D$5:$D$12,0)),0),2)))</f>
        <v/>
      </c>
      <c r="P311" s="37"/>
      <c r="Q311" s="41" t="str">
        <f aca="false">IF(N311="","",IF(P311&lt;&gt;"",P311,N311-O311))</f>
        <v/>
      </c>
      <c r="R311" s="41" t="str">
        <f aca="false">IF(J311="","",IFERROR(N(INDEX(Properties!$H$5:$H$24,MATCH(D311,Properties!$A$5:$A$24,0))),0))</f>
        <v/>
      </c>
      <c r="S311" s="41" t="str">
        <f aca="false">IF(Q311="","",Q311-R311)</f>
        <v/>
      </c>
      <c r="T311" s="6"/>
      <c r="U311" s="6"/>
      <c r="V311" s="6"/>
      <c r="W311" s="6"/>
      <c r="X311" s="6"/>
      <c r="Y311" s="8" t="str">
        <f aca="false">IF(OR(D311="",B311="",C311=""),"",IF(N(C311)&lt;=N(B311),"Check dates",IF(T311="Cancelled","",IF(COUNTIFS($D$5:$D$1004,D311,$B$5:$B$1004,"&lt;"&amp;C311,$C$5:$C$1004,"&gt;"&amp;B311,$T$5:$T$1004,"&lt;&gt;Cancelled")&gt;1,"Double-booked",""))))</f>
        <v/>
      </c>
      <c r="Z311" s="42" t="str">
        <f aca="false">IF(AND(AA311=1,ISNUMBER(C311)),C311+ROW()/100000,"")</f>
        <v/>
      </c>
      <c r="AA311" s="43" t="n">
        <f aca="false">IF(AND(D311&lt;&gt;"",ISNUMBER(B311),ISNUMBER(C311),N(H311)&gt;0,T311&lt;&gt;"Cancelled",J311&lt;&gt;""),1,0)</f>
        <v>0</v>
      </c>
      <c r="AB311" s="44" t="n">
        <f aca="false">IF(AA311=1,J311/H311,0)</f>
        <v>0</v>
      </c>
      <c r="AC311" s="44" t="n">
        <f aca="false">IF(AA311=1,Q311/H311,0)</f>
        <v>0</v>
      </c>
      <c r="AD311" s="44" t="n">
        <f aca="false">IF(AA311=1,R311/H311,0)</f>
        <v>0</v>
      </c>
      <c r="AE311" s="44" t="n">
        <f aca="false">IF(AA311=1,O311/H311,0)</f>
        <v>0</v>
      </c>
      <c r="AF311" s="44" t="n">
        <f aca="false">IF(AA311=1,K311/H311,0)</f>
        <v>0</v>
      </c>
      <c r="AG311" s="45" t="str">
        <f aca="false">IF(AA311=1,D311&amp;"|"&amp;TEXT(B311,"0"),"")</f>
        <v/>
      </c>
      <c r="AH311" s="43" t="n">
        <f aca="false">IF(AA311=1,H311,0)</f>
        <v>0</v>
      </c>
    </row>
    <row r="312" customFormat="false" ht="15" hidden="false" customHeight="false" outlineLevel="0" collapsed="false">
      <c r="A312" s="23" t="str">
        <f aca="false">IF(B312="","","B-"&amp;TEXT(ROW()-4,"0000"))</f>
        <v/>
      </c>
      <c r="B312" s="38"/>
      <c r="C312" s="38"/>
      <c r="D312" s="6"/>
      <c r="E312" s="6"/>
      <c r="F312" s="6"/>
      <c r="G312" s="11"/>
      <c r="H312" s="24" t="str">
        <f aca="false">IF(AND(ISNUMBER(B312),ISNUMBER(C312)),MAX(0,C312-B312),"")</f>
        <v/>
      </c>
      <c r="I312" s="37"/>
      <c r="J312" s="46" t="str">
        <f aca="false">IF(OR(D312="",N(H312)=0),"",IFERROR(IF(I312&lt;&gt;"",H312*I312,ROUND(((H312-(INT((WEEKDAY(B312-6)+H312-1)/7)+INT((WEEKDAY(B312-7)+H312-1)/7)))*INDEX(Properties!$E$5:$E$24,MATCH(D312,Properties!$A$5:$A$24,0))+(INT((WEEKDAY(B312-6)+H312-1)/7)+INT((WEEKDAY(B312-7)+H312-1)/7))*INDEX(Properties!$F$5:$F$24,MATCH(D312,Properties!$A$5:$A$24,0)))*(1-IF(H312&gt;=28,Settings!$B$10,IF(H312&gt;=7,Settings!$B$9,0))),2)),0))</f>
        <v/>
      </c>
      <c r="K312" s="46" t="str">
        <f aca="false">IF(J312="","",IFERROR(N(INDEX(Properties!$G$5:$G$24,MATCH(D312,Properties!$A$5:$A$24,0))),0))</f>
        <v/>
      </c>
      <c r="L312" s="46" t="str">
        <f aca="false">IF(J312="","",IFERROR(MAX(0,N(G312)-INDEX(Properties!$I$5:$I$24,MATCH(D312,Properties!$A$5:$A$24,0)))*N(INDEX(Properties!$J$5:$J$24,MATCH(D312,Properties!$A$5:$A$24,0)))*H312,0))</f>
        <v/>
      </c>
      <c r="M312" s="37"/>
      <c r="N312" s="46" t="str">
        <f aca="false">IF(J312="","",J312+K312+L312+N(M312))</f>
        <v/>
      </c>
      <c r="O312" s="46" t="str">
        <f aca="false">IF(N312="","",IF(P312&lt;&gt;"",N312-P312,ROUND(N312*IFERROR(INDEX(Settings!$E$5:$E$12,MATCH(F312,Settings!$D$5:$D$12,0)),0),2)))</f>
        <v/>
      </c>
      <c r="P312" s="37"/>
      <c r="Q312" s="46" t="str">
        <f aca="false">IF(N312="","",IF(P312&lt;&gt;"",P312,N312-O312))</f>
        <v/>
      </c>
      <c r="R312" s="46" t="str">
        <f aca="false">IF(J312="","",IFERROR(N(INDEX(Properties!$H$5:$H$24,MATCH(D312,Properties!$A$5:$A$24,0))),0))</f>
        <v/>
      </c>
      <c r="S312" s="46" t="str">
        <f aca="false">IF(Q312="","",Q312-R312)</f>
        <v/>
      </c>
      <c r="T312" s="6"/>
      <c r="U312" s="6"/>
      <c r="V312" s="6"/>
      <c r="W312" s="6"/>
      <c r="X312" s="6"/>
      <c r="Y312" s="8" t="str">
        <f aca="false">IF(OR(D312="",B312="",C312=""),"",IF(N(C312)&lt;=N(B312),"Check dates",IF(T312="Cancelled","",IF(COUNTIFS($D$5:$D$1004,D312,$B$5:$B$1004,"&lt;"&amp;C312,$C$5:$C$1004,"&gt;"&amp;B312,$T$5:$T$1004,"&lt;&gt;Cancelled")&gt;1,"Double-booked",""))))</f>
        <v/>
      </c>
      <c r="Z312" s="42" t="str">
        <f aca="false">IF(AND(AA312=1,ISNUMBER(C312)),C312+ROW()/100000,"")</f>
        <v/>
      </c>
      <c r="AA312" s="43" t="n">
        <f aca="false">IF(AND(D312&lt;&gt;"",ISNUMBER(B312),ISNUMBER(C312),N(H312)&gt;0,T312&lt;&gt;"Cancelled",J312&lt;&gt;""),1,0)</f>
        <v>0</v>
      </c>
      <c r="AB312" s="44" t="n">
        <f aca="false">IF(AA312=1,J312/H312,0)</f>
        <v>0</v>
      </c>
      <c r="AC312" s="44" t="n">
        <f aca="false">IF(AA312=1,Q312/H312,0)</f>
        <v>0</v>
      </c>
      <c r="AD312" s="44" t="n">
        <f aca="false">IF(AA312=1,R312/H312,0)</f>
        <v>0</v>
      </c>
      <c r="AE312" s="44" t="n">
        <f aca="false">IF(AA312=1,O312/H312,0)</f>
        <v>0</v>
      </c>
      <c r="AF312" s="44" t="n">
        <f aca="false">IF(AA312=1,K312/H312,0)</f>
        <v>0</v>
      </c>
      <c r="AG312" s="45" t="str">
        <f aca="false">IF(AA312=1,D312&amp;"|"&amp;TEXT(B312,"0"),"")</f>
        <v/>
      </c>
      <c r="AH312" s="43" t="n">
        <f aca="false">IF(AA312=1,H312,0)</f>
        <v>0</v>
      </c>
    </row>
    <row r="313" customFormat="false" ht="15" hidden="false" customHeight="false" outlineLevel="0" collapsed="false">
      <c r="A313" s="8" t="str">
        <f aca="false">IF(B313="","","B-"&amp;TEXT(ROW()-4,"0000"))</f>
        <v/>
      </c>
      <c r="B313" s="38"/>
      <c r="C313" s="38"/>
      <c r="D313" s="6"/>
      <c r="E313" s="6"/>
      <c r="F313" s="6"/>
      <c r="G313" s="11"/>
      <c r="H313" s="18" t="str">
        <f aca="false">IF(AND(ISNUMBER(B313),ISNUMBER(C313)),MAX(0,C313-B313),"")</f>
        <v/>
      </c>
      <c r="I313" s="37"/>
      <c r="J313" s="41" t="str">
        <f aca="false">IF(OR(D313="",N(H313)=0),"",IFERROR(IF(I313&lt;&gt;"",H313*I313,ROUND(((H313-(INT((WEEKDAY(B313-6)+H313-1)/7)+INT((WEEKDAY(B313-7)+H313-1)/7)))*INDEX(Properties!$E$5:$E$24,MATCH(D313,Properties!$A$5:$A$24,0))+(INT((WEEKDAY(B313-6)+H313-1)/7)+INT((WEEKDAY(B313-7)+H313-1)/7))*INDEX(Properties!$F$5:$F$24,MATCH(D313,Properties!$A$5:$A$24,0)))*(1-IF(H313&gt;=28,Settings!$B$10,IF(H313&gt;=7,Settings!$B$9,0))),2)),0))</f>
        <v/>
      </c>
      <c r="K313" s="41" t="str">
        <f aca="false">IF(J313="","",IFERROR(N(INDEX(Properties!$G$5:$G$24,MATCH(D313,Properties!$A$5:$A$24,0))),0))</f>
        <v/>
      </c>
      <c r="L313" s="41" t="str">
        <f aca="false">IF(J313="","",IFERROR(MAX(0,N(G313)-INDEX(Properties!$I$5:$I$24,MATCH(D313,Properties!$A$5:$A$24,0)))*N(INDEX(Properties!$J$5:$J$24,MATCH(D313,Properties!$A$5:$A$24,0)))*H313,0))</f>
        <v/>
      </c>
      <c r="M313" s="37"/>
      <c r="N313" s="41" t="str">
        <f aca="false">IF(J313="","",J313+K313+L313+N(M313))</f>
        <v/>
      </c>
      <c r="O313" s="41" t="str">
        <f aca="false">IF(N313="","",IF(P313&lt;&gt;"",N313-P313,ROUND(N313*IFERROR(INDEX(Settings!$E$5:$E$12,MATCH(F313,Settings!$D$5:$D$12,0)),0),2)))</f>
        <v/>
      </c>
      <c r="P313" s="37"/>
      <c r="Q313" s="41" t="str">
        <f aca="false">IF(N313="","",IF(P313&lt;&gt;"",P313,N313-O313))</f>
        <v/>
      </c>
      <c r="R313" s="41" t="str">
        <f aca="false">IF(J313="","",IFERROR(N(INDEX(Properties!$H$5:$H$24,MATCH(D313,Properties!$A$5:$A$24,0))),0))</f>
        <v/>
      </c>
      <c r="S313" s="41" t="str">
        <f aca="false">IF(Q313="","",Q313-R313)</f>
        <v/>
      </c>
      <c r="T313" s="6"/>
      <c r="U313" s="6"/>
      <c r="V313" s="6"/>
      <c r="W313" s="6"/>
      <c r="X313" s="6"/>
      <c r="Y313" s="8" t="str">
        <f aca="false">IF(OR(D313="",B313="",C313=""),"",IF(N(C313)&lt;=N(B313),"Check dates",IF(T313="Cancelled","",IF(COUNTIFS($D$5:$D$1004,D313,$B$5:$B$1004,"&lt;"&amp;C313,$C$5:$C$1004,"&gt;"&amp;B313,$T$5:$T$1004,"&lt;&gt;Cancelled")&gt;1,"Double-booked",""))))</f>
        <v/>
      </c>
      <c r="Z313" s="42" t="str">
        <f aca="false">IF(AND(AA313=1,ISNUMBER(C313)),C313+ROW()/100000,"")</f>
        <v/>
      </c>
      <c r="AA313" s="43" t="n">
        <f aca="false">IF(AND(D313&lt;&gt;"",ISNUMBER(B313),ISNUMBER(C313),N(H313)&gt;0,T313&lt;&gt;"Cancelled",J313&lt;&gt;""),1,0)</f>
        <v>0</v>
      </c>
      <c r="AB313" s="44" t="n">
        <f aca="false">IF(AA313=1,J313/H313,0)</f>
        <v>0</v>
      </c>
      <c r="AC313" s="44" t="n">
        <f aca="false">IF(AA313=1,Q313/H313,0)</f>
        <v>0</v>
      </c>
      <c r="AD313" s="44" t="n">
        <f aca="false">IF(AA313=1,R313/H313,0)</f>
        <v>0</v>
      </c>
      <c r="AE313" s="44" t="n">
        <f aca="false">IF(AA313=1,O313/H313,0)</f>
        <v>0</v>
      </c>
      <c r="AF313" s="44" t="n">
        <f aca="false">IF(AA313=1,K313/H313,0)</f>
        <v>0</v>
      </c>
      <c r="AG313" s="45" t="str">
        <f aca="false">IF(AA313=1,D313&amp;"|"&amp;TEXT(B313,"0"),"")</f>
        <v/>
      </c>
      <c r="AH313" s="43" t="n">
        <f aca="false">IF(AA313=1,H313,0)</f>
        <v>0</v>
      </c>
    </row>
    <row r="314" customFormat="false" ht="15" hidden="false" customHeight="false" outlineLevel="0" collapsed="false">
      <c r="A314" s="23" t="str">
        <f aca="false">IF(B314="","","B-"&amp;TEXT(ROW()-4,"0000"))</f>
        <v/>
      </c>
      <c r="B314" s="38"/>
      <c r="C314" s="38"/>
      <c r="D314" s="6"/>
      <c r="E314" s="6"/>
      <c r="F314" s="6"/>
      <c r="G314" s="11"/>
      <c r="H314" s="24" t="str">
        <f aca="false">IF(AND(ISNUMBER(B314),ISNUMBER(C314)),MAX(0,C314-B314),"")</f>
        <v/>
      </c>
      <c r="I314" s="37"/>
      <c r="J314" s="46" t="str">
        <f aca="false">IF(OR(D314="",N(H314)=0),"",IFERROR(IF(I314&lt;&gt;"",H314*I314,ROUND(((H314-(INT((WEEKDAY(B314-6)+H314-1)/7)+INT((WEEKDAY(B314-7)+H314-1)/7)))*INDEX(Properties!$E$5:$E$24,MATCH(D314,Properties!$A$5:$A$24,0))+(INT((WEEKDAY(B314-6)+H314-1)/7)+INT((WEEKDAY(B314-7)+H314-1)/7))*INDEX(Properties!$F$5:$F$24,MATCH(D314,Properties!$A$5:$A$24,0)))*(1-IF(H314&gt;=28,Settings!$B$10,IF(H314&gt;=7,Settings!$B$9,0))),2)),0))</f>
        <v/>
      </c>
      <c r="K314" s="46" t="str">
        <f aca="false">IF(J314="","",IFERROR(N(INDEX(Properties!$G$5:$G$24,MATCH(D314,Properties!$A$5:$A$24,0))),0))</f>
        <v/>
      </c>
      <c r="L314" s="46" t="str">
        <f aca="false">IF(J314="","",IFERROR(MAX(0,N(G314)-INDEX(Properties!$I$5:$I$24,MATCH(D314,Properties!$A$5:$A$24,0)))*N(INDEX(Properties!$J$5:$J$24,MATCH(D314,Properties!$A$5:$A$24,0)))*H314,0))</f>
        <v/>
      </c>
      <c r="M314" s="37"/>
      <c r="N314" s="46" t="str">
        <f aca="false">IF(J314="","",J314+K314+L314+N(M314))</f>
        <v/>
      </c>
      <c r="O314" s="46" t="str">
        <f aca="false">IF(N314="","",IF(P314&lt;&gt;"",N314-P314,ROUND(N314*IFERROR(INDEX(Settings!$E$5:$E$12,MATCH(F314,Settings!$D$5:$D$12,0)),0),2)))</f>
        <v/>
      </c>
      <c r="P314" s="37"/>
      <c r="Q314" s="46" t="str">
        <f aca="false">IF(N314="","",IF(P314&lt;&gt;"",P314,N314-O314))</f>
        <v/>
      </c>
      <c r="R314" s="46" t="str">
        <f aca="false">IF(J314="","",IFERROR(N(INDEX(Properties!$H$5:$H$24,MATCH(D314,Properties!$A$5:$A$24,0))),0))</f>
        <v/>
      </c>
      <c r="S314" s="46" t="str">
        <f aca="false">IF(Q314="","",Q314-R314)</f>
        <v/>
      </c>
      <c r="T314" s="6"/>
      <c r="U314" s="6"/>
      <c r="V314" s="6"/>
      <c r="W314" s="6"/>
      <c r="X314" s="6"/>
      <c r="Y314" s="8" t="str">
        <f aca="false">IF(OR(D314="",B314="",C314=""),"",IF(N(C314)&lt;=N(B314),"Check dates",IF(T314="Cancelled","",IF(COUNTIFS($D$5:$D$1004,D314,$B$5:$B$1004,"&lt;"&amp;C314,$C$5:$C$1004,"&gt;"&amp;B314,$T$5:$T$1004,"&lt;&gt;Cancelled")&gt;1,"Double-booked",""))))</f>
        <v/>
      </c>
      <c r="Z314" s="42" t="str">
        <f aca="false">IF(AND(AA314=1,ISNUMBER(C314)),C314+ROW()/100000,"")</f>
        <v/>
      </c>
      <c r="AA314" s="43" t="n">
        <f aca="false">IF(AND(D314&lt;&gt;"",ISNUMBER(B314),ISNUMBER(C314),N(H314)&gt;0,T314&lt;&gt;"Cancelled",J314&lt;&gt;""),1,0)</f>
        <v>0</v>
      </c>
      <c r="AB314" s="44" t="n">
        <f aca="false">IF(AA314=1,J314/H314,0)</f>
        <v>0</v>
      </c>
      <c r="AC314" s="44" t="n">
        <f aca="false">IF(AA314=1,Q314/H314,0)</f>
        <v>0</v>
      </c>
      <c r="AD314" s="44" t="n">
        <f aca="false">IF(AA314=1,R314/H314,0)</f>
        <v>0</v>
      </c>
      <c r="AE314" s="44" t="n">
        <f aca="false">IF(AA314=1,O314/H314,0)</f>
        <v>0</v>
      </c>
      <c r="AF314" s="44" t="n">
        <f aca="false">IF(AA314=1,K314/H314,0)</f>
        <v>0</v>
      </c>
      <c r="AG314" s="45" t="str">
        <f aca="false">IF(AA314=1,D314&amp;"|"&amp;TEXT(B314,"0"),"")</f>
        <v/>
      </c>
      <c r="AH314" s="43" t="n">
        <f aca="false">IF(AA314=1,H314,0)</f>
        <v>0</v>
      </c>
    </row>
    <row r="315" customFormat="false" ht="15" hidden="false" customHeight="false" outlineLevel="0" collapsed="false">
      <c r="A315" s="8" t="str">
        <f aca="false">IF(B315="","","B-"&amp;TEXT(ROW()-4,"0000"))</f>
        <v/>
      </c>
      <c r="B315" s="38"/>
      <c r="C315" s="38"/>
      <c r="D315" s="6"/>
      <c r="E315" s="6"/>
      <c r="F315" s="6"/>
      <c r="G315" s="11"/>
      <c r="H315" s="18" t="str">
        <f aca="false">IF(AND(ISNUMBER(B315),ISNUMBER(C315)),MAX(0,C315-B315),"")</f>
        <v/>
      </c>
      <c r="I315" s="37"/>
      <c r="J315" s="41" t="str">
        <f aca="false">IF(OR(D315="",N(H315)=0),"",IFERROR(IF(I315&lt;&gt;"",H315*I315,ROUND(((H315-(INT((WEEKDAY(B315-6)+H315-1)/7)+INT((WEEKDAY(B315-7)+H315-1)/7)))*INDEX(Properties!$E$5:$E$24,MATCH(D315,Properties!$A$5:$A$24,0))+(INT((WEEKDAY(B315-6)+H315-1)/7)+INT((WEEKDAY(B315-7)+H315-1)/7))*INDEX(Properties!$F$5:$F$24,MATCH(D315,Properties!$A$5:$A$24,0)))*(1-IF(H315&gt;=28,Settings!$B$10,IF(H315&gt;=7,Settings!$B$9,0))),2)),0))</f>
        <v/>
      </c>
      <c r="K315" s="41" t="str">
        <f aca="false">IF(J315="","",IFERROR(N(INDEX(Properties!$G$5:$G$24,MATCH(D315,Properties!$A$5:$A$24,0))),0))</f>
        <v/>
      </c>
      <c r="L315" s="41" t="str">
        <f aca="false">IF(J315="","",IFERROR(MAX(0,N(G315)-INDEX(Properties!$I$5:$I$24,MATCH(D315,Properties!$A$5:$A$24,0)))*N(INDEX(Properties!$J$5:$J$24,MATCH(D315,Properties!$A$5:$A$24,0)))*H315,0))</f>
        <v/>
      </c>
      <c r="M315" s="37"/>
      <c r="N315" s="41" t="str">
        <f aca="false">IF(J315="","",J315+K315+L315+N(M315))</f>
        <v/>
      </c>
      <c r="O315" s="41" t="str">
        <f aca="false">IF(N315="","",IF(P315&lt;&gt;"",N315-P315,ROUND(N315*IFERROR(INDEX(Settings!$E$5:$E$12,MATCH(F315,Settings!$D$5:$D$12,0)),0),2)))</f>
        <v/>
      </c>
      <c r="P315" s="37"/>
      <c r="Q315" s="41" t="str">
        <f aca="false">IF(N315="","",IF(P315&lt;&gt;"",P315,N315-O315))</f>
        <v/>
      </c>
      <c r="R315" s="41" t="str">
        <f aca="false">IF(J315="","",IFERROR(N(INDEX(Properties!$H$5:$H$24,MATCH(D315,Properties!$A$5:$A$24,0))),0))</f>
        <v/>
      </c>
      <c r="S315" s="41" t="str">
        <f aca="false">IF(Q315="","",Q315-R315)</f>
        <v/>
      </c>
      <c r="T315" s="6"/>
      <c r="U315" s="6"/>
      <c r="V315" s="6"/>
      <c r="W315" s="6"/>
      <c r="X315" s="6"/>
      <c r="Y315" s="8" t="str">
        <f aca="false">IF(OR(D315="",B315="",C315=""),"",IF(N(C315)&lt;=N(B315),"Check dates",IF(T315="Cancelled","",IF(COUNTIFS($D$5:$D$1004,D315,$B$5:$B$1004,"&lt;"&amp;C315,$C$5:$C$1004,"&gt;"&amp;B315,$T$5:$T$1004,"&lt;&gt;Cancelled")&gt;1,"Double-booked",""))))</f>
        <v/>
      </c>
      <c r="Z315" s="42" t="str">
        <f aca="false">IF(AND(AA315=1,ISNUMBER(C315)),C315+ROW()/100000,"")</f>
        <v/>
      </c>
      <c r="AA315" s="43" t="n">
        <f aca="false">IF(AND(D315&lt;&gt;"",ISNUMBER(B315),ISNUMBER(C315),N(H315)&gt;0,T315&lt;&gt;"Cancelled",J315&lt;&gt;""),1,0)</f>
        <v>0</v>
      </c>
      <c r="AB315" s="44" t="n">
        <f aca="false">IF(AA315=1,J315/H315,0)</f>
        <v>0</v>
      </c>
      <c r="AC315" s="44" t="n">
        <f aca="false">IF(AA315=1,Q315/H315,0)</f>
        <v>0</v>
      </c>
      <c r="AD315" s="44" t="n">
        <f aca="false">IF(AA315=1,R315/H315,0)</f>
        <v>0</v>
      </c>
      <c r="AE315" s="44" t="n">
        <f aca="false">IF(AA315=1,O315/H315,0)</f>
        <v>0</v>
      </c>
      <c r="AF315" s="44" t="n">
        <f aca="false">IF(AA315=1,K315/H315,0)</f>
        <v>0</v>
      </c>
      <c r="AG315" s="45" t="str">
        <f aca="false">IF(AA315=1,D315&amp;"|"&amp;TEXT(B315,"0"),"")</f>
        <v/>
      </c>
      <c r="AH315" s="43" t="n">
        <f aca="false">IF(AA315=1,H315,0)</f>
        <v>0</v>
      </c>
    </row>
    <row r="316" customFormat="false" ht="15" hidden="false" customHeight="false" outlineLevel="0" collapsed="false">
      <c r="A316" s="23" t="str">
        <f aca="false">IF(B316="","","B-"&amp;TEXT(ROW()-4,"0000"))</f>
        <v/>
      </c>
      <c r="B316" s="38"/>
      <c r="C316" s="38"/>
      <c r="D316" s="6"/>
      <c r="E316" s="6"/>
      <c r="F316" s="6"/>
      <c r="G316" s="11"/>
      <c r="H316" s="24" t="str">
        <f aca="false">IF(AND(ISNUMBER(B316),ISNUMBER(C316)),MAX(0,C316-B316),"")</f>
        <v/>
      </c>
      <c r="I316" s="37"/>
      <c r="J316" s="46" t="str">
        <f aca="false">IF(OR(D316="",N(H316)=0),"",IFERROR(IF(I316&lt;&gt;"",H316*I316,ROUND(((H316-(INT((WEEKDAY(B316-6)+H316-1)/7)+INT((WEEKDAY(B316-7)+H316-1)/7)))*INDEX(Properties!$E$5:$E$24,MATCH(D316,Properties!$A$5:$A$24,0))+(INT((WEEKDAY(B316-6)+H316-1)/7)+INT((WEEKDAY(B316-7)+H316-1)/7))*INDEX(Properties!$F$5:$F$24,MATCH(D316,Properties!$A$5:$A$24,0)))*(1-IF(H316&gt;=28,Settings!$B$10,IF(H316&gt;=7,Settings!$B$9,0))),2)),0))</f>
        <v/>
      </c>
      <c r="K316" s="46" t="str">
        <f aca="false">IF(J316="","",IFERROR(N(INDEX(Properties!$G$5:$G$24,MATCH(D316,Properties!$A$5:$A$24,0))),0))</f>
        <v/>
      </c>
      <c r="L316" s="46" t="str">
        <f aca="false">IF(J316="","",IFERROR(MAX(0,N(G316)-INDEX(Properties!$I$5:$I$24,MATCH(D316,Properties!$A$5:$A$24,0)))*N(INDEX(Properties!$J$5:$J$24,MATCH(D316,Properties!$A$5:$A$24,0)))*H316,0))</f>
        <v/>
      </c>
      <c r="M316" s="37"/>
      <c r="N316" s="46" t="str">
        <f aca="false">IF(J316="","",J316+K316+L316+N(M316))</f>
        <v/>
      </c>
      <c r="O316" s="46" t="str">
        <f aca="false">IF(N316="","",IF(P316&lt;&gt;"",N316-P316,ROUND(N316*IFERROR(INDEX(Settings!$E$5:$E$12,MATCH(F316,Settings!$D$5:$D$12,0)),0),2)))</f>
        <v/>
      </c>
      <c r="P316" s="37"/>
      <c r="Q316" s="46" t="str">
        <f aca="false">IF(N316="","",IF(P316&lt;&gt;"",P316,N316-O316))</f>
        <v/>
      </c>
      <c r="R316" s="46" t="str">
        <f aca="false">IF(J316="","",IFERROR(N(INDEX(Properties!$H$5:$H$24,MATCH(D316,Properties!$A$5:$A$24,0))),0))</f>
        <v/>
      </c>
      <c r="S316" s="46" t="str">
        <f aca="false">IF(Q316="","",Q316-R316)</f>
        <v/>
      </c>
      <c r="T316" s="6"/>
      <c r="U316" s="6"/>
      <c r="V316" s="6"/>
      <c r="W316" s="6"/>
      <c r="X316" s="6"/>
      <c r="Y316" s="8" t="str">
        <f aca="false">IF(OR(D316="",B316="",C316=""),"",IF(N(C316)&lt;=N(B316),"Check dates",IF(T316="Cancelled","",IF(COUNTIFS($D$5:$D$1004,D316,$B$5:$B$1004,"&lt;"&amp;C316,$C$5:$C$1004,"&gt;"&amp;B316,$T$5:$T$1004,"&lt;&gt;Cancelled")&gt;1,"Double-booked",""))))</f>
        <v/>
      </c>
      <c r="Z316" s="42" t="str">
        <f aca="false">IF(AND(AA316=1,ISNUMBER(C316)),C316+ROW()/100000,"")</f>
        <v/>
      </c>
      <c r="AA316" s="43" t="n">
        <f aca="false">IF(AND(D316&lt;&gt;"",ISNUMBER(B316),ISNUMBER(C316),N(H316)&gt;0,T316&lt;&gt;"Cancelled",J316&lt;&gt;""),1,0)</f>
        <v>0</v>
      </c>
      <c r="AB316" s="44" t="n">
        <f aca="false">IF(AA316=1,J316/H316,0)</f>
        <v>0</v>
      </c>
      <c r="AC316" s="44" t="n">
        <f aca="false">IF(AA316=1,Q316/H316,0)</f>
        <v>0</v>
      </c>
      <c r="AD316" s="44" t="n">
        <f aca="false">IF(AA316=1,R316/H316,0)</f>
        <v>0</v>
      </c>
      <c r="AE316" s="44" t="n">
        <f aca="false">IF(AA316=1,O316/H316,0)</f>
        <v>0</v>
      </c>
      <c r="AF316" s="44" t="n">
        <f aca="false">IF(AA316=1,K316/H316,0)</f>
        <v>0</v>
      </c>
      <c r="AG316" s="45" t="str">
        <f aca="false">IF(AA316=1,D316&amp;"|"&amp;TEXT(B316,"0"),"")</f>
        <v/>
      </c>
      <c r="AH316" s="43" t="n">
        <f aca="false">IF(AA316=1,H316,0)</f>
        <v>0</v>
      </c>
    </row>
    <row r="317" customFormat="false" ht="15" hidden="false" customHeight="false" outlineLevel="0" collapsed="false">
      <c r="A317" s="8" t="str">
        <f aca="false">IF(B317="","","B-"&amp;TEXT(ROW()-4,"0000"))</f>
        <v/>
      </c>
      <c r="B317" s="38"/>
      <c r="C317" s="38"/>
      <c r="D317" s="6"/>
      <c r="E317" s="6"/>
      <c r="F317" s="6"/>
      <c r="G317" s="11"/>
      <c r="H317" s="18" t="str">
        <f aca="false">IF(AND(ISNUMBER(B317),ISNUMBER(C317)),MAX(0,C317-B317),"")</f>
        <v/>
      </c>
      <c r="I317" s="37"/>
      <c r="J317" s="41" t="str">
        <f aca="false">IF(OR(D317="",N(H317)=0),"",IFERROR(IF(I317&lt;&gt;"",H317*I317,ROUND(((H317-(INT((WEEKDAY(B317-6)+H317-1)/7)+INT((WEEKDAY(B317-7)+H317-1)/7)))*INDEX(Properties!$E$5:$E$24,MATCH(D317,Properties!$A$5:$A$24,0))+(INT((WEEKDAY(B317-6)+H317-1)/7)+INT((WEEKDAY(B317-7)+H317-1)/7))*INDEX(Properties!$F$5:$F$24,MATCH(D317,Properties!$A$5:$A$24,0)))*(1-IF(H317&gt;=28,Settings!$B$10,IF(H317&gt;=7,Settings!$B$9,0))),2)),0))</f>
        <v/>
      </c>
      <c r="K317" s="41" t="str">
        <f aca="false">IF(J317="","",IFERROR(N(INDEX(Properties!$G$5:$G$24,MATCH(D317,Properties!$A$5:$A$24,0))),0))</f>
        <v/>
      </c>
      <c r="L317" s="41" t="str">
        <f aca="false">IF(J317="","",IFERROR(MAX(0,N(G317)-INDEX(Properties!$I$5:$I$24,MATCH(D317,Properties!$A$5:$A$24,0)))*N(INDEX(Properties!$J$5:$J$24,MATCH(D317,Properties!$A$5:$A$24,0)))*H317,0))</f>
        <v/>
      </c>
      <c r="M317" s="37"/>
      <c r="N317" s="41" t="str">
        <f aca="false">IF(J317="","",J317+K317+L317+N(M317))</f>
        <v/>
      </c>
      <c r="O317" s="41" t="str">
        <f aca="false">IF(N317="","",IF(P317&lt;&gt;"",N317-P317,ROUND(N317*IFERROR(INDEX(Settings!$E$5:$E$12,MATCH(F317,Settings!$D$5:$D$12,0)),0),2)))</f>
        <v/>
      </c>
      <c r="P317" s="37"/>
      <c r="Q317" s="41" t="str">
        <f aca="false">IF(N317="","",IF(P317&lt;&gt;"",P317,N317-O317))</f>
        <v/>
      </c>
      <c r="R317" s="41" t="str">
        <f aca="false">IF(J317="","",IFERROR(N(INDEX(Properties!$H$5:$H$24,MATCH(D317,Properties!$A$5:$A$24,0))),0))</f>
        <v/>
      </c>
      <c r="S317" s="41" t="str">
        <f aca="false">IF(Q317="","",Q317-R317)</f>
        <v/>
      </c>
      <c r="T317" s="6"/>
      <c r="U317" s="6"/>
      <c r="V317" s="6"/>
      <c r="W317" s="6"/>
      <c r="X317" s="6"/>
      <c r="Y317" s="8" t="str">
        <f aca="false">IF(OR(D317="",B317="",C317=""),"",IF(N(C317)&lt;=N(B317),"Check dates",IF(T317="Cancelled","",IF(COUNTIFS($D$5:$D$1004,D317,$B$5:$B$1004,"&lt;"&amp;C317,$C$5:$C$1004,"&gt;"&amp;B317,$T$5:$T$1004,"&lt;&gt;Cancelled")&gt;1,"Double-booked",""))))</f>
        <v/>
      </c>
      <c r="Z317" s="42" t="str">
        <f aca="false">IF(AND(AA317=1,ISNUMBER(C317)),C317+ROW()/100000,"")</f>
        <v/>
      </c>
      <c r="AA317" s="43" t="n">
        <f aca="false">IF(AND(D317&lt;&gt;"",ISNUMBER(B317),ISNUMBER(C317),N(H317)&gt;0,T317&lt;&gt;"Cancelled",J317&lt;&gt;""),1,0)</f>
        <v>0</v>
      </c>
      <c r="AB317" s="44" t="n">
        <f aca="false">IF(AA317=1,J317/H317,0)</f>
        <v>0</v>
      </c>
      <c r="AC317" s="44" t="n">
        <f aca="false">IF(AA317=1,Q317/H317,0)</f>
        <v>0</v>
      </c>
      <c r="AD317" s="44" t="n">
        <f aca="false">IF(AA317=1,R317/H317,0)</f>
        <v>0</v>
      </c>
      <c r="AE317" s="44" t="n">
        <f aca="false">IF(AA317=1,O317/H317,0)</f>
        <v>0</v>
      </c>
      <c r="AF317" s="44" t="n">
        <f aca="false">IF(AA317=1,K317/H317,0)</f>
        <v>0</v>
      </c>
      <c r="AG317" s="45" t="str">
        <f aca="false">IF(AA317=1,D317&amp;"|"&amp;TEXT(B317,"0"),"")</f>
        <v/>
      </c>
      <c r="AH317" s="43" t="n">
        <f aca="false">IF(AA317=1,H317,0)</f>
        <v>0</v>
      </c>
    </row>
    <row r="318" customFormat="false" ht="15" hidden="false" customHeight="false" outlineLevel="0" collapsed="false">
      <c r="A318" s="23" t="str">
        <f aca="false">IF(B318="","","B-"&amp;TEXT(ROW()-4,"0000"))</f>
        <v/>
      </c>
      <c r="B318" s="38"/>
      <c r="C318" s="38"/>
      <c r="D318" s="6"/>
      <c r="E318" s="6"/>
      <c r="F318" s="6"/>
      <c r="G318" s="11"/>
      <c r="H318" s="24" t="str">
        <f aca="false">IF(AND(ISNUMBER(B318),ISNUMBER(C318)),MAX(0,C318-B318),"")</f>
        <v/>
      </c>
      <c r="I318" s="37"/>
      <c r="J318" s="46" t="str">
        <f aca="false">IF(OR(D318="",N(H318)=0),"",IFERROR(IF(I318&lt;&gt;"",H318*I318,ROUND(((H318-(INT((WEEKDAY(B318-6)+H318-1)/7)+INT((WEEKDAY(B318-7)+H318-1)/7)))*INDEX(Properties!$E$5:$E$24,MATCH(D318,Properties!$A$5:$A$24,0))+(INT((WEEKDAY(B318-6)+H318-1)/7)+INT((WEEKDAY(B318-7)+H318-1)/7))*INDEX(Properties!$F$5:$F$24,MATCH(D318,Properties!$A$5:$A$24,0)))*(1-IF(H318&gt;=28,Settings!$B$10,IF(H318&gt;=7,Settings!$B$9,0))),2)),0))</f>
        <v/>
      </c>
      <c r="K318" s="46" t="str">
        <f aca="false">IF(J318="","",IFERROR(N(INDEX(Properties!$G$5:$G$24,MATCH(D318,Properties!$A$5:$A$24,0))),0))</f>
        <v/>
      </c>
      <c r="L318" s="46" t="str">
        <f aca="false">IF(J318="","",IFERROR(MAX(0,N(G318)-INDEX(Properties!$I$5:$I$24,MATCH(D318,Properties!$A$5:$A$24,0)))*N(INDEX(Properties!$J$5:$J$24,MATCH(D318,Properties!$A$5:$A$24,0)))*H318,0))</f>
        <v/>
      </c>
      <c r="M318" s="37"/>
      <c r="N318" s="46" t="str">
        <f aca="false">IF(J318="","",J318+K318+L318+N(M318))</f>
        <v/>
      </c>
      <c r="O318" s="46" t="str">
        <f aca="false">IF(N318="","",IF(P318&lt;&gt;"",N318-P318,ROUND(N318*IFERROR(INDEX(Settings!$E$5:$E$12,MATCH(F318,Settings!$D$5:$D$12,0)),0),2)))</f>
        <v/>
      </c>
      <c r="P318" s="37"/>
      <c r="Q318" s="46" t="str">
        <f aca="false">IF(N318="","",IF(P318&lt;&gt;"",P318,N318-O318))</f>
        <v/>
      </c>
      <c r="R318" s="46" t="str">
        <f aca="false">IF(J318="","",IFERROR(N(INDEX(Properties!$H$5:$H$24,MATCH(D318,Properties!$A$5:$A$24,0))),0))</f>
        <v/>
      </c>
      <c r="S318" s="46" t="str">
        <f aca="false">IF(Q318="","",Q318-R318)</f>
        <v/>
      </c>
      <c r="T318" s="6"/>
      <c r="U318" s="6"/>
      <c r="V318" s="6"/>
      <c r="W318" s="6"/>
      <c r="X318" s="6"/>
      <c r="Y318" s="8" t="str">
        <f aca="false">IF(OR(D318="",B318="",C318=""),"",IF(N(C318)&lt;=N(B318),"Check dates",IF(T318="Cancelled","",IF(COUNTIFS($D$5:$D$1004,D318,$B$5:$B$1004,"&lt;"&amp;C318,$C$5:$C$1004,"&gt;"&amp;B318,$T$5:$T$1004,"&lt;&gt;Cancelled")&gt;1,"Double-booked",""))))</f>
        <v/>
      </c>
      <c r="Z318" s="42" t="str">
        <f aca="false">IF(AND(AA318=1,ISNUMBER(C318)),C318+ROW()/100000,"")</f>
        <v/>
      </c>
      <c r="AA318" s="43" t="n">
        <f aca="false">IF(AND(D318&lt;&gt;"",ISNUMBER(B318),ISNUMBER(C318),N(H318)&gt;0,T318&lt;&gt;"Cancelled",J318&lt;&gt;""),1,0)</f>
        <v>0</v>
      </c>
      <c r="AB318" s="44" t="n">
        <f aca="false">IF(AA318=1,J318/H318,0)</f>
        <v>0</v>
      </c>
      <c r="AC318" s="44" t="n">
        <f aca="false">IF(AA318=1,Q318/H318,0)</f>
        <v>0</v>
      </c>
      <c r="AD318" s="44" t="n">
        <f aca="false">IF(AA318=1,R318/H318,0)</f>
        <v>0</v>
      </c>
      <c r="AE318" s="44" t="n">
        <f aca="false">IF(AA318=1,O318/H318,0)</f>
        <v>0</v>
      </c>
      <c r="AF318" s="44" t="n">
        <f aca="false">IF(AA318=1,K318/H318,0)</f>
        <v>0</v>
      </c>
      <c r="AG318" s="45" t="str">
        <f aca="false">IF(AA318=1,D318&amp;"|"&amp;TEXT(B318,"0"),"")</f>
        <v/>
      </c>
      <c r="AH318" s="43" t="n">
        <f aca="false">IF(AA318=1,H318,0)</f>
        <v>0</v>
      </c>
    </row>
    <row r="319" customFormat="false" ht="15" hidden="false" customHeight="false" outlineLevel="0" collapsed="false">
      <c r="A319" s="8" t="str">
        <f aca="false">IF(B319="","","B-"&amp;TEXT(ROW()-4,"0000"))</f>
        <v/>
      </c>
      <c r="B319" s="38"/>
      <c r="C319" s="38"/>
      <c r="D319" s="6"/>
      <c r="E319" s="6"/>
      <c r="F319" s="6"/>
      <c r="G319" s="11"/>
      <c r="H319" s="18" t="str">
        <f aca="false">IF(AND(ISNUMBER(B319),ISNUMBER(C319)),MAX(0,C319-B319),"")</f>
        <v/>
      </c>
      <c r="I319" s="37"/>
      <c r="J319" s="41" t="str">
        <f aca="false">IF(OR(D319="",N(H319)=0),"",IFERROR(IF(I319&lt;&gt;"",H319*I319,ROUND(((H319-(INT((WEEKDAY(B319-6)+H319-1)/7)+INT((WEEKDAY(B319-7)+H319-1)/7)))*INDEX(Properties!$E$5:$E$24,MATCH(D319,Properties!$A$5:$A$24,0))+(INT((WEEKDAY(B319-6)+H319-1)/7)+INT((WEEKDAY(B319-7)+H319-1)/7))*INDEX(Properties!$F$5:$F$24,MATCH(D319,Properties!$A$5:$A$24,0)))*(1-IF(H319&gt;=28,Settings!$B$10,IF(H319&gt;=7,Settings!$B$9,0))),2)),0))</f>
        <v/>
      </c>
      <c r="K319" s="41" t="str">
        <f aca="false">IF(J319="","",IFERROR(N(INDEX(Properties!$G$5:$G$24,MATCH(D319,Properties!$A$5:$A$24,0))),0))</f>
        <v/>
      </c>
      <c r="L319" s="41" t="str">
        <f aca="false">IF(J319="","",IFERROR(MAX(0,N(G319)-INDEX(Properties!$I$5:$I$24,MATCH(D319,Properties!$A$5:$A$24,0)))*N(INDEX(Properties!$J$5:$J$24,MATCH(D319,Properties!$A$5:$A$24,0)))*H319,0))</f>
        <v/>
      </c>
      <c r="M319" s="37"/>
      <c r="N319" s="41" t="str">
        <f aca="false">IF(J319="","",J319+K319+L319+N(M319))</f>
        <v/>
      </c>
      <c r="O319" s="41" t="str">
        <f aca="false">IF(N319="","",IF(P319&lt;&gt;"",N319-P319,ROUND(N319*IFERROR(INDEX(Settings!$E$5:$E$12,MATCH(F319,Settings!$D$5:$D$12,0)),0),2)))</f>
        <v/>
      </c>
      <c r="P319" s="37"/>
      <c r="Q319" s="41" t="str">
        <f aca="false">IF(N319="","",IF(P319&lt;&gt;"",P319,N319-O319))</f>
        <v/>
      </c>
      <c r="R319" s="41" t="str">
        <f aca="false">IF(J319="","",IFERROR(N(INDEX(Properties!$H$5:$H$24,MATCH(D319,Properties!$A$5:$A$24,0))),0))</f>
        <v/>
      </c>
      <c r="S319" s="41" t="str">
        <f aca="false">IF(Q319="","",Q319-R319)</f>
        <v/>
      </c>
      <c r="T319" s="6"/>
      <c r="U319" s="6"/>
      <c r="V319" s="6"/>
      <c r="W319" s="6"/>
      <c r="X319" s="6"/>
      <c r="Y319" s="8" t="str">
        <f aca="false">IF(OR(D319="",B319="",C319=""),"",IF(N(C319)&lt;=N(B319),"Check dates",IF(T319="Cancelled","",IF(COUNTIFS($D$5:$D$1004,D319,$B$5:$B$1004,"&lt;"&amp;C319,$C$5:$C$1004,"&gt;"&amp;B319,$T$5:$T$1004,"&lt;&gt;Cancelled")&gt;1,"Double-booked",""))))</f>
        <v/>
      </c>
      <c r="Z319" s="42" t="str">
        <f aca="false">IF(AND(AA319=1,ISNUMBER(C319)),C319+ROW()/100000,"")</f>
        <v/>
      </c>
      <c r="AA319" s="43" t="n">
        <f aca="false">IF(AND(D319&lt;&gt;"",ISNUMBER(B319),ISNUMBER(C319),N(H319)&gt;0,T319&lt;&gt;"Cancelled",J319&lt;&gt;""),1,0)</f>
        <v>0</v>
      </c>
      <c r="AB319" s="44" t="n">
        <f aca="false">IF(AA319=1,J319/H319,0)</f>
        <v>0</v>
      </c>
      <c r="AC319" s="44" t="n">
        <f aca="false">IF(AA319=1,Q319/H319,0)</f>
        <v>0</v>
      </c>
      <c r="AD319" s="44" t="n">
        <f aca="false">IF(AA319=1,R319/H319,0)</f>
        <v>0</v>
      </c>
      <c r="AE319" s="44" t="n">
        <f aca="false">IF(AA319=1,O319/H319,0)</f>
        <v>0</v>
      </c>
      <c r="AF319" s="44" t="n">
        <f aca="false">IF(AA319=1,K319/H319,0)</f>
        <v>0</v>
      </c>
      <c r="AG319" s="45" t="str">
        <f aca="false">IF(AA319=1,D319&amp;"|"&amp;TEXT(B319,"0"),"")</f>
        <v/>
      </c>
      <c r="AH319" s="43" t="n">
        <f aca="false">IF(AA319=1,H319,0)</f>
        <v>0</v>
      </c>
    </row>
    <row r="320" customFormat="false" ht="15" hidden="false" customHeight="false" outlineLevel="0" collapsed="false">
      <c r="A320" s="23" t="str">
        <f aca="false">IF(B320="","","B-"&amp;TEXT(ROW()-4,"0000"))</f>
        <v/>
      </c>
      <c r="B320" s="38"/>
      <c r="C320" s="38"/>
      <c r="D320" s="6"/>
      <c r="E320" s="6"/>
      <c r="F320" s="6"/>
      <c r="G320" s="11"/>
      <c r="H320" s="24" t="str">
        <f aca="false">IF(AND(ISNUMBER(B320),ISNUMBER(C320)),MAX(0,C320-B320),"")</f>
        <v/>
      </c>
      <c r="I320" s="37"/>
      <c r="J320" s="46" t="str">
        <f aca="false">IF(OR(D320="",N(H320)=0),"",IFERROR(IF(I320&lt;&gt;"",H320*I320,ROUND(((H320-(INT((WEEKDAY(B320-6)+H320-1)/7)+INT((WEEKDAY(B320-7)+H320-1)/7)))*INDEX(Properties!$E$5:$E$24,MATCH(D320,Properties!$A$5:$A$24,0))+(INT((WEEKDAY(B320-6)+H320-1)/7)+INT((WEEKDAY(B320-7)+H320-1)/7))*INDEX(Properties!$F$5:$F$24,MATCH(D320,Properties!$A$5:$A$24,0)))*(1-IF(H320&gt;=28,Settings!$B$10,IF(H320&gt;=7,Settings!$B$9,0))),2)),0))</f>
        <v/>
      </c>
      <c r="K320" s="46" t="str">
        <f aca="false">IF(J320="","",IFERROR(N(INDEX(Properties!$G$5:$G$24,MATCH(D320,Properties!$A$5:$A$24,0))),0))</f>
        <v/>
      </c>
      <c r="L320" s="46" t="str">
        <f aca="false">IF(J320="","",IFERROR(MAX(0,N(G320)-INDEX(Properties!$I$5:$I$24,MATCH(D320,Properties!$A$5:$A$24,0)))*N(INDEX(Properties!$J$5:$J$24,MATCH(D320,Properties!$A$5:$A$24,0)))*H320,0))</f>
        <v/>
      </c>
      <c r="M320" s="37"/>
      <c r="N320" s="46" t="str">
        <f aca="false">IF(J320="","",J320+K320+L320+N(M320))</f>
        <v/>
      </c>
      <c r="O320" s="46" t="str">
        <f aca="false">IF(N320="","",IF(P320&lt;&gt;"",N320-P320,ROUND(N320*IFERROR(INDEX(Settings!$E$5:$E$12,MATCH(F320,Settings!$D$5:$D$12,0)),0),2)))</f>
        <v/>
      </c>
      <c r="P320" s="37"/>
      <c r="Q320" s="46" t="str">
        <f aca="false">IF(N320="","",IF(P320&lt;&gt;"",P320,N320-O320))</f>
        <v/>
      </c>
      <c r="R320" s="46" t="str">
        <f aca="false">IF(J320="","",IFERROR(N(INDEX(Properties!$H$5:$H$24,MATCH(D320,Properties!$A$5:$A$24,0))),0))</f>
        <v/>
      </c>
      <c r="S320" s="46" t="str">
        <f aca="false">IF(Q320="","",Q320-R320)</f>
        <v/>
      </c>
      <c r="T320" s="6"/>
      <c r="U320" s="6"/>
      <c r="V320" s="6"/>
      <c r="W320" s="6"/>
      <c r="X320" s="6"/>
      <c r="Y320" s="8" t="str">
        <f aca="false">IF(OR(D320="",B320="",C320=""),"",IF(N(C320)&lt;=N(B320),"Check dates",IF(T320="Cancelled","",IF(COUNTIFS($D$5:$D$1004,D320,$B$5:$B$1004,"&lt;"&amp;C320,$C$5:$C$1004,"&gt;"&amp;B320,$T$5:$T$1004,"&lt;&gt;Cancelled")&gt;1,"Double-booked",""))))</f>
        <v/>
      </c>
      <c r="Z320" s="42" t="str">
        <f aca="false">IF(AND(AA320=1,ISNUMBER(C320)),C320+ROW()/100000,"")</f>
        <v/>
      </c>
      <c r="AA320" s="43" t="n">
        <f aca="false">IF(AND(D320&lt;&gt;"",ISNUMBER(B320),ISNUMBER(C320),N(H320)&gt;0,T320&lt;&gt;"Cancelled",J320&lt;&gt;""),1,0)</f>
        <v>0</v>
      </c>
      <c r="AB320" s="44" t="n">
        <f aca="false">IF(AA320=1,J320/H320,0)</f>
        <v>0</v>
      </c>
      <c r="AC320" s="44" t="n">
        <f aca="false">IF(AA320=1,Q320/H320,0)</f>
        <v>0</v>
      </c>
      <c r="AD320" s="44" t="n">
        <f aca="false">IF(AA320=1,R320/H320,0)</f>
        <v>0</v>
      </c>
      <c r="AE320" s="44" t="n">
        <f aca="false">IF(AA320=1,O320/H320,0)</f>
        <v>0</v>
      </c>
      <c r="AF320" s="44" t="n">
        <f aca="false">IF(AA320=1,K320/H320,0)</f>
        <v>0</v>
      </c>
      <c r="AG320" s="45" t="str">
        <f aca="false">IF(AA320=1,D320&amp;"|"&amp;TEXT(B320,"0"),"")</f>
        <v/>
      </c>
      <c r="AH320" s="43" t="n">
        <f aca="false">IF(AA320=1,H320,0)</f>
        <v>0</v>
      </c>
    </row>
    <row r="321" customFormat="false" ht="15" hidden="false" customHeight="false" outlineLevel="0" collapsed="false">
      <c r="A321" s="8" t="str">
        <f aca="false">IF(B321="","","B-"&amp;TEXT(ROW()-4,"0000"))</f>
        <v/>
      </c>
      <c r="B321" s="38"/>
      <c r="C321" s="38"/>
      <c r="D321" s="6"/>
      <c r="E321" s="6"/>
      <c r="F321" s="6"/>
      <c r="G321" s="11"/>
      <c r="H321" s="18" t="str">
        <f aca="false">IF(AND(ISNUMBER(B321),ISNUMBER(C321)),MAX(0,C321-B321),"")</f>
        <v/>
      </c>
      <c r="I321" s="37"/>
      <c r="J321" s="41" t="str">
        <f aca="false">IF(OR(D321="",N(H321)=0),"",IFERROR(IF(I321&lt;&gt;"",H321*I321,ROUND(((H321-(INT((WEEKDAY(B321-6)+H321-1)/7)+INT((WEEKDAY(B321-7)+H321-1)/7)))*INDEX(Properties!$E$5:$E$24,MATCH(D321,Properties!$A$5:$A$24,0))+(INT((WEEKDAY(B321-6)+H321-1)/7)+INT((WEEKDAY(B321-7)+H321-1)/7))*INDEX(Properties!$F$5:$F$24,MATCH(D321,Properties!$A$5:$A$24,0)))*(1-IF(H321&gt;=28,Settings!$B$10,IF(H321&gt;=7,Settings!$B$9,0))),2)),0))</f>
        <v/>
      </c>
      <c r="K321" s="41" t="str">
        <f aca="false">IF(J321="","",IFERROR(N(INDEX(Properties!$G$5:$G$24,MATCH(D321,Properties!$A$5:$A$24,0))),0))</f>
        <v/>
      </c>
      <c r="L321" s="41" t="str">
        <f aca="false">IF(J321="","",IFERROR(MAX(0,N(G321)-INDEX(Properties!$I$5:$I$24,MATCH(D321,Properties!$A$5:$A$24,0)))*N(INDEX(Properties!$J$5:$J$24,MATCH(D321,Properties!$A$5:$A$24,0)))*H321,0))</f>
        <v/>
      </c>
      <c r="M321" s="37"/>
      <c r="N321" s="41" t="str">
        <f aca="false">IF(J321="","",J321+K321+L321+N(M321))</f>
        <v/>
      </c>
      <c r="O321" s="41" t="str">
        <f aca="false">IF(N321="","",IF(P321&lt;&gt;"",N321-P321,ROUND(N321*IFERROR(INDEX(Settings!$E$5:$E$12,MATCH(F321,Settings!$D$5:$D$12,0)),0),2)))</f>
        <v/>
      </c>
      <c r="P321" s="37"/>
      <c r="Q321" s="41" t="str">
        <f aca="false">IF(N321="","",IF(P321&lt;&gt;"",P321,N321-O321))</f>
        <v/>
      </c>
      <c r="R321" s="41" t="str">
        <f aca="false">IF(J321="","",IFERROR(N(INDEX(Properties!$H$5:$H$24,MATCH(D321,Properties!$A$5:$A$24,0))),0))</f>
        <v/>
      </c>
      <c r="S321" s="41" t="str">
        <f aca="false">IF(Q321="","",Q321-R321)</f>
        <v/>
      </c>
      <c r="T321" s="6"/>
      <c r="U321" s="6"/>
      <c r="V321" s="6"/>
      <c r="W321" s="6"/>
      <c r="X321" s="6"/>
      <c r="Y321" s="8" t="str">
        <f aca="false">IF(OR(D321="",B321="",C321=""),"",IF(N(C321)&lt;=N(B321),"Check dates",IF(T321="Cancelled","",IF(COUNTIFS($D$5:$D$1004,D321,$B$5:$B$1004,"&lt;"&amp;C321,$C$5:$C$1004,"&gt;"&amp;B321,$T$5:$T$1004,"&lt;&gt;Cancelled")&gt;1,"Double-booked",""))))</f>
        <v/>
      </c>
      <c r="Z321" s="42" t="str">
        <f aca="false">IF(AND(AA321=1,ISNUMBER(C321)),C321+ROW()/100000,"")</f>
        <v/>
      </c>
      <c r="AA321" s="43" t="n">
        <f aca="false">IF(AND(D321&lt;&gt;"",ISNUMBER(B321),ISNUMBER(C321),N(H321)&gt;0,T321&lt;&gt;"Cancelled",J321&lt;&gt;""),1,0)</f>
        <v>0</v>
      </c>
      <c r="AB321" s="44" t="n">
        <f aca="false">IF(AA321=1,J321/H321,0)</f>
        <v>0</v>
      </c>
      <c r="AC321" s="44" t="n">
        <f aca="false">IF(AA321=1,Q321/H321,0)</f>
        <v>0</v>
      </c>
      <c r="AD321" s="44" t="n">
        <f aca="false">IF(AA321=1,R321/H321,0)</f>
        <v>0</v>
      </c>
      <c r="AE321" s="44" t="n">
        <f aca="false">IF(AA321=1,O321/H321,0)</f>
        <v>0</v>
      </c>
      <c r="AF321" s="44" t="n">
        <f aca="false">IF(AA321=1,K321/H321,0)</f>
        <v>0</v>
      </c>
      <c r="AG321" s="45" t="str">
        <f aca="false">IF(AA321=1,D321&amp;"|"&amp;TEXT(B321,"0"),"")</f>
        <v/>
      </c>
      <c r="AH321" s="43" t="n">
        <f aca="false">IF(AA321=1,H321,0)</f>
        <v>0</v>
      </c>
    </row>
    <row r="322" customFormat="false" ht="15" hidden="false" customHeight="false" outlineLevel="0" collapsed="false">
      <c r="A322" s="23" t="str">
        <f aca="false">IF(B322="","","B-"&amp;TEXT(ROW()-4,"0000"))</f>
        <v/>
      </c>
      <c r="B322" s="38"/>
      <c r="C322" s="38"/>
      <c r="D322" s="6"/>
      <c r="E322" s="6"/>
      <c r="F322" s="6"/>
      <c r="G322" s="11"/>
      <c r="H322" s="24" t="str">
        <f aca="false">IF(AND(ISNUMBER(B322),ISNUMBER(C322)),MAX(0,C322-B322),"")</f>
        <v/>
      </c>
      <c r="I322" s="37"/>
      <c r="J322" s="46" t="str">
        <f aca="false">IF(OR(D322="",N(H322)=0),"",IFERROR(IF(I322&lt;&gt;"",H322*I322,ROUND(((H322-(INT((WEEKDAY(B322-6)+H322-1)/7)+INT((WEEKDAY(B322-7)+H322-1)/7)))*INDEX(Properties!$E$5:$E$24,MATCH(D322,Properties!$A$5:$A$24,0))+(INT((WEEKDAY(B322-6)+H322-1)/7)+INT((WEEKDAY(B322-7)+H322-1)/7))*INDEX(Properties!$F$5:$F$24,MATCH(D322,Properties!$A$5:$A$24,0)))*(1-IF(H322&gt;=28,Settings!$B$10,IF(H322&gt;=7,Settings!$B$9,0))),2)),0))</f>
        <v/>
      </c>
      <c r="K322" s="46" t="str">
        <f aca="false">IF(J322="","",IFERROR(N(INDEX(Properties!$G$5:$G$24,MATCH(D322,Properties!$A$5:$A$24,0))),0))</f>
        <v/>
      </c>
      <c r="L322" s="46" t="str">
        <f aca="false">IF(J322="","",IFERROR(MAX(0,N(G322)-INDEX(Properties!$I$5:$I$24,MATCH(D322,Properties!$A$5:$A$24,0)))*N(INDEX(Properties!$J$5:$J$24,MATCH(D322,Properties!$A$5:$A$24,0)))*H322,0))</f>
        <v/>
      </c>
      <c r="M322" s="37"/>
      <c r="N322" s="46" t="str">
        <f aca="false">IF(J322="","",J322+K322+L322+N(M322))</f>
        <v/>
      </c>
      <c r="O322" s="46" t="str">
        <f aca="false">IF(N322="","",IF(P322&lt;&gt;"",N322-P322,ROUND(N322*IFERROR(INDEX(Settings!$E$5:$E$12,MATCH(F322,Settings!$D$5:$D$12,0)),0),2)))</f>
        <v/>
      </c>
      <c r="P322" s="37"/>
      <c r="Q322" s="46" t="str">
        <f aca="false">IF(N322="","",IF(P322&lt;&gt;"",P322,N322-O322))</f>
        <v/>
      </c>
      <c r="R322" s="46" t="str">
        <f aca="false">IF(J322="","",IFERROR(N(INDEX(Properties!$H$5:$H$24,MATCH(D322,Properties!$A$5:$A$24,0))),0))</f>
        <v/>
      </c>
      <c r="S322" s="46" t="str">
        <f aca="false">IF(Q322="","",Q322-R322)</f>
        <v/>
      </c>
      <c r="T322" s="6"/>
      <c r="U322" s="6"/>
      <c r="V322" s="6"/>
      <c r="W322" s="6"/>
      <c r="X322" s="6"/>
      <c r="Y322" s="8" t="str">
        <f aca="false">IF(OR(D322="",B322="",C322=""),"",IF(N(C322)&lt;=N(B322),"Check dates",IF(T322="Cancelled","",IF(COUNTIFS($D$5:$D$1004,D322,$B$5:$B$1004,"&lt;"&amp;C322,$C$5:$C$1004,"&gt;"&amp;B322,$T$5:$T$1004,"&lt;&gt;Cancelled")&gt;1,"Double-booked",""))))</f>
        <v/>
      </c>
      <c r="Z322" s="42" t="str">
        <f aca="false">IF(AND(AA322=1,ISNUMBER(C322)),C322+ROW()/100000,"")</f>
        <v/>
      </c>
      <c r="AA322" s="43" t="n">
        <f aca="false">IF(AND(D322&lt;&gt;"",ISNUMBER(B322),ISNUMBER(C322),N(H322)&gt;0,T322&lt;&gt;"Cancelled",J322&lt;&gt;""),1,0)</f>
        <v>0</v>
      </c>
      <c r="AB322" s="44" t="n">
        <f aca="false">IF(AA322=1,J322/H322,0)</f>
        <v>0</v>
      </c>
      <c r="AC322" s="44" t="n">
        <f aca="false">IF(AA322=1,Q322/H322,0)</f>
        <v>0</v>
      </c>
      <c r="AD322" s="44" t="n">
        <f aca="false">IF(AA322=1,R322/H322,0)</f>
        <v>0</v>
      </c>
      <c r="AE322" s="44" t="n">
        <f aca="false">IF(AA322=1,O322/H322,0)</f>
        <v>0</v>
      </c>
      <c r="AF322" s="44" t="n">
        <f aca="false">IF(AA322=1,K322/H322,0)</f>
        <v>0</v>
      </c>
      <c r="AG322" s="45" t="str">
        <f aca="false">IF(AA322=1,D322&amp;"|"&amp;TEXT(B322,"0"),"")</f>
        <v/>
      </c>
      <c r="AH322" s="43" t="n">
        <f aca="false">IF(AA322=1,H322,0)</f>
        <v>0</v>
      </c>
    </row>
    <row r="323" customFormat="false" ht="15" hidden="false" customHeight="false" outlineLevel="0" collapsed="false">
      <c r="A323" s="8" t="str">
        <f aca="false">IF(B323="","","B-"&amp;TEXT(ROW()-4,"0000"))</f>
        <v/>
      </c>
      <c r="B323" s="38"/>
      <c r="C323" s="38"/>
      <c r="D323" s="6"/>
      <c r="E323" s="6"/>
      <c r="F323" s="6"/>
      <c r="G323" s="11"/>
      <c r="H323" s="18" t="str">
        <f aca="false">IF(AND(ISNUMBER(B323),ISNUMBER(C323)),MAX(0,C323-B323),"")</f>
        <v/>
      </c>
      <c r="I323" s="37"/>
      <c r="J323" s="41" t="str">
        <f aca="false">IF(OR(D323="",N(H323)=0),"",IFERROR(IF(I323&lt;&gt;"",H323*I323,ROUND(((H323-(INT((WEEKDAY(B323-6)+H323-1)/7)+INT((WEEKDAY(B323-7)+H323-1)/7)))*INDEX(Properties!$E$5:$E$24,MATCH(D323,Properties!$A$5:$A$24,0))+(INT((WEEKDAY(B323-6)+H323-1)/7)+INT((WEEKDAY(B323-7)+H323-1)/7))*INDEX(Properties!$F$5:$F$24,MATCH(D323,Properties!$A$5:$A$24,0)))*(1-IF(H323&gt;=28,Settings!$B$10,IF(H323&gt;=7,Settings!$B$9,0))),2)),0))</f>
        <v/>
      </c>
      <c r="K323" s="41" t="str">
        <f aca="false">IF(J323="","",IFERROR(N(INDEX(Properties!$G$5:$G$24,MATCH(D323,Properties!$A$5:$A$24,0))),0))</f>
        <v/>
      </c>
      <c r="L323" s="41" t="str">
        <f aca="false">IF(J323="","",IFERROR(MAX(0,N(G323)-INDEX(Properties!$I$5:$I$24,MATCH(D323,Properties!$A$5:$A$24,0)))*N(INDEX(Properties!$J$5:$J$24,MATCH(D323,Properties!$A$5:$A$24,0)))*H323,0))</f>
        <v/>
      </c>
      <c r="M323" s="37"/>
      <c r="N323" s="41" t="str">
        <f aca="false">IF(J323="","",J323+K323+L323+N(M323))</f>
        <v/>
      </c>
      <c r="O323" s="41" t="str">
        <f aca="false">IF(N323="","",IF(P323&lt;&gt;"",N323-P323,ROUND(N323*IFERROR(INDEX(Settings!$E$5:$E$12,MATCH(F323,Settings!$D$5:$D$12,0)),0),2)))</f>
        <v/>
      </c>
      <c r="P323" s="37"/>
      <c r="Q323" s="41" t="str">
        <f aca="false">IF(N323="","",IF(P323&lt;&gt;"",P323,N323-O323))</f>
        <v/>
      </c>
      <c r="R323" s="41" t="str">
        <f aca="false">IF(J323="","",IFERROR(N(INDEX(Properties!$H$5:$H$24,MATCH(D323,Properties!$A$5:$A$24,0))),0))</f>
        <v/>
      </c>
      <c r="S323" s="41" t="str">
        <f aca="false">IF(Q323="","",Q323-R323)</f>
        <v/>
      </c>
      <c r="T323" s="6"/>
      <c r="U323" s="6"/>
      <c r="V323" s="6"/>
      <c r="W323" s="6"/>
      <c r="X323" s="6"/>
      <c r="Y323" s="8" t="str">
        <f aca="false">IF(OR(D323="",B323="",C323=""),"",IF(N(C323)&lt;=N(B323),"Check dates",IF(T323="Cancelled","",IF(COUNTIFS($D$5:$D$1004,D323,$B$5:$B$1004,"&lt;"&amp;C323,$C$5:$C$1004,"&gt;"&amp;B323,$T$5:$T$1004,"&lt;&gt;Cancelled")&gt;1,"Double-booked",""))))</f>
        <v/>
      </c>
      <c r="Z323" s="42" t="str">
        <f aca="false">IF(AND(AA323=1,ISNUMBER(C323)),C323+ROW()/100000,"")</f>
        <v/>
      </c>
      <c r="AA323" s="43" t="n">
        <f aca="false">IF(AND(D323&lt;&gt;"",ISNUMBER(B323),ISNUMBER(C323),N(H323)&gt;0,T323&lt;&gt;"Cancelled",J323&lt;&gt;""),1,0)</f>
        <v>0</v>
      </c>
      <c r="AB323" s="44" t="n">
        <f aca="false">IF(AA323=1,J323/H323,0)</f>
        <v>0</v>
      </c>
      <c r="AC323" s="44" t="n">
        <f aca="false">IF(AA323=1,Q323/H323,0)</f>
        <v>0</v>
      </c>
      <c r="AD323" s="44" t="n">
        <f aca="false">IF(AA323=1,R323/H323,0)</f>
        <v>0</v>
      </c>
      <c r="AE323" s="44" t="n">
        <f aca="false">IF(AA323=1,O323/H323,0)</f>
        <v>0</v>
      </c>
      <c r="AF323" s="44" t="n">
        <f aca="false">IF(AA323=1,K323/H323,0)</f>
        <v>0</v>
      </c>
      <c r="AG323" s="45" t="str">
        <f aca="false">IF(AA323=1,D323&amp;"|"&amp;TEXT(B323,"0"),"")</f>
        <v/>
      </c>
      <c r="AH323" s="43" t="n">
        <f aca="false">IF(AA323=1,H323,0)</f>
        <v>0</v>
      </c>
    </row>
    <row r="324" customFormat="false" ht="15" hidden="false" customHeight="false" outlineLevel="0" collapsed="false">
      <c r="A324" s="23" t="str">
        <f aca="false">IF(B324="","","B-"&amp;TEXT(ROW()-4,"0000"))</f>
        <v/>
      </c>
      <c r="B324" s="38"/>
      <c r="C324" s="38"/>
      <c r="D324" s="6"/>
      <c r="E324" s="6"/>
      <c r="F324" s="6"/>
      <c r="G324" s="11"/>
      <c r="H324" s="24" t="str">
        <f aca="false">IF(AND(ISNUMBER(B324),ISNUMBER(C324)),MAX(0,C324-B324),"")</f>
        <v/>
      </c>
      <c r="I324" s="37"/>
      <c r="J324" s="46" t="str">
        <f aca="false">IF(OR(D324="",N(H324)=0),"",IFERROR(IF(I324&lt;&gt;"",H324*I324,ROUND(((H324-(INT((WEEKDAY(B324-6)+H324-1)/7)+INT((WEEKDAY(B324-7)+H324-1)/7)))*INDEX(Properties!$E$5:$E$24,MATCH(D324,Properties!$A$5:$A$24,0))+(INT((WEEKDAY(B324-6)+H324-1)/7)+INT((WEEKDAY(B324-7)+H324-1)/7))*INDEX(Properties!$F$5:$F$24,MATCH(D324,Properties!$A$5:$A$24,0)))*(1-IF(H324&gt;=28,Settings!$B$10,IF(H324&gt;=7,Settings!$B$9,0))),2)),0))</f>
        <v/>
      </c>
      <c r="K324" s="46" t="str">
        <f aca="false">IF(J324="","",IFERROR(N(INDEX(Properties!$G$5:$G$24,MATCH(D324,Properties!$A$5:$A$24,0))),0))</f>
        <v/>
      </c>
      <c r="L324" s="46" t="str">
        <f aca="false">IF(J324="","",IFERROR(MAX(0,N(G324)-INDEX(Properties!$I$5:$I$24,MATCH(D324,Properties!$A$5:$A$24,0)))*N(INDEX(Properties!$J$5:$J$24,MATCH(D324,Properties!$A$5:$A$24,0)))*H324,0))</f>
        <v/>
      </c>
      <c r="M324" s="37"/>
      <c r="N324" s="46" t="str">
        <f aca="false">IF(J324="","",J324+K324+L324+N(M324))</f>
        <v/>
      </c>
      <c r="O324" s="46" t="str">
        <f aca="false">IF(N324="","",IF(P324&lt;&gt;"",N324-P324,ROUND(N324*IFERROR(INDEX(Settings!$E$5:$E$12,MATCH(F324,Settings!$D$5:$D$12,0)),0),2)))</f>
        <v/>
      </c>
      <c r="P324" s="37"/>
      <c r="Q324" s="46" t="str">
        <f aca="false">IF(N324="","",IF(P324&lt;&gt;"",P324,N324-O324))</f>
        <v/>
      </c>
      <c r="R324" s="46" t="str">
        <f aca="false">IF(J324="","",IFERROR(N(INDEX(Properties!$H$5:$H$24,MATCH(D324,Properties!$A$5:$A$24,0))),0))</f>
        <v/>
      </c>
      <c r="S324" s="46" t="str">
        <f aca="false">IF(Q324="","",Q324-R324)</f>
        <v/>
      </c>
      <c r="T324" s="6"/>
      <c r="U324" s="6"/>
      <c r="V324" s="6"/>
      <c r="W324" s="6"/>
      <c r="X324" s="6"/>
      <c r="Y324" s="8" t="str">
        <f aca="false">IF(OR(D324="",B324="",C324=""),"",IF(N(C324)&lt;=N(B324),"Check dates",IF(T324="Cancelled","",IF(COUNTIFS($D$5:$D$1004,D324,$B$5:$B$1004,"&lt;"&amp;C324,$C$5:$C$1004,"&gt;"&amp;B324,$T$5:$T$1004,"&lt;&gt;Cancelled")&gt;1,"Double-booked",""))))</f>
        <v/>
      </c>
      <c r="Z324" s="42" t="str">
        <f aca="false">IF(AND(AA324=1,ISNUMBER(C324)),C324+ROW()/100000,"")</f>
        <v/>
      </c>
      <c r="AA324" s="43" t="n">
        <f aca="false">IF(AND(D324&lt;&gt;"",ISNUMBER(B324),ISNUMBER(C324),N(H324)&gt;0,T324&lt;&gt;"Cancelled",J324&lt;&gt;""),1,0)</f>
        <v>0</v>
      </c>
      <c r="AB324" s="44" t="n">
        <f aca="false">IF(AA324=1,J324/H324,0)</f>
        <v>0</v>
      </c>
      <c r="AC324" s="44" t="n">
        <f aca="false">IF(AA324=1,Q324/H324,0)</f>
        <v>0</v>
      </c>
      <c r="AD324" s="44" t="n">
        <f aca="false">IF(AA324=1,R324/H324,0)</f>
        <v>0</v>
      </c>
      <c r="AE324" s="44" t="n">
        <f aca="false">IF(AA324=1,O324/H324,0)</f>
        <v>0</v>
      </c>
      <c r="AF324" s="44" t="n">
        <f aca="false">IF(AA324=1,K324/H324,0)</f>
        <v>0</v>
      </c>
      <c r="AG324" s="45" t="str">
        <f aca="false">IF(AA324=1,D324&amp;"|"&amp;TEXT(B324,"0"),"")</f>
        <v/>
      </c>
      <c r="AH324" s="43" t="n">
        <f aca="false">IF(AA324=1,H324,0)</f>
        <v>0</v>
      </c>
    </row>
    <row r="325" customFormat="false" ht="15" hidden="false" customHeight="false" outlineLevel="0" collapsed="false">
      <c r="A325" s="8" t="str">
        <f aca="false">IF(B325="","","B-"&amp;TEXT(ROW()-4,"0000"))</f>
        <v/>
      </c>
      <c r="B325" s="38"/>
      <c r="C325" s="38"/>
      <c r="D325" s="6"/>
      <c r="E325" s="6"/>
      <c r="F325" s="6"/>
      <c r="G325" s="11"/>
      <c r="H325" s="18" t="str">
        <f aca="false">IF(AND(ISNUMBER(B325),ISNUMBER(C325)),MAX(0,C325-B325),"")</f>
        <v/>
      </c>
      <c r="I325" s="37"/>
      <c r="J325" s="41" t="str">
        <f aca="false">IF(OR(D325="",N(H325)=0),"",IFERROR(IF(I325&lt;&gt;"",H325*I325,ROUND(((H325-(INT((WEEKDAY(B325-6)+H325-1)/7)+INT((WEEKDAY(B325-7)+H325-1)/7)))*INDEX(Properties!$E$5:$E$24,MATCH(D325,Properties!$A$5:$A$24,0))+(INT((WEEKDAY(B325-6)+H325-1)/7)+INT((WEEKDAY(B325-7)+H325-1)/7))*INDEX(Properties!$F$5:$F$24,MATCH(D325,Properties!$A$5:$A$24,0)))*(1-IF(H325&gt;=28,Settings!$B$10,IF(H325&gt;=7,Settings!$B$9,0))),2)),0))</f>
        <v/>
      </c>
      <c r="K325" s="41" t="str">
        <f aca="false">IF(J325="","",IFERROR(N(INDEX(Properties!$G$5:$G$24,MATCH(D325,Properties!$A$5:$A$24,0))),0))</f>
        <v/>
      </c>
      <c r="L325" s="41" t="str">
        <f aca="false">IF(J325="","",IFERROR(MAX(0,N(G325)-INDEX(Properties!$I$5:$I$24,MATCH(D325,Properties!$A$5:$A$24,0)))*N(INDEX(Properties!$J$5:$J$24,MATCH(D325,Properties!$A$5:$A$24,0)))*H325,0))</f>
        <v/>
      </c>
      <c r="M325" s="37"/>
      <c r="N325" s="41" t="str">
        <f aca="false">IF(J325="","",J325+K325+L325+N(M325))</f>
        <v/>
      </c>
      <c r="O325" s="41" t="str">
        <f aca="false">IF(N325="","",IF(P325&lt;&gt;"",N325-P325,ROUND(N325*IFERROR(INDEX(Settings!$E$5:$E$12,MATCH(F325,Settings!$D$5:$D$12,0)),0),2)))</f>
        <v/>
      </c>
      <c r="P325" s="37"/>
      <c r="Q325" s="41" t="str">
        <f aca="false">IF(N325="","",IF(P325&lt;&gt;"",P325,N325-O325))</f>
        <v/>
      </c>
      <c r="R325" s="41" t="str">
        <f aca="false">IF(J325="","",IFERROR(N(INDEX(Properties!$H$5:$H$24,MATCH(D325,Properties!$A$5:$A$24,0))),0))</f>
        <v/>
      </c>
      <c r="S325" s="41" t="str">
        <f aca="false">IF(Q325="","",Q325-R325)</f>
        <v/>
      </c>
      <c r="T325" s="6"/>
      <c r="U325" s="6"/>
      <c r="V325" s="6"/>
      <c r="W325" s="6"/>
      <c r="X325" s="6"/>
      <c r="Y325" s="8" t="str">
        <f aca="false">IF(OR(D325="",B325="",C325=""),"",IF(N(C325)&lt;=N(B325),"Check dates",IF(T325="Cancelled","",IF(COUNTIFS($D$5:$D$1004,D325,$B$5:$B$1004,"&lt;"&amp;C325,$C$5:$C$1004,"&gt;"&amp;B325,$T$5:$T$1004,"&lt;&gt;Cancelled")&gt;1,"Double-booked",""))))</f>
        <v/>
      </c>
      <c r="Z325" s="42" t="str">
        <f aca="false">IF(AND(AA325=1,ISNUMBER(C325)),C325+ROW()/100000,"")</f>
        <v/>
      </c>
      <c r="AA325" s="43" t="n">
        <f aca="false">IF(AND(D325&lt;&gt;"",ISNUMBER(B325),ISNUMBER(C325),N(H325)&gt;0,T325&lt;&gt;"Cancelled",J325&lt;&gt;""),1,0)</f>
        <v>0</v>
      </c>
      <c r="AB325" s="44" t="n">
        <f aca="false">IF(AA325=1,J325/H325,0)</f>
        <v>0</v>
      </c>
      <c r="AC325" s="44" t="n">
        <f aca="false">IF(AA325=1,Q325/H325,0)</f>
        <v>0</v>
      </c>
      <c r="AD325" s="44" t="n">
        <f aca="false">IF(AA325=1,R325/H325,0)</f>
        <v>0</v>
      </c>
      <c r="AE325" s="44" t="n">
        <f aca="false">IF(AA325=1,O325/H325,0)</f>
        <v>0</v>
      </c>
      <c r="AF325" s="44" t="n">
        <f aca="false">IF(AA325=1,K325/H325,0)</f>
        <v>0</v>
      </c>
      <c r="AG325" s="45" t="str">
        <f aca="false">IF(AA325=1,D325&amp;"|"&amp;TEXT(B325,"0"),"")</f>
        <v/>
      </c>
      <c r="AH325" s="43" t="n">
        <f aca="false">IF(AA325=1,H325,0)</f>
        <v>0</v>
      </c>
    </row>
    <row r="326" customFormat="false" ht="15" hidden="false" customHeight="false" outlineLevel="0" collapsed="false">
      <c r="A326" s="23" t="str">
        <f aca="false">IF(B326="","","B-"&amp;TEXT(ROW()-4,"0000"))</f>
        <v/>
      </c>
      <c r="B326" s="38"/>
      <c r="C326" s="38"/>
      <c r="D326" s="6"/>
      <c r="E326" s="6"/>
      <c r="F326" s="6"/>
      <c r="G326" s="11"/>
      <c r="H326" s="24" t="str">
        <f aca="false">IF(AND(ISNUMBER(B326),ISNUMBER(C326)),MAX(0,C326-B326),"")</f>
        <v/>
      </c>
      <c r="I326" s="37"/>
      <c r="J326" s="46" t="str">
        <f aca="false">IF(OR(D326="",N(H326)=0),"",IFERROR(IF(I326&lt;&gt;"",H326*I326,ROUND(((H326-(INT((WEEKDAY(B326-6)+H326-1)/7)+INT((WEEKDAY(B326-7)+H326-1)/7)))*INDEX(Properties!$E$5:$E$24,MATCH(D326,Properties!$A$5:$A$24,0))+(INT((WEEKDAY(B326-6)+H326-1)/7)+INT((WEEKDAY(B326-7)+H326-1)/7))*INDEX(Properties!$F$5:$F$24,MATCH(D326,Properties!$A$5:$A$24,0)))*(1-IF(H326&gt;=28,Settings!$B$10,IF(H326&gt;=7,Settings!$B$9,0))),2)),0))</f>
        <v/>
      </c>
      <c r="K326" s="46" t="str">
        <f aca="false">IF(J326="","",IFERROR(N(INDEX(Properties!$G$5:$G$24,MATCH(D326,Properties!$A$5:$A$24,0))),0))</f>
        <v/>
      </c>
      <c r="L326" s="46" t="str">
        <f aca="false">IF(J326="","",IFERROR(MAX(0,N(G326)-INDEX(Properties!$I$5:$I$24,MATCH(D326,Properties!$A$5:$A$24,0)))*N(INDEX(Properties!$J$5:$J$24,MATCH(D326,Properties!$A$5:$A$24,0)))*H326,0))</f>
        <v/>
      </c>
      <c r="M326" s="37"/>
      <c r="N326" s="46" t="str">
        <f aca="false">IF(J326="","",J326+K326+L326+N(M326))</f>
        <v/>
      </c>
      <c r="O326" s="46" t="str">
        <f aca="false">IF(N326="","",IF(P326&lt;&gt;"",N326-P326,ROUND(N326*IFERROR(INDEX(Settings!$E$5:$E$12,MATCH(F326,Settings!$D$5:$D$12,0)),0),2)))</f>
        <v/>
      </c>
      <c r="P326" s="37"/>
      <c r="Q326" s="46" t="str">
        <f aca="false">IF(N326="","",IF(P326&lt;&gt;"",P326,N326-O326))</f>
        <v/>
      </c>
      <c r="R326" s="46" t="str">
        <f aca="false">IF(J326="","",IFERROR(N(INDEX(Properties!$H$5:$H$24,MATCH(D326,Properties!$A$5:$A$24,0))),0))</f>
        <v/>
      </c>
      <c r="S326" s="46" t="str">
        <f aca="false">IF(Q326="","",Q326-R326)</f>
        <v/>
      </c>
      <c r="T326" s="6"/>
      <c r="U326" s="6"/>
      <c r="V326" s="6"/>
      <c r="W326" s="6"/>
      <c r="X326" s="6"/>
      <c r="Y326" s="8" t="str">
        <f aca="false">IF(OR(D326="",B326="",C326=""),"",IF(N(C326)&lt;=N(B326),"Check dates",IF(T326="Cancelled","",IF(COUNTIFS($D$5:$D$1004,D326,$B$5:$B$1004,"&lt;"&amp;C326,$C$5:$C$1004,"&gt;"&amp;B326,$T$5:$T$1004,"&lt;&gt;Cancelled")&gt;1,"Double-booked",""))))</f>
        <v/>
      </c>
      <c r="Z326" s="42" t="str">
        <f aca="false">IF(AND(AA326=1,ISNUMBER(C326)),C326+ROW()/100000,"")</f>
        <v/>
      </c>
      <c r="AA326" s="43" t="n">
        <f aca="false">IF(AND(D326&lt;&gt;"",ISNUMBER(B326),ISNUMBER(C326),N(H326)&gt;0,T326&lt;&gt;"Cancelled",J326&lt;&gt;""),1,0)</f>
        <v>0</v>
      </c>
      <c r="AB326" s="44" t="n">
        <f aca="false">IF(AA326=1,J326/H326,0)</f>
        <v>0</v>
      </c>
      <c r="AC326" s="44" t="n">
        <f aca="false">IF(AA326=1,Q326/H326,0)</f>
        <v>0</v>
      </c>
      <c r="AD326" s="44" t="n">
        <f aca="false">IF(AA326=1,R326/H326,0)</f>
        <v>0</v>
      </c>
      <c r="AE326" s="44" t="n">
        <f aca="false">IF(AA326=1,O326/H326,0)</f>
        <v>0</v>
      </c>
      <c r="AF326" s="44" t="n">
        <f aca="false">IF(AA326=1,K326/H326,0)</f>
        <v>0</v>
      </c>
      <c r="AG326" s="45" t="str">
        <f aca="false">IF(AA326=1,D326&amp;"|"&amp;TEXT(B326,"0"),"")</f>
        <v/>
      </c>
      <c r="AH326" s="43" t="n">
        <f aca="false">IF(AA326=1,H326,0)</f>
        <v>0</v>
      </c>
    </row>
    <row r="327" customFormat="false" ht="15" hidden="false" customHeight="false" outlineLevel="0" collapsed="false">
      <c r="A327" s="8" t="str">
        <f aca="false">IF(B327="","","B-"&amp;TEXT(ROW()-4,"0000"))</f>
        <v/>
      </c>
      <c r="B327" s="38"/>
      <c r="C327" s="38"/>
      <c r="D327" s="6"/>
      <c r="E327" s="6"/>
      <c r="F327" s="6"/>
      <c r="G327" s="11"/>
      <c r="H327" s="18" t="str">
        <f aca="false">IF(AND(ISNUMBER(B327),ISNUMBER(C327)),MAX(0,C327-B327),"")</f>
        <v/>
      </c>
      <c r="I327" s="37"/>
      <c r="J327" s="41" t="str">
        <f aca="false">IF(OR(D327="",N(H327)=0),"",IFERROR(IF(I327&lt;&gt;"",H327*I327,ROUND(((H327-(INT((WEEKDAY(B327-6)+H327-1)/7)+INT((WEEKDAY(B327-7)+H327-1)/7)))*INDEX(Properties!$E$5:$E$24,MATCH(D327,Properties!$A$5:$A$24,0))+(INT((WEEKDAY(B327-6)+H327-1)/7)+INT((WEEKDAY(B327-7)+H327-1)/7))*INDEX(Properties!$F$5:$F$24,MATCH(D327,Properties!$A$5:$A$24,0)))*(1-IF(H327&gt;=28,Settings!$B$10,IF(H327&gt;=7,Settings!$B$9,0))),2)),0))</f>
        <v/>
      </c>
      <c r="K327" s="41" t="str">
        <f aca="false">IF(J327="","",IFERROR(N(INDEX(Properties!$G$5:$G$24,MATCH(D327,Properties!$A$5:$A$24,0))),0))</f>
        <v/>
      </c>
      <c r="L327" s="41" t="str">
        <f aca="false">IF(J327="","",IFERROR(MAX(0,N(G327)-INDEX(Properties!$I$5:$I$24,MATCH(D327,Properties!$A$5:$A$24,0)))*N(INDEX(Properties!$J$5:$J$24,MATCH(D327,Properties!$A$5:$A$24,0)))*H327,0))</f>
        <v/>
      </c>
      <c r="M327" s="37"/>
      <c r="N327" s="41" t="str">
        <f aca="false">IF(J327="","",J327+K327+L327+N(M327))</f>
        <v/>
      </c>
      <c r="O327" s="41" t="str">
        <f aca="false">IF(N327="","",IF(P327&lt;&gt;"",N327-P327,ROUND(N327*IFERROR(INDEX(Settings!$E$5:$E$12,MATCH(F327,Settings!$D$5:$D$12,0)),0),2)))</f>
        <v/>
      </c>
      <c r="P327" s="37"/>
      <c r="Q327" s="41" t="str">
        <f aca="false">IF(N327="","",IF(P327&lt;&gt;"",P327,N327-O327))</f>
        <v/>
      </c>
      <c r="R327" s="41" t="str">
        <f aca="false">IF(J327="","",IFERROR(N(INDEX(Properties!$H$5:$H$24,MATCH(D327,Properties!$A$5:$A$24,0))),0))</f>
        <v/>
      </c>
      <c r="S327" s="41" t="str">
        <f aca="false">IF(Q327="","",Q327-R327)</f>
        <v/>
      </c>
      <c r="T327" s="6"/>
      <c r="U327" s="6"/>
      <c r="V327" s="6"/>
      <c r="W327" s="6"/>
      <c r="X327" s="6"/>
      <c r="Y327" s="8" t="str">
        <f aca="false">IF(OR(D327="",B327="",C327=""),"",IF(N(C327)&lt;=N(B327),"Check dates",IF(T327="Cancelled","",IF(COUNTIFS($D$5:$D$1004,D327,$B$5:$B$1004,"&lt;"&amp;C327,$C$5:$C$1004,"&gt;"&amp;B327,$T$5:$T$1004,"&lt;&gt;Cancelled")&gt;1,"Double-booked",""))))</f>
        <v/>
      </c>
      <c r="Z327" s="42" t="str">
        <f aca="false">IF(AND(AA327=1,ISNUMBER(C327)),C327+ROW()/100000,"")</f>
        <v/>
      </c>
      <c r="AA327" s="43" t="n">
        <f aca="false">IF(AND(D327&lt;&gt;"",ISNUMBER(B327),ISNUMBER(C327),N(H327)&gt;0,T327&lt;&gt;"Cancelled",J327&lt;&gt;""),1,0)</f>
        <v>0</v>
      </c>
      <c r="AB327" s="44" t="n">
        <f aca="false">IF(AA327=1,J327/H327,0)</f>
        <v>0</v>
      </c>
      <c r="AC327" s="44" t="n">
        <f aca="false">IF(AA327=1,Q327/H327,0)</f>
        <v>0</v>
      </c>
      <c r="AD327" s="44" t="n">
        <f aca="false">IF(AA327=1,R327/H327,0)</f>
        <v>0</v>
      </c>
      <c r="AE327" s="44" t="n">
        <f aca="false">IF(AA327=1,O327/H327,0)</f>
        <v>0</v>
      </c>
      <c r="AF327" s="44" t="n">
        <f aca="false">IF(AA327=1,K327/H327,0)</f>
        <v>0</v>
      </c>
      <c r="AG327" s="45" t="str">
        <f aca="false">IF(AA327=1,D327&amp;"|"&amp;TEXT(B327,"0"),"")</f>
        <v/>
      </c>
      <c r="AH327" s="43" t="n">
        <f aca="false">IF(AA327=1,H327,0)</f>
        <v>0</v>
      </c>
    </row>
    <row r="328" customFormat="false" ht="15" hidden="false" customHeight="false" outlineLevel="0" collapsed="false">
      <c r="A328" s="23" t="str">
        <f aca="false">IF(B328="","","B-"&amp;TEXT(ROW()-4,"0000"))</f>
        <v/>
      </c>
      <c r="B328" s="38"/>
      <c r="C328" s="38"/>
      <c r="D328" s="6"/>
      <c r="E328" s="6"/>
      <c r="F328" s="6"/>
      <c r="G328" s="11"/>
      <c r="H328" s="24" t="str">
        <f aca="false">IF(AND(ISNUMBER(B328),ISNUMBER(C328)),MAX(0,C328-B328),"")</f>
        <v/>
      </c>
      <c r="I328" s="37"/>
      <c r="J328" s="46" t="str">
        <f aca="false">IF(OR(D328="",N(H328)=0),"",IFERROR(IF(I328&lt;&gt;"",H328*I328,ROUND(((H328-(INT((WEEKDAY(B328-6)+H328-1)/7)+INT((WEEKDAY(B328-7)+H328-1)/7)))*INDEX(Properties!$E$5:$E$24,MATCH(D328,Properties!$A$5:$A$24,0))+(INT((WEEKDAY(B328-6)+H328-1)/7)+INT((WEEKDAY(B328-7)+H328-1)/7))*INDEX(Properties!$F$5:$F$24,MATCH(D328,Properties!$A$5:$A$24,0)))*(1-IF(H328&gt;=28,Settings!$B$10,IF(H328&gt;=7,Settings!$B$9,0))),2)),0))</f>
        <v/>
      </c>
      <c r="K328" s="46" t="str">
        <f aca="false">IF(J328="","",IFERROR(N(INDEX(Properties!$G$5:$G$24,MATCH(D328,Properties!$A$5:$A$24,0))),0))</f>
        <v/>
      </c>
      <c r="L328" s="46" t="str">
        <f aca="false">IF(J328="","",IFERROR(MAX(0,N(G328)-INDEX(Properties!$I$5:$I$24,MATCH(D328,Properties!$A$5:$A$24,0)))*N(INDEX(Properties!$J$5:$J$24,MATCH(D328,Properties!$A$5:$A$24,0)))*H328,0))</f>
        <v/>
      </c>
      <c r="M328" s="37"/>
      <c r="N328" s="46" t="str">
        <f aca="false">IF(J328="","",J328+K328+L328+N(M328))</f>
        <v/>
      </c>
      <c r="O328" s="46" t="str">
        <f aca="false">IF(N328="","",IF(P328&lt;&gt;"",N328-P328,ROUND(N328*IFERROR(INDEX(Settings!$E$5:$E$12,MATCH(F328,Settings!$D$5:$D$12,0)),0),2)))</f>
        <v/>
      </c>
      <c r="P328" s="37"/>
      <c r="Q328" s="46" t="str">
        <f aca="false">IF(N328="","",IF(P328&lt;&gt;"",P328,N328-O328))</f>
        <v/>
      </c>
      <c r="R328" s="46" t="str">
        <f aca="false">IF(J328="","",IFERROR(N(INDEX(Properties!$H$5:$H$24,MATCH(D328,Properties!$A$5:$A$24,0))),0))</f>
        <v/>
      </c>
      <c r="S328" s="46" t="str">
        <f aca="false">IF(Q328="","",Q328-R328)</f>
        <v/>
      </c>
      <c r="T328" s="6"/>
      <c r="U328" s="6"/>
      <c r="V328" s="6"/>
      <c r="W328" s="6"/>
      <c r="X328" s="6"/>
      <c r="Y328" s="8" t="str">
        <f aca="false">IF(OR(D328="",B328="",C328=""),"",IF(N(C328)&lt;=N(B328),"Check dates",IF(T328="Cancelled","",IF(COUNTIFS($D$5:$D$1004,D328,$B$5:$B$1004,"&lt;"&amp;C328,$C$5:$C$1004,"&gt;"&amp;B328,$T$5:$T$1004,"&lt;&gt;Cancelled")&gt;1,"Double-booked",""))))</f>
        <v/>
      </c>
      <c r="Z328" s="42" t="str">
        <f aca="false">IF(AND(AA328=1,ISNUMBER(C328)),C328+ROW()/100000,"")</f>
        <v/>
      </c>
      <c r="AA328" s="43" t="n">
        <f aca="false">IF(AND(D328&lt;&gt;"",ISNUMBER(B328),ISNUMBER(C328),N(H328)&gt;0,T328&lt;&gt;"Cancelled",J328&lt;&gt;""),1,0)</f>
        <v>0</v>
      </c>
      <c r="AB328" s="44" t="n">
        <f aca="false">IF(AA328=1,J328/H328,0)</f>
        <v>0</v>
      </c>
      <c r="AC328" s="44" t="n">
        <f aca="false">IF(AA328=1,Q328/H328,0)</f>
        <v>0</v>
      </c>
      <c r="AD328" s="44" t="n">
        <f aca="false">IF(AA328=1,R328/H328,0)</f>
        <v>0</v>
      </c>
      <c r="AE328" s="44" t="n">
        <f aca="false">IF(AA328=1,O328/H328,0)</f>
        <v>0</v>
      </c>
      <c r="AF328" s="44" t="n">
        <f aca="false">IF(AA328=1,K328/H328,0)</f>
        <v>0</v>
      </c>
      <c r="AG328" s="45" t="str">
        <f aca="false">IF(AA328=1,D328&amp;"|"&amp;TEXT(B328,"0"),"")</f>
        <v/>
      </c>
      <c r="AH328" s="43" t="n">
        <f aca="false">IF(AA328=1,H328,0)</f>
        <v>0</v>
      </c>
    </row>
    <row r="329" customFormat="false" ht="15" hidden="false" customHeight="false" outlineLevel="0" collapsed="false">
      <c r="A329" s="8" t="str">
        <f aca="false">IF(B329="","","B-"&amp;TEXT(ROW()-4,"0000"))</f>
        <v/>
      </c>
      <c r="B329" s="38"/>
      <c r="C329" s="38"/>
      <c r="D329" s="6"/>
      <c r="E329" s="6"/>
      <c r="F329" s="6"/>
      <c r="G329" s="11"/>
      <c r="H329" s="18" t="str">
        <f aca="false">IF(AND(ISNUMBER(B329),ISNUMBER(C329)),MAX(0,C329-B329),"")</f>
        <v/>
      </c>
      <c r="I329" s="37"/>
      <c r="J329" s="41" t="str">
        <f aca="false">IF(OR(D329="",N(H329)=0),"",IFERROR(IF(I329&lt;&gt;"",H329*I329,ROUND(((H329-(INT((WEEKDAY(B329-6)+H329-1)/7)+INT((WEEKDAY(B329-7)+H329-1)/7)))*INDEX(Properties!$E$5:$E$24,MATCH(D329,Properties!$A$5:$A$24,0))+(INT((WEEKDAY(B329-6)+H329-1)/7)+INT((WEEKDAY(B329-7)+H329-1)/7))*INDEX(Properties!$F$5:$F$24,MATCH(D329,Properties!$A$5:$A$24,0)))*(1-IF(H329&gt;=28,Settings!$B$10,IF(H329&gt;=7,Settings!$B$9,0))),2)),0))</f>
        <v/>
      </c>
      <c r="K329" s="41" t="str">
        <f aca="false">IF(J329="","",IFERROR(N(INDEX(Properties!$G$5:$G$24,MATCH(D329,Properties!$A$5:$A$24,0))),0))</f>
        <v/>
      </c>
      <c r="L329" s="41" t="str">
        <f aca="false">IF(J329="","",IFERROR(MAX(0,N(G329)-INDEX(Properties!$I$5:$I$24,MATCH(D329,Properties!$A$5:$A$24,0)))*N(INDEX(Properties!$J$5:$J$24,MATCH(D329,Properties!$A$5:$A$24,0)))*H329,0))</f>
        <v/>
      </c>
      <c r="M329" s="37"/>
      <c r="N329" s="41" t="str">
        <f aca="false">IF(J329="","",J329+K329+L329+N(M329))</f>
        <v/>
      </c>
      <c r="O329" s="41" t="str">
        <f aca="false">IF(N329="","",IF(P329&lt;&gt;"",N329-P329,ROUND(N329*IFERROR(INDEX(Settings!$E$5:$E$12,MATCH(F329,Settings!$D$5:$D$12,0)),0),2)))</f>
        <v/>
      </c>
      <c r="P329" s="37"/>
      <c r="Q329" s="41" t="str">
        <f aca="false">IF(N329="","",IF(P329&lt;&gt;"",P329,N329-O329))</f>
        <v/>
      </c>
      <c r="R329" s="41" t="str">
        <f aca="false">IF(J329="","",IFERROR(N(INDEX(Properties!$H$5:$H$24,MATCH(D329,Properties!$A$5:$A$24,0))),0))</f>
        <v/>
      </c>
      <c r="S329" s="41" t="str">
        <f aca="false">IF(Q329="","",Q329-R329)</f>
        <v/>
      </c>
      <c r="T329" s="6"/>
      <c r="U329" s="6"/>
      <c r="V329" s="6"/>
      <c r="W329" s="6"/>
      <c r="X329" s="6"/>
      <c r="Y329" s="8" t="str">
        <f aca="false">IF(OR(D329="",B329="",C329=""),"",IF(N(C329)&lt;=N(B329),"Check dates",IF(T329="Cancelled","",IF(COUNTIFS($D$5:$D$1004,D329,$B$5:$B$1004,"&lt;"&amp;C329,$C$5:$C$1004,"&gt;"&amp;B329,$T$5:$T$1004,"&lt;&gt;Cancelled")&gt;1,"Double-booked",""))))</f>
        <v/>
      </c>
      <c r="Z329" s="42" t="str">
        <f aca="false">IF(AND(AA329=1,ISNUMBER(C329)),C329+ROW()/100000,"")</f>
        <v/>
      </c>
      <c r="AA329" s="43" t="n">
        <f aca="false">IF(AND(D329&lt;&gt;"",ISNUMBER(B329),ISNUMBER(C329),N(H329)&gt;0,T329&lt;&gt;"Cancelled",J329&lt;&gt;""),1,0)</f>
        <v>0</v>
      </c>
      <c r="AB329" s="44" t="n">
        <f aca="false">IF(AA329=1,J329/H329,0)</f>
        <v>0</v>
      </c>
      <c r="AC329" s="44" t="n">
        <f aca="false">IF(AA329=1,Q329/H329,0)</f>
        <v>0</v>
      </c>
      <c r="AD329" s="44" t="n">
        <f aca="false">IF(AA329=1,R329/H329,0)</f>
        <v>0</v>
      </c>
      <c r="AE329" s="44" t="n">
        <f aca="false">IF(AA329=1,O329/H329,0)</f>
        <v>0</v>
      </c>
      <c r="AF329" s="44" t="n">
        <f aca="false">IF(AA329=1,K329/H329,0)</f>
        <v>0</v>
      </c>
      <c r="AG329" s="45" t="str">
        <f aca="false">IF(AA329=1,D329&amp;"|"&amp;TEXT(B329,"0"),"")</f>
        <v/>
      </c>
      <c r="AH329" s="43" t="n">
        <f aca="false">IF(AA329=1,H329,0)</f>
        <v>0</v>
      </c>
    </row>
    <row r="330" customFormat="false" ht="15" hidden="false" customHeight="false" outlineLevel="0" collapsed="false">
      <c r="A330" s="23" t="str">
        <f aca="false">IF(B330="","","B-"&amp;TEXT(ROW()-4,"0000"))</f>
        <v/>
      </c>
      <c r="B330" s="38"/>
      <c r="C330" s="38"/>
      <c r="D330" s="6"/>
      <c r="E330" s="6"/>
      <c r="F330" s="6"/>
      <c r="G330" s="11"/>
      <c r="H330" s="24" t="str">
        <f aca="false">IF(AND(ISNUMBER(B330),ISNUMBER(C330)),MAX(0,C330-B330),"")</f>
        <v/>
      </c>
      <c r="I330" s="37"/>
      <c r="J330" s="46" t="str">
        <f aca="false">IF(OR(D330="",N(H330)=0),"",IFERROR(IF(I330&lt;&gt;"",H330*I330,ROUND(((H330-(INT((WEEKDAY(B330-6)+H330-1)/7)+INT((WEEKDAY(B330-7)+H330-1)/7)))*INDEX(Properties!$E$5:$E$24,MATCH(D330,Properties!$A$5:$A$24,0))+(INT((WEEKDAY(B330-6)+H330-1)/7)+INT((WEEKDAY(B330-7)+H330-1)/7))*INDEX(Properties!$F$5:$F$24,MATCH(D330,Properties!$A$5:$A$24,0)))*(1-IF(H330&gt;=28,Settings!$B$10,IF(H330&gt;=7,Settings!$B$9,0))),2)),0))</f>
        <v/>
      </c>
      <c r="K330" s="46" t="str">
        <f aca="false">IF(J330="","",IFERROR(N(INDEX(Properties!$G$5:$G$24,MATCH(D330,Properties!$A$5:$A$24,0))),0))</f>
        <v/>
      </c>
      <c r="L330" s="46" t="str">
        <f aca="false">IF(J330="","",IFERROR(MAX(0,N(G330)-INDEX(Properties!$I$5:$I$24,MATCH(D330,Properties!$A$5:$A$24,0)))*N(INDEX(Properties!$J$5:$J$24,MATCH(D330,Properties!$A$5:$A$24,0)))*H330,0))</f>
        <v/>
      </c>
      <c r="M330" s="37"/>
      <c r="N330" s="46" t="str">
        <f aca="false">IF(J330="","",J330+K330+L330+N(M330))</f>
        <v/>
      </c>
      <c r="O330" s="46" t="str">
        <f aca="false">IF(N330="","",IF(P330&lt;&gt;"",N330-P330,ROUND(N330*IFERROR(INDEX(Settings!$E$5:$E$12,MATCH(F330,Settings!$D$5:$D$12,0)),0),2)))</f>
        <v/>
      </c>
      <c r="P330" s="37"/>
      <c r="Q330" s="46" t="str">
        <f aca="false">IF(N330="","",IF(P330&lt;&gt;"",P330,N330-O330))</f>
        <v/>
      </c>
      <c r="R330" s="46" t="str">
        <f aca="false">IF(J330="","",IFERROR(N(INDEX(Properties!$H$5:$H$24,MATCH(D330,Properties!$A$5:$A$24,0))),0))</f>
        <v/>
      </c>
      <c r="S330" s="46" t="str">
        <f aca="false">IF(Q330="","",Q330-R330)</f>
        <v/>
      </c>
      <c r="T330" s="6"/>
      <c r="U330" s="6"/>
      <c r="V330" s="6"/>
      <c r="W330" s="6"/>
      <c r="X330" s="6"/>
      <c r="Y330" s="8" t="str">
        <f aca="false">IF(OR(D330="",B330="",C330=""),"",IF(N(C330)&lt;=N(B330),"Check dates",IF(T330="Cancelled","",IF(COUNTIFS($D$5:$D$1004,D330,$B$5:$B$1004,"&lt;"&amp;C330,$C$5:$C$1004,"&gt;"&amp;B330,$T$5:$T$1004,"&lt;&gt;Cancelled")&gt;1,"Double-booked",""))))</f>
        <v/>
      </c>
      <c r="Z330" s="42" t="str">
        <f aca="false">IF(AND(AA330=1,ISNUMBER(C330)),C330+ROW()/100000,"")</f>
        <v/>
      </c>
      <c r="AA330" s="43" t="n">
        <f aca="false">IF(AND(D330&lt;&gt;"",ISNUMBER(B330),ISNUMBER(C330),N(H330)&gt;0,T330&lt;&gt;"Cancelled",J330&lt;&gt;""),1,0)</f>
        <v>0</v>
      </c>
      <c r="AB330" s="44" t="n">
        <f aca="false">IF(AA330=1,J330/H330,0)</f>
        <v>0</v>
      </c>
      <c r="AC330" s="44" t="n">
        <f aca="false">IF(AA330=1,Q330/H330,0)</f>
        <v>0</v>
      </c>
      <c r="AD330" s="44" t="n">
        <f aca="false">IF(AA330=1,R330/H330,0)</f>
        <v>0</v>
      </c>
      <c r="AE330" s="44" t="n">
        <f aca="false">IF(AA330=1,O330/H330,0)</f>
        <v>0</v>
      </c>
      <c r="AF330" s="44" t="n">
        <f aca="false">IF(AA330=1,K330/H330,0)</f>
        <v>0</v>
      </c>
      <c r="AG330" s="45" t="str">
        <f aca="false">IF(AA330=1,D330&amp;"|"&amp;TEXT(B330,"0"),"")</f>
        <v/>
      </c>
      <c r="AH330" s="43" t="n">
        <f aca="false">IF(AA330=1,H330,0)</f>
        <v>0</v>
      </c>
    </row>
    <row r="331" customFormat="false" ht="15" hidden="false" customHeight="false" outlineLevel="0" collapsed="false">
      <c r="A331" s="8" t="str">
        <f aca="false">IF(B331="","","B-"&amp;TEXT(ROW()-4,"0000"))</f>
        <v/>
      </c>
      <c r="B331" s="38"/>
      <c r="C331" s="38"/>
      <c r="D331" s="6"/>
      <c r="E331" s="6"/>
      <c r="F331" s="6"/>
      <c r="G331" s="11"/>
      <c r="H331" s="18" t="str">
        <f aca="false">IF(AND(ISNUMBER(B331),ISNUMBER(C331)),MAX(0,C331-B331),"")</f>
        <v/>
      </c>
      <c r="I331" s="37"/>
      <c r="J331" s="41" t="str">
        <f aca="false">IF(OR(D331="",N(H331)=0),"",IFERROR(IF(I331&lt;&gt;"",H331*I331,ROUND(((H331-(INT((WEEKDAY(B331-6)+H331-1)/7)+INT((WEEKDAY(B331-7)+H331-1)/7)))*INDEX(Properties!$E$5:$E$24,MATCH(D331,Properties!$A$5:$A$24,0))+(INT((WEEKDAY(B331-6)+H331-1)/7)+INT((WEEKDAY(B331-7)+H331-1)/7))*INDEX(Properties!$F$5:$F$24,MATCH(D331,Properties!$A$5:$A$24,0)))*(1-IF(H331&gt;=28,Settings!$B$10,IF(H331&gt;=7,Settings!$B$9,0))),2)),0))</f>
        <v/>
      </c>
      <c r="K331" s="41" t="str">
        <f aca="false">IF(J331="","",IFERROR(N(INDEX(Properties!$G$5:$G$24,MATCH(D331,Properties!$A$5:$A$24,0))),0))</f>
        <v/>
      </c>
      <c r="L331" s="41" t="str">
        <f aca="false">IF(J331="","",IFERROR(MAX(0,N(G331)-INDEX(Properties!$I$5:$I$24,MATCH(D331,Properties!$A$5:$A$24,0)))*N(INDEX(Properties!$J$5:$J$24,MATCH(D331,Properties!$A$5:$A$24,0)))*H331,0))</f>
        <v/>
      </c>
      <c r="M331" s="37"/>
      <c r="N331" s="41" t="str">
        <f aca="false">IF(J331="","",J331+K331+L331+N(M331))</f>
        <v/>
      </c>
      <c r="O331" s="41" t="str">
        <f aca="false">IF(N331="","",IF(P331&lt;&gt;"",N331-P331,ROUND(N331*IFERROR(INDEX(Settings!$E$5:$E$12,MATCH(F331,Settings!$D$5:$D$12,0)),0),2)))</f>
        <v/>
      </c>
      <c r="P331" s="37"/>
      <c r="Q331" s="41" t="str">
        <f aca="false">IF(N331="","",IF(P331&lt;&gt;"",P331,N331-O331))</f>
        <v/>
      </c>
      <c r="R331" s="41" t="str">
        <f aca="false">IF(J331="","",IFERROR(N(INDEX(Properties!$H$5:$H$24,MATCH(D331,Properties!$A$5:$A$24,0))),0))</f>
        <v/>
      </c>
      <c r="S331" s="41" t="str">
        <f aca="false">IF(Q331="","",Q331-R331)</f>
        <v/>
      </c>
      <c r="T331" s="6"/>
      <c r="U331" s="6"/>
      <c r="V331" s="6"/>
      <c r="W331" s="6"/>
      <c r="X331" s="6"/>
      <c r="Y331" s="8" t="str">
        <f aca="false">IF(OR(D331="",B331="",C331=""),"",IF(N(C331)&lt;=N(B331),"Check dates",IF(T331="Cancelled","",IF(COUNTIFS($D$5:$D$1004,D331,$B$5:$B$1004,"&lt;"&amp;C331,$C$5:$C$1004,"&gt;"&amp;B331,$T$5:$T$1004,"&lt;&gt;Cancelled")&gt;1,"Double-booked",""))))</f>
        <v/>
      </c>
      <c r="Z331" s="42" t="str">
        <f aca="false">IF(AND(AA331=1,ISNUMBER(C331)),C331+ROW()/100000,"")</f>
        <v/>
      </c>
      <c r="AA331" s="43" t="n">
        <f aca="false">IF(AND(D331&lt;&gt;"",ISNUMBER(B331),ISNUMBER(C331),N(H331)&gt;0,T331&lt;&gt;"Cancelled",J331&lt;&gt;""),1,0)</f>
        <v>0</v>
      </c>
      <c r="AB331" s="44" t="n">
        <f aca="false">IF(AA331=1,J331/H331,0)</f>
        <v>0</v>
      </c>
      <c r="AC331" s="44" t="n">
        <f aca="false">IF(AA331=1,Q331/H331,0)</f>
        <v>0</v>
      </c>
      <c r="AD331" s="44" t="n">
        <f aca="false">IF(AA331=1,R331/H331,0)</f>
        <v>0</v>
      </c>
      <c r="AE331" s="44" t="n">
        <f aca="false">IF(AA331=1,O331/H331,0)</f>
        <v>0</v>
      </c>
      <c r="AF331" s="44" t="n">
        <f aca="false">IF(AA331=1,K331/H331,0)</f>
        <v>0</v>
      </c>
      <c r="AG331" s="45" t="str">
        <f aca="false">IF(AA331=1,D331&amp;"|"&amp;TEXT(B331,"0"),"")</f>
        <v/>
      </c>
      <c r="AH331" s="43" t="n">
        <f aca="false">IF(AA331=1,H331,0)</f>
        <v>0</v>
      </c>
    </row>
    <row r="332" customFormat="false" ht="15" hidden="false" customHeight="false" outlineLevel="0" collapsed="false">
      <c r="A332" s="23" t="str">
        <f aca="false">IF(B332="","","B-"&amp;TEXT(ROW()-4,"0000"))</f>
        <v/>
      </c>
      <c r="B332" s="38"/>
      <c r="C332" s="38"/>
      <c r="D332" s="6"/>
      <c r="E332" s="6"/>
      <c r="F332" s="6"/>
      <c r="G332" s="11"/>
      <c r="H332" s="24" t="str">
        <f aca="false">IF(AND(ISNUMBER(B332),ISNUMBER(C332)),MAX(0,C332-B332),"")</f>
        <v/>
      </c>
      <c r="I332" s="37"/>
      <c r="J332" s="46" t="str">
        <f aca="false">IF(OR(D332="",N(H332)=0),"",IFERROR(IF(I332&lt;&gt;"",H332*I332,ROUND(((H332-(INT((WEEKDAY(B332-6)+H332-1)/7)+INT((WEEKDAY(B332-7)+H332-1)/7)))*INDEX(Properties!$E$5:$E$24,MATCH(D332,Properties!$A$5:$A$24,0))+(INT((WEEKDAY(B332-6)+H332-1)/7)+INT((WEEKDAY(B332-7)+H332-1)/7))*INDEX(Properties!$F$5:$F$24,MATCH(D332,Properties!$A$5:$A$24,0)))*(1-IF(H332&gt;=28,Settings!$B$10,IF(H332&gt;=7,Settings!$B$9,0))),2)),0))</f>
        <v/>
      </c>
      <c r="K332" s="46" t="str">
        <f aca="false">IF(J332="","",IFERROR(N(INDEX(Properties!$G$5:$G$24,MATCH(D332,Properties!$A$5:$A$24,0))),0))</f>
        <v/>
      </c>
      <c r="L332" s="46" t="str">
        <f aca="false">IF(J332="","",IFERROR(MAX(0,N(G332)-INDEX(Properties!$I$5:$I$24,MATCH(D332,Properties!$A$5:$A$24,0)))*N(INDEX(Properties!$J$5:$J$24,MATCH(D332,Properties!$A$5:$A$24,0)))*H332,0))</f>
        <v/>
      </c>
      <c r="M332" s="37"/>
      <c r="N332" s="46" t="str">
        <f aca="false">IF(J332="","",J332+K332+L332+N(M332))</f>
        <v/>
      </c>
      <c r="O332" s="46" t="str">
        <f aca="false">IF(N332="","",IF(P332&lt;&gt;"",N332-P332,ROUND(N332*IFERROR(INDEX(Settings!$E$5:$E$12,MATCH(F332,Settings!$D$5:$D$12,0)),0),2)))</f>
        <v/>
      </c>
      <c r="P332" s="37"/>
      <c r="Q332" s="46" t="str">
        <f aca="false">IF(N332="","",IF(P332&lt;&gt;"",P332,N332-O332))</f>
        <v/>
      </c>
      <c r="R332" s="46" t="str">
        <f aca="false">IF(J332="","",IFERROR(N(INDEX(Properties!$H$5:$H$24,MATCH(D332,Properties!$A$5:$A$24,0))),0))</f>
        <v/>
      </c>
      <c r="S332" s="46" t="str">
        <f aca="false">IF(Q332="","",Q332-R332)</f>
        <v/>
      </c>
      <c r="T332" s="6"/>
      <c r="U332" s="6"/>
      <c r="V332" s="6"/>
      <c r="W332" s="6"/>
      <c r="X332" s="6"/>
      <c r="Y332" s="8" t="str">
        <f aca="false">IF(OR(D332="",B332="",C332=""),"",IF(N(C332)&lt;=N(B332),"Check dates",IF(T332="Cancelled","",IF(COUNTIFS($D$5:$D$1004,D332,$B$5:$B$1004,"&lt;"&amp;C332,$C$5:$C$1004,"&gt;"&amp;B332,$T$5:$T$1004,"&lt;&gt;Cancelled")&gt;1,"Double-booked",""))))</f>
        <v/>
      </c>
      <c r="Z332" s="42" t="str">
        <f aca="false">IF(AND(AA332=1,ISNUMBER(C332)),C332+ROW()/100000,"")</f>
        <v/>
      </c>
      <c r="AA332" s="43" t="n">
        <f aca="false">IF(AND(D332&lt;&gt;"",ISNUMBER(B332),ISNUMBER(C332),N(H332)&gt;0,T332&lt;&gt;"Cancelled",J332&lt;&gt;""),1,0)</f>
        <v>0</v>
      </c>
      <c r="AB332" s="44" t="n">
        <f aca="false">IF(AA332=1,J332/H332,0)</f>
        <v>0</v>
      </c>
      <c r="AC332" s="44" t="n">
        <f aca="false">IF(AA332=1,Q332/H332,0)</f>
        <v>0</v>
      </c>
      <c r="AD332" s="44" t="n">
        <f aca="false">IF(AA332=1,R332/H332,0)</f>
        <v>0</v>
      </c>
      <c r="AE332" s="44" t="n">
        <f aca="false">IF(AA332=1,O332/H332,0)</f>
        <v>0</v>
      </c>
      <c r="AF332" s="44" t="n">
        <f aca="false">IF(AA332=1,K332/H332,0)</f>
        <v>0</v>
      </c>
      <c r="AG332" s="45" t="str">
        <f aca="false">IF(AA332=1,D332&amp;"|"&amp;TEXT(B332,"0"),"")</f>
        <v/>
      </c>
      <c r="AH332" s="43" t="n">
        <f aca="false">IF(AA332=1,H332,0)</f>
        <v>0</v>
      </c>
    </row>
    <row r="333" customFormat="false" ht="15" hidden="false" customHeight="false" outlineLevel="0" collapsed="false">
      <c r="A333" s="8" t="str">
        <f aca="false">IF(B333="","","B-"&amp;TEXT(ROW()-4,"0000"))</f>
        <v/>
      </c>
      <c r="B333" s="38"/>
      <c r="C333" s="38"/>
      <c r="D333" s="6"/>
      <c r="E333" s="6"/>
      <c r="F333" s="6"/>
      <c r="G333" s="11"/>
      <c r="H333" s="18" t="str">
        <f aca="false">IF(AND(ISNUMBER(B333),ISNUMBER(C333)),MAX(0,C333-B333),"")</f>
        <v/>
      </c>
      <c r="I333" s="37"/>
      <c r="J333" s="41" t="str">
        <f aca="false">IF(OR(D333="",N(H333)=0),"",IFERROR(IF(I333&lt;&gt;"",H333*I333,ROUND(((H333-(INT((WEEKDAY(B333-6)+H333-1)/7)+INT((WEEKDAY(B333-7)+H333-1)/7)))*INDEX(Properties!$E$5:$E$24,MATCH(D333,Properties!$A$5:$A$24,0))+(INT((WEEKDAY(B333-6)+H333-1)/7)+INT((WEEKDAY(B333-7)+H333-1)/7))*INDEX(Properties!$F$5:$F$24,MATCH(D333,Properties!$A$5:$A$24,0)))*(1-IF(H333&gt;=28,Settings!$B$10,IF(H333&gt;=7,Settings!$B$9,0))),2)),0))</f>
        <v/>
      </c>
      <c r="K333" s="41" t="str">
        <f aca="false">IF(J333="","",IFERROR(N(INDEX(Properties!$G$5:$G$24,MATCH(D333,Properties!$A$5:$A$24,0))),0))</f>
        <v/>
      </c>
      <c r="L333" s="41" t="str">
        <f aca="false">IF(J333="","",IFERROR(MAX(0,N(G333)-INDEX(Properties!$I$5:$I$24,MATCH(D333,Properties!$A$5:$A$24,0)))*N(INDEX(Properties!$J$5:$J$24,MATCH(D333,Properties!$A$5:$A$24,0)))*H333,0))</f>
        <v/>
      </c>
      <c r="M333" s="37"/>
      <c r="N333" s="41" t="str">
        <f aca="false">IF(J333="","",J333+K333+L333+N(M333))</f>
        <v/>
      </c>
      <c r="O333" s="41" t="str">
        <f aca="false">IF(N333="","",IF(P333&lt;&gt;"",N333-P333,ROUND(N333*IFERROR(INDEX(Settings!$E$5:$E$12,MATCH(F333,Settings!$D$5:$D$12,0)),0),2)))</f>
        <v/>
      </c>
      <c r="P333" s="37"/>
      <c r="Q333" s="41" t="str">
        <f aca="false">IF(N333="","",IF(P333&lt;&gt;"",P333,N333-O333))</f>
        <v/>
      </c>
      <c r="R333" s="41" t="str">
        <f aca="false">IF(J333="","",IFERROR(N(INDEX(Properties!$H$5:$H$24,MATCH(D333,Properties!$A$5:$A$24,0))),0))</f>
        <v/>
      </c>
      <c r="S333" s="41" t="str">
        <f aca="false">IF(Q333="","",Q333-R333)</f>
        <v/>
      </c>
      <c r="T333" s="6"/>
      <c r="U333" s="6"/>
      <c r="V333" s="6"/>
      <c r="W333" s="6"/>
      <c r="X333" s="6"/>
      <c r="Y333" s="8" t="str">
        <f aca="false">IF(OR(D333="",B333="",C333=""),"",IF(N(C333)&lt;=N(B333),"Check dates",IF(T333="Cancelled","",IF(COUNTIFS($D$5:$D$1004,D333,$B$5:$B$1004,"&lt;"&amp;C333,$C$5:$C$1004,"&gt;"&amp;B333,$T$5:$T$1004,"&lt;&gt;Cancelled")&gt;1,"Double-booked",""))))</f>
        <v/>
      </c>
      <c r="Z333" s="42" t="str">
        <f aca="false">IF(AND(AA333=1,ISNUMBER(C333)),C333+ROW()/100000,"")</f>
        <v/>
      </c>
      <c r="AA333" s="43" t="n">
        <f aca="false">IF(AND(D333&lt;&gt;"",ISNUMBER(B333),ISNUMBER(C333),N(H333)&gt;0,T333&lt;&gt;"Cancelled",J333&lt;&gt;""),1,0)</f>
        <v>0</v>
      </c>
      <c r="AB333" s="44" t="n">
        <f aca="false">IF(AA333=1,J333/H333,0)</f>
        <v>0</v>
      </c>
      <c r="AC333" s="44" t="n">
        <f aca="false">IF(AA333=1,Q333/H333,0)</f>
        <v>0</v>
      </c>
      <c r="AD333" s="44" t="n">
        <f aca="false">IF(AA333=1,R333/H333,0)</f>
        <v>0</v>
      </c>
      <c r="AE333" s="44" t="n">
        <f aca="false">IF(AA333=1,O333/H333,0)</f>
        <v>0</v>
      </c>
      <c r="AF333" s="44" t="n">
        <f aca="false">IF(AA333=1,K333/H333,0)</f>
        <v>0</v>
      </c>
      <c r="AG333" s="45" t="str">
        <f aca="false">IF(AA333=1,D333&amp;"|"&amp;TEXT(B333,"0"),"")</f>
        <v/>
      </c>
      <c r="AH333" s="43" t="n">
        <f aca="false">IF(AA333=1,H333,0)</f>
        <v>0</v>
      </c>
    </row>
    <row r="334" customFormat="false" ht="15" hidden="false" customHeight="false" outlineLevel="0" collapsed="false">
      <c r="A334" s="23" t="str">
        <f aca="false">IF(B334="","","B-"&amp;TEXT(ROW()-4,"0000"))</f>
        <v/>
      </c>
      <c r="B334" s="38"/>
      <c r="C334" s="38"/>
      <c r="D334" s="6"/>
      <c r="E334" s="6"/>
      <c r="F334" s="6"/>
      <c r="G334" s="11"/>
      <c r="H334" s="24" t="str">
        <f aca="false">IF(AND(ISNUMBER(B334),ISNUMBER(C334)),MAX(0,C334-B334),"")</f>
        <v/>
      </c>
      <c r="I334" s="37"/>
      <c r="J334" s="46" t="str">
        <f aca="false">IF(OR(D334="",N(H334)=0),"",IFERROR(IF(I334&lt;&gt;"",H334*I334,ROUND(((H334-(INT((WEEKDAY(B334-6)+H334-1)/7)+INT((WEEKDAY(B334-7)+H334-1)/7)))*INDEX(Properties!$E$5:$E$24,MATCH(D334,Properties!$A$5:$A$24,0))+(INT((WEEKDAY(B334-6)+H334-1)/7)+INT((WEEKDAY(B334-7)+H334-1)/7))*INDEX(Properties!$F$5:$F$24,MATCH(D334,Properties!$A$5:$A$24,0)))*(1-IF(H334&gt;=28,Settings!$B$10,IF(H334&gt;=7,Settings!$B$9,0))),2)),0))</f>
        <v/>
      </c>
      <c r="K334" s="46" t="str">
        <f aca="false">IF(J334="","",IFERROR(N(INDEX(Properties!$G$5:$G$24,MATCH(D334,Properties!$A$5:$A$24,0))),0))</f>
        <v/>
      </c>
      <c r="L334" s="46" t="str">
        <f aca="false">IF(J334="","",IFERROR(MAX(0,N(G334)-INDEX(Properties!$I$5:$I$24,MATCH(D334,Properties!$A$5:$A$24,0)))*N(INDEX(Properties!$J$5:$J$24,MATCH(D334,Properties!$A$5:$A$24,0)))*H334,0))</f>
        <v/>
      </c>
      <c r="M334" s="37"/>
      <c r="N334" s="46" t="str">
        <f aca="false">IF(J334="","",J334+K334+L334+N(M334))</f>
        <v/>
      </c>
      <c r="O334" s="46" t="str">
        <f aca="false">IF(N334="","",IF(P334&lt;&gt;"",N334-P334,ROUND(N334*IFERROR(INDEX(Settings!$E$5:$E$12,MATCH(F334,Settings!$D$5:$D$12,0)),0),2)))</f>
        <v/>
      </c>
      <c r="P334" s="37"/>
      <c r="Q334" s="46" t="str">
        <f aca="false">IF(N334="","",IF(P334&lt;&gt;"",P334,N334-O334))</f>
        <v/>
      </c>
      <c r="R334" s="46" t="str">
        <f aca="false">IF(J334="","",IFERROR(N(INDEX(Properties!$H$5:$H$24,MATCH(D334,Properties!$A$5:$A$24,0))),0))</f>
        <v/>
      </c>
      <c r="S334" s="46" t="str">
        <f aca="false">IF(Q334="","",Q334-R334)</f>
        <v/>
      </c>
      <c r="T334" s="6"/>
      <c r="U334" s="6"/>
      <c r="V334" s="6"/>
      <c r="W334" s="6"/>
      <c r="X334" s="6"/>
      <c r="Y334" s="8" t="str">
        <f aca="false">IF(OR(D334="",B334="",C334=""),"",IF(N(C334)&lt;=N(B334),"Check dates",IF(T334="Cancelled","",IF(COUNTIFS($D$5:$D$1004,D334,$B$5:$B$1004,"&lt;"&amp;C334,$C$5:$C$1004,"&gt;"&amp;B334,$T$5:$T$1004,"&lt;&gt;Cancelled")&gt;1,"Double-booked",""))))</f>
        <v/>
      </c>
      <c r="Z334" s="42" t="str">
        <f aca="false">IF(AND(AA334=1,ISNUMBER(C334)),C334+ROW()/100000,"")</f>
        <v/>
      </c>
      <c r="AA334" s="43" t="n">
        <f aca="false">IF(AND(D334&lt;&gt;"",ISNUMBER(B334),ISNUMBER(C334),N(H334)&gt;0,T334&lt;&gt;"Cancelled",J334&lt;&gt;""),1,0)</f>
        <v>0</v>
      </c>
      <c r="AB334" s="44" t="n">
        <f aca="false">IF(AA334=1,J334/H334,0)</f>
        <v>0</v>
      </c>
      <c r="AC334" s="44" t="n">
        <f aca="false">IF(AA334=1,Q334/H334,0)</f>
        <v>0</v>
      </c>
      <c r="AD334" s="44" t="n">
        <f aca="false">IF(AA334=1,R334/H334,0)</f>
        <v>0</v>
      </c>
      <c r="AE334" s="44" t="n">
        <f aca="false">IF(AA334=1,O334/H334,0)</f>
        <v>0</v>
      </c>
      <c r="AF334" s="44" t="n">
        <f aca="false">IF(AA334=1,K334/H334,0)</f>
        <v>0</v>
      </c>
      <c r="AG334" s="45" t="str">
        <f aca="false">IF(AA334=1,D334&amp;"|"&amp;TEXT(B334,"0"),"")</f>
        <v/>
      </c>
      <c r="AH334" s="43" t="n">
        <f aca="false">IF(AA334=1,H334,0)</f>
        <v>0</v>
      </c>
    </row>
    <row r="335" customFormat="false" ht="15" hidden="false" customHeight="false" outlineLevel="0" collapsed="false">
      <c r="A335" s="8" t="str">
        <f aca="false">IF(B335="","","B-"&amp;TEXT(ROW()-4,"0000"))</f>
        <v/>
      </c>
      <c r="B335" s="38"/>
      <c r="C335" s="38"/>
      <c r="D335" s="6"/>
      <c r="E335" s="6"/>
      <c r="F335" s="6"/>
      <c r="G335" s="11"/>
      <c r="H335" s="18" t="str">
        <f aca="false">IF(AND(ISNUMBER(B335),ISNUMBER(C335)),MAX(0,C335-B335),"")</f>
        <v/>
      </c>
      <c r="I335" s="37"/>
      <c r="J335" s="41" t="str">
        <f aca="false">IF(OR(D335="",N(H335)=0),"",IFERROR(IF(I335&lt;&gt;"",H335*I335,ROUND(((H335-(INT((WEEKDAY(B335-6)+H335-1)/7)+INT((WEEKDAY(B335-7)+H335-1)/7)))*INDEX(Properties!$E$5:$E$24,MATCH(D335,Properties!$A$5:$A$24,0))+(INT((WEEKDAY(B335-6)+H335-1)/7)+INT((WEEKDAY(B335-7)+H335-1)/7))*INDEX(Properties!$F$5:$F$24,MATCH(D335,Properties!$A$5:$A$24,0)))*(1-IF(H335&gt;=28,Settings!$B$10,IF(H335&gt;=7,Settings!$B$9,0))),2)),0))</f>
        <v/>
      </c>
      <c r="K335" s="41" t="str">
        <f aca="false">IF(J335="","",IFERROR(N(INDEX(Properties!$G$5:$G$24,MATCH(D335,Properties!$A$5:$A$24,0))),0))</f>
        <v/>
      </c>
      <c r="L335" s="41" t="str">
        <f aca="false">IF(J335="","",IFERROR(MAX(0,N(G335)-INDEX(Properties!$I$5:$I$24,MATCH(D335,Properties!$A$5:$A$24,0)))*N(INDEX(Properties!$J$5:$J$24,MATCH(D335,Properties!$A$5:$A$24,0)))*H335,0))</f>
        <v/>
      </c>
      <c r="M335" s="37"/>
      <c r="N335" s="41" t="str">
        <f aca="false">IF(J335="","",J335+K335+L335+N(M335))</f>
        <v/>
      </c>
      <c r="O335" s="41" t="str">
        <f aca="false">IF(N335="","",IF(P335&lt;&gt;"",N335-P335,ROUND(N335*IFERROR(INDEX(Settings!$E$5:$E$12,MATCH(F335,Settings!$D$5:$D$12,0)),0),2)))</f>
        <v/>
      </c>
      <c r="P335" s="37"/>
      <c r="Q335" s="41" t="str">
        <f aca="false">IF(N335="","",IF(P335&lt;&gt;"",P335,N335-O335))</f>
        <v/>
      </c>
      <c r="R335" s="41" t="str">
        <f aca="false">IF(J335="","",IFERROR(N(INDEX(Properties!$H$5:$H$24,MATCH(D335,Properties!$A$5:$A$24,0))),0))</f>
        <v/>
      </c>
      <c r="S335" s="41" t="str">
        <f aca="false">IF(Q335="","",Q335-R335)</f>
        <v/>
      </c>
      <c r="T335" s="6"/>
      <c r="U335" s="6"/>
      <c r="V335" s="6"/>
      <c r="W335" s="6"/>
      <c r="X335" s="6"/>
      <c r="Y335" s="8" t="str">
        <f aca="false">IF(OR(D335="",B335="",C335=""),"",IF(N(C335)&lt;=N(B335),"Check dates",IF(T335="Cancelled","",IF(COUNTIFS($D$5:$D$1004,D335,$B$5:$B$1004,"&lt;"&amp;C335,$C$5:$C$1004,"&gt;"&amp;B335,$T$5:$T$1004,"&lt;&gt;Cancelled")&gt;1,"Double-booked",""))))</f>
        <v/>
      </c>
      <c r="Z335" s="42" t="str">
        <f aca="false">IF(AND(AA335=1,ISNUMBER(C335)),C335+ROW()/100000,"")</f>
        <v/>
      </c>
      <c r="AA335" s="43" t="n">
        <f aca="false">IF(AND(D335&lt;&gt;"",ISNUMBER(B335),ISNUMBER(C335),N(H335)&gt;0,T335&lt;&gt;"Cancelled",J335&lt;&gt;""),1,0)</f>
        <v>0</v>
      </c>
      <c r="AB335" s="44" t="n">
        <f aca="false">IF(AA335=1,J335/H335,0)</f>
        <v>0</v>
      </c>
      <c r="AC335" s="44" t="n">
        <f aca="false">IF(AA335=1,Q335/H335,0)</f>
        <v>0</v>
      </c>
      <c r="AD335" s="44" t="n">
        <f aca="false">IF(AA335=1,R335/H335,0)</f>
        <v>0</v>
      </c>
      <c r="AE335" s="44" t="n">
        <f aca="false">IF(AA335=1,O335/H335,0)</f>
        <v>0</v>
      </c>
      <c r="AF335" s="44" t="n">
        <f aca="false">IF(AA335=1,K335/H335,0)</f>
        <v>0</v>
      </c>
      <c r="AG335" s="45" t="str">
        <f aca="false">IF(AA335=1,D335&amp;"|"&amp;TEXT(B335,"0"),"")</f>
        <v/>
      </c>
      <c r="AH335" s="43" t="n">
        <f aca="false">IF(AA335=1,H335,0)</f>
        <v>0</v>
      </c>
    </row>
    <row r="336" customFormat="false" ht="15" hidden="false" customHeight="false" outlineLevel="0" collapsed="false">
      <c r="A336" s="23" t="str">
        <f aca="false">IF(B336="","","B-"&amp;TEXT(ROW()-4,"0000"))</f>
        <v/>
      </c>
      <c r="B336" s="38"/>
      <c r="C336" s="38"/>
      <c r="D336" s="6"/>
      <c r="E336" s="6"/>
      <c r="F336" s="6"/>
      <c r="G336" s="11"/>
      <c r="H336" s="24" t="str">
        <f aca="false">IF(AND(ISNUMBER(B336),ISNUMBER(C336)),MAX(0,C336-B336),"")</f>
        <v/>
      </c>
      <c r="I336" s="37"/>
      <c r="J336" s="46" t="str">
        <f aca="false">IF(OR(D336="",N(H336)=0),"",IFERROR(IF(I336&lt;&gt;"",H336*I336,ROUND(((H336-(INT((WEEKDAY(B336-6)+H336-1)/7)+INT((WEEKDAY(B336-7)+H336-1)/7)))*INDEX(Properties!$E$5:$E$24,MATCH(D336,Properties!$A$5:$A$24,0))+(INT((WEEKDAY(B336-6)+H336-1)/7)+INT((WEEKDAY(B336-7)+H336-1)/7))*INDEX(Properties!$F$5:$F$24,MATCH(D336,Properties!$A$5:$A$24,0)))*(1-IF(H336&gt;=28,Settings!$B$10,IF(H336&gt;=7,Settings!$B$9,0))),2)),0))</f>
        <v/>
      </c>
      <c r="K336" s="46" t="str">
        <f aca="false">IF(J336="","",IFERROR(N(INDEX(Properties!$G$5:$G$24,MATCH(D336,Properties!$A$5:$A$24,0))),0))</f>
        <v/>
      </c>
      <c r="L336" s="46" t="str">
        <f aca="false">IF(J336="","",IFERROR(MAX(0,N(G336)-INDEX(Properties!$I$5:$I$24,MATCH(D336,Properties!$A$5:$A$24,0)))*N(INDEX(Properties!$J$5:$J$24,MATCH(D336,Properties!$A$5:$A$24,0)))*H336,0))</f>
        <v/>
      </c>
      <c r="M336" s="37"/>
      <c r="N336" s="46" t="str">
        <f aca="false">IF(J336="","",J336+K336+L336+N(M336))</f>
        <v/>
      </c>
      <c r="O336" s="46" t="str">
        <f aca="false">IF(N336="","",IF(P336&lt;&gt;"",N336-P336,ROUND(N336*IFERROR(INDEX(Settings!$E$5:$E$12,MATCH(F336,Settings!$D$5:$D$12,0)),0),2)))</f>
        <v/>
      </c>
      <c r="P336" s="37"/>
      <c r="Q336" s="46" t="str">
        <f aca="false">IF(N336="","",IF(P336&lt;&gt;"",P336,N336-O336))</f>
        <v/>
      </c>
      <c r="R336" s="46" t="str">
        <f aca="false">IF(J336="","",IFERROR(N(INDEX(Properties!$H$5:$H$24,MATCH(D336,Properties!$A$5:$A$24,0))),0))</f>
        <v/>
      </c>
      <c r="S336" s="46" t="str">
        <f aca="false">IF(Q336="","",Q336-R336)</f>
        <v/>
      </c>
      <c r="T336" s="6"/>
      <c r="U336" s="6"/>
      <c r="V336" s="6"/>
      <c r="W336" s="6"/>
      <c r="X336" s="6"/>
      <c r="Y336" s="8" t="str">
        <f aca="false">IF(OR(D336="",B336="",C336=""),"",IF(N(C336)&lt;=N(B336),"Check dates",IF(T336="Cancelled","",IF(COUNTIFS($D$5:$D$1004,D336,$B$5:$B$1004,"&lt;"&amp;C336,$C$5:$C$1004,"&gt;"&amp;B336,$T$5:$T$1004,"&lt;&gt;Cancelled")&gt;1,"Double-booked",""))))</f>
        <v/>
      </c>
      <c r="Z336" s="42" t="str">
        <f aca="false">IF(AND(AA336=1,ISNUMBER(C336)),C336+ROW()/100000,"")</f>
        <v/>
      </c>
      <c r="AA336" s="43" t="n">
        <f aca="false">IF(AND(D336&lt;&gt;"",ISNUMBER(B336),ISNUMBER(C336),N(H336)&gt;0,T336&lt;&gt;"Cancelled",J336&lt;&gt;""),1,0)</f>
        <v>0</v>
      </c>
      <c r="AB336" s="44" t="n">
        <f aca="false">IF(AA336=1,J336/H336,0)</f>
        <v>0</v>
      </c>
      <c r="AC336" s="44" t="n">
        <f aca="false">IF(AA336=1,Q336/H336,0)</f>
        <v>0</v>
      </c>
      <c r="AD336" s="44" t="n">
        <f aca="false">IF(AA336=1,R336/H336,0)</f>
        <v>0</v>
      </c>
      <c r="AE336" s="44" t="n">
        <f aca="false">IF(AA336=1,O336/H336,0)</f>
        <v>0</v>
      </c>
      <c r="AF336" s="44" t="n">
        <f aca="false">IF(AA336=1,K336/H336,0)</f>
        <v>0</v>
      </c>
      <c r="AG336" s="45" t="str">
        <f aca="false">IF(AA336=1,D336&amp;"|"&amp;TEXT(B336,"0"),"")</f>
        <v/>
      </c>
      <c r="AH336" s="43" t="n">
        <f aca="false">IF(AA336=1,H336,0)</f>
        <v>0</v>
      </c>
    </row>
    <row r="337" customFormat="false" ht="15" hidden="false" customHeight="false" outlineLevel="0" collapsed="false">
      <c r="A337" s="8" t="str">
        <f aca="false">IF(B337="","","B-"&amp;TEXT(ROW()-4,"0000"))</f>
        <v/>
      </c>
      <c r="B337" s="38"/>
      <c r="C337" s="38"/>
      <c r="D337" s="6"/>
      <c r="E337" s="6"/>
      <c r="F337" s="6"/>
      <c r="G337" s="11"/>
      <c r="H337" s="18" t="str">
        <f aca="false">IF(AND(ISNUMBER(B337),ISNUMBER(C337)),MAX(0,C337-B337),"")</f>
        <v/>
      </c>
      <c r="I337" s="37"/>
      <c r="J337" s="41" t="str">
        <f aca="false">IF(OR(D337="",N(H337)=0),"",IFERROR(IF(I337&lt;&gt;"",H337*I337,ROUND(((H337-(INT((WEEKDAY(B337-6)+H337-1)/7)+INT((WEEKDAY(B337-7)+H337-1)/7)))*INDEX(Properties!$E$5:$E$24,MATCH(D337,Properties!$A$5:$A$24,0))+(INT((WEEKDAY(B337-6)+H337-1)/7)+INT((WEEKDAY(B337-7)+H337-1)/7))*INDEX(Properties!$F$5:$F$24,MATCH(D337,Properties!$A$5:$A$24,0)))*(1-IF(H337&gt;=28,Settings!$B$10,IF(H337&gt;=7,Settings!$B$9,0))),2)),0))</f>
        <v/>
      </c>
      <c r="K337" s="41" t="str">
        <f aca="false">IF(J337="","",IFERROR(N(INDEX(Properties!$G$5:$G$24,MATCH(D337,Properties!$A$5:$A$24,0))),0))</f>
        <v/>
      </c>
      <c r="L337" s="41" t="str">
        <f aca="false">IF(J337="","",IFERROR(MAX(0,N(G337)-INDEX(Properties!$I$5:$I$24,MATCH(D337,Properties!$A$5:$A$24,0)))*N(INDEX(Properties!$J$5:$J$24,MATCH(D337,Properties!$A$5:$A$24,0)))*H337,0))</f>
        <v/>
      </c>
      <c r="M337" s="37"/>
      <c r="N337" s="41" t="str">
        <f aca="false">IF(J337="","",J337+K337+L337+N(M337))</f>
        <v/>
      </c>
      <c r="O337" s="41" t="str">
        <f aca="false">IF(N337="","",IF(P337&lt;&gt;"",N337-P337,ROUND(N337*IFERROR(INDEX(Settings!$E$5:$E$12,MATCH(F337,Settings!$D$5:$D$12,0)),0),2)))</f>
        <v/>
      </c>
      <c r="P337" s="37"/>
      <c r="Q337" s="41" t="str">
        <f aca="false">IF(N337="","",IF(P337&lt;&gt;"",P337,N337-O337))</f>
        <v/>
      </c>
      <c r="R337" s="41" t="str">
        <f aca="false">IF(J337="","",IFERROR(N(INDEX(Properties!$H$5:$H$24,MATCH(D337,Properties!$A$5:$A$24,0))),0))</f>
        <v/>
      </c>
      <c r="S337" s="41" t="str">
        <f aca="false">IF(Q337="","",Q337-R337)</f>
        <v/>
      </c>
      <c r="T337" s="6"/>
      <c r="U337" s="6"/>
      <c r="V337" s="6"/>
      <c r="W337" s="6"/>
      <c r="X337" s="6"/>
      <c r="Y337" s="8" t="str">
        <f aca="false">IF(OR(D337="",B337="",C337=""),"",IF(N(C337)&lt;=N(B337),"Check dates",IF(T337="Cancelled","",IF(COUNTIFS($D$5:$D$1004,D337,$B$5:$B$1004,"&lt;"&amp;C337,$C$5:$C$1004,"&gt;"&amp;B337,$T$5:$T$1004,"&lt;&gt;Cancelled")&gt;1,"Double-booked",""))))</f>
        <v/>
      </c>
      <c r="Z337" s="42" t="str">
        <f aca="false">IF(AND(AA337=1,ISNUMBER(C337)),C337+ROW()/100000,"")</f>
        <v/>
      </c>
      <c r="AA337" s="43" t="n">
        <f aca="false">IF(AND(D337&lt;&gt;"",ISNUMBER(B337),ISNUMBER(C337),N(H337)&gt;0,T337&lt;&gt;"Cancelled",J337&lt;&gt;""),1,0)</f>
        <v>0</v>
      </c>
      <c r="AB337" s="44" t="n">
        <f aca="false">IF(AA337=1,J337/H337,0)</f>
        <v>0</v>
      </c>
      <c r="AC337" s="44" t="n">
        <f aca="false">IF(AA337=1,Q337/H337,0)</f>
        <v>0</v>
      </c>
      <c r="AD337" s="44" t="n">
        <f aca="false">IF(AA337=1,R337/H337,0)</f>
        <v>0</v>
      </c>
      <c r="AE337" s="44" t="n">
        <f aca="false">IF(AA337=1,O337/H337,0)</f>
        <v>0</v>
      </c>
      <c r="AF337" s="44" t="n">
        <f aca="false">IF(AA337=1,K337/H337,0)</f>
        <v>0</v>
      </c>
      <c r="AG337" s="45" t="str">
        <f aca="false">IF(AA337=1,D337&amp;"|"&amp;TEXT(B337,"0"),"")</f>
        <v/>
      </c>
      <c r="AH337" s="43" t="n">
        <f aca="false">IF(AA337=1,H337,0)</f>
        <v>0</v>
      </c>
    </row>
    <row r="338" customFormat="false" ht="15" hidden="false" customHeight="false" outlineLevel="0" collapsed="false">
      <c r="A338" s="23" t="str">
        <f aca="false">IF(B338="","","B-"&amp;TEXT(ROW()-4,"0000"))</f>
        <v/>
      </c>
      <c r="B338" s="38"/>
      <c r="C338" s="38"/>
      <c r="D338" s="6"/>
      <c r="E338" s="6"/>
      <c r="F338" s="6"/>
      <c r="G338" s="11"/>
      <c r="H338" s="24" t="str">
        <f aca="false">IF(AND(ISNUMBER(B338),ISNUMBER(C338)),MAX(0,C338-B338),"")</f>
        <v/>
      </c>
      <c r="I338" s="37"/>
      <c r="J338" s="46" t="str">
        <f aca="false">IF(OR(D338="",N(H338)=0),"",IFERROR(IF(I338&lt;&gt;"",H338*I338,ROUND(((H338-(INT((WEEKDAY(B338-6)+H338-1)/7)+INT((WEEKDAY(B338-7)+H338-1)/7)))*INDEX(Properties!$E$5:$E$24,MATCH(D338,Properties!$A$5:$A$24,0))+(INT((WEEKDAY(B338-6)+H338-1)/7)+INT((WEEKDAY(B338-7)+H338-1)/7))*INDEX(Properties!$F$5:$F$24,MATCH(D338,Properties!$A$5:$A$24,0)))*(1-IF(H338&gt;=28,Settings!$B$10,IF(H338&gt;=7,Settings!$B$9,0))),2)),0))</f>
        <v/>
      </c>
      <c r="K338" s="46" t="str">
        <f aca="false">IF(J338="","",IFERROR(N(INDEX(Properties!$G$5:$G$24,MATCH(D338,Properties!$A$5:$A$24,0))),0))</f>
        <v/>
      </c>
      <c r="L338" s="46" t="str">
        <f aca="false">IF(J338="","",IFERROR(MAX(0,N(G338)-INDEX(Properties!$I$5:$I$24,MATCH(D338,Properties!$A$5:$A$24,0)))*N(INDEX(Properties!$J$5:$J$24,MATCH(D338,Properties!$A$5:$A$24,0)))*H338,0))</f>
        <v/>
      </c>
      <c r="M338" s="37"/>
      <c r="N338" s="46" t="str">
        <f aca="false">IF(J338="","",J338+K338+L338+N(M338))</f>
        <v/>
      </c>
      <c r="O338" s="46" t="str">
        <f aca="false">IF(N338="","",IF(P338&lt;&gt;"",N338-P338,ROUND(N338*IFERROR(INDEX(Settings!$E$5:$E$12,MATCH(F338,Settings!$D$5:$D$12,0)),0),2)))</f>
        <v/>
      </c>
      <c r="P338" s="37"/>
      <c r="Q338" s="46" t="str">
        <f aca="false">IF(N338="","",IF(P338&lt;&gt;"",P338,N338-O338))</f>
        <v/>
      </c>
      <c r="R338" s="46" t="str">
        <f aca="false">IF(J338="","",IFERROR(N(INDEX(Properties!$H$5:$H$24,MATCH(D338,Properties!$A$5:$A$24,0))),0))</f>
        <v/>
      </c>
      <c r="S338" s="46" t="str">
        <f aca="false">IF(Q338="","",Q338-R338)</f>
        <v/>
      </c>
      <c r="T338" s="6"/>
      <c r="U338" s="6"/>
      <c r="V338" s="6"/>
      <c r="W338" s="6"/>
      <c r="X338" s="6"/>
      <c r="Y338" s="8" t="str">
        <f aca="false">IF(OR(D338="",B338="",C338=""),"",IF(N(C338)&lt;=N(B338),"Check dates",IF(T338="Cancelled","",IF(COUNTIFS($D$5:$D$1004,D338,$B$5:$B$1004,"&lt;"&amp;C338,$C$5:$C$1004,"&gt;"&amp;B338,$T$5:$T$1004,"&lt;&gt;Cancelled")&gt;1,"Double-booked",""))))</f>
        <v/>
      </c>
      <c r="Z338" s="42" t="str">
        <f aca="false">IF(AND(AA338=1,ISNUMBER(C338)),C338+ROW()/100000,"")</f>
        <v/>
      </c>
      <c r="AA338" s="43" t="n">
        <f aca="false">IF(AND(D338&lt;&gt;"",ISNUMBER(B338),ISNUMBER(C338),N(H338)&gt;0,T338&lt;&gt;"Cancelled",J338&lt;&gt;""),1,0)</f>
        <v>0</v>
      </c>
      <c r="AB338" s="44" t="n">
        <f aca="false">IF(AA338=1,J338/H338,0)</f>
        <v>0</v>
      </c>
      <c r="AC338" s="44" t="n">
        <f aca="false">IF(AA338=1,Q338/H338,0)</f>
        <v>0</v>
      </c>
      <c r="AD338" s="44" t="n">
        <f aca="false">IF(AA338=1,R338/H338,0)</f>
        <v>0</v>
      </c>
      <c r="AE338" s="44" t="n">
        <f aca="false">IF(AA338=1,O338/H338,0)</f>
        <v>0</v>
      </c>
      <c r="AF338" s="44" t="n">
        <f aca="false">IF(AA338=1,K338/H338,0)</f>
        <v>0</v>
      </c>
      <c r="AG338" s="45" t="str">
        <f aca="false">IF(AA338=1,D338&amp;"|"&amp;TEXT(B338,"0"),"")</f>
        <v/>
      </c>
      <c r="AH338" s="43" t="n">
        <f aca="false">IF(AA338=1,H338,0)</f>
        <v>0</v>
      </c>
    </row>
    <row r="339" customFormat="false" ht="15" hidden="false" customHeight="false" outlineLevel="0" collapsed="false">
      <c r="A339" s="8" t="str">
        <f aca="false">IF(B339="","","B-"&amp;TEXT(ROW()-4,"0000"))</f>
        <v/>
      </c>
      <c r="B339" s="38"/>
      <c r="C339" s="38"/>
      <c r="D339" s="6"/>
      <c r="E339" s="6"/>
      <c r="F339" s="6"/>
      <c r="G339" s="11"/>
      <c r="H339" s="18" t="str">
        <f aca="false">IF(AND(ISNUMBER(B339),ISNUMBER(C339)),MAX(0,C339-B339),"")</f>
        <v/>
      </c>
      <c r="I339" s="37"/>
      <c r="J339" s="41" t="str">
        <f aca="false">IF(OR(D339="",N(H339)=0),"",IFERROR(IF(I339&lt;&gt;"",H339*I339,ROUND(((H339-(INT((WEEKDAY(B339-6)+H339-1)/7)+INT((WEEKDAY(B339-7)+H339-1)/7)))*INDEX(Properties!$E$5:$E$24,MATCH(D339,Properties!$A$5:$A$24,0))+(INT((WEEKDAY(B339-6)+H339-1)/7)+INT((WEEKDAY(B339-7)+H339-1)/7))*INDEX(Properties!$F$5:$F$24,MATCH(D339,Properties!$A$5:$A$24,0)))*(1-IF(H339&gt;=28,Settings!$B$10,IF(H339&gt;=7,Settings!$B$9,0))),2)),0))</f>
        <v/>
      </c>
      <c r="K339" s="41" t="str">
        <f aca="false">IF(J339="","",IFERROR(N(INDEX(Properties!$G$5:$G$24,MATCH(D339,Properties!$A$5:$A$24,0))),0))</f>
        <v/>
      </c>
      <c r="L339" s="41" t="str">
        <f aca="false">IF(J339="","",IFERROR(MAX(0,N(G339)-INDEX(Properties!$I$5:$I$24,MATCH(D339,Properties!$A$5:$A$24,0)))*N(INDEX(Properties!$J$5:$J$24,MATCH(D339,Properties!$A$5:$A$24,0)))*H339,0))</f>
        <v/>
      </c>
      <c r="M339" s="37"/>
      <c r="N339" s="41" t="str">
        <f aca="false">IF(J339="","",J339+K339+L339+N(M339))</f>
        <v/>
      </c>
      <c r="O339" s="41" t="str">
        <f aca="false">IF(N339="","",IF(P339&lt;&gt;"",N339-P339,ROUND(N339*IFERROR(INDEX(Settings!$E$5:$E$12,MATCH(F339,Settings!$D$5:$D$12,0)),0),2)))</f>
        <v/>
      </c>
      <c r="P339" s="37"/>
      <c r="Q339" s="41" t="str">
        <f aca="false">IF(N339="","",IF(P339&lt;&gt;"",P339,N339-O339))</f>
        <v/>
      </c>
      <c r="R339" s="41" t="str">
        <f aca="false">IF(J339="","",IFERROR(N(INDEX(Properties!$H$5:$H$24,MATCH(D339,Properties!$A$5:$A$24,0))),0))</f>
        <v/>
      </c>
      <c r="S339" s="41" t="str">
        <f aca="false">IF(Q339="","",Q339-R339)</f>
        <v/>
      </c>
      <c r="T339" s="6"/>
      <c r="U339" s="6"/>
      <c r="V339" s="6"/>
      <c r="W339" s="6"/>
      <c r="X339" s="6"/>
      <c r="Y339" s="8" t="str">
        <f aca="false">IF(OR(D339="",B339="",C339=""),"",IF(N(C339)&lt;=N(B339),"Check dates",IF(T339="Cancelled","",IF(COUNTIFS($D$5:$D$1004,D339,$B$5:$B$1004,"&lt;"&amp;C339,$C$5:$C$1004,"&gt;"&amp;B339,$T$5:$T$1004,"&lt;&gt;Cancelled")&gt;1,"Double-booked",""))))</f>
        <v/>
      </c>
      <c r="Z339" s="42" t="str">
        <f aca="false">IF(AND(AA339=1,ISNUMBER(C339)),C339+ROW()/100000,"")</f>
        <v/>
      </c>
      <c r="AA339" s="43" t="n">
        <f aca="false">IF(AND(D339&lt;&gt;"",ISNUMBER(B339),ISNUMBER(C339),N(H339)&gt;0,T339&lt;&gt;"Cancelled",J339&lt;&gt;""),1,0)</f>
        <v>0</v>
      </c>
      <c r="AB339" s="44" t="n">
        <f aca="false">IF(AA339=1,J339/H339,0)</f>
        <v>0</v>
      </c>
      <c r="AC339" s="44" t="n">
        <f aca="false">IF(AA339=1,Q339/H339,0)</f>
        <v>0</v>
      </c>
      <c r="AD339" s="44" t="n">
        <f aca="false">IF(AA339=1,R339/H339,0)</f>
        <v>0</v>
      </c>
      <c r="AE339" s="44" t="n">
        <f aca="false">IF(AA339=1,O339/H339,0)</f>
        <v>0</v>
      </c>
      <c r="AF339" s="44" t="n">
        <f aca="false">IF(AA339=1,K339/H339,0)</f>
        <v>0</v>
      </c>
      <c r="AG339" s="45" t="str">
        <f aca="false">IF(AA339=1,D339&amp;"|"&amp;TEXT(B339,"0"),"")</f>
        <v/>
      </c>
      <c r="AH339" s="43" t="n">
        <f aca="false">IF(AA339=1,H339,0)</f>
        <v>0</v>
      </c>
    </row>
    <row r="340" customFormat="false" ht="15" hidden="false" customHeight="false" outlineLevel="0" collapsed="false">
      <c r="A340" s="23" t="str">
        <f aca="false">IF(B340="","","B-"&amp;TEXT(ROW()-4,"0000"))</f>
        <v/>
      </c>
      <c r="B340" s="38"/>
      <c r="C340" s="38"/>
      <c r="D340" s="6"/>
      <c r="E340" s="6"/>
      <c r="F340" s="6"/>
      <c r="G340" s="11"/>
      <c r="H340" s="24" t="str">
        <f aca="false">IF(AND(ISNUMBER(B340),ISNUMBER(C340)),MAX(0,C340-B340),"")</f>
        <v/>
      </c>
      <c r="I340" s="37"/>
      <c r="J340" s="46" t="str">
        <f aca="false">IF(OR(D340="",N(H340)=0),"",IFERROR(IF(I340&lt;&gt;"",H340*I340,ROUND(((H340-(INT((WEEKDAY(B340-6)+H340-1)/7)+INT((WEEKDAY(B340-7)+H340-1)/7)))*INDEX(Properties!$E$5:$E$24,MATCH(D340,Properties!$A$5:$A$24,0))+(INT((WEEKDAY(B340-6)+H340-1)/7)+INT((WEEKDAY(B340-7)+H340-1)/7))*INDEX(Properties!$F$5:$F$24,MATCH(D340,Properties!$A$5:$A$24,0)))*(1-IF(H340&gt;=28,Settings!$B$10,IF(H340&gt;=7,Settings!$B$9,0))),2)),0))</f>
        <v/>
      </c>
      <c r="K340" s="46" t="str">
        <f aca="false">IF(J340="","",IFERROR(N(INDEX(Properties!$G$5:$G$24,MATCH(D340,Properties!$A$5:$A$24,0))),0))</f>
        <v/>
      </c>
      <c r="L340" s="46" t="str">
        <f aca="false">IF(J340="","",IFERROR(MAX(0,N(G340)-INDEX(Properties!$I$5:$I$24,MATCH(D340,Properties!$A$5:$A$24,0)))*N(INDEX(Properties!$J$5:$J$24,MATCH(D340,Properties!$A$5:$A$24,0)))*H340,0))</f>
        <v/>
      </c>
      <c r="M340" s="37"/>
      <c r="N340" s="46" t="str">
        <f aca="false">IF(J340="","",J340+K340+L340+N(M340))</f>
        <v/>
      </c>
      <c r="O340" s="46" t="str">
        <f aca="false">IF(N340="","",IF(P340&lt;&gt;"",N340-P340,ROUND(N340*IFERROR(INDEX(Settings!$E$5:$E$12,MATCH(F340,Settings!$D$5:$D$12,0)),0),2)))</f>
        <v/>
      </c>
      <c r="P340" s="37"/>
      <c r="Q340" s="46" t="str">
        <f aca="false">IF(N340="","",IF(P340&lt;&gt;"",P340,N340-O340))</f>
        <v/>
      </c>
      <c r="R340" s="46" t="str">
        <f aca="false">IF(J340="","",IFERROR(N(INDEX(Properties!$H$5:$H$24,MATCH(D340,Properties!$A$5:$A$24,0))),0))</f>
        <v/>
      </c>
      <c r="S340" s="46" t="str">
        <f aca="false">IF(Q340="","",Q340-R340)</f>
        <v/>
      </c>
      <c r="T340" s="6"/>
      <c r="U340" s="6"/>
      <c r="V340" s="6"/>
      <c r="W340" s="6"/>
      <c r="X340" s="6"/>
      <c r="Y340" s="8" t="str">
        <f aca="false">IF(OR(D340="",B340="",C340=""),"",IF(N(C340)&lt;=N(B340),"Check dates",IF(T340="Cancelled","",IF(COUNTIFS($D$5:$D$1004,D340,$B$5:$B$1004,"&lt;"&amp;C340,$C$5:$C$1004,"&gt;"&amp;B340,$T$5:$T$1004,"&lt;&gt;Cancelled")&gt;1,"Double-booked",""))))</f>
        <v/>
      </c>
      <c r="Z340" s="42" t="str">
        <f aca="false">IF(AND(AA340=1,ISNUMBER(C340)),C340+ROW()/100000,"")</f>
        <v/>
      </c>
      <c r="AA340" s="43" t="n">
        <f aca="false">IF(AND(D340&lt;&gt;"",ISNUMBER(B340),ISNUMBER(C340),N(H340)&gt;0,T340&lt;&gt;"Cancelled",J340&lt;&gt;""),1,0)</f>
        <v>0</v>
      </c>
      <c r="AB340" s="44" t="n">
        <f aca="false">IF(AA340=1,J340/H340,0)</f>
        <v>0</v>
      </c>
      <c r="AC340" s="44" t="n">
        <f aca="false">IF(AA340=1,Q340/H340,0)</f>
        <v>0</v>
      </c>
      <c r="AD340" s="44" t="n">
        <f aca="false">IF(AA340=1,R340/H340,0)</f>
        <v>0</v>
      </c>
      <c r="AE340" s="44" t="n">
        <f aca="false">IF(AA340=1,O340/H340,0)</f>
        <v>0</v>
      </c>
      <c r="AF340" s="44" t="n">
        <f aca="false">IF(AA340=1,K340/H340,0)</f>
        <v>0</v>
      </c>
      <c r="AG340" s="45" t="str">
        <f aca="false">IF(AA340=1,D340&amp;"|"&amp;TEXT(B340,"0"),"")</f>
        <v/>
      </c>
      <c r="AH340" s="43" t="n">
        <f aca="false">IF(AA340=1,H340,0)</f>
        <v>0</v>
      </c>
    </row>
    <row r="341" customFormat="false" ht="15" hidden="false" customHeight="false" outlineLevel="0" collapsed="false">
      <c r="A341" s="8" t="str">
        <f aca="false">IF(B341="","","B-"&amp;TEXT(ROW()-4,"0000"))</f>
        <v/>
      </c>
      <c r="B341" s="38"/>
      <c r="C341" s="38"/>
      <c r="D341" s="6"/>
      <c r="E341" s="6"/>
      <c r="F341" s="6"/>
      <c r="G341" s="11"/>
      <c r="H341" s="18" t="str">
        <f aca="false">IF(AND(ISNUMBER(B341),ISNUMBER(C341)),MAX(0,C341-B341),"")</f>
        <v/>
      </c>
      <c r="I341" s="37"/>
      <c r="J341" s="41" t="str">
        <f aca="false">IF(OR(D341="",N(H341)=0),"",IFERROR(IF(I341&lt;&gt;"",H341*I341,ROUND(((H341-(INT((WEEKDAY(B341-6)+H341-1)/7)+INT((WEEKDAY(B341-7)+H341-1)/7)))*INDEX(Properties!$E$5:$E$24,MATCH(D341,Properties!$A$5:$A$24,0))+(INT((WEEKDAY(B341-6)+H341-1)/7)+INT((WEEKDAY(B341-7)+H341-1)/7))*INDEX(Properties!$F$5:$F$24,MATCH(D341,Properties!$A$5:$A$24,0)))*(1-IF(H341&gt;=28,Settings!$B$10,IF(H341&gt;=7,Settings!$B$9,0))),2)),0))</f>
        <v/>
      </c>
      <c r="K341" s="41" t="str">
        <f aca="false">IF(J341="","",IFERROR(N(INDEX(Properties!$G$5:$G$24,MATCH(D341,Properties!$A$5:$A$24,0))),0))</f>
        <v/>
      </c>
      <c r="L341" s="41" t="str">
        <f aca="false">IF(J341="","",IFERROR(MAX(0,N(G341)-INDEX(Properties!$I$5:$I$24,MATCH(D341,Properties!$A$5:$A$24,0)))*N(INDEX(Properties!$J$5:$J$24,MATCH(D341,Properties!$A$5:$A$24,0)))*H341,0))</f>
        <v/>
      </c>
      <c r="M341" s="37"/>
      <c r="N341" s="41" t="str">
        <f aca="false">IF(J341="","",J341+K341+L341+N(M341))</f>
        <v/>
      </c>
      <c r="O341" s="41" t="str">
        <f aca="false">IF(N341="","",IF(P341&lt;&gt;"",N341-P341,ROUND(N341*IFERROR(INDEX(Settings!$E$5:$E$12,MATCH(F341,Settings!$D$5:$D$12,0)),0),2)))</f>
        <v/>
      </c>
      <c r="P341" s="37"/>
      <c r="Q341" s="41" t="str">
        <f aca="false">IF(N341="","",IF(P341&lt;&gt;"",P341,N341-O341))</f>
        <v/>
      </c>
      <c r="R341" s="41" t="str">
        <f aca="false">IF(J341="","",IFERROR(N(INDEX(Properties!$H$5:$H$24,MATCH(D341,Properties!$A$5:$A$24,0))),0))</f>
        <v/>
      </c>
      <c r="S341" s="41" t="str">
        <f aca="false">IF(Q341="","",Q341-R341)</f>
        <v/>
      </c>
      <c r="T341" s="6"/>
      <c r="U341" s="6"/>
      <c r="V341" s="6"/>
      <c r="W341" s="6"/>
      <c r="X341" s="6"/>
      <c r="Y341" s="8" t="str">
        <f aca="false">IF(OR(D341="",B341="",C341=""),"",IF(N(C341)&lt;=N(B341),"Check dates",IF(T341="Cancelled","",IF(COUNTIFS($D$5:$D$1004,D341,$B$5:$B$1004,"&lt;"&amp;C341,$C$5:$C$1004,"&gt;"&amp;B341,$T$5:$T$1004,"&lt;&gt;Cancelled")&gt;1,"Double-booked",""))))</f>
        <v/>
      </c>
      <c r="Z341" s="42" t="str">
        <f aca="false">IF(AND(AA341=1,ISNUMBER(C341)),C341+ROW()/100000,"")</f>
        <v/>
      </c>
      <c r="AA341" s="43" t="n">
        <f aca="false">IF(AND(D341&lt;&gt;"",ISNUMBER(B341),ISNUMBER(C341),N(H341)&gt;0,T341&lt;&gt;"Cancelled",J341&lt;&gt;""),1,0)</f>
        <v>0</v>
      </c>
      <c r="AB341" s="44" t="n">
        <f aca="false">IF(AA341=1,J341/H341,0)</f>
        <v>0</v>
      </c>
      <c r="AC341" s="44" t="n">
        <f aca="false">IF(AA341=1,Q341/H341,0)</f>
        <v>0</v>
      </c>
      <c r="AD341" s="44" t="n">
        <f aca="false">IF(AA341=1,R341/H341,0)</f>
        <v>0</v>
      </c>
      <c r="AE341" s="44" t="n">
        <f aca="false">IF(AA341=1,O341/H341,0)</f>
        <v>0</v>
      </c>
      <c r="AF341" s="44" t="n">
        <f aca="false">IF(AA341=1,K341/H341,0)</f>
        <v>0</v>
      </c>
      <c r="AG341" s="45" t="str">
        <f aca="false">IF(AA341=1,D341&amp;"|"&amp;TEXT(B341,"0"),"")</f>
        <v/>
      </c>
      <c r="AH341" s="43" t="n">
        <f aca="false">IF(AA341=1,H341,0)</f>
        <v>0</v>
      </c>
    </row>
    <row r="342" customFormat="false" ht="15" hidden="false" customHeight="false" outlineLevel="0" collapsed="false">
      <c r="A342" s="23" t="str">
        <f aca="false">IF(B342="","","B-"&amp;TEXT(ROW()-4,"0000"))</f>
        <v/>
      </c>
      <c r="B342" s="38"/>
      <c r="C342" s="38"/>
      <c r="D342" s="6"/>
      <c r="E342" s="6"/>
      <c r="F342" s="6"/>
      <c r="G342" s="11"/>
      <c r="H342" s="24" t="str">
        <f aca="false">IF(AND(ISNUMBER(B342),ISNUMBER(C342)),MAX(0,C342-B342),"")</f>
        <v/>
      </c>
      <c r="I342" s="37"/>
      <c r="J342" s="46" t="str">
        <f aca="false">IF(OR(D342="",N(H342)=0),"",IFERROR(IF(I342&lt;&gt;"",H342*I342,ROUND(((H342-(INT((WEEKDAY(B342-6)+H342-1)/7)+INT((WEEKDAY(B342-7)+H342-1)/7)))*INDEX(Properties!$E$5:$E$24,MATCH(D342,Properties!$A$5:$A$24,0))+(INT((WEEKDAY(B342-6)+H342-1)/7)+INT((WEEKDAY(B342-7)+H342-1)/7))*INDEX(Properties!$F$5:$F$24,MATCH(D342,Properties!$A$5:$A$24,0)))*(1-IF(H342&gt;=28,Settings!$B$10,IF(H342&gt;=7,Settings!$B$9,0))),2)),0))</f>
        <v/>
      </c>
      <c r="K342" s="46" t="str">
        <f aca="false">IF(J342="","",IFERROR(N(INDEX(Properties!$G$5:$G$24,MATCH(D342,Properties!$A$5:$A$24,0))),0))</f>
        <v/>
      </c>
      <c r="L342" s="46" t="str">
        <f aca="false">IF(J342="","",IFERROR(MAX(0,N(G342)-INDEX(Properties!$I$5:$I$24,MATCH(D342,Properties!$A$5:$A$24,0)))*N(INDEX(Properties!$J$5:$J$24,MATCH(D342,Properties!$A$5:$A$24,0)))*H342,0))</f>
        <v/>
      </c>
      <c r="M342" s="37"/>
      <c r="N342" s="46" t="str">
        <f aca="false">IF(J342="","",J342+K342+L342+N(M342))</f>
        <v/>
      </c>
      <c r="O342" s="46" t="str">
        <f aca="false">IF(N342="","",IF(P342&lt;&gt;"",N342-P342,ROUND(N342*IFERROR(INDEX(Settings!$E$5:$E$12,MATCH(F342,Settings!$D$5:$D$12,0)),0),2)))</f>
        <v/>
      </c>
      <c r="P342" s="37"/>
      <c r="Q342" s="46" t="str">
        <f aca="false">IF(N342="","",IF(P342&lt;&gt;"",P342,N342-O342))</f>
        <v/>
      </c>
      <c r="R342" s="46" t="str">
        <f aca="false">IF(J342="","",IFERROR(N(INDEX(Properties!$H$5:$H$24,MATCH(D342,Properties!$A$5:$A$24,0))),0))</f>
        <v/>
      </c>
      <c r="S342" s="46" t="str">
        <f aca="false">IF(Q342="","",Q342-R342)</f>
        <v/>
      </c>
      <c r="T342" s="6"/>
      <c r="U342" s="6"/>
      <c r="V342" s="6"/>
      <c r="W342" s="6"/>
      <c r="X342" s="6"/>
      <c r="Y342" s="8" t="str">
        <f aca="false">IF(OR(D342="",B342="",C342=""),"",IF(N(C342)&lt;=N(B342),"Check dates",IF(T342="Cancelled","",IF(COUNTIFS($D$5:$D$1004,D342,$B$5:$B$1004,"&lt;"&amp;C342,$C$5:$C$1004,"&gt;"&amp;B342,$T$5:$T$1004,"&lt;&gt;Cancelled")&gt;1,"Double-booked",""))))</f>
        <v/>
      </c>
      <c r="Z342" s="42" t="str">
        <f aca="false">IF(AND(AA342=1,ISNUMBER(C342)),C342+ROW()/100000,"")</f>
        <v/>
      </c>
      <c r="AA342" s="43" t="n">
        <f aca="false">IF(AND(D342&lt;&gt;"",ISNUMBER(B342),ISNUMBER(C342),N(H342)&gt;0,T342&lt;&gt;"Cancelled",J342&lt;&gt;""),1,0)</f>
        <v>0</v>
      </c>
      <c r="AB342" s="44" t="n">
        <f aca="false">IF(AA342=1,J342/H342,0)</f>
        <v>0</v>
      </c>
      <c r="AC342" s="44" t="n">
        <f aca="false">IF(AA342=1,Q342/H342,0)</f>
        <v>0</v>
      </c>
      <c r="AD342" s="44" t="n">
        <f aca="false">IF(AA342=1,R342/H342,0)</f>
        <v>0</v>
      </c>
      <c r="AE342" s="44" t="n">
        <f aca="false">IF(AA342=1,O342/H342,0)</f>
        <v>0</v>
      </c>
      <c r="AF342" s="44" t="n">
        <f aca="false">IF(AA342=1,K342/H342,0)</f>
        <v>0</v>
      </c>
      <c r="AG342" s="45" t="str">
        <f aca="false">IF(AA342=1,D342&amp;"|"&amp;TEXT(B342,"0"),"")</f>
        <v/>
      </c>
      <c r="AH342" s="43" t="n">
        <f aca="false">IF(AA342=1,H342,0)</f>
        <v>0</v>
      </c>
    </row>
    <row r="343" customFormat="false" ht="15" hidden="false" customHeight="false" outlineLevel="0" collapsed="false">
      <c r="A343" s="8" t="str">
        <f aca="false">IF(B343="","","B-"&amp;TEXT(ROW()-4,"0000"))</f>
        <v/>
      </c>
      <c r="B343" s="38"/>
      <c r="C343" s="38"/>
      <c r="D343" s="6"/>
      <c r="E343" s="6"/>
      <c r="F343" s="6"/>
      <c r="G343" s="11"/>
      <c r="H343" s="18" t="str">
        <f aca="false">IF(AND(ISNUMBER(B343),ISNUMBER(C343)),MAX(0,C343-B343),"")</f>
        <v/>
      </c>
      <c r="I343" s="37"/>
      <c r="J343" s="41" t="str">
        <f aca="false">IF(OR(D343="",N(H343)=0),"",IFERROR(IF(I343&lt;&gt;"",H343*I343,ROUND(((H343-(INT((WEEKDAY(B343-6)+H343-1)/7)+INT((WEEKDAY(B343-7)+H343-1)/7)))*INDEX(Properties!$E$5:$E$24,MATCH(D343,Properties!$A$5:$A$24,0))+(INT((WEEKDAY(B343-6)+H343-1)/7)+INT((WEEKDAY(B343-7)+H343-1)/7))*INDEX(Properties!$F$5:$F$24,MATCH(D343,Properties!$A$5:$A$24,0)))*(1-IF(H343&gt;=28,Settings!$B$10,IF(H343&gt;=7,Settings!$B$9,0))),2)),0))</f>
        <v/>
      </c>
      <c r="K343" s="41" t="str">
        <f aca="false">IF(J343="","",IFERROR(N(INDEX(Properties!$G$5:$G$24,MATCH(D343,Properties!$A$5:$A$24,0))),0))</f>
        <v/>
      </c>
      <c r="L343" s="41" t="str">
        <f aca="false">IF(J343="","",IFERROR(MAX(0,N(G343)-INDEX(Properties!$I$5:$I$24,MATCH(D343,Properties!$A$5:$A$24,0)))*N(INDEX(Properties!$J$5:$J$24,MATCH(D343,Properties!$A$5:$A$24,0)))*H343,0))</f>
        <v/>
      </c>
      <c r="M343" s="37"/>
      <c r="N343" s="41" t="str">
        <f aca="false">IF(J343="","",J343+K343+L343+N(M343))</f>
        <v/>
      </c>
      <c r="O343" s="41" t="str">
        <f aca="false">IF(N343="","",IF(P343&lt;&gt;"",N343-P343,ROUND(N343*IFERROR(INDEX(Settings!$E$5:$E$12,MATCH(F343,Settings!$D$5:$D$12,0)),0),2)))</f>
        <v/>
      </c>
      <c r="P343" s="37"/>
      <c r="Q343" s="41" t="str">
        <f aca="false">IF(N343="","",IF(P343&lt;&gt;"",P343,N343-O343))</f>
        <v/>
      </c>
      <c r="R343" s="41" t="str">
        <f aca="false">IF(J343="","",IFERROR(N(INDEX(Properties!$H$5:$H$24,MATCH(D343,Properties!$A$5:$A$24,0))),0))</f>
        <v/>
      </c>
      <c r="S343" s="41" t="str">
        <f aca="false">IF(Q343="","",Q343-R343)</f>
        <v/>
      </c>
      <c r="T343" s="6"/>
      <c r="U343" s="6"/>
      <c r="V343" s="6"/>
      <c r="W343" s="6"/>
      <c r="X343" s="6"/>
      <c r="Y343" s="8" t="str">
        <f aca="false">IF(OR(D343="",B343="",C343=""),"",IF(N(C343)&lt;=N(B343),"Check dates",IF(T343="Cancelled","",IF(COUNTIFS($D$5:$D$1004,D343,$B$5:$B$1004,"&lt;"&amp;C343,$C$5:$C$1004,"&gt;"&amp;B343,$T$5:$T$1004,"&lt;&gt;Cancelled")&gt;1,"Double-booked",""))))</f>
        <v/>
      </c>
      <c r="Z343" s="42" t="str">
        <f aca="false">IF(AND(AA343=1,ISNUMBER(C343)),C343+ROW()/100000,"")</f>
        <v/>
      </c>
      <c r="AA343" s="43" t="n">
        <f aca="false">IF(AND(D343&lt;&gt;"",ISNUMBER(B343),ISNUMBER(C343),N(H343)&gt;0,T343&lt;&gt;"Cancelled",J343&lt;&gt;""),1,0)</f>
        <v>0</v>
      </c>
      <c r="AB343" s="44" t="n">
        <f aca="false">IF(AA343=1,J343/H343,0)</f>
        <v>0</v>
      </c>
      <c r="AC343" s="44" t="n">
        <f aca="false">IF(AA343=1,Q343/H343,0)</f>
        <v>0</v>
      </c>
      <c r="AD343" s="44" t="n">
        <f aca="false">IF(AA343=1,R343/H343,0)</f>
        <v>0</v>
      </c>
      <c r="AE343" s="44" t="n">
        <f aca="false">IF(AA343=1,O343/H343,0)</f>
        <v>0</v>
      </c>
      <c r="AF343" s="44" t="n">
        <f aca="false">IF(AA343=1,K343/H343,0)</f>
        <v>0</v>
      </c>
      <c r="AG343" s="45" t="str">
        <f aca="false">IF(AA343=1,D343&amp;"|"&amp;TEXT(B343,"0"),"")</f>
        <v/>
      </c>
      <c r="AH343" s="43" t="n">
        <f aca="false">IF(AA343=1,H343,0)</f>
        <v>0</v>
      </c>
    </row>
    <row r="344" customFormat="false" ht="15" hidden="false" customHeight="false" outlineLevel="0" collapsed="false">
      <c r="A344" s="23" t="str">
        <f aca="false">IF(B344="","","B-"&amp;TEXT(ROW()-4,"0000"))</f>
        <v/>
      </c>
      <c r="B344" s="38"/>
      <c r="C344" s="38"/>
      <c r="D344" s="6"/>
      <c r="E344" s="6"/>
      <c r="F344" s="6"/>
      <c r="G344" s="11"/>
      <c r="H344" s="24" t="str">
        <f aca="false">IF(AND(ISNUMBER(B344),ISNUMBER(C344)),MAX(0,C344-B344),"")</f>
        <v/>
      </c>
      <c r="I344" s="37"/>
      <c r="J344" s="46" t="str">
        <f aca="false">IF(OR(D344="",N(H344)=0),"",IFERROR(IF(I344&lt;&gt;"",H344*I344,ROUND(((H344-(INT((WEEKDAY(B344-6)+H344-1)/7)+INT((WEEKDAY(B344-7)+H344-1)/7)))*INDEX(Properties!$E$5:$E$24,MATCH(D344,Properties!$A$5:$A$24,0))+(INT((WEEKDAY(B344-6)+H344-1)/7)+INT((WEEKDAY(B344-7)+H344-1)/7))*INDEX(Properties!$F$5:$F$24,MATCH(D344,Properties!$A$5:$A$24,0)))*(1-IF(H344&gt;=28,Settings!$B$10,IF(H344&gt;=7,Settings!$B$9,0))),2)),0))</f>
        <v/>
      </c>
      <c r="K344" s="46" t="str">
        <f aca="false">IF(J344="","",IFERROR(N(INDEX(Properties!$G$5:$G$24,MATCH(D344,Properties!$A$5:$A$24,0))),0))</f>
        <v/>
      </c>
      <c r="L344" s="46" t="str">
        <f aca="false">IF(J344="","",IFERROR(MAX(0,N(G344)-INDEX(Properties!$I$5:$I$24,MATCH(D344,Properties!$A$5:$A$24,0)))*N(INDEX(Properties!$J$5:$J$24,MATCH(D344,Properties!$A$5:$A$24,0)))*H344,0))</f>
        <v/>
      </c>
      <c r="M344" s="37"/>
      <c r="N344" s="46" t="str">
        <f aca="false">IF(J344="","",J344+K344+L344+N(M344))</f>
        <v/>
      </c>
      <c r="O344" s="46" t="str">
        <f aca="false">IF(N344="","",IF(P344&lt;&gt;"",N344-P344,ROUND(N344*IFERROR(INDEX(Settings!$E$5:$E$12,MATCH(F344,Settings!$D$5:$D$12,0)),0),2)))</f>
        <v/>
      </c>
      <c r="P344" s="37"/>
      <c r="Q344" s="46" t="str">
        <f aca="false">IF(N344="","",IF(P344&lt;&gt;"",P344,N344-O344))</f>
        <v/>
      </c>
      <c r="R344" s="46" t="str">
        <f aca="false">IF(J344="","",IFERROR(N(INDEX(Properties!$H$5:$H$24,MATCH(D344,Properties!$A$5:$A$24,0))),0))</f>
        <v/>
      </c>
      <c r="S344" s="46" t="str">
        <f aca="false">IF(Q344="","",Q344-R344)</f>
        <v/>
      </c>
      <c r="T344" s="6"/>
      <c r="U344" s="6"/>
      <c r="V344" s="6"/>
      <c r="W344" s="6"/>
      <c r="X344" s="6"/>
      <c r="Y344" s="8" t="str">
        <f aca="false">IF(OR(D344="",B344="",C344=""),"",IF(N(C344)&lt;=N(B344),"Check dates",IF(T344="Cancelled","",IF(COUNTIFS($D$5:$D$1004,D344,$B$5:$B$1004,"&lt;"&amp;C344,$C$5:$C$1004,"&gt;"&amp;B344,$T$5:$T$1004,"&lt;&gt;Cancelled")&gt;1,"Double-booked",""))))</f>
        <v/>
      </c>
      <c r="Z344" s="42" t="str">
        <f aca="false">IF(AND(AA344=1,ISNUMBER(C344)),C344+ROW()/100000,"")</f>
        <v/>
      </c>
      <c r="AA344" s="43" t="n">
        <f aca="false">IF(AND(D344&lt;&gt;"",ISNUMBER(B344),ISNUMBER(C344),N(H344)&gt;0,T344&lt;&gt;"Cancelled",J344&lt;&gt;""),1,0)</f>
        <v>0</v>
      </c>
      <c r="AB344" s="44" t="n">
        <f aca="false">IF(AA344=1,J344/H344,0)</f>
        <v>0</v>
      </c>
      <c r="AC344" s="44" t="n">
        <f aca="false">IF(AA344=1,Q344/H344,0)</f>
        <v>0</v>
      </c>
      <c r="AD344" s="44" t="n">
        <f aca="false">IF(AA344=1,R344/H344,0)</f>
        <v>0</v>
      </c>
      <c r="AE344" s="44" t="n">
        <f aca="false">IF(AA344=1,O344/H344,0)</f>
        <v>0</v>
      </c>
      <c r="AF344" s="44" t="n">
        <f aca="false">IF(AA344=1,K344/H344,0)</f>
        <v>0</v>
      </c>
      <c r="AG344" s="45" t="str">
        <f aca="false">IF(AA344=1,D344&amp;"|"&amp;TEXT(B344,"0"),"")</f>
        <v/>
      </c>
      <c r="AH344" s="43" t="n">
        <f aca="false">IF(AA344=1,H344,0)</f>
        <v>0</v>
      </c>
    </row>
    <row r="345" customFormat="false" ht="15" hidden="false" customHeight="false" outlineLevel="0" collapsed="false">
      <c r="A345" s="8" t="str">
        <f aca="false">IF(B345="","","B-"&amp;TEXT(ROW()-4,"0000"))</f>
        <v/>
      </c>
      <c r="B345" s="38"/>
      <c r="C345" s="38"/>
      <c r="D345" s="6"/>
      <c r="E345" s="6"/>
      <c r="F345" s="6"/>
      <c r="G345" s="11"/>
      <c r="H345" s="18" t="str">
        <f aca="false">IF(AND(ISNUMBER(B345),ISNUMBER(C345)),MAX(0,C345-B345),"")</f>
        <v/>
      </c>
      <c r="I345" s="37"/>
      <c r="J345" s="41" t="str">
        <f aca="false">IF(OR(D345="",N(H345)=0),"",IFERROR(IF(I345&lt;&gt;"",H345*I345,ROUND(((H345-(INT((WEEKDAY(B345-6)+H345-1)/7)+INT((WEEKDAY(B345-7)+H345-1)/7)))*INDEX(Properties!$E$5:$E$24,MATCH(D345,Properties!$A$5:$A$24,0))+(INT((WEEKDAY(B345-6)+H345-1)/7)+INT((WEEKDAY(B345-7)+H345-1)/7))*INDEX(Properties!$F$5:$F$24,MATCH(D345,Properties!$A$5:$A$24,0)))*(1-IF(H345&gt;=28,Settings!$B$10,IF(H345&gt;=7,Settings!$B$9,0))),2)),0))</f>
        <v/>
      </c>
      <c r="K345" s="41" t="str">
        <f aca="false">IF(J345="","",IFERROR(N(INDEX(Properties!$G$5:$G$24,MATCH(D345,Properties!$A$5:$A$24,0))),0))</f>
        <v/>
      </c>
      <c r="L345" s="41" t="str">
        <f aca="false">IF(J345="","",IFERROR(MAX(0,N(G345)-INDEX(Properties!$I$5:$I$24,MATCH(D345,Properties!$A$5:$A$24,0)))*N(INDEX(Properties!$J$5:$J$24,MATCH(D345,Properties!$A$5:$A$24,0)))*H345,0))</f>
        <v/>
      </c>
      <c r="M345" s="37"/>
      <c r="N345" s="41" t="str">
        <f aca="false">IF(J345="","",J345+K345+L345+N(M345))</f>
        <v/>
      </c>
      <c r="O345" s="41" t="str">
        <f aca="false">IF(N345="","",IF(P345&lt;&gt;"",N345-P345,ROUND(N345*IFERROR(INDEX(Settings!$E$5:$E$12,MATCH(F345,Settings!$D$5:$D$12,0)),0),2)))</f>
        <v/>
      </c>
      <c r="P345" s="37"/>
      <c r="Q345" s="41" t="str">
        <f aca="false">IF(N345="","",IF(P345&lt;&gt;"",P345,N345-O345))</f>
        <v/>
      </c>
      <c r="R345" s="41" t="str">
        <f aca="false">IF(J345="","",IFERROR(N(INDEX(Properties!$H$5:$H$24,MATCH(D345,Properties!$A$5:$A$24,0))),0))</f>
        <v/>
      </c>
      <c r="S345" s="41" t="str">
        <f aca="false">IF(Q345="","",Q345-R345)</f>
        <v/>
      </c>
      <c r="T345" s="6"/>
      <c r="U345" s="6"/>
      <c r="V345" s="6"/>
      <c r="W345" s="6"/>
      <c r="X345" s="6"/>
      <c r="Y345" s="8" t="str">
        <f aca="false">IF(OR(D345="",B345="",C345=""),"",IF(N(C345)&lt;=N(B345),"Check dates",IF(T345="Cancelled","",IF(COUNTIFS($D$5:$D$1004,D345,$B$5:$B$1004,"&lt;"&amp;C345,$C$5:$C$1004,"&gt;"&amp;B345,$T$5:$T$1004,"&lt;&gt;Cancelled")&gt;1,"Double-booked",""))))</f>
        <v/>
      </c>
      <c r="Z345" s="42" t="str">
        <f aca="false">IF(AND(AA345=1,ISNUMBER(C345)),C345+ROW()/100000,"")</f>
        <v/>
      </c>
      <c r="AA345" s="43" t="n">
        <f aca="false">IF(AND(D345&lt;&gt;"",ISNUMBER(B345),ISNUMBER(C345),N(H345)&gt;0,T345&lt;&gt;"Cancelled",J345&lt;&gt;""),1,0)</f>
        <v>0</v>
      </c>
      <c r="AB345" s="44" t="n">
        <f aca="false">IF(AA345=1,J345/H345,0)</f>
        <v>0</v>
      </c>
      <c r="AC345" s="44" t="n">
        <f aca="false">IF(AA345=1,Q345/H345,0)</f>
        <v>0</v>
      </c>
      <c r="AD345" s="44" t="n">
        <f aca="false">IF(AA345=1,R345/H345,0)</f>
        <v>0</v>
      </c>
      <c r="AE345" s="44" t="n">
        <f aca="false">IF(AA345=1,O345/H345,0)</f>
        <v>0</v>
      </c>
      <c r="AF345" s="44" t="n">
        <f aca="false">IF(AA345=1,K345/H345,0)</f>
        <v>0</v>
      </c>
      <c r="AG345" s="45" t="str">
        <f aca="false">IF(AA345=1,D345&amp;"|"&amp;TEXT(B345,"0"),"")</f>
        <v/>
      </c>
      <c r="AH345" s="43" t="n">
        <f aca="false">IF(AA345=1,H345,0)</f>
        <v>0</v>
      </c>
    </row>
    <row r="346" customFormat="false" ht="15" hidden="false" customHeight="false" outlineLevel="0" collapsed="false">
      <c r="A346" s="23" t="str">
        <f aca="false">IF(B346="","","B-"&amp;TEXT(ROW()-4,"0000"))</f>
        <v/>
      </c>
      <c r="B346" s="38"/>
      <c r="C346" s="38"/>
      <c r="D346" s="6"/>
      <c r="E346" s="6"/>
      <c r="F346" s="6"/>
      <c r="G346" s="11"/>
      <c r="H346" s="24" t="str">
        <f aca="false">IF(AND(ISNUMBER(B346),ISNUMBER(C346)),MAX(0,C346-B346),"")</f>
        <v/>
      </c>
      <c r="I346" s="37"/>
      <c r="J346" s="46" t="str">
        <f aca="false">IF(OR(D346="",N(H346)=0),"",IFERROR(IF(I346&lt;&gt;"",H346*I346,ROUND(((H346-(INT((WEEKDAY(B346-6)+H346-1)/7)+INT((WEEKDAY(B346-7)+H346-1)/7)))*INDEX(Properties!$E$5:$E$24,MATCH(D346,Properties!$A$5:$A$24,0))+(INT((WEEKDAY(B346-6)+H346-1)/7)+INT((WEEKDAY(B346-7)+H346-1)/7))*INDEX(Properties!$F$5:$F$24,MATCH(D346,Properties!$A$5:$A$24,0)))*(1-IF(H346&gt;=28,Settings!$B$10,IF(H346&gt;=7,Settings!$B$9,0))),2)),0))</f>
        <v/>
      </c>
      <c r="K346" s="46" t="str">
        <f aca="false">IF(J346="","",IFERROR(N(INDEX(Properties!$G$5:$G$24,MATCH(D346,Properties!$A$5:$A$24,0))),0))</f>
        <v/>
      </c>
      <c r="L346" s="46" t="str">
        <f aca="false">IF(J346="","",IFERROR(MAX(0,N(G346)-INDEX(Properties!$I$5:$I$24,MATCH(D346,Properties!$A$5:$A$24,0)))*N(INDEX(Properties!$J$5:$J$24,MATCH(D346,Properties!$A$5:$A$24,0)))*H346,0))</f>
        <v/>
      </c>
      <c r="M346" s="37"/>
      <c r="N346" s="46" t="str">
        <f aca="false">IF(J346="","",J346+K346+L346+N(M346))</f>
        <v/>
      </c>
      <c r="O346" s="46" t="str">
        <f aca="false">IF(N346="","",IF(P346&lt;&gt;"",N346-P346,ROUND(N346*IFERROR(INDEX(Settings!$E$5:$E$12,MATCH(F346,Settings!$D$5:$D$12,0)),0),2)))</f>
        <v/>
      </c>
      <c r="P346" s="37"/>
      <c r="Q346" s="46" t="str">
        <f aca="false">IF(N346="","",IF(P346&lt;&gt;"",P346,N346-O346))</f>
        <v/>
      </c>
      <c r="R346" s="46" t="str">
        <f aca="false">IF(J346="","",IFERROR(N(INDEX(Properties!$H$5:$H$24,MATCH(D346,Properties!$A$5:$A$24,0))),0))</f>
        <v/>
      </c>
      <c r="S346" s="46" t="str">
        <f aca="false">IF(Q346="","",Q346-R346)</f>
        <v/>
      </c>
      <c r="T346" s="6"/>
      <c r="U346" s="6"/>
      <c r="V346" s="6"/>
      <c r="W346" s="6"/>
      <c r="X346" s="6"/>
      <c r="Y346" s="8" t="str">
        <f aca="false">IF(OR(D346="",B346="",C346=""),"",IF(N(C346)&lt;=N(B346),"Check dates",IF(T346="Cancelled","",IF(COUNTIFS($D$5:$D$1004,D346,$B$5:$B$1004,"&lt;"&amp;C346,$C$5:$C$1004,"&gt;"&amp;B346,$T$5:$T$1004,"&lt;&gt;Cancelled")&gt;1,"Double-booked",""))))</f>
        <v/>
      </c>
      <c r="Z346" s="42" t="str">
        <f aca="false">IF(AND(AA346=1,ISNUMBER(C346)),C346+ROW()/100000,"")</f>
        <v/>
      </c>
      <c r="AA346" s="43" t="n">
        <f aca="false">IF(AND(D346&lt;&gt;"",ISNUMBER(B346),ISNUMBER(C346),N(H346)&gt;0,T346&lt;&gt;"Cancelled",J346&lt;&gt;""),1,0)</f>
        <v>0</v>
      </c>
      <c r="AB346" s="44" t="n">
        <f aca="false">IF(AA346=1,J346/H346,0)</f>
        <v>0</v>
      </c>
      <c r="AC346" s="44" t="n">
        <f aca="false">IF(AA346=1,Q346/H346,0)</f>
        <v>0</v>
      </c>
      <c r="AD346" s="44" t="n">
        <f aca="false">IF(AA346=1,R346/H346,0)</f>
        <v>0</v>
      </c>
      <c r="AE346" s="44" t="n">
        <f aca="false">IF(AA346=1,O346/H346,0)</f>
        <v>0</v>
      </c>
      <c r="AF346" s="44" t="n">
        <f aca="false">IF(AA346=1,K346/H346,0)</f>
        <v>0</v>
      </c>
      <c r="AG346" s="45" t="str">
        <f aca="false">IF(AA346=1,D346&amp;"|"&amp;TEXT(B346,"0"),"")</f>
        <v/>
      </c>
      <c r="AH346" s="43" t="n">
        <f aca="false">IF(AA346=1,H346,0)</f>
        <v>0</v>
      </c>
    </row>
    <row r="347" customFormat="false" ht="15" hidden="false" customHeight="false" outlineLevel="0" collapsed="false">
      <c r="A347" s="8" t="str">
        <f aca="false">IF(B347="","","B-"&amp;TEXT(ROW()-4,"0000"))</f>
        <v/>
      </c>
      <c r="B347" s="38"/>
      <c r="C347" s="38"/>
      <c r="D347" s="6"/>
      <c r="E347" s="6"/>
      <c r="F347" s="6"/>
      <c r="G347" s="11"/>
      <c r="H347" s="18" t="str">
        <f aca="false">IF(AND(ISNUMBER(B347),ISNUMBER(C347)),MAX(0,C347-B347),"")</f>
        <v/>
      </c>
      <c r="I347" s="37"/>
      <c r="J347" s="41" t="str">
        <f aca="false">IF(OR(D347="",N(H347)=0),"",IFERROR(IF(I347&lt;&gt;"",H347*I347,ROUND(((H347-(INT((WEEKDAY(B347-6)+H347-1)/7)+INT((WEEKDAY(B347-7)+H347-1)/7)))*INDEX(Properties!$E$5:$E$24,MATCH(D347,Properties!$A$5:$A$24,0))+(INT((WEEKDAY(B347-6)+H347-1)/7)+INT((WEEKDAY(B347-7)+H347-1)/7))*INDEX(Properties!$F$5:$F$24,MATCH(D347,Properties!$A$5:$A$24,0)))*(1-IF(H347&gt;=28,Settings!$B$10,IF(H347&gt;=7,Settings!$B$9,0))),2)),0))</f>
        <v/>
      </c>
      <c r="K347" s="41" t="str">
        <f aca="false">IF(J347="","",IFERROR(N(INDEX(Properties!$G$5:$G$24,MATCH(D347,Properties!$A$5:$A$24,0))),0))</f>
        <v/>
      </c>
      <c r="L347" s="41" t="str">
        <f aca="false">IF(J347="","",IFERROR(MAX(0,N(G347)-INDEX(Properties!$I$5:$I$24,MATCH(D347,Properties!$A$5:$A$24,0)))*N(INDEX(Properties!$J$5:$J$24,MATCH(D347,Properties!$A$5:$A$24,0)))*H347,0))</f>
        <v/>
      </c>
      <c r="M347" s="37"/>
      <c r="N347" s="41" t="str">
        <f aca="false">IF(J347="","",J347+K347+L347+N(M347))</f>
        <v/>
      </c>
      <c r="O347" s="41" t="str">
        <f aca="false">IF(N347="","",IF(P347&lt;&gt;"",N347-P347,ROUND(N347*IFERROR(INDEX(Settings!$E$5:$E$12,MATCH(F347,Settings!$D$5:$D$12,0)),0),2)))</f>
        <v/>
      </c>
      <c r="P347" s="37"/>
      <c r="Q347" s="41" t="str">
        <f aca="false">IF(N347="","",IF(P347&lt;&gt;"",P347,N347-O347))</f>
        <v/>
      </c>
      <c r="R347" s="41" t="str">
        <f aca="false">IF(J347="","",IFERROR(N(INDEX(Properties!$H$5:$H$24,MATCH(D347,Properties!$A$5:$A$24,0))),0))</f>
        <v/>
      </c>
      <c r="S347" s="41" t="str">
        <f aca="false">IF(Q347="","",Q347-R347)</f>
        <v/>
      </c>
      <c r="T347" s="6"/>
      <c r="U347" s="6"/>
      <c r="V347" s="6"/>
      <c r="W347" s="6"/>
      <c r="X347" s="6"/>
      <c r="Y347" s="8" t="str">
        <f aca="false">IF(OR(D347="",B347="",C347=""),"",IF(N(C347)&lt;=N(B347),"Check dates",IF(T347="Cancelled","",IF(COUNTIFS($D$5:$D$1004,D347,$B$5:$B$1004,"&lt;"&amp;C347,$C$5:$C$1004,"&gt;"&amp;B347,$T$5:$T$1004,"&lt;&gt;Cancelled")&gt;1,"Double-booked",""))))</f>
        <v/>
      </c>
      <c r="Z347" s="42" t="str">
        <f aca="false">IF(AND(AA347=1,ISNUMBER(C347)),C347+ROW()/100000,"")</f>
        <v/>
      </c>
      <c r="AA347" s="43" t="n">
        <f aca="false">IF(AND(D347&lt;&gt;"",ISNUMBER(B347),ISNUMBER(C347),N(H347)&gt;0,T347&lt;&gt;"Cancelled",J347&lt;&gt;""),1,0)</f>
        <v>0</v>
      </c>
      <c r="AB347" s="44" t="n">
        <f aca="false">IF(AA347=1,J347/H347,0)</f>
        <v>0</v>
      </c>
      <c r="AC347" s="44" t="n">
        <f aca="false">IF(AA347=1,Q347/H347,0)</f>
        <v>0</v>
      </c>
      <c r="AD347" s="44" t="n">
        <f aca="false">IF(AA347=1,R347/H347,0)</f>
        <v>0</v>
      </c>
      <c r="AE347" s="44" t="n">
        <f aca="false">IF(AA347=1,O347/H347,0)</f>
        <v>0</v>
      </c>
      <c r="AF347" s="44" t="n">
        <f aca="false">IF(AA347=1,K347/H347,0)</f>
        <v>0</v>
      </c>
      <c r="AG347" s="45" t="str">
        <f aca="false">IF(AA347=1,D347&amp;"|"&amp;TEXT(B347,"0"),"")</f>
        <v/>
      </c>
      <c r="AH347" s="43" t="n">
        <f aca="false">IF(AA347=1,H347,0)</f>
        <v>0</v>
      </c>
    </row>
    <row r="348" customFormat="false" ht="15" hidden="false" customHeight="false" outlineLevel="0" collapsed="false">
      <c r="A348" s="23" t="str">
        <f aca="false">IF(B348="","","B-"&amp;TEXT(ROW()-4,"0000"))</f>
        <v/>
      </c>
      <c r="B348" s="38"/>
      <c r="C348" s="38"/>
      <c r="D348" s="6"/>
      <c r="E348" s="6"/>
      <c r="F348" s="6"/>
      <c r="G348" s="11"/>
      <c r="H348" s="24" t="str">
        <f aca="false">IF(AND(ISNUMBER(B348),ISNUMBER(C348)),MAX(0,C348-B348),"")</f>
        <v/>
      </c>
      <c r="I348" s="37"/>
      <c r="J348" s="46" t="str">
        <f aca="false">IF(OR(D348="",N(H348)=0),"",IFERROR(IF(I348&lt;&gt;"",H348*I348,ROUND(((H348-(INT((WEEKDAY(B348-6)+H348-1)/7)+INT((WEEKDAY(B348-7)+H348-1)/7)))*INDEX(Properties!$E$5:$E$24,MATCH(D348,Properties!$A$5:$A$24,0))+(INT((WEEKDAY(B348-6)+H348-1)/7)+INT((WEEKDAY(B348-7)+H348-1)/7))*INDEX(Properties!$F$5:$F$24,MATCH(D348,Properties!$A$5:$A$24,0)))*(1-IF(H348&gt;=28,Settings!$B$10,IF(H348&gt;=7,Settings!$B$9,0))),2)),0))</f>
        <v/>
      </c>
      <c r="K348" s="46" t="str">
        <f aca="false">IF(J348="","",IFERROR(N(INDEX(Properties!$G$5:$G$24,MATCH(D348,Properties!$A$5:$A$24,0))),0))</f>
        <v/>
      </c>
      <c r="L348" s="46" t="str">
        <f aca="false">IF(J348="","",IFERROR(MAX(0,N(G348)-INDEX(Properties!$I$5:$I$24,MATCH(D348,Properties!$A$5:$A$24,0)))*N(INDEX(Properties!$J$5:$J$24,MATCH(D348,Properties!$A$5:$A$24,0)))*H348,0))</f>
        <v/>
      </c>
      <c r="M348" s="37"/>
      <c r="N348" s="46" t="str">
        <f aca="false">IF(J348="","",J348+K348+L348+N(M348))</f>
        <v/>
      </c>
      <c r="O348" s="46" t="str">
        <f aca="false">IF(N348="","",IF(P348&lt;&gt;"",N348-P348,ROUND(N348*IFERROR(INDEX(Settings!$E$5:$E$12,MATCH(F348,Settings!$D$5:$D$12,0)),0),2)))</f>
        <v/>
      </c>
      <c r="P348" s="37"/>
      <c r="Q348" s="46" t="str">
        <f aca="false">IF(N348="","",IF(P348&lt;&gt;"",P348,N348-O348))</f>
        <v/>
      </c>
      <c r="R348" s="46" t="str">
        <f aca="false">IF(J348="","",IFERROR(N(INDEX(Properties!$H$5:$H$24,MATCH(D348,Properties!$A$5:$A$24,0))),0))</f>
        <v/>
      </c>
      <c r="S348" s="46" t="str">
        <f aca="false">IF(Q348="","",Q348-R348)</f>
        <v/>
      </c>
      <c r="T348" s="6"/>
      <c r="U348" s="6"/>
      <c r="V348" s="6"/>
      <c r="W348" s="6"/>
      <c r="X348" s="6"/>
      <c r="Y348" s="8" t="str">
        <f aca="false">IF(OR(D348="",B348="",C348=""),"",IF(N(C348)&lt;=N(B348),"Check dates",IF(T348="Cancelled","",IF(COUNTIFS($D$5:$D$1004,D348,$B$5:$B$1004,"&lt;"&amp;C348,$C$5:$C$1004,"&gt;"&amp;B348,$T$5:$T$1004,"&lt;&gt;Cancelled")&gt;1,"Double-booked",""))))</f>
        <v/>
      </c>
      <c r="Z348" s="42" t="str">
        <f aca="false">IF(AND(AA348=1,ISNUMBER(C348)),C348+ROW()/100000,"")</f>
        <v/>
      </c>
      <c r="AA348" s="43" t="n">
        <f aca="false">IF(AND(D348&lt;&gt;"",ISNUMBER(B348),ISNUMBER(C348),N(H348)&gt;0,T348&lt;&gt;"Cancelled",J348&lt;&gt;""),1,0)</f>
        <v>0</v>
      </c>
      <c r="AB348" s="44" t="n">
        <f aca="false">IF(AA348=1,J348/H348,0)</f>
        <v>0</v>
      </c>
      <c r="AC348" s="44" t="n">
        <f aca="false">IF(AA348=1,Q348/H348,0)</f>
        <v>0</v>
      </c>
      <c r="AD348" s="44" t="n">
        <f aca="false">IF(AA348=1,R348/H348,0)</f>
        <v>0</v>
      </c>
      <c r="AE348" s="44" t="n">
        <f aca="false">IF(AA348=1,O348/H348,0)</f>
        <v>0</v>
      </c>
      <c r="AF348" s="44" t="n">
        <f aca="false">IF(AA348=1,K348/H348,0)</f>
        <v>0</v>
      </c>
      <c r="AG348" s="45" t="str">
        <f aca="false">IF(AA348=1,D348&amp;"|"&amp;TEXT(B348,"0"),"")</f>
        <v/>
      </c>
      <c r="AH348" s="43" t="n">
        <f aca="false">IF(AA348=1,H348,0)</f>
        <v>0</v>
      </c>
    </row>
    <row r="349" customFormat="false" ht="15" hidden="false" customHeight="false" outlineLevel="0" collapsed="false">
      <c r="A349" s="8" t="str">
        <f aca="false">IF(B349="","","B-"&amp;TEXT(ROW()-4,"0000"))</f>
        <v/>
      </c>
      <c r="B349" s="38"/>
      <c r="C349" s="38"/>
      <c r="D349" s="6"/>
      <c r="E349" s="6"/>
      <c r="F349" s="6"/>
      <c r="G349" s="11"/>
      <c r="H349" s="18" t="str">
        <f aca="false">IF(AND(ISNUMBER(B349),ISNUMBER(C349)),MAX(0,C349-B349),"")</f>
        <v/>
      </c>
      <c r="I349" s="37"/>
      <c r="J349" s="41" t="str">
        <f aca="false">IF(OR(D349="",N(H349)=0),"",IFERROR(IF(I349&lt;&gt;"",H349*I349,ROUND(((H349-(INT((WEEKDAY(B349-6)+H349-1)/7)+INT((WEEKDAY(B349-7)+H349-1)/7)))*INDEX(Properties!$E$5:$E$24,MATCH(D349,Properties!$A$5:$A$24,0))+(INT((WEEKDAY(B349-6)+H349-1)/7)+INT((WEEKDAY(B349-7)+H349-1)/7))*INDEX(Properties!$F$5:$F$24,MATCH(D349,Properties!$A$5:$A$24,0)))*(1-IF(H349&gt;=28,Settings!$B$10,IF(H349&gt;=7,Settings!$B$9,0))),2)),0))</f>
        <v/>
      </c>
      <c r="K349" s="41" t="str">
        <f aca="false">IF(J349="","",IFERROR(N(INDEX(Properties!$G$5:$G$24,MATCH(D349,Properties!$A$5:$A$24,0))),0))</f>
        <v/>
      </c>
      <c r="L349" s="41" t="str">
        <f aca="false">IF(J349="","",IFERROR(MAX(0,N(G349)-INDEX(Properties!$I$5:$I$24,MATCH(D349,Properties!$A$5:$A$24,0)))*N(INDEX(Properties!$J$5:$J$24,MATCH(D349,Properties!$A$5:$A$24,0)))*H349,0))</f>
        <v/>
      </c>
      <c r="M349" s="37"/>
      <c r="N349" s="41" t="str">
        <f aca="false">IF(J349="","",J349+K349+L349+N(M349))</f>
        <v/>
      </c>
      <c r="O349" s="41" t="str">
        <f aca="false">IF(N349="","",IF(P349&lt;&gt;"",N349-P349,ROUND(N349*IFERROR(INDEX(Settings!$E$5:$E$12,MATCH(F349,Settings!$D$5:$D$12,0)),0),2)))</f>
        <v/>
      </c>
      <c r="P349" s="37"/>
      <c r="Q349" s="41" t="str">
        <f aca="false">IF(N349="","",IF(P349&lt;&gt;"",P349,N349-O349))</f>
        <v/>
      </c>
      <c r="R349" s="41" t="str">
        <f aca="false">IF(J349="","",IFERROR(N(INDEX(Properties!$H$5:$H$24,MATCH(D349,Properties!$A$5:$A$24,0))),0))</f>
        <v/>
      </c>
      <c r="S349" s="41" t="str">
        <f aca="false">IF(Q349="","",Q349-R349)</f>
        <v/>
      </c>
      <c r="T349" s="6"/>
      <c r="U349" s="6"/>
      <c r="V349" s="6"/>
      <c r="W349" s="6"/>
      <c r="X349" s="6"/>
      <c r="Y349" s="8" t="str">
        <f aca="false">IF(OR(D349="",B349="",C349=""),"",IF(N(C349)&lt;=N(B349),"Check dates",IF(T349="Cancelled","",IF(COUNTIFS($D$5:$D$1004,D349,$B$5:$B$1004,"&lt;"&amp;C349,$C$5:$C$1004,"&gt;"&amp;B349,$T$5:$T$1004,"&lt;&gt;Cancelled")&gt;1,"Double-booked",""))))</f>
        <v/>
      </c>
      <c r="Z349" s="42" t="str">
        <f aca="false">IF(AND(AA349=1,ISNUMBER(C349)),C349+ROW()/100000,"")</f>
        <v/>
      </c>
      <c r="AA349" s="43" t="n">
        <f aca="false">IF(AND(D349&lt;&gt;"",ISNUMBER(B349),ISNUMBER(C349),N(H349)&gt;0,T349&lt;&gt;"Cancelled",J349&lt;&gt;""),1,0)</f>
        <v>0</v>
      </c>
      <c r="AB349" s="44" t="n">
        <f aca="false">IF(AA349=1,J349/H349,0)</f>
        <v>0</v>
      </c>
      <c r="AC349" s="44" t="n">
        <f aca="false">IF(AA349=1,Q349/H349,0)</f>
        <v>0</v>
      </c>
      <c r="AD349" s="44" t="n">
        <f aca="false">IF(AA349=1,R349/H349,0)</f>
        <v>0</v>
      </c>
      <c r="AE349" s="44" t="n">
        <f aca="false">IF(AA349=1,O349/H349,0)</f>
        <v>0</v>
      </c>
      <c r="AF349" s="44" t="n">
        <f aca="false">IF(AA349=1,K349/H349,0)</f>
        <v>0</v>
      </c>
      <c r="AG349" s="45" t="str">
        <f aca="false">IF(AA349=1,D349&amp;"|"&amp;TEXT(B349,"0"),"")</f>
        <v/>
      </c>
      <c r="AH349" s="43" t="n">
        <f aca="false">IF(AA349=1,H349,0)</f>
        <v>0</v>
      </c>
    </row>
    <row r="350" customFormat="false" ht="15" hidden="false" customHeight="false" outlineLevel="0" collapsed="false">
      <c r="A350" s="23" t="str">
        <f aca="false">IF(B350="","","B-"&amp;TEXT(ROW()-4,"0000"))</f>
        <v/>
      </c>
      <c r="B350" s="38"/>
      <c r="C350" s="38"/>
      <c r="D350" s="6"/>
      <c r="E350" s="6"/>
      <c r="F350" s="6"/>
      <c r="G350" s="11"/>
      <c r="H350" s="24" t="str">
        <f aca="false">IF(AND(ISNUMBER(B350),ISNUMBER(C350)),MAX(0,C350-B350),"")</f>
        <v/>
      </c>
      <c r="I350" s="37"/>
      <c r="J350" s="46" t="str">
        <f aca="false">IF(OR(D350="",N(H350)=0),"",IFERROR(IF(I350&lt;&gt;"",H350*I350,ROUND(((H350-(INT((WEEKDAY(B350-6)+H350-1)/7)+INT((WEEKDAY(B350-7)+H350-1)/7)))*INDEX(Properties!$E$5:$E$24,MATCH(D350,Properties!$A$5:$A$24,0))+(INT((WEEKDAY(B350-6)+H350-1)/7)+INT((WEEKDAY(B350-7)+H350-1)/7))*INDEX(Properties!$F$5:$F$24,MATCH(D350,Properties!$A$5:$A$24,0)))*(1-IF(H350&gt;=28,Settings!$B$10,IF(H350&gt;=7,Settings!$B$9,0))),2)),0))</f>
        <v/>
      </c>
      <c r="K350" s="46" t="str">
        <f aca="false">IF(J350="","",IFERROR(N(INDEX(Properties!$G$5:$G$24,MATCH(D350,Properties!$A$5:$A$24,0))),0))</f>
        <v/>
      </c>
      <c r="L350" s="46" t="str">
        <f aca="false">IF(J350="","",IFERROR(MAX(0,N(G350)-INDEX(Properties!$I$5:$I$24,MATCH(D350,Properties!$A$5:$A$24,0)))*N(INDEX(Properties!$J$5:$J$24,MATCH(D350,Properties!$A$5:$A$24,0)))*H350,0))</f>
        <v/>
      </c>
      <c r="M350" s="37"/>
      <c r="N350" s="46" t="str">
        <f aca="false">IF(J350="","",J350+K350+L350+N(M350))</f>
        <v/>
      </c>
      <c r="O350" s="46" t="str">
        <f aca="false">IF(N350="","",IF(P350&lt;&gt;"",N350-P350,ROUND(N350*IFERROR(INDEX(Settings!$E$5:$E$12,MATCH(F350,Settings!$D$5:$D$12,0)),0),2)))</f>
        <v/>
      </c>
      <c r="P350" s="37"/>
      <c r="Q350" s="46" t="str">
        <f aca="false">IF(N350="","",IF(P350&lt;&gt;"",P350,N350-O350))</f>
        <v/>
      </c>
      <c r="R350" s="46" t="str">
        <f aca="false">IF(J350="","",IFERROR(N(INDEX(Properties!$H$5:$H$24,MATCH(D350,Properties!$A$5:$A$24,0))),0))</f>
        <v/>
      </c>
      <c r="S350" s="46" t="str">
        <f aca="false">IF(Q350="","",Q350-R350)</f>
        <v/>
      </c>
      <c r="T350" s="6"/>
      <c r="U350" s="6"/>
      <c r="V350" s="6"/>
      <c r="W350" s="6"/>
      <c r="X350" s="6"/>
      <c r="Y350" s="8" t="str">
        <f aca="false">IF(OR(D350="",B350="",C350=""),"",IF(N(C350)&lt;=N(B350),"Check dates",IF(T350="Cancelled","",IF(COUNTIFS($D$5:$D$1004,D350,$B$5:$B$1004,"&lt;"&amp;C350,$C$5:$C$1004,"&gt;"&amp;B350,$T$5:$T$1004,"&lt;&gt;Cancelled")&gt;1,"Double-booked",""))))</f>
        <v/>
      </c>
      <c r="Z350" s="42" t="str">
        <f aca="false">IF(AND(AA350=1,ISNUMBER(C350)),C350+ROW()/100000,"")</f>
        <v/>
      </c>
      <c r="AA350" s="43" t="n">
        <f aca="false">IF(AND(D350&lt;&gt;"",ISNUMBER(B350),ISNUMBER(C350),N(H350)&gt;0,T350&lt;&gt;"Cancelled",J350&lt;&gt;""),1,0)</f>
        <v>0</v>
      </c>
      <c r="AB350" s="44" t="n">
        <f aca="false">IF(AA350=1,J350/H350,0)</f>
        <v>0</v>
      </c>
      <c r="AC350" s="44" t="n">
        <f aca="false">IF(AA350=1,Q350/H350,0)</f>
        <v>0</v>
      </c>
      <c r="AD350" s="44" t="n">
        <f aca="false">IF(AA350=1,R350/H350,0)</f>
        <v>0</v>
      </c>
      <c r="AE350" s="44" t="n">
        <f aca="false">IF(AA350=1,O350/H350,0)</f>
        <v>0</v>
      </c>
      <c r="AF350" s="44" t="n">
        <f aca="false">IF(AA350=1,K350/H350,0)</f>
        <v>0</v>
      </c>
      <c r="AG350" s="45" t="str">
        <f aca="false">IF(AA350=1,D350&amp;"|"&amp;TEXT(B350,"0"),"")</f>
        <v/>
      </c>
      <c r="AH350" s="43" t="n">
        <f aca="false">IF(AA350=1,H350,0)</f>
        <v>0</v>
      </c>
    </row>
    <row r="351" customFormat="false" ht="15" hidden="false" customHeight="false" outlineLevel="0" collapsed="false">
      <c r="A351" s="8" t="str">
        <f aca="false">IF(B351="","","B-"&amp;TEXT(ROW()-4,"0000"))</f>
        <v/>
      </c>
      <c r="B351" s="38"/>
      <c r="C351" s="38"/>
      <c r="D351" s="6"/>
      <c r="E351" s="6"/>
      <c r="F351" s="6"/>
      <c r="G351" s="11"/>
      <c r="H351" s="18" t="str">
        <f aca="false">IF(AND(ISNUMBER(B351),ISNUMBER(C351)),MAX(0,C351-B351),"")</f>
        <v/>
      </c>
      <c r="I351" s="37"/>
      <c r="J351" s="41" t="str">
        <f aca="false">IF(OR(D351="",N(H351)=0),"",IFERROR(IF(I351&lt;&gt;"",H351*I351,ROUND(((H351-(INT((WEEKDAY(B351-6)+H351-1)/7)+INT((WEEKDAY(B351-7)+H351-1)/7)))*INDEX(Properties!$E$5:$E$24,MATCH(D351,Properties!$A$5:$A$24,0))+(INT((WEEKDAY(B351-6)+H351-1)/7)+INT((WEEKDAY(B351-7)+H351-1)/7))*INDEX(Properties!$F$5:$F$24,MATCH(D351,Properties!$A$5:$A$24,0)))*(1-IF(H351&gt;=28,Settings!$B$10,IF(H351&gt;=7,Settings!$B$9,0))),2)),0))</f>
        <v/>
      </c>
      <c r="K351" s="41" t="str">
        <f aca="false">IF(J351="","",IFERROR(N(INDEX(Properties!$G$5:$G$24,MATCH(D351,Properties!$A$5:$A$24,0))),0))</f>
        <v/>
      </c>
      <c r="L351" s="41" t="str">
        <f aca="false">IF(J351="","",IFERROR(MAX(0,N(G351)-INDEX(Properties!$I$5:$I$24,MATCH(D351,Properties!$A$5:$A$24,0)))*N(INDEX(Properties!$J$5:$J$24,MATCH(D351,Properties!$A$5:$A$24,0)))*H351,0))</f>
        <v/>
      </c>
      <c r="M351" s="37"/>
      <c r="N351" s="41" t="str">
        <f aca="false">IF(J351="","",J351+K351+L351+N(M351))</f>
        <v/>
      </c>
      <c r="O351" s="41" t="str">
        <f aca="false">IF(N351="","",IF(P351&lt;&gt;"",N351-P351,ROUND(N351*IFERROR(INDEX(Settings!$E$5:$E$12,MATCH(F351,Settings!$D$5:$D$12,0)),0),2)))</f>
        <v/>
      </c>
      <c r="P351" s="37"/>
      <c r="Q351" s="41" t="str">
        <f aca="false">IF(N351="","",IF(P351&lt;&gt;"",P351,N351-O351))</f>
        <v/>
      </c>
      <c r="R351" s="41" t="str">
        <f aca="false">IF(J351="","",IFERROR(N(INDEX(Properties!$H$5:$H$24,MATCH(D351,Properties!$A$5:$A$24,0))),0))</f>
        <v/>
      </c>
      <c r="S351" s="41" t="str">
        <f aca="false">IF(Q351="","",Q351-R351)</f>
        <v/>
      </c>
      <c r="T351" s="6"/>
      <c r="U351" s="6"/>
      <c r="V351" s="6"/>
      <c r="W351" s="6"/>
      <c r="X351" s="6"/>
      <c r="Y351" s="8" t="str">
        <f aca="false">IF(OR(D351="",B351="",C351=""),"",IF(N(C351)&lt;=N(B351),"Check dates",IF(T351="Cancelled","",IF(COUNTIFS($D$5:$D$1004,D351,$B$5:$B$1004,"&lt;"&amp;C351,$C$5:$C$1004,"&gt;"&amp;B351,$T$5:$T$1004,"&lt;&gt;Cancelled")&gt;1,"Double-booked",""))))</f>
        <v/>
      </c>
      <c r="Z351" s="42" t="str">
        <f aca="false">IF(AND(AA351=1,ISNUMBER(C351)),C351+ROW()/100000,"")</f>
        <v/>
      </c>
      <c r="AA351" s="43" t="n">
        <f aca="false">IF(AND(D351&lt;&gt;"",ISNUMBER(B351),ISNUMBER(C351),N(H351)&gt;0,T351&lt;&gt;"Cancelled",J351&lt;&gt;""),1,0)</f>
        <v>0</v>
      </c>
      <c r="AB351" s="44" t="n">
        <f aca="false">IF(AA351=1,J351/H351,0)</f>
        <v>0</v>
      </c>
      <c r="AC351" s="44" t="n">
        <f aca="false">IF(AA351=1,Q351/H351,0)</f>
        <v>0</v>
      </c>
      <c r="AD351" s="44" t="n">
        <f aca="false">IF(AA351=1,R351/H351,0)</f>
        <v>0</v>
      </c>
      <c r="AE351" s="44" t="n">
        <f aca="false">IF(AA351=1,O351/H351,0)</f>
        <v>0</v>
      </c>
      <c r="AF351" s="44" t="n">
        <f aca="false">IF(AA351=1,K351/H351,0)</f>
        <v>0</v>
      </c>
      <c r="AG351" s="45" t="str">
        <f aca="false">IF(AA351=1,D351&amp;"|"&amp;TEXT(B351,"0"),"")</f>
        <v/>
      </c>
      <c r="AH351" s="43" t="n">
        <f aca="false">IF(AA351=1,H351,0)</f>
        <v>0</v>
      </c>
    </row>
    <row r="352" customFormat="false" ht="15" hidden="false" customHeight="false" outlineLevel="0" collapsed="false">
      <c r="A352" s="23" t="str">
        <f aca="false">IF(B352="","","B-"&amp;TEXT(ROW()-4,"0000"))</f>
        <v/>
      </c>
      <c r="B352" s="38"/>
      <c r="C352" s="38"/>
      <c r="D352" s="6"/>
      <c r="E352" s="6"/>
      <c r="F352" s="6"/>
      <c r="G352" s="11"/>
      <c r="H352" s="24" t="str">
        <f aca="false">IF(AND(ISNUMBER(B352),ISNUMBER(C352)),MAX(0,C352-B352),"")</f>
        <v/>
      </c>
      <c r="I352" s="37"/>
      <c r="J352" s="46" t="str">
        <f aca="false">IF(OR(D352="",N(H352)=0),"",IFERROR(IF(I352&lt;&gt;"",H352*I352,ROUND(((H352-(INT((WEEKDAY(B352-6)+H352-1)/7)+INT((WEEKDAY(B352-7)+H352-1)/7)))*INDEX(Properties!$E$5:$E$24,MATCH(D352,Properties!$A$5:$A$24,0))+(INT((WEEKDAY(B352-6)+H352-1)/7)+INT((WEEKDAY(B352-7)+H352-1)/7))*INDEX(Properties!$F$5:$F$24,MATCH(D352,Properties!$A$5:$A$24,0)))*(1-IF(H352&gt;=28,Settings!$B$10,IF(H352&gt;=7,Settings!$B$9,0))),2)),0))</f>
        <v/>
      </c>
      <c r="K352" s="46" t="str">
        <f aca="false">IF(J352="","",IFERROR(N(INDEX(Properties!$G$5:$G$24,MATCH(D352,Properties!$A$5:$A$24,0))),0))</f>
        <v/>
      </c>
      <c r="L352" s="46" t="str">
        <f aca="false">IF(J352="","",IFERROR(MAX(0,N(G352)-INDEX(Properties!$I$5:$I$24,MATCH(D352,Properties!$A$5:$A$24,0)))*N(INDEX(Properties!$J$5:$J$24,MATCH(D352,Properties!$A$5:$A$24,0)))*H352,0))</f>
        <v/>
      </c>
      <c r="M352" s="37"/>
      <c r="N352" s="46" t="str">
        <f aca="false">IF(J352="","",J352+K352+L352+N(M352))</f>
        <v/>
      </c>
      <c r="O352" s="46" t="str">
        <f aca="false">IF(N352="","",IF(P352&lt;&gt;"",N352-P352,ROUND(N352*IFERROR(INDEX(Settings!$E$5:$E$12,MATCH(F352,Settings!$D$5:$D$12,0)),0),2)))</f>
        <v/>
      </c>
      <c r="P352" s="37"/>
      <c r="Q352" s="46" t="str">
        <f aca="false">IF(N352="","",IF(P352&lt;&gt;"",P352,N352-O352))</f>
        <v/>
      </c>
      <c r="R352" s="46" t="str">
        <f aca="false">IF(J352="","",IFERROR(N(INDEX(Properties!$H$5:$H$24,MATCH(D352,Properties!$A$5:$A$24,0))),0))</f>
        <v/>
      </c>
      <c r="S352" s="46" t="str">
        <f aca="false">IF(Q352="","",Q352-R352)</f>
        <v/>
      </c>
      <c r="T352" s="6"/>
      <c r="U352" s="6"/>
      <c r="V352" s="6"/>
      <c r="W352" s="6"/>
      <c r="X352" s="6"/>
      <c r="Y352" s="8" t="str">
        <f aca="false">IF(OR(D352="",B352="",C352=""),"",IF(N(C352)&lt;=N(B352),"Check dates",IF(T352="Cancelled","",IF(COUNTIFS($D$5:$D$1004,D352,$B$5:$B$1004,"&lt;"&amp;C352,$C$5:$C$1004,"&gt;"&amp;B352,$T$5:$T$1004,"&lt;&gt;Cancelled")&gt;1,"Double-booked",""))))</f>
        <v/>
      </c>
      <c r="Z352" s="42" t="str">
        <f aca="false">IF(AND(AA352=1,ISNUMBER(C352)),C352+ROW()/100000,"")</f>
        <v/>
      </c>
      <c r="AA352" s="43" t="n">
        <f aca="false">IF(AND(D352&lt;&gt;"",ISNUMBER(B352),ISNUMBER(C352),N(H352)&gt;0,T352&lt;&gt;"Cancelled",J352&lt;&gt;""),1,0)</f>
        <v>0</v>
      </c>
      <c r="AB352" s="44" t="n">
        <f aca="false">IF(AA352=1,J352/H352,0)</f>
        <v>0</v>
      </c>
      <c r="AC352" s="44" t="n">
        <f aca="false">IF(AA352=1,Q352/H352,0)</f>
        <v>0</v>
      </c>
      <c r="AD352" s="44" t="n">
        <f aca="false">IF(AA352=1,R352/H352,0)</f>
        <v>0</v>
      </c>
      <c r="AE352" s="44" t="n">
        <f aca="false">IF(AA352=1,O352/H352,0)</f>
        <v>0</v>
      </c>
      <c r="AF352" s="44" t="n">
        <f aca="false">IF(AA352=1,K352/H352,0)</f>
        <v>0</v>
      </c>
      <c r="AG352" s="45" t="str">
        <f aca="false">IF(AA352=1,D352&amp;"|"&amp;TEXT(B352,"0"),"")</f>
        <v/>
      </c>
      <c r="AH352" s="43" t="n">
        <f aca="false">IF(AA352=1,H352,0)</f>
        <v>0</v>
      </c>
    </row>
    <row r="353" customFormat="false" ht="15" hidden="false" customHeight="false" outlineLevel="0" collapsed="false">
      <c r="A353" s="8" t="str">
        <f aca="false">IF(B353="","","B-"&amp;TEXT(ROW()-4,"0000"))</f>
        <v/>
      </c>
      <c r="B353" s="38"/>
      <c r="C353" s="38"/>
      <c r="D353" s="6"/>
      <c r="E353" s="6"/>
      <c r="F353" s="6"/>
      <c r="G353" s="11"/>
      <c r="H353" s="18" t="str">
        <f aca="false">IF(AND(ISNUMBER(B353),ISNUMBER(C353)),MAX(0,C353-B353),"")</f>
        <v/>
      </c>
      <c r="I353" s="37"/>
      <c r="J353" s="41" t="str">
        <f aca="false">IF(OR(D353="",N(H353)=0),"",IFERROR(IF(I353&lt;&gt;"",H353*I353,ROUND(((H353-(INT((WEEKDAY(B353-6)+H353-1)/7)+INT((WEEKDAY(B353-7)+H353-1)/7)))*INDEX(Properties!$E$5:$E$24,MATCH(D353,Properties!$A$5:$A$24,0))+(INT((WEEKDAY(B353-6)+H353-1)/7)+INT((WEEKDAY(B353-7)+H353-1)/7))*INDEX(Properties!$F$5:$F$24,MATCH(D353,Properties!$A$5:$A$24,0)))*(1-IF(H353&gt;=28,Settings!$B$10,IF(H353&gt;=7,Settings!$B$9,0))),2)),0))</f>
        <v/>
      </c>
      <c r="K353" s="41" t="str">
        <f aca="false">IF(J353="","",IFERROR(N(INDEX(Properties!$G$5:$G$24,MATCH(D353,Properties!$A$5:$A$24,0))),0))</f>
        <v/>
      </c>
      <c r="L353" s="41" t="str">
        <f aca="false">IF(J353="","",IFERROR(MAX(0,N(G353)-INDEX(Properties!$I$5:$I$24,MATCH(D353,Properties!$A$5:$A$24,0)))*N(INDEX(Properties!$J$5:$J$24,MATCH(D353,Properties!$A$5:$A$24,0)))*H353,0))</f>
        <v/>
      </c>
      <c r="M353" s="37"/>
      <c r="N353" s="41" t="str">
        <f aca="false">IF(J353="","",J353+K353+L353+N(M353))</f>
        <v/>
      </c>
      <c r="O353" s="41" t="str">
        <f aca="false">IF(N353="","",IF(P353&lt;&gt;"",N353-P353,ROUND(N353*IFERROR(INDEX(Settings!$E$5:$E$12,MATCH(F353,Settings!$D$5:$D$12,0)),0),2)))</f>
        <v/>
      </c>
      <c r="P353" s="37"/>
      <c r="Q353" s="41" t="str">
        <f aca="false">IF(N353="","",IF(P353&lt;&gt;"",P353,N353-O353))</f>
        <v/>
      </c>
      <c r="R353" s="41" t="str">
        <f aca="false">IF(J353="","",IFERROR(N(INDEX(Properties!$H$5:$H$24,MATCH(D353,Properties!$A$5:$A$24,0))),0))</f>
        <v/>
      </c>
      <c r="S353" s="41" t="str">
        <f aca="false">IF(Q353="","",Q353-R353)</f>
        <v/>
      </c>
      <c r="T353" s="6"/>
      <c r="U353" s="6"/>
      <c r="V353" s="6"/>
      <c r="W353" s="6"/>
      <c r="X353" s="6"/>
      <c r="Y353" s="8" t="str">
        <f aca="false">IF(OR(D353="",B353="",C353=""),"",IF(N(C353)&lt;=N(B353),"Check dates",IF(T353="Cancelled","",IF(COUNTIFS($D$5:$D$1004,D353,$B$5:$B$1004,"&lt;"&amp;C353,$C$5:$C$1004,"&gt;"&amp;B353,$T$5:$T$1004,"&lt;&gt;Cancelled")&gt;1,"Double-booked",""))))</f>
        <v/>
      </c>
      <c r="Z353" s="42" t="str">
        <f aca="false">IF(AND(AA353=1,ISNUMBER(C353)),C353+ROW()/100000,"")</f>
        <v/>
      </c>
      <c r="AA353" s="43" t="n">
        <f aca="false">IF(AND(D353&lt;&gt;"",ISNUMBER(B353),ISNUMBER(C353),N(H353)&gt;0,T353&lt;&gt;"Cancelled",J353&lt;&gt;""),1,0)</f>
        <v>0</v>
      </c>
      <c r="AB353" s="44" t="n">
        <f aca="false">IF(AA353=1,J353/H353,0)</f>
        <v>0</v>
      </c>
      <c r="AC353" s="44" t="n">
        <f aca="false">IF(AA353=1,Q353/H353,0)</f>
        <v>0</v>
      </c>
      <c r="AD353" s="44" t="n">
        <f aca="false">IF(AA353=1,R353/H353,0)</f>
        <v>0</v>
      </c>
      <c r="AE353" s="44" t="n">
        <f aca="false">IF(AA353=1,O353/H353,0)</f>
        <v>0</v>
      </c>
      <c r="AF353" s="44" t="n">
        <f aca="false">IF(AA353=1,K353/H353,0)</f>
        <v>0</v>
      </c>
      <c r="AG353" s="45" t="str">
        <f aca="false">IF(AA353=1,D353&amp;"|"&amp;TEXT(B353,"0"),"")</f>
        <v/>
      </c>
      <c r="AH353" s="43" t="n">
        <f aca="false">IF(AA353=1,H353,0)</f>
        <v>0</v>
      </c>
    </row>
    <row r="354" customFormat="false" ht="15" hidden="false" customHeight="false" outlineLevel="0" collapsed="false">
      <c r="A354" s="23" t="str">
        <f aca="false">IF(B354="","","B-"&amp;TEXT(ROW()-4,"0000"))</f>
        <v/>
      </c>
      <c r="B354" s="38"/>
      <c r="C354" s="38"/>
      <c r="D354" s="6"/>
      <c r="E354" s="6"/>
      <c r="F354" s="6"/>
      <c r="G354" s="11"/>
      <c r="H354" s="24" t="str">
        <f aca="false">IF(AND(ISNUMBER(B354),ISNUMBER(C354)),MAX(0,C354-B354),"")</f>
        <v/>
      </c>
      <c r="I354" s="37"/>
      <c r="J354" s="46" t="str">
        <f aca="false">IF(OR(D354="",N(H354)=0),"",IFERROR(IF(I354&lt;&gt;"",H354*I354,ROUND(((H354-(INT((WEEKDAY(B354-6)+H354-1)/7)+INT((WEEKDAY(B354-7)+H354-1)/7)))*INDEX(Properties!$E$5:$E$24,MATCH(D354,Properties!$A$5:$A$24,0))+(INT((WEEKDAY(B354-6)+H354-1)/7)+INT((WEEKDAY(B354-7)+H354-1)/7))*INDEX(Properties!$F$5:$F$24,MATCH(D354,Properties!$A$5:$A$24,0)))*(1-IF(H354&gt;=28,Settings!$B$10,IF(H354&gt;=7,Settings!$B$9,0))),2)),0))</f>
        <v/>
      </c>
      <c r="K354" s="46" t="str">
        <f aca="false">IF(J354="","",IFERROR(N(INDEX(Properties!$G$5:$G$24,MATCH(D354,Properties!$A$5:$A$24,0))),0))</f>
        <v/>
      </c>
      <c r="L354" s="46" t="str">
        <f aca="false">IF(J354="","",IFERROR(MAX(0,N(G354)-INDEX(Properties!$I$5:$I$24,MATCH(D354,Properties!$A$5:$A$24,0)))*N(INDEX(Properties!$J$5:$J$24,MATCH(D354,Properties!$A$5:$A$24,0)))*H354,0))</f>
        <v/>
      </c>
      <c r="M354" s="37"/>
      <c r="N354" s="46" t="str">
        <f aca="false">IF(J354="","",J354+K354+L354+N(M354))</f>
        <v/>
      </c>
      <c r="O354" s="46" t="str">
        <f aca="false">IF(N354="","",IF(P354&lt;&gt;"",N354-P354,ROUND(N354*IFERROR(INDEX(Settings!$E$5:$E$12,MATCH(F354,Settings!$D$5:$D$12,0)),0),2)))</f>
        <v/>
      </c>
      <c r="P354" s="37"/>
      <c r="Q354" s="46" t="str">
        <f aca="false">IF(N354="","",IF(P354&lt;&gt;"",P354,N354-O354))</f>
        <v/>
      </c>
      <c r="R354" s="46" t="str">
        <f aca="false">IF(J354="","",IFERROR(N(INDEX(Properties!$H$5:$H$24,MATCH(D354,Properties!$A$5:$A$24,0))),0))</f>
        <v/>
      </c>
      <c r="S354" s="46" t="str">
        <f aca="false">IF(Q354="","",Q354-R354)</f>
        <v/>
      </c>
      <c r="T354" s="6"/>
      <c r="U354" s="6"/>
      <c r="V354" s="6"/>
      <c r="W354" s="6"/>
      <c r="X354" s="6"/>
      <c r="Y354" s="8" t="str">
        <f aca="false">IF(OR(D354="",B354="",C354=""),"",IF(N(C354)&lt;=N(B354),"Check dates",IF(T354="Cancelled","",IF(COUNTIFS($D$5:$D$1004,D354,$B$5:$B$1004,"&lt;"&amp;C354,$C$5:$C$1004,"&gt;"&amp;B354,$T$5:$T$1004,"&lt;&gt;Cancelled")&gt;1,"Double-booked",""))))</f>
        <v/>
      </c>
      <c r="Z354" s="42" t="str">
        <f aca="false">IF(AND(AA354=1,ISNUMBER(C354)),C354+ROW()/100000,"")</f>
        <v/>
      </c>
      <c r="AA354" s="43" t="n">
        <f aca="false">IF(AND(D354&lt;&gt;"",ISNUMBER(B354),ISNUMBER(C354),N(H354)&gt;0,T354&lt;&gt;"Cancelled",J354&lt;&gt;""),1,0)</f>
        <v>0</v>
      </c>
      <c r="AB354" s="44" t="n">
        <f aca="false">IF(AA354=1,J354/H354,0)</f>
        <v>0</v>
      </c>
      <c r="AC354" s="44" t="n">
        <f aca="false">IF(AA354=1,Q354/H354,0)</f>
        <v>0</v>
      </c>
      <c r="AD354" s="44" t="n">
        <f aca="false">IF(AA354=1,R354/H354,0)</f>
        <v>0</v>
      </c>
      <c r="AE354" s="44" t="n">
        <f aca="false">IF(AA354=1,O354/H354,0)</f>
        <v>0</v>
      </c>
      <c r="AF354" s="44" t="n">
        <f aca="false">IF(AA354=1,K354/H354,0)</f>
        <v>0</v>
      </c>
      <c r="AG354" s="45" t="str">
        <f aca="false">IF(AA354=1,D354&amp;"|"&amp;TEXT(B354,"0"),"")</f>
        <v/>
      </c>
      <c r="AH354" s="43" t="n">
        <f aca="false">IF(AA354=1,H354,0)</f>
        <v>0</v>
      </c>
    </row>
    <row r="355" customFormat="false" ht="15" hidden="false" customHeight="false" outlineLevel="0" collapsed="false">
      <c r="A355" s="8" t="str">
        <f aca="false">IF(B355="","","B-"&amp;TEXT(ROW()-4,"0000"))</f>
        <v/>
      </c>
      <c r="B355" s="38"/>
      <c r="C355" s="38"/>
      <c r="D355" s="6"/>
      <c r="E355" s="6"/>
      <c r="F355" s="6"/>
      <c r="G355" s="11"/>
      <c r="H355" s="18" t="str">
        <f aca="false">IF(AND(ISNUMBER(B355),ISNUMBER(C355)),MAX(0,C355-B355),"")</f>
        <v/>
      </c>
      <c r="I355" s="37"/>
      <c r="J355" s="41" t="str">
        <f aca="false">IF(OR(D355="",N(H355)=0),"",IFERROR(IF(I355&lt;&gt;"",H355*I355,ROUND(((H355-(INT((WEEKDAY(B355-6)+H355-1)/7)+INT((WEEKDAY(B355-7)+H355-1)/7)))*INDEX(Properties!$E$5:$E$24,MATCH(D355,Properties!$A$5:$A$24,0))+(INT((WEEKDAY(B355-6)+H355-1)/7)+INT((WEEKDAY(B355-7)+H355-1)/7))*INDEX(Properties!$F$5:$F$24,MATCH(D355,Properties!$A$5:$A$24,0)))*(1-IF(H355&gt;=28,Settings!$B$10,IF(H355&gt;=7,Settings!$B$9,0))),2)),0))</f>
        <v/>
      </c>
      <c r="K355" s="41" t="str">
        <f aca="false">IF(J355="","",IFERROR(N(INDEX(Properties!$G$5:$G$24,MATCH(D355,Properties!$A$5:$A$24,0))),0))</f>
        <v/>
      </c>
      <c r="L355" s="41" t="str">
        <f aca="false">IF(J355="","",IFERROR(MAX(0,N(G355)-INDEX(Properties!$I$5:$I$24,MATCH(D355,Properties!$A$5:$A$24,0)))*N(INDEX(Properties!$J$5:$J$24,MATCH(D355,Properties!$A$5:$A$24,0)))*H355,0))</f>
        <v/>
      </c>
      <c r="M355" s="37"/>
      <c r="N355" s="41" t="str">
        <f aca="false">IF(J355="","",J355+K355+L355+N(M355))</f>
        <v/>
      </c>
      <c r="O355" s="41" t="str">
        <f aca="false">IF(N355="","",IF(P355&lt;&gt;"",N355-P355,ROUND(N355*IFERROR(INDEX(Settings!$E$5:$E$12,MATCH(F355,Settings!$D$5:$D$12,0)),0),2)))</f>
        <v/>
      </c>
      <c r="P355" s="37"/>
      <c r="Q355" s="41" t="str">
        <f aca="false">IF(N355="","",IF(P355&lt;&gt;"",P355,N355-O355))</f>
        <v/>
      </c>
      <c r="R355" s="41" t="str">
        <f aca="false">IF(J355="","",IFERROR(N(INDEX(Properties!$H$5:$H$24,MATCH(D355,Properties!$A$5:$A$24,0))),0))</f>
        <v/>
      </c>
      <c r="S355" s="41" t="str">
        <f aca="false">IF(Q355="","",Q355-R355)</f>
        <v/>
      </c>
      <c r="T355" s="6"/>
      <c r="U355" s="6"/>
      <c r="V355" s="6"/>
      <c r="W355" s="6"/>
      <c r="X355" s="6"/>
      <c r="Y355" s="8" t="str">
        <f aca="false">IF(OR(D355="",B355="",C355=""),"",IF(N(C355)&lt;=N(B355),"Check dates",IF(T355="Cancelled","",IF(COUNTIFS($D$5:$D$1004,D355,$B$5:$B$1004,"&lt;"&amp;C355,$C$5:$C$1004,"&gt;"&amp;B355,$T$5:$T$1004,"&lt;&gt;Cancelled")&gt;1,"Double-booked",""))))</f>
        <v/>
      </c>
      <c r="Z355" s="42" t="str">
        <f aca="false">IF(AND(AA355=1,ISNUMBER(C355)),C355+ROW()/100000,"")</f>
        <v/>
      </c>
      <c r="AA355" s="43" t="n">
        <f aca="false">IF(AND(D355&lt;&gt;"",ISNUMBER(B355),ISNUMBER(C355),N(H355)&gt;0,T355&lt;&gt;"Cancelled",J355&lt;&gt;""),1,0)</f>
        <v>0</v>
      </c>
      <c r="AB355" s="44" t="n">
        <f aca="false">IF(AA355=1,J355/H355,0)</f>
        <v>0</v>
      </c>
      <c r="AC355" s="44" t="n">
        <f aca="false">IF(AA355=1,Q355/H355,0)</f>
        <v>0</v>
      </c>
      <c r="AD355" s="44" t="n">
        <f aca="false">IF(AA355=1,R355/H355,0)</f>
        <v>0</v>
      </c>
      <c r="AE355" s="44" t="n">
        <f aca="false">IF(AA355=1,O355/H355,0)</f>
        <v>0</v>
      </c>
      <c r="AF355" s="44" t="n">
        <f aca="false">IF(AA355=1,K355/H355,0)</f>
        <v>0</v>
      </c>
      <c r="AG355" s="45" t="str">
        <f aca="false">IF(AA355=1,D355&amp;"|"&amp;TEXT(B355,"0"),"")</f>
        <v/>
      </c>
      <c r="AH355" s="43" t="n">
        <f aca="false">IF(AA355=1,H355,0)</f>
        <v>0</v>
      </c>
    </row>
    <row r="356" customFormat="false" ht="15" hidden="false" customHeight="false" outlineLevel="0" collapsed="false">
      <c r="A356" s="23" t="str">
        <f aca="false">IF(B356="","","B-"&amp;TEXT(ROW()-4,"0000"))</f>
        <v/>
      </c>
      <c r="B356" s="38"/>
      <c r="C356" s="38"/>
      <c r="D356" s="6"/>
      <c r="E356" s="6"/>
      <c r="F356" s="6"/>
      <c r="G356" s="11"/>
      <c r="H356" s="24" t="str">
        <f aca="false">IF(AND(ISNUMBER(B356),ISNUMBER(C356)),MAX(0,C356-B356),"")</f>
        <v/>
      </c>
      <c r="I356" s="37"/>
      <c r="J356" s="46" t="str">
        <f aca="false">IF(OR(D356="",N(H356)=0),"",IFERROR(IF(I356&lt;&gt;"",H356*I356,ROUND(((H356-(INT((WEEKDAY(B356-6)+H356-1)/7)+INT((WEEKDAY(B356-7)+H356-1)/7)))*INDEX(Properties!$E$5:$E$24,MATCH(D356,Properties!$A$5:$A$24,0))+(INT((WEEKDAY(B356-6)+H356-1)/7)+INT((WEEKDAY(B356-7)+H356-1)/7))*INDEX(Properties!$F$5:$F$24,MATCH(D356,Properties!$A$5:$A$24,0)))*(1-IF(H356&gt;=28,Settings!$B$10,IF(H356&gt;=7,Settings!$B$9,0))),2)),0))</f>
        <v/>
      </c>
      <c r="K356" s="46" t="str">
        <f aca="false">IF(J356="","",IFERROR(N(INDEX(Properties!$G$5:$G$24,MATCH(D356,Properties!$A$5:$A$24,0))),0))</f>
        <v/>
      </c>
      <c r="L356" s="46" t="str">
        <f aca="false">IF(J356="","",IFERROR(MAX(0,N(G356)-INDEX(Properties!$I$5:$I$24,MATCH(D356,Properties!$A$5:$A$24,0)))*N(INDEX(Properties!$J$5:$J$24,MATCH(D356,Properties!$A$5:$A$24,0)))*H356,0))</f>
        <v/>
      </c>
      <c r="M356" s="37"/>
      <c r="N356" s="46" t="str">
        <f aca="false">IF(J356="","",J356+K356+L356+N(M356))</f>
        <v/>
      </c>
      <c r="O356" s="46" t="str">
        <f aca="false">IF(N356="","",IF(P356&lt;&gt;"",N356-P356,ROUND(N356*IFERROR(INDEX(Settings!$E$5:$E$12,MATCH(F356,Settings!$D$5:$D$12,0)),0),2)))</f>
        <v/>
      </c>
      <c r="P356" s="37"/>
      <c r="Q356" s="46" t="str">
        <f aca="false">IF(N356="","",IF(P356&lt;&gt;"",P356,N356-O356))</f>
        <v/>
      </c>
      <c r="R356" s="46" t="str">
        <f aca="false">IF(J356="","",IFERROR(N(INDEX(Properties!$H$5:$H$24,MATCH(D356,Properties!$A$5:$A$24,0))),0))</f>
        <v/>
      </c>
      <c r="S356" s="46" t="str">
        <f aca="false">IF(Q356="","",Q356-R356)</f>
        <v/>
      </c>
      <c r="T356" s="6"/>
      <c r="U356" s="6"/>
      <c r="V356" s="6"/>
      <c r="W356" s="6"/>
      <c r="X356" s="6"/>
      <c r="Y356" s="8" t="str">
        <f aca="false">IF(OR(D356="",B356="",C356=""),"",IF(N(C356)&lt;=N(B356),"Check dates",IF(T356="Cancelled","",IF(COUNTIFS($D$5:$D$1004,D356,$B$5:$B$1004,"&lt;"&amp;C356,$C$5:$C$1004,"&gt;"&amp;B356,$T$5:$T$1004,"&lt;&gt;Cancelled")&gt;1,"Double-booked",""))))</f>
        <v/>
      </c>
      <c r="Z356" s="42" t="str">
        <f aca="false">IF(AND(AA356=1,ISNUMBER(C356)),C356+ROW()/100000,"")</f>
        <v/>
      </c>
      <c r="AA356" s="43" t="n">
        <f aca="false">IF(AND(D356&lt;&gt;"",ISNUMBER(B356),ISNUMBER(C356),N(H356)&gt;0,T356&lt;&gt;"Cancelled",J356&lt;&gt;""),1,0)</f>
        <v>0</v>
      </c>
      <c r="AB356" s="44" t="n">
        <f aca="false">IF(AA356=1,J356/H356,0)</f>
        <v>0</v>
      </c>
      <c r="AC356" s="44" t="n">
        <f aca="false">IF(AA356=1,Q356/H356,0)</f>
        <v>0</v>
      </c>
      <c r="AD356" s="44" t="n">
        <f aca="false">IF(AA356=1,R356/H356,0)</f>
        <v>0</v>
      </c>
      <c r="AE356" s="44" t="n">
        <f aca="false">IF(AA356=1,O356/H356,0)</f>
        <v>0</v>
      </c>
      <c r="AF356" s="44" t="n">
        <f aca="false">IF(AA356=1,K356/H356,0)</f>
        <v>0</v>
      </c>
      <c r="AG356" s="45" t="str">
        <f aca="false">IF(AA356=1,D356&amp;"|"&amp;TEXT(B356,"0"),"")</f>
        <v/>
      </c>
      <c r="AH356" s="43" t="n">
        <f aca="false">IF(AA356=1,H356,0)</f>
        <v>0</v>
      </c>
    </row>
    <row r="357" customFormat="false" ht="15" hidden="false" customHeight="false" outlineLevel="0" collapsed="false">
      <c r="A357" s="8" t="str">
        <f aca="false">IF(B357="","","B-"&amp;TEXT(ROW()-4,"0000"))</f>
        <v/>
      </c>
      <c r="B357" s="38"/>
      <c r="C357" s="38"/>
      <c r="D357" s="6"/>
      <c r="E357" s="6"/>
      <c r="F357" s="6"/>
      <c r="G357" s="11"/>
      <c r="H357" s="18" t="str">
        <f aca="false">IF(AND(ISNUMBER(B357),ISNUMBER(C357)),MAX(0,C357-B357),"")</f>
        <v/>
      </c>
      <c r="I357" s="37"/>
      <c r="J357" s="41" t="str">
        <f aca="false">IF(OR(D357="",N(H357)=0),"",IFERROR(IF(I357&lt;&gt;"",H357*I357,ROUND(((H357-(INT((WEEKDAY(B357-6)+H357-1)/7)+INT((WEEKDAY(B357-7)+H357-1)/7)))*INDEX(Properties!$E$5:$E$24,MATCH(D357,Properties!$A$5:$A$24,0))+(INT((WEEKDAY(B357-6)+H357-1)/7)+INT((WEEKDAY(B357-7)+H357-1)/7))*INDEX(Properties!$F$5:$F$24,MATCH(D357,Properties!$A$5:$A$24,0)))*(1-IF(H357&gt;=28,Settings!$B$10,IF(H357&gt;=7,Settings!$B$9,0))),2)),0))</f>
        <v/>
      </c>
      <c r="K357" s="41" t="str">
        <f aca="false">IF(J357="","",IFERROR(N(INDEX(Properties!$G$5:$G$24,MATCH(D357,Properties!$A$5:$A$24,0))),0))</f>
        <v/>
      </c>
      <c r="L357" s="41" t="str">
        <f aca="false">IF(J357="","",IFERROR(MAX(0,N(G357)-INDEX(Properties!$I$5:$I$24,MATCH(D357,Properties!$A$5:$A$24,0)))*N(INDEX(Properties!$J$5:$J$24,MATCH(D357,Properties!$A$5:$A$24,0)))*H357,0))</f>
        <v/>
      </c>
      <c r="M357" s="37"/>
      <c r="N357" s="41" t="str">
        <f aca="false">IF(J357="","",J357+K357+L357+N(M357))</f>
        <v/>
      </c>
      <c r="O357" s="41" t="str">
        <f aca="false">IF(N357="","",IF(P357&lt;&gt;"",N357-P357,ROUND(N357*IFERROR(INDEX(Settings!$E$5:$E$12,MATCH(F357,Settings!$D$5:$D$12,0)),0),2)))</f>
        <v/>
      </c>
      <c r="P357" s="37"/>
      <c r="Q357" s="41" t="str">
        <f aca="false">IF(N357="","",IF(P357&lt;&gt;"",P357,N357-O357))</f>
        <v/>
      </c>
      <c r="R357" s="41" t="str">
        <f aca="false">IF(J357="","",IFERROR(N(INDEX(Properties!$H$5:$H$24,MATCH(D357,Properties!$A$5:$A$24,0))),0))</f>
        <v/>
      </c>
      <c r="S357" s="41" t="str">
        <f aca="false">IF(Q357="","",Q357-R357)</f>
        <v/>
      </c>
      <c r="T357" s="6"/>
      <c r="U357" s="6"/>
      <c r="V357" s="6"/>
      <c r="W357" s="6"/>
      <c r="X357" s="6"/>
      <c r="Y357" s="8" t="str">
        <f aca="false">IF(OR(D357="",B357="",C357=""),"",IF(N(C357)&lt;=N(B357),"Check dates",IF(T357="Cancelled","",IF(COUNTIFS($D$5:$D$1004,D357,$B$5:$B$1004,"&lt;"&amp;C357,$C$5:$C$1004,"&gt;"&amp;B357,$T$5:$T$1004,"&lt;&gt;Cancelled")&gt;1,"Double-booked",""))))</f>
        <v/>
      </c>
      <c r="Z357" s="42" t="str">
        <f aca="false">IF(AND(AA357=1,ISNUMBER(C357)),C357+ROW()/100000,"")</f>
        <v/>
      </c>
      <c r="AA357" s="43" t="n">
        <f aca="false">IF(AND(D357&lt;&gt;"",ISNUMBER(B357),ISNUMBER(C357),N(H357)&gt;0,T357&lt;&gt;"Cancelled",J357&lt;&gt;""),1,0)</f>
        <v>0</v>
      </c>
      <c r="AB357" s="44" t="n">
        <f aca="false">IF(AA357=1,J357/H357,0)</f>
        <v>0</v>
      </c>
      <c r="AC357" s="44" t="n">
        <f aca="false">IF(AA357=1,Q357/H357,0)</f>
        <v>0</v>
      </c>
      <c r="AD357" s="44" t="n">
        <f aca="false">IF(AA357=1,R357/H357,0)</f>
        <v>0</v>
      </c>
      <c r="AE357" s="44" t="n">
        <f aca="false">IF(AA357=1,O357/H357,0)</f>
        <v>0</v>
      </c>
      <c r="AF357" s="44" t="n">
        <f aca="false">IF(AA357=1,K357/H357,0)</f>
        <v>0</v>
      </c>
      <c r="AG357" s="45" t="str">
        <f aca="false">IF(AA357=1,D357&amp;"|"&amp;TEXT(B357,"0"),"")</f>
        <v/>
      </c>
      <c r="AH357" s="43" t="n">
        <f aca="false">IF(AA357=1,H357,0)</f>
        <v>0</v>
      </c>
    </row>
    <row r="358" customFormat="false" ht="15" hidden="false" customHeight="false" outlineLevel="0" collapsed="false">
      <c r="A358" s="23" t="str">
        <f aca="false">IF(B358="","","B-"&amp;TEXT(ROW()-4,"0000"))</f>
        <v/>
      </c>
      <c r="B358" s="38"/>
      <c r="C358" s="38"/>
      <c r="D358" s="6"/>
      <c r="E358" s="6"/>
      <c r="F358" s="6"/>
      <c r="G358" s="11"/>
      <c r="H358" s="24" t="str">
        <f aca="false">IF(AND(ISNUMBER(B358),ISNUMBER(C358)),MAX(0,C358-B358),"")</f>
        <v/>
      </c>
      <c r="I358" s="37"/>
      <c r="J358" s="46" t="str">
        <f aca="false">IF(OR(D358="",N(H358)=0),"",IFERROR(IF(I358&lt;&gt;"",H358*I358,ROUND(((H358-(INT((WEEKDAY(B358-6)+H358-1)/7)+INT((WEEKDAY(B358-7)+H358-1)/7)))*INDEX(Properties!$E$5:$E$24,MATCH(D358,Properties!$A$5:$A$24,0))+(INT((WEEKDAY(B358-6)+H358-1)/7)+INT((WEEKDAY(B358-7)+H358-1)/7))*INDEX(Properties!$F$5:$F$24,MATCH(D358,Properties!$A$5:$A$24,0)))*(1-IF(H358&gt;=28,Settings!$B$10,IF(H358&gt;=7,Settings!$B$9,0))),2)),0))</f>
        <v/>
      </c>
      <c r="K358" s="46" t="str">
        <f aca="false">IF(J358="","",IFERROR(N(INDEX(Properties!$G$5:$G$24,MATCH(D358,Properties!$A$5:$A$24,0))),0))</f>
        <v/>
      </c>
      <c r="L358" s="46" t="str">
        <f aca="false">IF(J358="","",IFERROR(MAX(0,N(G358)-INDEX(Properties!$I$5:$I$24,MATCH(D358,Properties!$A$5:$A$24,0)))*N(INDEX(Properties!$J$5:$J$24,MATCH(D358,Properties!$A$5:$A$24,0)))*H358,0))</f>
        <v/>
      </c>
      <c r="M358" s="37"/>
      <c r="N358" s="46" t="str">
        <f aca="false">IF(J358="","",J358+K358+L358+N(M358))</f>
        <v/>
      </c>
      <c r="O358" s="46" t="str">
        <f aca="false">IF(N358="","",IF(P358&lt;&gt;"",N358-P358,ROUND(N358*IFERROR(INDEX(Settings!$E$5:$E$12,MATCH(F358,Settings!$D$5:$D$12,0)),0),2)))</f>
        <v/>
      </c>
      <c r="P358" s="37"/>
      <c r="Q358" s="46" t="str">
        <f aca="false">IF(N358="","",IF(P358&lt;&gt;"",P358,N358-O358))</f>
        <v/>
      </c>
      <c r="R358" s="46" t="str">
        <f aca="false">IF(J358="","",IFERROR(N(INDEX(Properties!$H$5:$H$24,MATCH(D358,Properties!$A$5:$A$24,0))),0))</f>
        <v/>
      </c>
      <c r="S358" s="46" t="str">
        <f aca="false">IF(Q358="","",Q358-R358)</f>
        <v/>
      </c>
      <c r="T358" s="6"/>
      <c r="U358" s="6"/>
      <c r="V358" s="6"/>
      <c r="W358" s="6"/>
      <c r="X358" s="6"/>
      <c r="Y358" s="8" t="str">
        <f aca="false">IF(OR(D358="",B358="",C358=""),"",IF(N(C358)&lt;=N(B358),"Check dates",IF(T358="Cancelled","",IF(COUNTIFS($D$5:$D$1004,D358,$B$5:$B$1004,"&lt;"&amp;C358,$C$5:$C$1004,"&gt;"&amp;B358,$T$5:$T$1004,"&lt;&gt;Cancelled")&gt;1,"Double-booked",""))))</f>
        <v/>
      </c>
      <c r="Z358" s="42" t="str">
        <f aca="false">IF(AND(AA358=1,ISNUMBER(C358)),C358+ROW()/100000,"")</f>
        <v/>
      </c>
      <c r="AA358" s="43" t="n">
        <f aca="false">IF(AND(D358&lt;&gt;"",ISNUMBER(B358),ISNUMBER(C358),N(H358)&gt;0,T358&lt;&gt;"Cancelled",J358&lt;&gt;""),1,0)</f>
        <v>0</v>
      </c>
      <c r="AB358" s="44" t="n">
        <f aca="false">IF(AA358=1,J358/H358,0)</f>
        <v>0</v>
      </c>
      <c r="AC358" s="44" t="n">
        <f aca="false">IF(AA358=1,Q358/H358,0)</f>
        <v>0</v>
      </c>
      <c r="AD358" s="44" t="n">
        <f aca="false">IF(AA358=1,R358/H358,0)</f>
        <v>0</v>
      </c>
      <c r="AE358" s="44" t="n">
        <f aca="false">IF(AA358=1,O358/H358,0)</f>
        <v>0</v>
      </c>
      <c r="AF358" s="44" t="n">
        <f aca="false">IF(AA358=1,K358/H358,0)</f>
        <v>0</v>
      </c>
      <c r="AG358" s="45" t="str">
        <f aca="false">IF(AA358=1,D358&amp;"|"&amp;TEXT(B358,"0"),"")</f>
        <v/>
      </c>
      <c r="AH358" s="43" t="n">
        <f aca="false">IF(AA358=1,H358,0)</f>
        <v>0</v>
      </c>
    </row>
    <row r="359" customFormat="false" ht="15" hidden="false" customHeight="false" outlineLevel="0" collapsed="false">
      <c r="A359" s="8" t="str">
        <f aca="false">IF(B359="","","B-"&amp;TEXT(ROW()-4,"0000"))</f>
        <v/>
      </c>
      <c r="B359" s="38"/>
      <c r="C359" s="38"/>
      <c r="D359" s="6"/>
      <c r="E359" s="6"/>
      <c r="F359" s="6"/>
      <c r="G359" s="11"/>
      <c r="H359" s="18" t="str">
        <f aca="false">IF(AND(ISNUMBER(B359),ISNUMBER(C359)),MAX(0,C359-B359),"")</f>
        <v/>
      </c>
      <c r="I359" s="37"/>
      <c r="J359" s="41" t="str">
        <f aca="false">IF(OR(D359="",N(H359)=0),"",IFERROR(IF(I359&lt;&gt;"",H359*I359,ROUND(((H359-(INT((WEEKDAY(B359-6)+H359-1)/7)+INT((WEEKDAY(B359-7)+H359-1)/7)))*INDEX(Properties!$E$5:$E$24,MATCH(D359,Properties!$A$5:$A$24,0))+(INT((WEEKDAY(B359-6)+H359-1)/7)+INT((WEEKDAY(B359-7)+H359-1)/7))*INDEX(Properties!$F$5:$F$24,MATCH(D359,Properties!$A$5:$A$24,0)))*(1-IF(H359&gt;=28,Settings!$B$10,IF(H359&gt;=7,Settings!$B$9,0))),2)),0))</f>
        <v/>
      </c>
      <c r="K359" s="41" t="str">
        <f aca="false">IF(J359="","",IFERROR(N(INDEX(Properties!$G$5:$G$24,MATCH(D359,Properties!$A$5:$A$24,0))),0))</f>
        <v/>
      </c>
      <c r="L359" s="41" t="str">
        <f aca="false">IF(J359="","",IFERROR(MAX(0,N(G359)-INDEX(Properties!$I$5:$I$24,MATCH(D359,Properties!$A$5:$A$24,0)))*N(INDEX(Properties!$J$5:$J$24,MATCH(D359,Properties!$A$5:$A$24,0)))*H359,0))</f>
        <v/>
      </c>
      <c r="M359" s="37"/>
      <c r="N359" s="41" t="str">
        <f aca="false">IF(J359="","",J359+K359+L359+N(M359))</f>
        <v/>
      </c>
      <c r="O359" s="41" t="str">
        <f aca="false">IF(N359="","",IF(P359&lt;&gt;"",N359-P359,ROUND(N359*IFERROR(INDEX(Settings!$E$5:$E$12,MATCH(F359,Settings!$D$5:$D$12,0)),0),2)))</f>
        <v/>
      </c>
      <c r="P359" s="37"/>
      <c r="Q359" s="41" t="str">
        <f aca="false">IF(N359="","",IF(P359&lt;&gt;"",P359,N359-O359))</f>
        <v/>
      </c>
      <c r="R359" s="41" t="str">
        <f aca="false">IF(J359="","",IFERROR(N(INDEX(Properties!$H$5:$H$24,MATCH(D359,Properties!$A$5:$A$24,0))),0))</f>
        <v/>
      </c>
      <c r="S359" s="41" t="str">
        <f aca="false">IF(Q359="","",Q359-R359)</f>
        <v/>
      </c>
      <c r="T359" s="6"/>
      <c r="U359" s="6"/>
      <c r="V359" s="6"/>
      <c r="W359" s="6"/>
      <c r="X359" s="6"/>
      <c r="Y359" s="8" t="str">
        <f aca="false">IF(OR(D359="",B359="",C359=""),"",IF(N(C359)&lt;=N(B359),"Check dates",IF(T359="Cancelled","",IF(COUNTIFS($D$5:$D$1004,D359,$B$5:$B$1004,"&lt;"&amp;C359,$C$5:$C$1004,"&gt;"&amp;B359,$T$5:$T$1004,"&lt;&gt;Cancelled")&gt;1,"Double-booked",""))))</f>
        <v/>
      </c>
      <c r="Z359" s="42" t="str">
        <f aca="false">IF(AND(AA359=1,ISNUMBER(C359)),C359+ROW()/100000,"")</f>
        <v/>
      </c>
      <c r="AA359" s="43" t="n">
        <f aca="false">IF(AND(D359&lt;&gt;"",ISNUMBER(B359),ISNUMBER(C359),N(H359)&gt;0,T359&lt;&gt;"Cancelled",J359&lt;&gt;""),1,0)</f>
        <v>0</v>
      </c>
      <c r="AB359" s="44" t="n">
        <f aca="false">IF(AA359=1,J359/H359,0)</f>
        <v>0</v>
      </c>
      <c r="AC359" s="44" t="n">
        <f aca="false">IF(AA359=1,Q359/H359,0)</f>
        <v>0</v>
      </c>
      <c r="AD359" s="44" t="n">
        <f aca="false">IF(AA359=1,R359/H359,0)</f>
        <v>0</v>
      </c>
      <c r="AE359" s="44" t="n">
        <f aca="false">IF(AA359=1,O359/H359,0)</f>
        <v>0</v>
      </c>
      <c r="AF359" s="44" t="n">
        <f aca="false">IF(AA359=1,K359/H359,0)</f>
        <v>0</v>
      </c>
      <c r="AG359" s="45" t="str">
        <f aca="false">IF(AA359=1,D359&amp;"|"&amp;TEXT(B359,"0"),"")</f>
        <v/>
      </c>
      <c r="AH359" s="43" t="n">
        <f aca="false">IF(AA359=1,H359,0)</f>
        <v>0</v>
      </c>
    </row>
    <row r="360" customFormat="false" ht="15" hidden="false" customHeight="false" outlineLevel="0" collapsed="false">
      <c r="A360" s="23" t="str">
        <f aca="false">IF(B360="","","B-"&amp;TEXT(ROW()-4,"0000"))</f>
        <v/>
      </c>
      <c r="B360" s="38"/>
      <c r="C360" s="38"/>
      <c r="D360" s="6"/>
      <c r="E360" s="6"/>
      <c r="F360" s="6"/>
      <c r="G360" s="11"/>
      <c r="H360" s="24" t="str">
        <f aca="false">IF(AND(ISNUMBER(B360),ISNUMBER(C360)),MAX(0,C360-B360),"")</f>
        <v/>
      </c>
      <c r="I360" s="37"/>
      <c r="J360" s="46" t="str">
        <f aca="false">IF(OR(D360="",N(H360)=0),"",IFERROR(IF(I360&lt;&gt;"",H360*I360,ROUND(((H360-(INT((WEEKDAY(B360-6)+H360-1)/7)+INT((WEEKDAY(B360-7)+H360-1)/7)))*INDEX(Properties!$E$5:$E$24,MATCH(D360,Properties!$A$5:$A$24,0))+(INT((WEEKDAY(B360-6)+H360-1)/7)+INT((WEEKDAY(B360-7)+H360-1)/7))*INDEX(Properties!$F$5:$F$24,MATCH(D360,Properties!$A$5:$A$24,0)))*(1-IF(H360&gt;=28,Settings!$B$10,IF(H360&gt;=7,Settings!$B$9,0))),2)),0))</f>
        <v/>
      </c>
      <c r="K360" s="46" t="str">
        <f aca="false">IF(J360="","",IFERROR(N(INDEX(Properties!$G$5:$G$24,MATCH(D360,Properties!$A$5:$A$24,0))),0))</f>
        <v/>
      </c>
      <c r="L360" s="46" t="str">
        <f aca="false">IF(J360="","",IFERROR(MAX(0,N(G360)-INDEX(Properties!$I$5:$I$24,MATCH(D360,Properties!$A$5:$A$24,0)))*N(INDEX(Properties!$J$5:$J$24,MATCH(D360,Properties!$A$5:$A$24,0)))*H360,0))</f>
        <v/>
      </c>
      <c r="M360" s="37"/>
      <c r="N360" s="46" t="str">
        <f aca="false">IF(J360="","",J360+K360+L360+N(M360))</f>
        <v/>
      </c>
      <c r="O360" s="46" t="str">
        <f aca="false">IF(N360="","",IF(P360&lt;&gt;"",N360-P360,ROUND(N360*IFERROR(INDEX(Settings!$E$5:$E$12,MATCH(F360,Settings!$D$5:$D$12,0)),0),2)))</f>
        <v/>
      </c>
      <c r="P360" s="37"/>
      <c r="Q360" s="46" t="str">
        <f aca="false">IF(N360="","",IF(P360&lt;&gt;"",P360,N360-O360))</f>
        <v/>
      </c>
      <c r="R360" s="46" t="str">
        <f aca="false">IF(J360="","",IFERROR(N(INDEX(Properties!$H$5:$H$24,MATCH(D360,Properties!$A$5:$A$24,0))),0))</f>
        <v/>
      </c>
      <c r="S360" s="46" t="str">
        <f aca="false">IF(Q360="","",Q360-R360)</f>
        <v/>
      </c>
      <c r="T360" s="6"/>
      <c r="U360" s="6"/>
      <c r="V360" s="6"/>
      <c r="W360" s="6"/>
      <c r="X360" s="6"/>
      <c r="Y360" s="8" t="str">
        <f aca="false">IF(OR(D360="",B360="",C360=""),"",IF(N(C360)&lt;=N(B360),"Check dates",IF(T360="Cancelled","",IF(COUNTIFS($D$5:$D$1004,D360,$B$5:$B$1004,"&lt;"&amp;C360,$C$5:$C$1004,"&gt;"&amp;B360,$T$5:$T$1004,"&lt;&gt;Cancelled")&gt;1,"Double-booked",""))))</f>
        <v/>
      </c>
      <c r="Z360" s="42" t="str">
        <f aca="false">IF(AND(AA360=1,ISNUMBER(C360)),C360+ROW()/100000,"")</f>
        <v/>
      </c>
      <c r="AA360" s="43" t="n">
        <f aca="false">IF(AND(D360&lt;&gt;"",ISNUMBER(B360),ISNUMBER(C360),N(H360)&gt;0,T360&lt;&gt;"Cancelled",J360&lt;&gt;""),1,0)</f>
        <v>0</v>
      </c>
      <c r="AB360" s="44" t="n">
        <f aca="false">IF(AA360=1,J360/H360,0)</f>
        <v>0</v>
      </c>
      <c r="AC360" s="44" t="n">
        <f aca="false">IF(AA360=1,Q360/H360,0)</f>
        <v>0</v>
      </c>
      <c r="AD360" s="44" t="n">
        <f aca="false">IF(AA360=1,R360/H360,0)</f>
        <v>0</v>
      </c>
      <c r="AE360" s="44" t="n">
        <f aca="false">IF(AA360=1,O360/H360,0)</f>
        <v>0</v>
      </c>
      <c r="AF360" s="44" t="n">
        <f aca="false">IF(AA360=1,K360/H360,0)</f>
        <v>0</v>
      </c>
      <c r="AG360" s="45" t="str">
        <f aca="false">IF(AA360=1,D360&amp;"|"&amp;TEXT(B360,"0"),"")</f>
        <v/>
      </c>
      <c r="AH360" s="43" t="n">
        <f aca="false">IF(AA360=1,H360,0)</f>
        <v>0</v>
      </c>
    </row>
    <row r="361" customFormat="false" ht="15" hidden="false" customHeight="false" outlineLevel="0" collapsed="false">
      <c r="A361" s="8" t="str">
        <f aca="false">IF(B361="","","B-"&amp;TEXT(ROW()-4,"0000"))</f>
        <v/>
      </c>
      <c r="B361" s="38"/>
      <c r="C361" s="38"/>
      <c r="D361" s="6"/>
      <c r="E361" s="6"/>
      <c r="F361" s="6"/>
      <c r="G361" s="11"/>
      <c r="H361" s="18" t="str">
        <f aca="false">IF(AND(ISNUMBER(B361),ISNUMBER(C361)),MAX(0,C361-B361),"")</f>
        <v/>
      </c>
      <c r="I361" s="37"/>
      <c r="J361" s="41" t="str">
        <f aca="false">IF(OR(D361="",N(H361)=0),"",IFERROR(IF(I361&lt;&gt;"",H361*I361,ROUND(((H361-(INT((WEEKDAY(B361-6)+H361-1)/7)+INT((WEEKDAY(B361-7)+H361-1)/7)))*INDEX(Properties!$E$5:$E$24,MATCH(D361,Properties!$A$5:$A$24,0))+(INT((WEEKDAY(B361-6)+H361-1)/7)+INT((WEEKDAY(B361-7)+H361-1)/7))*INDEX(Properties!$F$5:$F$24,MATCH(D361,Properties!$A$5:$A$24,0)))*(1-IF(H361&gt;=28,Settings!$B$10,IF(H361&gt;=7,Settings!$B$9,0))),2)),0))</f>
        <v/>
      </c>
      <c r="K361" s="41" t="str">
        <f aca="false">IF(J361="","",IFERROR(N(INDEX(Properties!$G$5:$G$24,MATCH(D361,Properties!$A$5:$A$24,0))),0))</f>
        <v/>
      </c>
      <c r="L361" s="41" t="str">
        <f aca="false">IF(J361="","",IFERROR(MAX(0,N(G361)-INDEX(Properties!$I$5:$I$24,MATCH(D361,Properties!$A$5:$A$24,0)))*N(INDEX(Properties!$J$5:$J$24,MATCH(D361,Properties!$A$5:$A$24,0)))*H361,0))</f>
        <v/>
      </c>
      <c r="M361" s="37"/>
      <c r="N361" s="41" t="str">
        <f aca="false">IF(J361="","",J361+K361+L361+N(M361))</f>
        <v/>
      </c>
      <c r="O361" s="41" t="str">
        <f aca="false">IF(N361="","",IF(P361&lt;&gt;"",N361-P361,ROUND(N361*IFERROR(INDEX(Settings!$E$5:$E$12,MATCH(F361,Settings!$D$5:$D$12,0)),0),2)))</f>
        <v/>
      </c>
      <c r="P361" s="37"/>
      <c r="Q361" s="41" t="str">
        <f aca="false">IF(N361="","",IF(P361&lt;&gt;"",P361,N361-O361))</f>
        <v/>
      </c>
      <c r="R361" s="41" t="str">
        <f aca="false">IF(J361="","",IFERROR(N(INDEX(Properties!$H$5:$H$24,MATCH(D361,Properties!$A$5:$A$24,0))),0))</f>
        <v/>
      </c>
      <c r="S361" s="41" t="str">
        <f aca="false">IF(Q361="","",Q361-R361)</f>
        <v/>
      </c>
      <c r="T361" s="6"/>
      <c r="U361" s="6"/>
      <c r="V361" s="6"/>
      <c r="W361" s="6"/>
      <c r="X361" s="6"/>
      <c r="Y361" s="8" t="str">
        <f aca="false">IF(OR(D361="",B361="",C361=""),"",IF(N(C361)&lt;=N(B361),"Check dates",IF(T361="Cancelled","",IF(COUNTIFS($D$5:$D$1004,D361,$B$5:$B$1004,"&lt;"&amp;C361,$C$5:$C$1004,"&gt;"&amp;B361,$T$5:$T$1004,"&lt;&gt;Cancelled")&gt;1,"Double-booked",""))))</f>
        <v/>
      </c>
      <c r="Z361" s="42" t="str">
        <f aca="false">IF(AND(AA361=1,ISNUMBER(C361)),C361+ROW()/100000,"")</f>
        <v/>
      </c>
      <c r="AA361" s="43" t="n">
        <f aca="false">IF(AND(D361&lt;&gt;"",ISNUMBER(B361),ISNUMBER(C361),N(H361)&gt;0,T361&lt;&gt;"Cancelled",J361&lt;&gt;""),1,0)</f>
        <v>0</v>
      </c>
      <c r="AB361" s="44" t="n">
        <f aca="false">IF(AA361=1,J361/H361,0)</f>
        <v>0</v>
      </c>
      <c r="AC361" s="44" t="n">
        <f aca="false">IF(AA361=1,Q361/H361,0)</f>
        <v>0</v>
      </c>
      <c r="AD361" s="44" t="n">
        <f aca="false">IF(AA361=1,R361/H361,0)</f>
        <v>0</v>
      </c>
      <c r="AE361" s="44" t="n">
        <f aca="false">IF(AA361=1,O361/H361,0)</f>
        <v>0</v>
      </c>
      <c r="AF361" s="44" t="n">
        <f aca="false">IF(AA361=1,K361/H361,0)</f>
        <v>0</v>
      </c>
      <c r="AG361" s="45" t="str">
        <f aca="false">IF(AA361=1,D361&amp;"|"&amp;TEXT(B361,"0"),"")</f>
        <v/>
      </c>
      <c r="AH361" s="43" t="n">
        <f aca="false">IF(AA361=1,H361,0)</f>
        <v>0</v>
      </c>
    </row>
    <row r="362" customFormat="false" ht="15" hidden="false" customHeight="false" outlineLevel="0" collapsed="false">
      <c r="A362" s="23" t="str">
        <f aca="false">IF(B362="","","B-"&amp;TEXT(ROW()-4,"0000"))</f>
        <v/>
      </c>
      <c r="B362" s="38"/>
      <c r="C362" s="38"/>
      <c r="D362" s="6"/>
      <c r="E362" s="6"/>
      <c r="F362" s="6"/>
      <c r="G362" s="11"/>
      <c r="H362" s="24" t="str">
        <f aca="false">IF(AND(ISNUMBER(B362),ISNUMBER(C362)),MAX(0,C362-B362),"")</f>
        <v/>
      </c>
      <c r="I362" s="37"/>
      <c r="J362" s="46" t="str">
        <f aca="false">IF(OR(D362="",N(H362)=0),"",IFERROR(IF(I362&lt;&gt;"",H362*I362,ROUND(((H362-(INT((WEEKDAY(B362-6)+H362-1)/7)+INT((WEEKDAY(B362-7)+H362-1)/7)))*INDEX(Properties!$E$5:$E$24,MATCH(D362,Properties!$A$5:$A$24,0))+(INT((WEEKDAY(B362-6)+H362-1)/7)+INT((WEEKDAY(B362-7)+H362-1)/7))*INDEX(Properties!$F$5:$F$24,MATCH(D362,Properties!$A$5:$A$24,0)))*(1-IF(H362&gt;=28,Settings!$B$10,IF(H362&gt;=7,Settings!$B$9,0))),2)),0))</f>
        <v/>
      </c>
      <c r="K362" s="46" t="str">
        <f aca="false">IF(J362="","",IFERROR(N(INDEX(Properties!$G$5:$G$24,MATCH(D362,Properties!$A$5:$A$24,0))),0))</f>
        <v/>
      </c>
      <c r="L362" s="46" t="str">
        <f aca="false">IF(J362="","",IFERROR(MAX(0,N(G362)-INDEX(Properties!$I$5:$I$24,MATCH(D362,Properties!$A$5:$A$24,0)))*N(INDEX(Properties!$J$5:$J$24,MATCH(D362,Properties!$A$5:$A$24,0)))*H362,0))</f>
        <v/>
      </c>
      <c r="M362" s="37"/>
      <c r="N362" s="46" t="str">
        <f aca="false">IF(J362="","",J362+K362+L362+N(M362))</f>
        <v/>
      </c>
      <c r="O362" s="46" t="str">
        <f aca="false">IF(N362="","",IF(P362&lt;&gt;"",N362-P362,ROUND(N362*IFERROR(INDEX(Settings!$E$5:$E$12,MATCH(F362,Settings!$D$5:$D$12,0)),0),2)))</f>
        <v/>
      </c>
      <c r="P362" s="37"/>
      <c r="Q362" s="46" t="str">
        <f aca="false">IF(N362="","",IF(P362&lt;&gt;"",P362,N362-O362))</f>
        <v/>
      </c>
      <c r="R362" s="46" t="str">
        <f aca="false">IF(J362="","",IFERROR(N(INDEX(Properties!$H$5:$H$24,MATCH(D362,Properties!$A$5:$A$24,0))),0))</f>
        <v/>
      </c>
      <c r="S362" s="46" t="str">
        <f aca="false">IF(Q362="","",Q362-R362)</f>
        <v/>
      </c>
      <c r="T362" s="6"/>
      <c r="U362" s="6"/>
      <c r="V362" s="6"/>
      <c r="W362" s="6"/>
      <c r="X362" s="6"/>
      <c r="Y362" s="8" t="str">
        <f aca="false">IF(OR(D362="",B362="",C362=""),"",IF(N(C362)&lt;=N(B362),"Check dates",IF(T362="Cancelled","",IF(COUNTIFS($D$5:$D$1004,D362,$B$5:$B$1004,"&lt;"&amp;C362,$C$5:$C$1004,"&gt;"&amp;B362,$T$5:$T$1004,"&lt;&gt;Cancelled")&gt;1,"Double-booked",""))))</f>
        <v/>
      </c>
      <c r="Z362" s="42" t="str">
        <f aca="false">IF(AND(AA362=1,ISNUMBER(C362)),C362+ROW()/100000,"")</f>
        <v/>
      </c>
      <c r="AA362" s="43" t="n">
        <f aca="false">IF(AND(D362&lt;&gt;"",ISNUMBER(B362),ISNUMBER(C362),N(H362)&gt;0,T362&lt;&gt;"Cancelled",J362&lt;&gt;""),1,0)</f>
        <v>0</v>
      </c>
      <c r="AB362" s="44" t="n">
        <f aca="false">IF(AA362=1,J362/H362,0)</f>
        <v>0</v>
      </c>
      <c r="AC362" s="44" t="n">
        <f aca="false">IF(AA362=1,Q362/H362,0)</f>
        <v>0</v>
      </c>
      <c r="AD362" s="44" t="n">
        <f aca="false">IF(AA362=1,R362/H362,0)</f>
        <v>0</v>
      </c>
      <c r="AE362" s="44" t="n">
        <f aca="false">IF(AA362=1,O362/H362,0)</f>
        <v>0</v>
      </c>
      <c r="AF362" s="44" t="n">
        <f aca="false">IF(AA362=1,K362/H362,0)</f>
        <v>0</v>
      </c>
      <c r="AG362" s="45" t="str">
        <f aca="false">IF(AA362=1,D362&amp;"|"&amp;TEXT(B362,"0"),"")</f>
        <v/>
      </c>
      <c r="AH362" s="43" t="n">
        <f aca="false">IF(AA362=1,H362,0)</f>
        <v>0</v>
      </c>
    </row>
    <row r="363" customFormat="false" ht="15" hidden="false" customHeight="false" outlineLevel="0" collapsed="false">
      <c r="A363" s="8" t="str">
        <f aca="false">IF(B363="","","B-"&amp;TEXT(ROW()-4,"0000"))</f>
        <v/>
      </c>
      <c r="B363" s="38"/>
      <c r="C363" s="38"/>
      <c r="D363" s="6"/>
      <c r="E363" s="6"/>
      <c r="F363" s="6"/>
      <c r="G363" s="11"/>
      <c r="H363" s="18" t="str">
        <f aca="false">IF(AND(ISNUMBER(B363),ISNUMBER(C363)),MAX(0,C363-B363),"")</f>
        <v/>
      </c>
      <c r="I363" s="37"/>
      <c r="J363" s="41" t="str">
        <f aca="false">IF(OR(D363="",N(H363)=0),"",IFERROR(IF(I363&lt;&gt;"",H363*I363,ROUND(((H363-(INT((WEEKDAY(B363-6)+H363-1)/7)+INT((WEEKDAY(B363-7)+H363-1)/7)))*INDEX(Properties!$E$5:$E$24,MATCH(D363,Properties!$A$5:$A$24,0))+(INT((WEEKDAY(B363-6)+H363-1)/7)+INT((WEEKDAY(B363-7)+H363-1)/7))*INDEX(Properties!$F$5:$F$24,MATCH(D363,Properties!$A$5:$A$24,0)))*(1-IF(H363&gt;=28,Settings!$B$10,IF(H363&gt;=7,Settings!$B$9,0))),2)),0))</f>
        <v/>
      </c>
      <c r="K363" s="41" t="str">
        <f aca="false">IF(J363="","",IFERROR(N(INDEX(Properties!$G$5:$G$24,MATCH(D363,Properties!$A$5:$A$24,0))),0))</f>
        <v/>
      </c>
      <c r="L363" s="41" t="str">
        <f aca="false">IF(J363="","",IFERROR(MAX(0,N(G363)-INDEX(Properties!$I$5:$I$24,MATCH(D363,Properties!$A$5:$A$24,0)))*N(INDEX(Properties!$J$5:$J$24,MATCH(D363,Properties!$A$5:$A$24,0)))*H363,0))</f>
        <v/>
      </c>
      <c r="M363" s="37"/>
      <c r="N363" s="41" t="str">
        <f aca="false">IF(J363="","",J363+K363+L363+N(M363))</f>
        <v/>
      </c>
      <c r="O363" s="41" t="str">
        <f aca="false">IF(N363="","",IF(P363&lt;&gt;"",N363-P363,ROUND(N363*IFERROR(INDEX(Settings!$E$5:$E$12,MATCH(F363,Settings!$D$5:$D$12,0)),0),2)))</f>
        <v/>
      </c>
      <c r="P363" s="37"/>
      <c r="Q363" s="41" t="str">
        <f aca="false">IF(N363="","",IF(P363&lt;&gt;"",P363,N363-O363))</f>
        <v/>
      </c>
      <c r="R363" s="41" t="str">
        <f aca="false">IF(J363="","",IFERROR(N(INDEX(Properties!$H$5:$H$24,MATCH(D363,Properties!$A$5:$A$24,0))),0))</f>
        <v/>
      </c>
      <c r="S363" s="41" t="str">
        <f aca="false">IF(Q363="","",Q363-R363)</f>
        <v/>
      </c>
      <c r="T363" s="6"/>
      <c r="U363" s="6"/>
      <c r="V363" s="6"/>
      <c r="W363" s="6"/>
      <c r="X363" s="6"/>
      <c r="Y363" s="8" t="str">
        <f aca="false">IF(OR(D363="",B363="",C363=""),"",IF(N(C363)&lt;=N(B363),"Check dates",IF(T363="Cancelled","",IF(COUNTIFS($D$5:$D$1004,D363,$B$5:$B$1004,"&lt;"&amp;C363,$C$5:$C$1004,"&gt;"&amp;B363,$T$5:$T$1004,"&lt;&gt;Cancelled")&gt;1,"Double-booked",""))))</f>
        <v/>
      </c>
      <c r="Z363" s="42" t="str">
        <f aca="false">IF(AND(AA363=1,ISNUMBER(C363)),C363+ROW()/100000,"")</f>
        <v/>
      </c>
      <c r="AA363" s="43" t="n">
        <f aca="false">IF(AND(D363&lt;&gt;"",ISNUMBER(B363),ISNUMBER(C363),N(H363)&gt;0,T363&lt;&gt;"Cancelled",J363&lt;&gt;""),1,0)</f>
        <v>0</v>
      </c>
      <c r="AB363" s="44" t="n">
        <f aca="false">IF(AA363=1,J363/H363,0)</f>
        <v>0</v>
      </c>
      <c r="AC363" s="44" t="n">
        <f aca="false">IF(AA363=1,Q363/H363,0)</f>
        <v>0</v>
      </c>
      <c r="AD363" s="44" t="n">
        <f aca="false">IF(AA363=1,R363/H363,0)</f>
        <v>0</v>
      </c>
      <c r="AE363" s="44" t="n">
        <f aca="false">IF(AA363=1,O363/H363,0)</f>
        <v>0</v>
      </c>
      <c r="AF363" s="44" t="n">
        <f aca="false">IF(AA363=1,K363/H363,0)</f>
        <v>0</v>
      </c>
      <c r="AG363" s="45" t="str">
        <f aca="false">IF(AA363=1,D363&amp;"|"&amp;TEXT(B363,"0"),"")</f>
        <v/>
      </c>
      <c r="AH363" s="43" t="n">
        <f aca="false">IF(AA363=1,H363,0)</f>
        <v>0</v>
      </c>
    </row>
    <row r="364" customFormat="false" ht="15" hidden="false" customHeight="false" outlineLevel="0" collapsed="false">
      <c r="A364" s="23" t="str">
        <f aca="false">IF(B364="","","B-"&amp;TEXT(ROW()-4,"0000"))</f>
        <v/>
      </c>
      <c r="B364" s="38"/>
      <c r="C364" s="38"/>
      <c r="D364" s="6"/>
      <c r="E364" s="6"/>
      <c r="F364" s="6"/>
      <c r="G364" s="11"/>
      <c r="H364" s="24" t="str">
        <f aca="false">IF(AND(ISNUMBER(B364),ISNUMBER(C364)),MAX(0,C364-B364),"")</f>
        <v/>
      </c>
      <c r="I364" s="37"/>
      <c r="J364" s="46" t="str">
        <f aca="false">IF(OR(D364="",N(H364)=0),"",IFERROR(IF(I364&lt;&gt;"",H364*I364,ROUND(((H364-(INT((WEEKDAY(B364-6)+H364-1)/7)+INT((WEEKDAY(B364-7)+H364-1)/7)))*INDEX(Properties!$E$5:$E$24,MATCH(D364,Properties!$A$5:$A$24,0))+(INT((WEEKDAY(B364-6)+H364-1)/7)+INT((WEEKDAY(B364-7)+H364-1)/7))*INDEX(Properties!$F$5:$F$24,MATCH(D364,Properties!$A$5:$A$24,0)))*(1-IF(H364&gt;=28,Settings!$B$10,IF(H364&gt;=7,Settings!$B$9,0))),2)),0))</f>
        <v/>
      </c>
      <c r="K364" s="46" t="str">
        <f aca="false">IF(J364="","",IFERROR(N(INDEX(Properties!$G$5:$G$24,MATCH(D364,Properties!$A$5:$A$24,0))),0))</f>
        <v/>
      </c>
      <c r="L364" s="46" t="str">
        <f aca="false">IF(J364="","",IFERROR(MAX(0,N(G364)-INDEX(Properties!$I$5:$I$24,MATCH(D364,Properties!$A$5:$A$24,0)))*N(INDEX(Properties!$J$5:$J$24,MATCH(D364,Properties!$A$5:$A$24,0)))*H364,0))</f>
        <v/>
      </c>
      <c r="M364" s="37"/>
      <c r="N364" s="46" t="str">
        <f aca="false">IF(J364="","",J364+K364+L364+N(M364))</f>
        <v/>
      </c>
      <c r="O364" s="46" t="str">
        <f aca="false">IF(N364="","",IF(P364&lt;&gt;"",N364-P364,ROUND(N364*IFERROR(INDEX(Settings!$E$5:$E$12,MATCH(F364,Settings!$D$5:$D$12,0)),0),2)))</f>
        <v/>
      </c>
      <c r="P364" s="37"/>
      <c r="Q364" s="46" t="str">
        <f aca="false">IF(N364="","",IF(P364&lt;&gt;"",P364,N364-O364))</f>
        <v/>
      </c>
      <c r="R364" s="46" t="str">
        <f aca="false">IF(J364="","",IFERROR(N(INDEX(Properties!$H$5:$H$24,MATCH(D364,Properties!$A$5:$A$24,0))),0))</f>
        <v/>
      </c>
      <c r="S364" s="46" t="str">
        <f aca="false">IF(Q364="","",Q364-R364)</f>
        <v/>
      </c>
      <c r="T364" s="6"/>
      <c r="U364" s="6"/>
      <c r="V364" s="6"/>
      <c r="W364" s="6"/>
      <c r="X364" s="6"/>
      <c r="Y364" s="8" t="str">
        <f aca="false">IF(OR(D364="",B364="",C364=""),"",IF(N(C364)&lt;=N(B364),"Check dates",IF(T364="Cancelled","",IF(COUNTIFS($D$5:$D$1004,D364,$B$5:$B$1004,"&lt;"&amp;C364,$C$5:$C$1004,"&gt;"&amp;B364,$T$5:$T$1004,"&lt;&gt;Cancelled")&gt;1,"Double-booked",""))))</f>
        <v/>
      </c>
      <c r="Z364" s="42" t="str">
        <f aca="false">IF(AND(AA364=1,ISNUMBER(C364)),C364+ROW()/100000,"")</f>
        <v/>
      </c>
      <c r="AA364" s="43" t="n">
        <f aca="false">IF(AND(D364&lt;&gt;"",ISNUMBER(B364),ISNUMBER(C364),N(H364)&gt;0,T364&lt;&gt;"Cancelled",J364&lt;&gt;""),1,0)</f>
        <v>0</v>
      </c>
      <c r="AB364" s="44" t="n">
        <f aca="false">IF(AA364=1,J364/H364,0)</f>
        <v>0</v>
      </c>
      <c r="AC364" s="44" t="n">
        <f aca="false">IF(AA364=1,Q364/H364,0)</f>
        <v>0</v>
      </c>
      <c r="AD364" s="44" t="n">
        <f aca="false">IF(AA364=1,R364/H364,0)</f>
        <v>0</v>
      </c>
      <c r="AE364" s="44" t="n">
        <f aca="false">IF(AA364=1,O364/H364,0)</f>
        <v>0</v>
      </c>
      <c r="AF364" s="44" t="n">
        <f aca="false">IF(AA364=1,K364/H364,0)</f>
        <v>0</v>
      </c>
      <c r="AG364" s="45" t="str">
        <f aca="false">IF(AA364=1,D364&amp;"|"&amp;TEXT(B364,"0"),"")</f>
        <v/>
      </c>
      <c r="AH364" s="43" t="n">
        <f aca="false">IF(AA364=1,H364,0)</f>
        <v>0</v>
      </c>
    </row>
    <row r="365" customFormat="false" ht="15" hidden="false" customHeight="false" outlineLevel="0" collapsed="false">
      <c r="A365" s="8" t="str">
        <f aca="false">IF(B365="","","B-"&amp;TEXT(ROW()-4,"0000"))</f>
        <v/>
      </c>
      <c r="B365" s="38"/>
      <c r="C365" s="38"/>
      <c r="D365" s="6"/>
      <c r="E365" s="6"/>
      <c r="F365" s="6"/>
      <c r="G365" s="11"/>
      <c r="H365" s="18" t="str">
        <f aca="false">IF(AND(ISNUMBER(B365),ISNUMBER(C365)),MAX(0,C365-B365),"")</f>
        <v/>
      </c>
      <c r="I365" s="37"/>
      <c r="J365" s="41" t="str">
        <f aca="false">IF(OR(D365="",N(H365)=0),"",IFERROR(IF(I365&lt;&gt;"",H365*I365,ROUND(((H365-(INT((WEEKDAY(B365-6)+H365-1)/7)+INT((WEEKDAY(B365-7)+H365-1)/7)))*INDEX(Properties!$E$5:$E$24,MATCH(D365,Properties!$A$5:$A$24,0))+(INT((WEEKDAY(B365-6)+H365-1)/7)+INT((WEEKDAY(B365-7)+H365-1)/7))*INDEX(Properties!$F$5:$F$24,MATCH(D365,Properties!$A$5:$A$24,0)))*(1-IF(H365&gt;=28,Settings!$B$10,IF(H365&gt;=7,Settings!$B$9,0))),2)),0))</f>
        <v/>
      </c>
      <c r="K365" s="41" t="str">
        <f aca="false">IF(J365="","",IFERROR(N(INDEX(Properties!$G$5:$G$24,MATCH(D365,Properties!$A$5:$A$24,0))),0))</f>
        <v/>
      </c>
      <c r="L365" s="41" t="str">
        <f aca="false">IF(J365="","",IFERROR(MAX(0,N(G365)-INDEX(Properties!$I$5:$I$24,MATCH(D365,Properties!$A$5:$A$24,0)))*N(INDEX(Properties!$J$5:$J$24,MATCH(D365,Properties!$A$5:$A$24,0)))*H365,0))</f>
        <v/>
      </c>
      <c r="M365" s="37"/>
      <c r="N365" s="41" t="str">
        <f aca="false">IF(J365="","",J365+K365+L365+N(M365))</f>
        <v/>
      </c>
      <c r="O365" s="41" t="str">
        <f aca="false">IF(N365="","",IF(P365&lt;&gt;"",N365-P365,ROUND(N365*IFERROR(INDEX(Settings!$E$5:$E$12,MATCH(F365,Settings!$D$5:$D$12,0)),0),2)))</f>
        <v/>
      </c>
      <c r="P365" s="37"/>
      <c r="Q365" s="41" t="str">
        <f aca="false">IF(N365="","",IF(P365&lt;&gt;"",P365,N365-O365))</f>
        <v/>
      </c>
      <c r="R365" s="41" t="str">
        <f aca="false">IF(J365="","",IFERROR(N(INDEX(Properties!$H$5:$H$24,MATCH(D365,Properties!$A$5:$A$24,0))),0))</f>
        <v/>
      </c>
      <c r="S365" s="41" t="str">
        <f aca="false">IF(Q365="","",Q365-R365)</f>
        <v/>
      </c>
      <c r="T365" s="6"/>
      <c r="U365" s="6"/>
      <c r="V365" s="6"/>
      <c r="W365" s="6"/>
      <c r="X365" s="6"/>
      <c r="Y365" s="8" t="str">
        <f aca="false">IF(OR(D365="",B365="",C365=""),"",IF(N(C365)&lt;=N(B365),"Check dates",IF(T365="Cancelled","",IF(COUNTIFS($D$5:$D$1004,D365,$B$5:$B$1004,"&lt;"&amp;C365,$C$5:$C$1004,"&gt;"&amp;B365,$T$5:$T$1004,"&lt;&gt;Cancelled")&gt;1,"Double-booked",""))))</f>
        <v/>
      </c>
      <c r="Z365" s="42" t="str">
        <f aca="false">IF(AND(AA365=1,ISNUMBER(C365)),C365+ROW()/100000,"")</f>
        <v/>
      </c>
      <c r="AA365" s="43" t="n">
        <f aca="false">IF(AND(D365&lt;&gt;"",ISNUMBER(B365),ISNUMBER(C365),N(H365)&gt;0,T365&lt;&gt;"Cancelled",J365&lt;&gt;""),1,0)</f>
        <v>0</v>
      </c>
      <c r="AB365" s="44" t="n">
        <f aca="false">IF(AA365=1,J365/H365,0)</f>
        <v>0</v>
      </c>
      <c r="AC365" s="44" t="n">
        <f aca="false">IF(AA365=1,Q365/H365,0)</f>
        <v>0</v>
      </c>
      <c r="AD365" s="44" t="n">
        <f aca="false">IF(AA365=1,R365/H365,0)</f>
        <v>0</v>
      </c>
      <c r="AE365" s="44" t="n">
        <f aca="false">IF(AA365=1,O365/H365,0)</f>
        <v>0</v>
      </c>
      <c r="AF365" s="44" t="n">
        <f aca="false">IF(AA365=1,K365/H365,0)</f>
        <v>0</v>
      </c>
      <c r="AG365" s="45" t="str">
        <f aca="false">IF(AA365=1,D365&amp;"|"&amp;TEXT(B365,"0"),"")</f>
        <v/>
      </c>
      <c r="AH365" s="43" t="n">
        <f aca="false">IF(AA365=1,H365,0)</f>
        <v>0</v>
      </c>
    </row>
    <row r="366" customFormat="false" ht="15" hidden="false" customHeight="false" outlineLevel="0" collapsed="false">
      <c r="A366" s="23" t="str">
        <f aca="false">IF(B366="","","B-"&amp;TEXT(ROW()-4,"0000"))</f>
        <v/>
      </c>
      <c r="B366" s="38"/>
      <c r="C366" s="38"/>
      <c r="D366" s="6"/>
      <c r="E366" s="6"/>
      <c r="F366" s="6"/>
      <c r="G366" s="11"/>
      <c r="H366" s="24" t="str">
        <f aca="false">IF(AND(ISNUMBER(B366),ISNUMBER(C366)),MAX(0,C366-B366),"")</f>
        <v/>
      </c>
      <c r="I366" s="37"/>
      <c r="J366" s="46" t="str">
        <f aca="false">IF(OR(D366="",N(H366)=0),"",IFERROR(IF(I366&lt;&gt;"",H366*I366,ROUND(((H366-(INT((WEEKDAY(B366-6)+H366-1)/7)+INT((WEEKDAY(B366-7)+H366-1)/7)))*INDEX(Properties!$E$5:$E$24,MATCH(D366,Properties!$A$5:$A$24,0))+(INT((WEEKDAY(B366-6)+H366-1)/7)+INT((WEEKDAY(B366-7)+H366-1)/7))*INDEX(Properties!$F$5:$F$24,MATCH(D366,Properties!$A$5:$A$24,0)))*(1-IF(H366&gt;=28,Settings!$B$10,IF(H366&gt;=7,Settings!$B$9,0))),2)),0))</f>
        <v/>
      </c>
      <c r="K366" s="46" t="str">
        <f aca="false">IF(J366="","",IFERROR(N(INDEX(Properties!$G$5:$G$24,MATCH(D366,Properties!$A$5:$A$24,0))),0))</f>
        <v/>
      </c>
      <c r="L366" s="46" t="str">
        <f aca="false">IF(J366="","",IFERROR(MAX(0,N(G366)-INDEX(Properties!$I$5:$I$24,MATCH(D366,Properties!$A$5:$A$24,0)))*N(INDEX(Properties!$J$5:$J$24,MATCH(D366,Properties!$A$5:$A$24,0)))*H366,0))</f>
        <v/>
      </c>
      <c r="M366" s="37"/>
      <c r="N366" s="46" t="str">
        <f aca="false">IF(J366="","",J366+K366+L366+N(M366))</f>
        <v/>
      </c>
      <c r="O366" s="46" t="str">
        <f aca="false">IF(N366="","",IF(P366&lt;&gt;"",N366-P366,ROUND(N366*IFERROR(INDEX(Settings!$E$5:$E$12,MATCH(F366,Settings!$D$5:$D$12,0)),0),2)))</f>
        <v/>
      </c>
      <c r="P366" s="37"/>
      <c r="Q366" s="46" t="str">
        <f aca="false">IF(N366="","",IF(P366&lt;&gt;"",P366,N366-O366))</f>
        <v/>
      </c>
      <c r="R366" s="46" t="str">
        <f aca="false">IF(J366="","",IFERROR(N(INDEX(Properties!$H$5:$H$24,MATCH(D366,Properties!$A$5:$A$24,0))),0))</f>
        <v/>
      </c>
      <c r="S366" s="46" t="str">
        <f aca="false">IF(Q366="","",Q366-R366)</f>
        <v/>
      </c>
      <c r="T366" s="6"/>
      <c r="U366" s="6"/>
      <c r="V366" s="6"/>
      <c r="W366" s="6"/>
      <c r="X366" s="6"/>
      <c r="Y366" s="8" t="str">
        <f aca="false">IF(OR(D366="",B366="",C366=""),"",IF(N(C366)&lt;=N(B366),"Check dates",IF(T366="Cancelled","",IF(COUNTIFS($D$5:$D$1004,D366,$B$5:$B$1004,"&lt;"&amp;C366,$C$5:$C$1004,"&gt;"&amp;B366,$T$5:$T$1004,"&lt;&gt;Cancelled")&gt;1,"Double-booked",""))))</f>
        <v/>
      </c>
      <c r="Z366" s="42" t="str">
        <f aca="false">IF(AND(AA366=1,ISNUMBER(C366)),C366+ROW()/100000,"")</f>
        <v/>
      </c>
      <c r="AA366" s="43" t="n">
        <f aca="false">IF(AND(D366&lt;&gt;"",ISNUMBER(B366),ISNUMBER(C366),N(H366)&gt;0,T366&lt;&gt;"Cancelled",J366&lt;&gt;""),1,0)</f>
        <v>0</v>
      </c>
      <c r="AB366" s="44" t="n">
        <f aca="false">IF(AA366=1,J366/H366,0)</f>
        <v>0</v>
      </c>
      <c r="AC366" s="44" t="n">
        <f aca="false">IF(AA366=1,Q366/H366,0)</f>
        <v>0</v>
      </c>
      <c r="AD366" s="44" t="n">
        <f aca="false">IF(AA366=1,R366/H366,0)</f>
        <v>0</v>
      </c>
      <c r="AE366" s="44" t="n">
        <f aca="false">IF(AA366=1,O366/H366,0)</f>
        <v>0</v>
      </c>
      <c r="AF366" s="44" t="n">
        <f aca="false">IF(AA366=1,K366/H366,0)</f>
        <v>0</v>
      </c>
      <c r="AG366" s="45" t="str">
        <f aca="false">IF(AA366=1,D366&amp;"|"&amp;TEXT(B366,"0"),"")</f>
        <v/>
      </c>
      <c r="AH366" s="43" t="n">
        <f aca="false">IF(AA366=1,H366,0)</f>
        <v>0</v>
      </c>
    </row>
    <row r="367" customFormat="false" ht="15" hidden="false" customHeight="false" outlineLevel="0" collapsed="false">
      <c r="A367" s="8" t="str">
        <f aca="false">IF(B367="","","B-"&amp;TEXT(ROW()-4,"0000"))</f>
        <v/>
      </c>
      <c r="B367" s="38"/>
      <c r="C367" s="38"/>
      <c r="D367" s="6"/>
      <c r="E367" s="6"/>
      <c r="F367" s="6"/>
      <c r="G367" s="11"/>
      <c r="H367" s="18" t="str">
        <f aca="false">IF(AND(ISNUMBER(B367),ISNUMBER(C367)),MAX(0,C367-B367),"")</f>
        <v/>
      </c>
      <c r="I367" s="37"/>
      <c r="J367" s="41" t="str">
        <f aca="false">IF(OR(D367="",N(H367)=0),"",IFERROR(IF(I367&lt;&gt;"",H367*I367,ROUND(((H367-(INT((WEEKDAY(B367-6)+H367-1)/7)+INT((WEEKDAY(B367-7)+H367-1)/7)))*INDEX(Properties!$E$5:$E$24,MATCH(D367,Properties!$A$5:$A$24,0))+(INT((WEEKDAY(B367-6)+H367-1)/7)+INT((WEEKDAY(B367-7)+H367-1)/7))*INDEX(Properties!$F$5:$F$24,MATCH(D367,Properties!$A$5:$A$24,0)))*(1-IF(H367&gt;=28,Settings!$B$10,IF(H367&gt;=7,Settings!$B$9,0))),2)),0))</f>
        <v/>
      </c>
      <c r="K367" s="41" t="str">
        <f aca="false">IF(J367="","",IFERROR(N(INDEX(Properties!$G$5:$G$24,MATCH(D367,Properties!$A$5:$A$24,0))),0))</f>
        <v/>
      </c>
      <c r="L367" s="41" t="str">
        <f aca="false">IF(J367="","",IFERROR(MAX(0,N(G367)-INDEX(Properties!$I$5:$I$24,MATCH(D367,Properties!$A$5:$A$24,0)))*N(INDEX(Properties!$J$5:$J$24,MATCH(D367,Properties!$A$5:$A$24,0)))*H367,0))</f>
        <v/>
      </c>
      <c r="M367" s="37"/>
      <c r="N367" s="41" t="str">
        <f aca="false">IF(J367="","",J367+K367+L367+N(M367))</f>
        <v/>
      </c>
      <c r="O367" s="41" t="str">
        <f aca="false">IF(N367="","",IF(P367&lt;&gt;"",N367-P367,ROUND(N367*IFERROR(INDEX(Settings!$E$5:$E$12,MATCH(F367,Settings!$D$5:$D$12,0)),0),2)))</f>
        <v/>
      </c>
      <c r="P367" s="37"/>
      <c r="Q367" s="41" t="str">
        <f aca="false">IF(N367="","",IF(P367&lt;&gt;"",P367,N367-O367))</f>
        <v/>
      </c>
      <c r="R367" s="41" t="str">
        <f aca="false">IF(J367="","",IFERROR(N(INDEX(Properties!$H$5:$H$24,MATCH(D367,Properties!$A$5:$A$24,0))),0))</f>
        <v/>
      </c>
      <c r="S367" s="41" t="str">
        <f aca="false">IF(Q367="","",Q367-R367)</f>
        <v/>
      </c>
      <c r="T367" s="6"/>
      <c r="U367" s="6"/>
      <c r="V367" s="6"/>
      <c r="W367" s="6"/>
      <c r="X367" s="6"/>
      <c r="Y367" s="8" t="str">
        <f aca="false">IF(OR(D367="",B367="",C367=""),"",IF(N(C367)&lt;=N(B367),"Check dates",IF(T367="Cancelled","",IF(COUNTIFS($D$5:$D$1004,D367,$B$5:$B$1004,"&lt;"&amp;C367,$C$5:$C$1004,"&gt;"&amp;B367,$T$5:$T$1004,"&lt;&gt;Cancelled")&gt;1,"Double-booked",""))))</f>
        <v/>
      </c>
      <c r="Z367" s="42" t="str">
        <f aca="false">IF(AND(AA367=1,ISNUMBER(C367)),C367+ROW()/100000,"")</f>
        <v/>
      </c>
      <c r="AA367" s="43" t="n">
        <f aca="false">IF(AND(D367&lt;&gt;"",ISNUMBER(B367),ISNUMBER(C367),N(H367)&gt;0,T367&lt;&gt;"Cancelled",J367&lt;&gt;""),1,0)</f>
        <v>0</v>
      </c>
      <c r="AB367" s="44" t="n">
        <f aca="false">IF(AA367=1,J367/H367,0)</f>
        <v>0</v>
      </c>
      <c r="AC367" s="44" t="n">
        <f aca="false">IF(AA367=1,Q367/H367,0)</f>
        <v>0</v>
      </c>
      <c r="AD367" s="44" t="n">
        <f aca="false">IF(AA367=1,R367/H367,0)</f>
        <v>0</v>
      </c>
      <c r="AE367" s="44" t="n">
        <f aca="false">IF(AA367=1,O367/H367,0)</f>
        <v>0</v>
      </c>
      <c r="AF367" s="44" t="n">
        <f aca="false">IF(AA367=1,K367/H367,0)</f>
        <v>0</v>
      </c>
      <c r="AG367" s="45" t="str">
        <f aca="false">IF(AA367=1,D367&amp;"|"&amp;TEXT(B367,"0"),"")</f>
        <v/>
      </c>
      <c r="AH367" s="43" t="n">
        <f aca="false">IF(AA367=1,H367,0)</f>
        <v>0</v>
      </c>
    </row>
    <row r="368" customFormat="false" ht="15" hidden="false" customHeight="false" outlineLevel="0" collapsed="false">
      <c r="A368" s="23" t="str">
        <f aca="false">IF(B368="","","B-"&amp;TEXT(ROW()-4,"0000"))</f>
        <v/>
      </c>
      <c r="B368" s="38"/>
      <c r="C368" s="38"/>
      <c r="D368" s="6"/>
      <c r="E368" s="6"/>
      <c r="F368" s="6"/>
      <c r="G368" s="11"/>
      <c r="H368" s="24" t="str">
        <f aca="false">IF(AND(ISNUMBER(B368),ISNUMBER(C368)),MAX(0,C368-B368),"")</f>
        <v/>
      </c>
      <c r="I368" s="37"/>
      <c r="J368" s="46" t="str">
        <f aca="false">IF(OR(D368="",N(H368)=0),"",IFERROR(IF(I368&lt;&gt;"",H368*I368,ROUND(((H368-(INT((WEEKDAY(B368-6)+H368-1)/7)+INT((WEEKDAY(B368-7)+H368-1)/7)))*INDEX(Properties!$E$5:$E$24,MATCH(D368,Properties!$A$5:$A$24,0))+(INT((WEEKDAY(B368-6)+H368-1)/7)+INT((WEEKDAY(B368-7)+H368-1)/7))*INDEX(Properties!$F$5:$F$24,MATCH(D368,Properties!$A$5:$A$24,0)))*(1-IF(H368&gt;=28,Settings!$B$10,IF(H368&gt;=7,Settings!$B$9,0))),2)),0))</f>
        <v/>
      </c>
      <c r="K368" s="46" t="str">
        <f aca="false">IF(J368="","",IFERROR(N(INDEX(Properties!$G$5:$G$24,MATCH(D368,Properties!$A$5:$A$24,0))),0))</f>
        <v/>
      </c>
      <c r="L368" s="46" t="str">
        <f aca="false">IF(J368="","",IFERROR(MAX(0,N(G368)-INDEX(Properties!$I$5:$I$24,MATCH(D368,Properties!$A$5:$A$24,0)))*N(INDEX(Properties!$J$5:$J$24,MATCH(D368,Properties!$A$5:$A$24,0)))*H368,0))</f>
        <v/>
      </c>
      <c r="M368" s="37"/>
      <c r="N368" s="46" t="str">
        <f aca="false">IF(J368="","",J368+K368+L368+N(M368))</f>
        <v/>
      </c>
      <c r="O368" s="46" t="str">
        <f aca="false">IF(N368="","",IF(P368&lt;&gt;"",N368-P368,ROUND(N368*IFERROR(INDEX(Settings!$E$5:$E$12,MATCH(F368,Settings!$D$5:$D$12,0)),0),2)))</f>
        <v/>
      </c>
      <c r="P368" s="37"/>
      <c r="Q368" s="46" t="str">
        <f aca="false">IF(N368="","",IF(P368&lt;&gt;"",P368,N368-O368))</f>
        <v/>
      </c>
      <c r="R368" s="46" t="str">
        <f aca="false">IF(J368="","",IFERROR(N(INDEX(Properties!$H$5:$H$24,MATCH(D368,Properties!$A$5:$A$24,0))),0))</f>
        <v/>
      </c>
      <c r="S368" s="46" t="str">
        <f aca="false">IF(Q368="","",Q368-R368)</f>
        <v/>
      </c>
      <c r="T368" s="6"/>
      <c r="U368" s="6"/>
      <c r="V368" s="6"/>
      <c r="W368" s="6"/>
      <c r="X368" s="6"/>
      <c r="Y368" s="8" t="str">
        <f aca="false">IF(OR(D368="",B368="",C368=""),"",IF(N(C368)&lt;=N(B368),"Check dates",IF(T368="Cancelled","",IF(COUNTIFS($D$5:$D$1004,D368,$B$5:$B$1004,"&lt;"&amp;C368,$C$5:$C$1004,"&gt;"&amp;B368,$T$5:$T$1004,"&lt;&gt;Cancelled")&gt;1,"Double-booked",""))))</f>
        <v/>
      </c>
      <c r="Z368" s="42" t="str">
        <f aca="false">IF(AND(AA368=1,ISNUMBER(C368)),C368+ROW()/100000,"")</f>
        <v/>
      </c>
      <c r="AA368" s="43" t="n">
        <f aca="false">IF(AND(D368&lt;&gt;"",ISNUMBER(B368),ISNUMBER(C368),N(H368)&gt;0,T368&lt;&gt;"Cancelled",J368&lt;&gt;""),1,0)</f>
        <v>0</v>
      </c>
      <c r="AB368" s="44" t="n">
        <f aca="false">IF(AA368=1,J368/H368,0)</f>
        <v>0</v>
      </c>
      <c r="AC368" s="44" t="n">
        <f aca="false">IF(AA368=1,Q368/H368,0)</f>
        <v>0</v>
      </c>
      <c r="AD368" s="44" t="n">
        <f aca="false">IF(AA368=1,R368/H368,0)</f>
        <v>0</v>
      </c>
      <c r="AE368" s="44" t="n">
        <f aca="false">IF(AA368=1,O368/H368,0)</f>
        <v>0</v>
      </c>
      <c r="AF368" s="44" t="n">
        <f aca="false">IF(AA368=1,K368/H368,0)</f>
        <v>0</v>
      </c>
      <c r="AG368" s="45" t="str">
        <f aca="false">IF(AA368=1,D368&amp;"|"&amp;TEXT(B368,"0"),"")</f>
        <v/>
      </c>
      <c r="AH368" s="43" t="n">
        <f aca="false">IF(AA368=1,H368,0)</f>
        <v>0</v>
      </c>
    </row>
    <row r="369" customFormat="false" ht="15" hidden="false" customHeight="false" outlineLevel="0" collapsed="false">
      <c r="A369" s="8" t="str">
        <f aca="false">IF(B369="","","B-"&amp;TEXT(ROW()-4,"0000"))</f>
        <v/>
      </c>
      <c r="B369" s="38"/>
      <c r="C369" s="38"/>
      <c r="D369" s="6"/>
      <c r="E369" s="6"/>
      <c r="F369" s="6"/>
      <c r="G369" s="11"/>
      <c r="H369" s="18" t="str">
        <f aca="false">IF(AND(ISNUMBER(B369),ISNUMBER(C369)),MAX(0,C369-B369),"")</f>
        <v/>
      </c>
      <c r="I369" s="37"/>
      <c r="J369" s="41" t="str">
        <f aca="false">IF(OR(D369="",N(H369)=0),"",IFERROR(IF(I369&lt;&gt;"",H369*I369,ROUND(((H369-(INT((WEEKDAY(B369-6)+H369-1)/7)+INT((WEEKDAY(B369-7)+H369-1)/7)))*INDEX(Properties!$E$5:$E$24,MATCH(D369,Properties!$A$5:$A$24,0))+(INT((WEEKDAY(B369-6)+H369-1)/7)+INT((WEEKDAY(B369-7)+H369-1)/7))*INDEX(Properties!$F$5:$F$24,MATCH(D369,Properties!$A$5:$A$24,0)))*(1-IF(H369&gt;=28,Settings!$B$10,IF(H369&gt;=7,Settings!$B$9,0))),2)),0))</f>
        <v/>
      </c>
      <c r="K369" s="41" t="str">
        <f aca="false">IF(J369="","",IFERROR(N(INDEX(Properties!$G$5:$G$24,MATCH(D369,Properties!$A$5:$A$24,0))),0))</f>
        <v/>
      </c>
      <c r="L369" s="41" t="str">
        <f aca="false">IF(J369="","",IFERROR(MAX(0,N(G369)-INDEX(Properties!$I$5:$I$24,MATCH(D369,Properties!$A$5:$A$24,0)))*N(INDEX(Properties!$J$5:$J$24,MATCH(D369,Properties!$A$5:$A$24,0)))*H369,0))</f>
        <v/>
      </c>
      <c r="M369" s="37"/>
      <c r="N369" s="41" t="str">
        <f aca="false">IF(J369="","",J369+K369+L369+N(M369))</f>
        <v/>
      </c>
      <c r="O369" s="41" t="str">
        <f aca="false">IF(N369="","",IF(P369&lt;&gt;"",N369-P369,ROUND(N369*IFERROR(INDEX(Settings!$E$5:$E$12,MATCH(F369,Settings!$D$5:$D$12,0)),0),2)))</f>
        <v/>
      </c>
      <c r="P369" s="37"/>
      <c r="Q369" s="41" t="str">
        <f aca="false">IF(N369="","",IF(P369&lt;&gt;"",P369,N369-O369))</f>
        <v/>
      </c>
      <c r="R369" s="41" t="str">
        <f aca="false">IF(J369="","",IFERROR(N(INDEX(Properties!$H$5:$H$24,MATCH(D369,Properties!$A$5:$A$24,0))),0))</f>
        <v/>
      </c>
      <c r="S369" s="41" t="str">
        <f aca="false">IF(Q369="","",Q369-R369)</f>
        <v/>
      </c>
      <c r="T369" s="6"/>
      <c r="U369" s="6"/>
      <c r="V369" s="6"/>
      <c r="W369" s="6"/>
      <c r="X369" s="6"/>
      <c r="Y369" s="8" t="str">
        <f aca="false">IF(OR(D369="",B369="",C369=""),"",IF(N(C369)&lt;=N(B369),"Check dates",IF(T369="Cancelled","",IF(COUNTIFS($D$5:$D$1004,D369,$B$5:$B$1004,"&lt;"&amp;C369,$C$5:$C$1004,"&gt;"&amp;B369,$T$5:$T$1004,"&lt;&gt;Cancelled")&gt;1,"Double-booked",""))))</f>
        <v/>
      </c>
      <c r="Z369" s="42" t="str">
        <f aca="false">IF(AND(AA369=1,ISNUMBER(C369)),C369+ROW()/100000,"")</f>
        <v/>
      </c>
      <c r="AA369" s="43" t="n">
        <f aca="false">IF(AND(D369&lt;&gt;"",ISNUMBER(B369),ISNUMBER(C369),N(H369)&gt;0,T369&lt;&gt;"Cancelled",J369&lt;&gt;""),1,0)</f>
        <v>0</v>
      </c>
      <c r="AB369" s="44" t="n">
        <f aca="false">IF(AA369=1,J369/H369,0)</f>
        <v>0</v>
      </c>
      <c r="AC369" s="44" t="n">
        <f aca="false">IF(AA369=1,Q369/H369,0)</f>
        <v>0</v>
      </c>
      <c r="AD369" s="44" t="n">
        <f aca="false">IF(AA369=1,R369/H369,0)</f>
        <v>0</v>
      </c>
      <c r="AE369" s="44" t="n">
        <f aca="false">IF(AA369=1,O369/H369,0)</f>
        <v>0</v>
      </c>
      <c r="AF369" s="44" t="n">
        <f aca="false">IF(AA369=1,K369/H369,0)</f>
        <v>0</v>
      </c>
      <c r="AG369" s="45" t="str">
        <f aca="false">IF(AA369=1,D369&amp;"|"&amp;TEXT(B369,"0"),"")</f>
        <v/>
      </c>
      <c r="AH369" s="43" t="n">
        <f aca="false">IF(AA369=1,H369,0)</f>
        <v>0</v>
      </c>
    </row>
    <row r="370" customFormat="false" ht="15" hidden="false" customHeight="false" outlineLevel="0" collapsed="false">
      <c r="A370" s="23" t="str">
        <f aca="false">IF(B370="","","B-"&amp;TEXT(ROW()-4,"0000"))</f>
        <v/>
      </c>
      <c r="B370" s="38"/>
      <c r="C370" s="38"/>
      <c r="D370" s="6"/>
      <c r="E370" s="6"/>
      <c r="F370" s="6"/>
      <c r="G370" s="11"/>
      <c r="H370" s="24" t="str">
        <f aca="false">IF(AND(ISNUMBER(B370),ISNUMBER(C370)),MAX(0,C370-B370),"")</f>
        <v/>
      </c>
      <c r="I370" s="37"/>
      <c r="J370" s="46" t="str">
        <f aca="false">IF(OR(D370="",N(H370)=0),"",IFERROR(IF(I370&lt;&gt;"",H370*I370,ROUND(((H370-(INT((WEEKDAY(B370-6)+H370-1)/7)+INT((WEEKDAY(B370-7)+H370-1)/7)))*INDEX(Properties!$E$5:$E$24,MATCH(D370,Properties!$A$5:$A$24,0))+(INT((WEEKDAY(B370-6)+H370-1)/7)+INT((WEEKDAY(B370-7)+H370-1)/7))*INDEX(Properties!$F$5:$F$24,MATCH(D370,Properties!$A$5:$A$24,0)))*(1-IF(H370&gt;=28,Settings!$B$10,IF(H370&gt;=7,Settings!$B$9,0))),2)),0))</f>
        <v/>
      </c>
      <c r="K370" s="46" t="str">
        <f aca="false">IF(J370="","",IFERROR(N(INDEX(Properties!$G$5:$G$24,MATCH(D370,Properties!$A$5:$A$24,0))),0))</f>
        <v/>
      </c>
      <c r="L370" s="46" t="str">
        <f aca="false">IF(J370="","",IFERROR(MAX(0,N(G370)-INDEX(Properties!$I$5:$I$24,MATCH(D370,Properties!$A$5:$A$24,0)))*N(INDEX(Properties!$J$5:$J$24,MATCH(D370,Properties!$A$5:$A$24,0)))*H370,0))</f>
        <v/>
      </c>
      <c r="M370" s="37"/>
      <c r="N370" s="46" t="str">
        <f aca="false">IF(J370="","",J370+K370+L370+N(M370))</f>
        <v/>
      </c>
      <c r="O370" s="46" t="str">
        <f aca="false">IF(N370="","",IF(P370&lt;&gt;"",N370-P370,ROUND(N370*IFERROR(INDEX(Settings!$E$5:$E$12,MATCH(F370,Settings!$D$5:$D$12,0)),0),2)))</f>
        <v/>
      </c>
      <c r="P370" s="37"/>
      <c r="Q370" s="46" t="str">
        <f aca="false">IF(N370="","",IF(P370&lt;&gt;"",P370,N370-O370))</f>
        <v/>
      </c>
      <c r="R370" s="46" t="str">
        <f aca="false">IF(J370="","",IFERROR(N(INDEX(Properties!$H$5:$H$24,MATCH(D370,Properties!$A$5:$A$24,0))),0))</f>
        <v/>
      </c>
      <c r="S370" s="46" t="str">
        <f aca="false">IF(Q370="","",Q370-R370)</f>
        <v/>
      </c>
      <c r="T370" s="6"/>
      <c r="U370" s="6"/>
      <c r="V370" s="6"/>
      <c r="W370" s="6"/>
      <c r="X370" s="6"/>
      <c r="Y370" s="8" t="str">
        <f aca="false">IF(OR(D370="",B370="",C370=""),"",IF(N(C370)&lt;=N(B370),"Check dates",IF(T370="Cancelled","",IF(COUNTIFS($D$5:$D$1004,D370,$B$5:$B$1004,"&lt;"&amp;C370,$C$5:$C$1004,"&gt;"&amp;B370,$T$5:$T$1004,"&lt;&gt;Cancelled")&gt;1,"Double-booked",""))))</f>
        <v/>
      </c>
      <c r="Z370" s="42" t="str">
        <f aca="false">IF(AND(AA370=1,ISNUMBER(C370)),C370+ROW()/100000,"")</f>
        <v/>
      </c>
      <c r="AA370" s="43" t="n">
        <f aca="false">IF(AND(D370&lt;&gt;"",ISNUMBER(B370),ISNUMBER(C370),N(H370)&gt;0,T370&lt;&gt;"Cancelled",J370&lt;&gt;""),1,0)</f>
        <v>0</v>
      </c>
      <c r="AB370" s="44" t="n">
        <f aca="false">IF(AA370=1,J370/H370,0)</f>
        <v>0</v>
      </c>
      <c r="AC370" s="44" t="n">
        <f aca="false">IF(AA370=1,Q370/H370,0)</f>
        <v>0</v>
      </c>
      <c r="AD370" s="44" t="n">
        <f aca="false">IF(AA370=1,R370/H370,0)</f>
        <v>0</v>
      </c>
      <c r="AE370" s="44" t="n">
        <f aca="false">IF(AA370=1,O370/H370,0)</f>
        <v>0</v>
      </c>
      <c r="AF370" s="44" t="n">
        <f aca="false">IF(AA370=1,K370/H370,0)</f>
        <v>0</v>
      </c>
      <c r="AG370" s="45" t="str">
        <f aca="false">IF(AA370=1,D370&amp;"|"&amp;TEXT(B370,"0"),"")</f>
        <v/>
      </c>
      <c r="AH370" s="43" t="n">
        <f aca="false">IF(AA370=1,H370,0)</f>
        <v>0</v>
      </c>
    </row>
    <row r="371" customFormat="false" ht="15" hidden="false" customHeight="false" outlineLevel="0" collapsed="false">
      <c r="A371" s="8" t="str">
        <f aca="false">IF(B371="","","B-"&amp;TEXT(ROW()-4,"0000"))</f>
        <v/>
      </c>
      <c r="B371" s="38"/>
      <c r="C371" s="38"/>
      <c r="D371" s="6"/>
      <c r="E371" s="6"/>
      <c r="F371" s="6"/>
      <c r="G371" s="11"/>
      <c r="H371" s="18" t="str">
        <f aca="false">IF(AND(ISNUMBER(B371),ISNUMBER(C371)),MAX(0,C371-B371),"")</f>
        <v/>
      </c>
      <c r="I371" s="37"/>
      <c r="J371" s="41" t="str">
        <f aca="false">IF(OR(D371="",N(H371)=0),"",IFERROR(IF(I371&lt;&gt;"",H371*I371,ROUND(((H371-(INT((WEEKDAY(B371-6)+H371-1)/7)+INT((WEEKDAY(B371-7)+H371-1)/7)))*INDEX(Properties!$E$5:$E$24,MATCH(D371,Properties!$A$5:$A$24,0))+(INT((WEEKDAY(B371-6)+H371-1)/7)+INT((WEEKDAY(B371-7)+H371-1)/7))*INDEX(Properties!$F$5:$F$24,MATCH(D371,Properties!$A$5:$A$24,0)))*(1-IF(H371&gt;=28,Settings!$B$10,IF(H371&gt;=7,Settings!$B$9,0))),2)),0))</f>
        <v/>
      </c>
      <c r="K371" s="41" t="str">
        <f aca="false">IF(J371="","",IFERROR(N(INDEX(Properties!$G$5:$G$24,MATCH(D371,Properties!$A$5:$A$24,0))),0))</f>
        <v/>
      </c>
      <c r="L371" s="41" t="str">
        <f aca="false">IF(J371="","",IFERROR(MAX(0,N(G371)-INDEX(Properties!$I$5:$I$24,MATCH(D371,Properties!$A$5:$A$24,0)))*N(INDEX(Properties!$J$5:$J$24,MATCH(D371,Properties!$A$5:$A$24,0)))*H371,0))</f>
        <v/>
      </c>
      <c r="M371" s="37"/>
      <c r="N371" s="41" t="str">
        <f aca="false">IF(J371="","",J371+K371+L371+N(M371))</f>
        <v/>
      </c>
      <c r="O371" s="41" t="str">
        <f aca="false">IF(N371="","",IF(P371&lt;&gt;"",N371-P371,ROUND(N371*IFERROR(INDEX(Settings!$E$5:$E$12,MATCH(F371,Settings!$D$5:$D$12,0)),0),2)))</f>
        <v/>
      </c>
      <c r="P371" s="37"/>
      <c r="Q371" s="41" t="str">
        <f aca="false">IF(N371="","",IF(P371&lt;&gt;"",P371,N371-O371))</f>
        <v/>
      </c>
      <c r="R371" s="41" t="str">
        <f aca="false">IF(J371="","",IFERROR(N(INDEX(Properties!$H$5:$H$24,MATCH(D371,Properties!$A$5:$A$24,0))),0))</f>
        <v/>
      </c>
      <c r="S371" s="41" t="str">
        <f aca="false">IF(Q371="","",Q371-R371)</f>
        <v/>
      </c>
      <c r="T371" s="6"/>
      <c r="U371" s="6"/>
      <c r="V371" s="6"/>
      <c r="W371" s="6"/>
      <c r="X371" s="6"/>
      <c r="Y371" s="8" t="str">
        <f aca="false">IF(OR(D371="",B371="",C371=""),"",IF(N(C371)&lt;=N(B371),"Check dates",IF(T371="Cancelled","",IF(COUNTIFS($D$5:$D$1004,D371,$B$5:$B$1004,"&lt;"&amp;C371,$C$5:$C$1004,"&gt;"&amp;B371,$T$5:$T$1004,"&lt;&gt;Cancelled")&gt;1,"Double-booked",""))))</f>
        <v/>
      </c>
      <c r="Z371" s="42" t="str">
        <f aca="false">IF(AND(AA371=1,ISNUMBER(C371)),C371+ROW()/100000,"")</f>
        <v/>
      </c>
      <c r="AA371" s="43" t="n">
        <f aca="false">IF(AND(D371&lt;&gt;"",ISNUMBER(B371),ISNUMBER(C371),N(H371)&gt;0,T371&lt;&gt;"Cancelled",J371&lt;&gt;""),1,0)</f>
        <v>0</v>
      </c>
      <c r="AB371" s="44" t="n">
        <f aca="false">IF(AA371=1,J371/H371,0)</f>
        <v>0</v>
      </c>
      <c r="AC371" s="44" t="n">
        <f aca="false">IF(AA371=1,Q371/H371,0)</f>
        <v>0</v>
      </c>
      <c r="AD371" s="44" t="n">
        <f aca="false">IF(AA371=1,R371/H371,0)</f>
        <v>0</v>
      </c>
      <c r="AE371" s="44" t="n">
        <f aca="false">IF(AA371=1,O371/H371,0)</f>
        <v>0</v>
      </c>
      <c r="AF371" s="44" t="n">
        <f aca="false">IF(AA371=1,K371/H371,0)</f>
        <v>0</v>
      </c>
      <c r="AG371" s="45" t="str">
        <f aca="false">IF(AA371=1,D371&amp;"|"&amp;TEXT(B371,"0"),"")</f>
        <v/>
      </c>
      <c r="AH371" s="43" t="n">
        <f aca="false">IF(AA371=1,H371,0)</f>
        <v>0</v>
      </c>
    </row>
    <row r="372" customFormat="false" ht="15" hidden="false" customHeight="false" outlineLevel="0" collapsed="false">
      <c r="A372" s="23" t="str">
        <f aca="false">IF(B372="","","B-"&amp;TEXT(ROW()-4,"0000"))</f>
        <v/>
      </c>
      <c r="B372" s="38"/>
      <c r="C372" s="38"/>
      <c r="D372" s="6"/>
      <c r="E372" s="6"/>
      <c r="F372" s="6"/>
      <c r="G372" s="11"/>
      <c r="H372" s="24" t="str">
        <f aca="false">IF(AND(ISNUMBER(B372),ISNUMBER(C372)),MAX(0,C372-B372),"")</f>
        <v/>
      </c>
      <c r="I372" s="37"/>
      <c r="J372" s="46" t="str">
        <f aca="false">IF(OR(D372="",N(H372)=0),"",IFERROR(IF(I372&lt;&gt;"",H372*I372,ROUND(((H372-(INT((WEEKDAY(B372-6)+H372-1)/7)+INT((WEEKDAY(B372-7)+H372-1)/7)))*INDEX(Properties!$E$5:$E$24,MATCH(D372,Properties!$A$5:$A$24,0))+(INT((WEEKDAY(B372-6)+H372-1)/7)+INT((WEEKDAY(B372-7)+H372-1)/7))*INDEX(Properties!$F$5:$F$24,MATCH(D372,Properties!$A$5:$A$24,0)))*(1-IF(H372&gt;=28,Settings!$B$10,IF(H372&gt;=7,Settings!$B$9,0))),2)),0))</f>
        <v/>
      </c>
      <c r="K372" s="46" t="str">
        <f aca="false">IF(J372="","",IFERROR(N(INDEX(Properties!$G$5:$G$24,MATCH(D372,Properties!$A$5:$A$24,0))),0))</f>
        <v/>
      </c>
      <c r="L372" s="46" t="str">
        <f aca="false">IF(J372="","",IFERROR(MAX(0,N(G372)-INDEX(Properties!$I$5:$I$24,MATCH(D372,Properties!$A$5:$A$24,0)))*N(INDEX(Properties!$J$5:$J$24,MATCH(D372,Properties!$A$5:$A$24,0)))*H372,0))</f>
        <v/>
      </c>
      <c r="M372" s="37"/>
      <c r="N372" s="46" t="str">
        <f aca="false">IF(J372="","",J372+K372+L372+N(M372))</f>
        <v/>
      </c>
      <c r="O372" s="46" t="str">
        <f aca="false">IF(N372="","",IF(P372&lt;&gt;"",N372-P372,ROUND(N372*IFERROR(INDEX(Settings!$E$5:$E$12,MATCH(F372,Settings!$D$5:$D$12,0)),0),2)))</f>
        <v/>
      </c>
      <c r="P372" s="37"/>
      <c r="Q372" s="46" t="str">
        <f aca="false">IF(N372="","",IF(P372&lt;&gt;"",P372,N372-O372))</f>
        <v/>
      </c>
      <c r="R372" s="46" t="str">
        <f aca="false">IF(J372="","",IFERROR(N(INDEX(Properties!$H$5:$H$24,MATCH(D372,Properties!$A$5:$A$24,0))),0))</f>
        <v/>
      </c>
      <c r="S372" s="46" t="str">
        <f aca="false">IF(Q372="","",Q372-R372)</f>
        <v/>
      </c>
      <c r="T372" s="6"/>
      <c r="U372" s="6"/>
      <c r="V372" s="6"/>
      <c r="W372" s="6"/>
      <c r="X372" s="6"/>
      <c r="Y372" s="8" t="str">
        <f aca="false">IF(OR(D372="",B372="",C372=""),"",IF(N(C372)&lt;=N(B372),"Check dates",IF(T372="Cancelled","",IF(COUNTIFS($D$5:$D$1004,D372,$B$5:$B$1004,"&lt;"&amp;C372,$C$5:$C$1004,"&gt;"&amp;B372,$T$5:$T$1004,"&lt;&gt;Cancelled")&gt;1,"Double-booked",""))))</f>
        <v/>
      </c>
      <c r="Z372" s="42" t="str">
        <f aca="false">IF(AND(AA372=1,ISNUMBER(C372)),C372+ROW()/100000,"")</f>
        <v/>
      </c>
      <c r="AA372" s="43" t="n">
        <f aca="false">IF(AND(D372&lt;&gt;"",ISNUMBER(B372),ISNUMBER(C372),N(H372)&gt;0,T372&lt;&gt;"Cancelled",J372&lt;&gt;""),1,0)</f>
        <v>0</v>
      </c>
      <c r="AB372" s="44" t="n">
        <f aca="false">IF(AA372=1,J372/H372,0)</f>
        <v>0</v>
      </c>
      <c r="AC372" s="44" t="n">
        <f aca="false">IF(AA372=1,Q372/H372,0)</f>
        <v>0</v>
      </c>
      <c r="AD372" s="44" t="n">
        <f aca="false">IF(AA372=1,R372/H372,0)</f>
        <v>0</v>
      </c>
      <c r="AE372" s="44" t="n">
        <f aca="false">IF(AA372=1,O372/H372,0)</f>
        <v>0</v>
      </c>
      <c r="AF372" s="44" t="n">
        <f aca="false">IF(AA372=1,K372/H372,0)</f>
        <v>0</v>
      </c>
      <c r="AG372" s="45" t="str">
        <f aca="false">IF(AA372=1,D372&amp;"|"&amp;TEXT(B372,"0"),"")</f>
        <v/>
      </c>
      <c r="AH372" s="43" t="n">
        <f aca="false">IF(AA372=1,H372,0)</f>
        <v>0</v>
      </c>
    </row>
    <row r="373" customFormat="false" ht="15" hidden="false" customHeight="false" outlineLevel="0" collapsed="false">
      <c r="A373" s="8" t="str">
        <f aca="false">IF(B373="","","B-"&amp;TEXT(ROW()-4,"0000"))</f>
        <v/>
      </c>
      <c r="B373" s="38"/>
      <c r="C373" s="38"/>
      <c r="D373" s="6"/>
      <c r="E373" s="6"/>
      <c r="F373" s="6"/>
      <c r="G373" s="11"/>
      <c r="H373" s="18" t="str">
        <f aca="false">IF(AND(ISNUMBER(B373),ISNUMBER(C373)),MAX(0,C373-B373),"")</f>
        <v/>
      </c>
      <c r="I373" s="37"/>
      <c r="J373" s="41" t="str">
        <f aca="false">IF(OR(D373="",N(H373)=0),"",IFERROR(IF(I373&lt;&gt;"",H373*I373,ROUND(((H373-(INT((WEEKDAY(B373-6)+H373-1)/7)+INT((WEEKDAY(B373-7)+H373-1)/7)))*INDEX(Properties!$E$5:$E$24,MATCH(D373,Properties!$A$5:$A$24,0))+(INT((WEEKDAY(B373-6)+H373-1)/7)+INT((WEEKDAY(B373-7)+H373-1)/7))*INDEX(Properties!$F$5:$F$24,MATCH(D373,Properties!$A$5:$A$24,0)))*(1-IF(H373&gt;=28,Settings!$B$10,IF(H373&gt;=7,Settings!$B$9,0))),2)),0))</f>
        <v/>
      </c>
      <c r="K373" s="41" t="str">
        <f aca="false">IF(J373="","",IFERROR(N(INDEX(Properties!$G$5:$G$24,MATCH(D373,Properties!$A$5:$A$24,0))),0))</f>
        <v/>
      </c>
      <c r="L373" s="41" t="str">
        <f aca="false">IF(J373="","",IFERROR(MAX(0,N(G373)-INDEX(Properties!$I$5:$I$24,MATCH(D373,Properties!$A$5:$A$24,0)))*N(INDEX(Properties!$J$5:$J$24,MATCH(D373,Properties!$A$5:$A$24,0)))*H373,0))</f>
        <v/>
      </c>
      <c r="M373" s="37"/>
      <c r="N373" s="41" t="str">
        <f aca="false">IF(J373="","",J373+K373+L373+N(M373))</f>
        <v/>
      </c>
      <c r="O373" s="41" t="str">
        <f aca="false">IF(N373="","",IF(P373&lt;&gt;"",N373-P373,ROUND(N373*IFERROR(INDEX(Settings!$E$5:$E$12,MATCH(F373,Settings!$D$5:$D$12,0)),0),2)))</f>
        <v/>
      </c>
      <c r="P373" s="37"/>
      <c r="Q373" s="41" t="str">
        <f aca="false">IF(N373="","",IF(P373&lt;&gt;"",P373,N373-O373))</f>
        <v/>
      </c>
      <c r="R373" s="41" t="str">
        <f aca="false">IF(J373="","",IFERROR(N(INDEX(Properties!$H$5:$H$24,MATCH(D373,Properties!$A$5:$A$24,0))),0))</f>
        <v/>
      </c>
      <c r="S373" s="41" t="str">
        <f aca="false">IF(Q373="","",Q373-R373)</f>
        <v/>
      </c>
      <c r="T373" s="6"/>
      <c r="U373" s="6"/>
      <c r="V373" s="6"/>
      <c r="W373" s="6"/>
      <c r="X373" s="6"/>
      <c r="Y373" s="8" t="str">
        <f aca="false">IF(OR(D373="",B373="",C373=""),"",IF(N(C373)&lt;=N(B373),"Check dates",IF(T373="Cancelled","",IF(COUNTIFS($D$5:$D$1004,D373,$B$5:$B$1004,"&lt;"&amp;C373,$C$5:$C$1004,"&gt;"&amp;B373,$T$5:$T$1004,"&lt;&gt;Cancelled")&gt;1,"Double-booked",""))))</f>
        <v/>
      </c>
      <c r="Z373" s="42" t="str">
        <f aca="false">IF(AND(AA373=1,ISNUMBER(C373)),C373+ROW()/100000,"")</f>
        <v/>
      </c>
      <c r="AA373" s="43" t="n">
        <f aca="false">IF(AND(D373&lt;&gt;"",ISNUMBER(B373),ISNUMBER(C373),N(H373)&gt;0,T373&lt;&gt;"Cancelled",J373&lt;&gt;""),1,0)</f>
        <v>0</v>
      </c>
      <c r="AB373" s="44" t="n">
        <f aca="false">IF(AA373=1,J373/H373,0)</f>
        <v>0</v>
      </c>
      <c r="AC373" s="44" t="n">
        <f aca="false">IF(AA373=1,Q373/H373,0)</f>
        <v>0</v>
      </c>
      <c r="AD373" s="44" t="n">
        <f aca="false">IF(AA373=1,R373/H373,0)</f>
        <v>0</v>
      </c>
      <c r="AE373" s="44" t="n">
        <f aca="false">IF(AA373=1,O373/H373,0)</f>
        <v>0</v>
      </c>
      <c r="AF373" s="44" t="n">
        <f aca="false">IF(AA373=1,K373/H373,0)</f>
        <v>0</v>
      </c>
      <c r="AG373" s="45" t="str">
        <f aca="false">IF(AA373=1,D373&amp;"|"&amp;TEXT(B373,"0"),"")</f>
        <v/>
      </c>
      <c r="AH373" s="43" t="n">
        <f aca="false">IF(AA373=1,H373,0)</f>
        <v>0</v>
      </c>
    </row>
    <row r="374" customFormat="false" ht="15" hidden="false" customHeight="false" outlineLevel="0" collapsed="false">
      <c r="A374" s="23" t="str">
        <f aca="false">IF(B374="","","B-"&amp;TEXT(ROW()-4,"0000"))</f>
        <v/>
      </c>
      <c r="B374" s="38"/>
      <c r="C374" s="38"/>
      <c r="D374" s="6"/>
      <c r="E374" s="6"/>
      <c r="F374" s="6"/>
      <c r="G374" s="11"/>
      <c r="H374" s="24" t="str">
        <f aca="false">IF(AND(ISNUMBER(B374),ISNUMBER(C374)),MAX(0,C374-B374),"")</f>
        <v/>
      </c>
      <c r="I374" s="37"/>
      <c r="J374" s="46" t="str">
        <f aca="false">IF(OR(D374="",N(H374)=0),"",IFERROR(IF(I374&lt;&gt;"",H374*I374,ROUND(((H374-(INT((WEEKDAY(B374-6)+H374-1)/7)+INT((WEEKDAY(B374-7)+H374-1)/7)))*INDEX(Properties!$E$5:$E$24,MATCH(D374,Properties!$A$5:$A$24,0))+(INT((WEEKDAY(B374-6)+H374-1)/7)+INT((WEEKDAY(B374-7)+H374-1)/7))*INDEX(Properties!$F$5:$F$24,MATCH(D374,Properties!$A$5:$A$24,0)))*(1-IF(H374&gt;=28,Settings!$B$10,IF(H374&gt;=7,Settings!$B$9,0))),2)),0))</f>
        <v/>
      </c>
      <c r="K374" s="46" t="str">
        <f aca="false">IF(J374="","",IFERROR(N(INDEX(Properties!$G$5:$G$24,MATCH(D374,Properties!$A$5:$A$24,0))),0))</f>
        <v/>
      </c>
      <c r="L374" s="46" t="str">
        <f aca="false">IF(J374="","",IFERROR(MAX(0,N(G374)-INDEX(Properties!$I$5:$I$24,MATCH(D374,Properties!$A$5:$A$24,0)))*N(INDEX(Properties!$J$5:$J$24,MATCH(D374,Properties!$A$5:$A$24,0)))*H374,0))</f>
        <v/>
      </c>
      <c r="M374" s="37"/>
      <c r="N374" s="46" t="str">
        <f aca="false">IF(J374="","",J374+K374+L374+N(M374))</f>
        <v/>
      </c>
      <c r="O374" s="46" t="str">
        <f aca="false">IF(N374="","",IF(P374&lt;&gt;"",N374-P374,ROUND(N374*IFERROR(INDEX(Settings!$E$5:$E$12,MATCH(F374,Settings!$D$5:$D$12,0)),0),2)))</f>
        <v/>
      </c>
      <c r="P374" s="37"/>
      <c r="Q374" s="46" t="str">
        <f aca="false">IF(N374="","",IF(P374&lt;&gt;"",P374,N374-O374))</f>
        <v/>
      </c>
      <c r="R374" s="46" t="str">
        <f aca="false">IF(J374="","",IFERROR(N(INDEX(Properties!$H$5:$H$24,MATCH(D374,Properties!$A$5:$A$24,0))),0))</f>
        <v/>
      </c>
      <c r="S374" s="46" t="str">
        <f aca="false">IF(Q374="","",Q374-R374)</f>
        <v/>
      </c>
      <c r="T374" s="6"/>
      <c r="U374" s="6"/>
      <c r="V374" s="6"/>
      <c r="W374" s="6"/>
      <c r="X374" s="6"/>
      <c r="Y374" s="8" t="str">
        <f aca="false">IF(OR(D374="",B374="",C374=""),"",IF(N(C374)&lt;=N(B374),"Check dates",IF(T374="Cancelled","",IF(COUNTIFS($D$5:$D$1004,D374,$B$5:$B$1004,"&lt;"&amp;C374,$C$5:$C$1004,"&gt;"&amp;B374,$T$5:$T$1004,"&lt;&gt;Cancelled")&gt;1,"Double-booked",""))))</f>
        <v/>
      </c>
      <c r="Z374" s="42" t="str">
        <f aca="false">IF(AND(AA374=1,ISNUMBER(C374)),C374+ROW()/100000,"")</f>
        <v/>
      </c>
      <c r="AA374" s="43" t="n">
        <f aca="false">IF(AND(D374&lt;&gt;"",ISNUMBER(B374),ISNUMBER(C374),N(H374)&gt;0,T374&lt;&gt;"Cancelled",J374&lt;&gt;""),1,0)</f>
        <v>0</v>
      </c>
      <c r="AB374" s="44" t="n">
        <f aca="false">IF(AA374=1,J374/H374,0)</f>
        <v>0</v>
      </c>
      <c r="AC374" s="44" t="n">
        <f aca="false">IF(AA374=1,Q374/H374,0)</f>
        <v>0</v>
      </c>
      <c r="AD374" s="44" t="n">
        <f aca="false">IF(AA374=1,R374/H374,0)</f>
        <v>0</v>
      </c>
      <c r="AE374" s="44" t="n">
        <f aca="false">IF(AA374=1,O374/H374,0)</f>
        <v>0</v>
      </c>
      <c r="AF374" s="44" t="n">
        <f aca="false">IF(AA374=1,K374/H374,0)</f>
        <v>0</v>
      </c>
      <c r="AG374" s="45" t="str">
        <f aca="false">IF(AA374=1,D374&amp;"|"&amp;TEXT(B374,"0"),"")</f>
        <v/>
      </c>
      <c r="AH374" s="43" t="n">
        <f aca="false">IF(AA374=1,H374,0)</f>
        <v>0</v>
      </c>
    </row>
    <row r="375" customFormat="false" ht="15" hidden="false" customHeight="false" outlineLevel="0" collapsed="false">
      <c r="A375" s="8" t="str">
        <f aca="false">IF(B375="","","B-"&amp;TEXT(ROW()-4,"0000"))</f>
        <v/>
      </c>
      <c r="B375" s="38"/>
      <c r="C375" s="38"/>
      <c r="D375" s="6"/>
      <c r="E375" s="6"/>
      <c r="F375" s="6"/>
      <c r="G375" s="11"/>
      <c r="H375" s="18" t="str">
        <f aca="false">IF(AND(ISNUMBER(B375),ISNUMBER(C375)),MAX(0,C375-B375),"")</f>
        <v/>
      </c>
      <c r="I375" s="37"/>
      <c r="J375" s="41" t="str">
        <f aca="false">IF(OR(D375="",N(H375)=0),"",IFERROR(IF(I375&lt;&gt;"",H375*I375,ROUND(((H375-(INT((WEEKDAY(B375-6)+H375-1)/7)+INT((WEEKDAY(B375-7)+H375-1)/7)))*INDEX(Properties!$E$5:$E$24,MATCH(D375,Properties!$A$5:$A$24,0))+(INT((WEEKDAY(B375-6)+H375-1)/7)+INT((WEEKDAY(B375-7)+H375-1)/7))*INDEX(Properties!$F$5:$F$24,MATCH(D375,Properties!$A$5:$A$24,0)))*(1-IF(H375&gt;=28,Settings!$B$10,IF(H375&gt;=7,Settings!$B$9,0))),2)),0))</f>
        <v/>
      </c>
      <c r="K375" s="41" t="str">
        <f aca="false">IF(J375="","",IFERROR(N(INDEX(Properties!$G$5:$G$24,MATCH(D375,Properties!$A$5:$A$24,0))),0))</f>
        <v/>
      </c>
      <c r="L375" s="41" t="str">
        <f aca="false">IF(J375="","",IFERROR(MAX(0,N(G375)-INDEX(Properties!$I$5:$I$24,MATCH(D375,Properties!$A$5:$A$24,0)))*N(INDEX(Properties!$J$5:$J$24,MATCH(D375,Properties!$A$5:$A$24,0)))*H375,0))</f>
        <v/>
      </c>
      <c r="M375" s="37"/>
      <c r="N375" s="41" t="str">
        <f aca="false">IF(J375="","",J375+K375+L375+N(M375))</f>
        <v/>
      </c>
      <c r="O375" s="41" t="str">
        <f aca="false">IF(N375="","",IF(P375&lt;&gt;"",N375-P375,ROUND(N375*IFERROR(INDEX(Settings!$E$5:$E$12,MATCH(F375,Settings!$D$5:$D$12,0)),0),2)))</f>
        <v/>
      </c>
      <c r="P375" s="37"/>
      <c r="Q375" s="41" t="str">
        <f aca="false">IF(N375="","",IF(P375&lt;&gt;"",P375,N375-O375))</f>
        <v/>
      </c>
      <c r="R375" s="41" t="str">
        <f aca="false">IF(J375="","",IFERROR(N(INDEX(Properties!$H$5:$H$24,MATCH(D375,Properties!$A$5:$A$24,0))),0))</f>
        <v/>
      </c>
      <c r="S375" s="41" t="str">
        <f aca="false">IF(Q375="","",Q375-R375)</f>
        <v/>
      </c>
      <c r="T375" s="6"/>
      <c r="U375" s="6"/>
      <c r="V375" s="6"/>
      <c r="W375" s="6"/>
      <c r="X375" s="6"/>
      <c r="Y375" s="8" t="str">
        <f aca="false">IF(OR(D375="",B375="",C375=""),"",IF(N(C375)&lt;=N(B375),"Check dates",IF(T375="Cancelled","",IF(COUNTIFS($D$5:$D$1004,D375,$B$5:$B$1004,"&lt;"&amp;C375,$C$5:$C$1004,"&gt;"&amp;B375,$T$5:$T$1004,"&lt;&gt;Cancelled")&gt;1,"Double-booked",""))))</f>
        <v/>
      </c>
      <c r="Z375" s="42" t="str">
        <f aca="false">IF(AND(AA375=1,ISNUMBER(C375)),C375+ROW()/100000,"")</f>
        <v/>
      </c>
      <c r="AA375" s="43" t="n">
        <f aca="false">IF(AND(D375&lt;&gt;"",ISNUMBER(B375),ISNUMBER(C375),N(H375)&gt;0,T375&lt;&gt;"Cancelled",J375&lt;&gt;""),1,0)</f>
        <v>0</v>
      </c>
      <c r="AB375" s="44" t="n">
        <f aca="false">IF(AA375=1,J375/H375,0)</f>
        <v>0</v>
      </c>
      <c r="AC375" s="44" t="n">
        <f aca="false">IF(AA375=1,Q375/H375,0)</f>
        <v>0</v>
      </c>
      <c r="AD375" s="44" t="n">
        <f aca="false">IF(AA375=1,R375/H375,0)</f>
        <v>0</v>
      </c>
      <c r="AE375" s="44" t="n">
        <f aca="false">IF(AA375=1,O375/H375,0)</f>
        <v>0</v>
      </c>
      <c r="AF375" s="44" t="n">
        <f aca="false">IF(AA375=1,K375/H375,0)</f>
        <v>0</v>
      </c>
      <c r="AG375" s="45" t="str">
        <f aca="false">IF(AA375=1,D375&amp;"|"&amp;TEXT(B375,"0"),"")</f>
        <v/>
      </c>
      <c r="AH375" s="43" t="n">
        <f aca="false">IF(AA375=1,H375,0)</f>
        <v>0</v>
      </c>
    </row>
    <row r="376" customFormat="false" ht="15" hidden="false" customHeight="false" outlineLevel="0" collapsed="false">
      <c r="A376" s="23" t="str">
        <f aca="false">IF(B376="","","B-"&amp;TEXT(ROW()-4,"0000"))</f>
        <v/>
      </c>
      <c r="B376" s="38"/>
      <c r="C376" s="38"/>
      <c r="D376" s="6"/>
      <c r="E376" s="6"/>
      <c r="F376" s="6"/>
      <c r="G376" s="11"/>
      <c r="H376" s="24" t="str">
        <f aca="false">IF(AND(ISNUMBER(B376),ISNUMBER(C376)),MAX(0,C376-B376),"")</f>
        <v/>
      </c>
      <c r="I376" s="37"/>
      <c r="J376" s="46" t="str">
        <f aca="false">IF(OR(D376="",N(H376)=0),"",IFERROR(IF(I376&lt;&gt;"",H376*I376,ROUND(((H376-(INT((WEEKDAY(B376-6)+H376-1)/7)+INT((WEEKDAY(B376-7)+H376-1)/7)))*INDEX(Properties!$E$5:$E$24,MATCH(D376,Properties!$A$5:$A$24,0))+(INT((WEEKDAY(B376-6)+H376-1)/7)+INT((WEEKDAY(B376-7)+H376-1)/7))*INDEX(Properties!$F$5:$F$24,MATCH(D376,Properties!$A$5:$A$24,0)))*(1-IF(H376&gt;=28,Settings!$B$10,IF(H376&gt;=7,Settings!$B$9,0))),2)),0))</f>
        <v/>
      </c>
      <c r="K376" s="46" t="str">
        <f aca="false">IF(J376="","",IFERROR(N(INDEX(Properties!$G$5:$G$24,MATCH(D376,Properties!$A$5:$A$24,0))),0))</f>
        <v/>
      </c>
      <c r="L376" s="46" t="str">
        <f aca="false">IF(J376="","",IFERROR(MAX(0,N(G376)-INDEX(Properties!$I$5:$I$24,MATCH(D376,Properties!$A$5:$A$24,0)))*N(INDEX(Properties!$J$5:$J$24,MATCH(D376,Properties!$A$5:$A$24,0)))*H376,0))</f>
        <v/>
      </c>
      <c r="M376" s="37"/>
      <c r="N376" s="46" t="str">
        <f aca="false">IF(J376="","",J376+K376+L376+N(M376))</f>
        <v/>
      </c>
      <c r="O376" s="46" t="str">
        <f aca="false">IF(N376="","",IF(P376&lt;&gt;"",N376-P376,ROUND(N376*IFERROR(INDEX(Settings!$E$5:$E$12,MATCH(F376,Settings!$D$5:$D$12,0)),0),2)))</f>
        <v/>
      </c>
      <c r="P376" s="37"/>
      <c r="Q376" s="46" t="str">
        <f aca="false">IF(N376="","",IF(P376&lt;&gt;"",P376,N376-O376))</f>
        <v/>
      </c>
      <c r="R376" s="46" t="str">
        <f aca="false">IF(J376="","",IFERROR(N(INDEX(Properties!$H$5:$H$24,MATCH(D376,Properties!$A$5:$A$24,0))),0))</f>
        <v/>
      </c>
      <c r="S376" s="46" t="str">
        <f aca="false">IF(Q376="","",Q376-R376)</f>
        <v/>
      </c>
      <c r="T376" s="6"/>
      <c r="U376" s="6"/>
      <c r="V376" s="6"/>
      <c r="W376" s="6"/>
      <c r="X376" s="6"/>
      <c r="Y376" s="8" t="str">
        <f aca="false">IF(OR(D376="",B376="",C376=""),"",IF(N(C376)&lt;=N(B376),"Check dates",IF(T376="Cancelled","",IF(COUNTIFS($D$5:$D$1004,D376,$B$5:$B$1004,"&lt;"&amp;C376,$C$5:$C$1004,"&gt;"&amp;B376,$T$5:$T$1004,"&lt;&gt;Cancelled")&gt;1,"Double-booked",""))))</f>
        <v/>
      </c>
      <c r="Z376" s="42" t="str">
        <f aca="false">IF(AND(AA376=1,ISNUMBER(C376)),C376+ROW()/100000,"")</f>
        <v/>
      </c>
      <c r="AA376" s="43" t="n">
        <f aca="false">IF(AND(D376&lt;&gt;"",ISNUMBER(B376),ISNUMBER(C376),N(H376)&gt;0,T376&lt;&gt;"Cancelled",J376&lt;&gt;""),1,0)</f>
        <v>0</v>
      </c>
      <c r="AB376" s="44" t="n">
        <f aca="false">IF(AA376=1,J376/H376,0)</f>
        <v>0</v>
      </c>
      <c r="AC376" s="44" t="n">
        <f aca="false">IF(AA376=1,Q376/H376,0)</f>
        <v>0</v>
      </c>
      <c r="AD376" s="44" t="n">
        <f aca="false">IF(AA376=1,R376/H376,0)</f>
        <v>0</v>
      </c>
      <c r="AE376" s="44" t="n">
        <f aca="false">IF(AA376=1,O376/H376,0)</f>
        <v>0</v>
      </c>
      <c r="AF376" s="44" t="n">
        <f aca="false">IF(AA376=1,K376/H376,0)</f>
        <v>0</v>
      </c>
      <c r="AG376" s="45" t="str">
        <f aca="false">IF(AA376=1,D376&amp;"|"&amp;TEXT(B376,"0"),"")</f>
        <v/>
      </c>
      <c r="AH376" s="43" t="n">
        <f aca="false">IF(AA376=1,H376,0)</f>
        <v>0</v>
      </c>
    </row>
    <row r="377" customFormat="false" ht="15" hidden="false" customHeight="false" outlineLevel="0" collapsed="false">
      <c r="A377" s="8" t="str">
        <f aca="false">IF(B377="","","B-"&amp;TEXT(ROW()-4,"0000"))</f>
        <v/>
      </c>
      <c r="B377" s="38"/>
      <c r="C377" s="38"/>
      <c r="D377" s="6"/>
      <c r="E377" s="6"/>
      <c r="F377" s="6"/>
      <c r="G377" s="11"/>
      <c r="H377" s="18" t="str">
        <f aca="false">IF(AND(ISNUMBER(B377),ISNUMBER(C377)),MAX(0,C377-B377),"")</f>
        <v/>
      </c>
      <c r="I377" s="37"/>
      <c r="J377" s="41" t="str">
        <f aca="false">IF(OR(D377="",N(H377)=0),"",IFERROR(IF(I377&lt;&gt;"",H377*I377,ROUND(((H377-(INT((WEEKDAY(B377-6)+H377-1)/7)+INT((WEEKDAY(B377-7)+H377-1)/7)))*INDEX(Properties!$E$5:$E$24,MATCH(D377,Properties!$A$5:$A$24,0))+(INT((WEEKDAY(B377-6)+H377-1)/7)+INT((WEEKDAY(B377-7)+H377-1)/7))*INDEX(Properties!$F$5:$F$24,MATCH(D377,Properties!$A$5:$A$24,0)))*(1-IF(H377&gt;=28,Settings!$B$10,IF(H377&gt;=7,Settings!$B$9,0))),2)),0))</f>
        <v/>
      </c>
      <c r="K377" s="41" t="str">
        <f aca="false">IF(J377="","",IFERROR(N(INDEX(Properties!$G$5:$G$24,MATCH(D377,Properties!$A$5:$A$24,0))),0))</f>
        <v/>
      </c>
      <c r="L377" s="41" t="str">
        <f aca="false">IF(J377="","",IFERROR(MAX(0,N(G377)-INDEX(Properties!$I$5:$I$24,MATCH(D377,Properties!$A$5:$A$24,0)))*N(INDEX(Properties!$J$5:$J$24,MATCH(D377,Properties!$A$5:$A$24,0)))*H377,0))</f>
        <v/>
      </c>
      <c r="M377" s="37"/>
      <c r="N377" s="41" t="str">
        <f aca="false">IF(J377="","",J377+K377+L377+N(M377))</f>
        <v/>
      </c>
      <c r="O377" s="41" t="str">
        <f aca="false">IF(N377="","",IF(P377&lt;&gt;"",N377-P377,ROUND(N377*IFERROR(INDEX(Settings!$E$5:$E$12,MATCH(F377,Settings!$D$5:$D$12,0)),0),2)))</f>
        <v/>
      </c>
      <c r="P377" s="37"/>
      <c r="Q377" s="41" t="str">
        <f aca="false">IF(N377="","",IF(P377&lt;&gt;"",P377,N377-O377))</f>
        <v/>
      </c>
      <c r="R377" s="41" t="str">
        <f aca="false">IF(J377="","",IFERROR(N(INDEX(Properties!$H$5:$H$24,MATCH(D377,Properties!$A$5:$A$24,0))),0))</f>
        <v/>
      </c>
      <c r="S377" s="41" t="str">
        <f aca="false">IF(Q377="","",Q377-R377)</f>
        <v/>
      </c>
      <c r="T377" s="6"/>
      <c r="U377" s="6"/>
      <c r="V377" s="6"/>
      <c r="W377" s="6"/>
      <c r="X377" s="6"/>
      <c r="Y377" s="8" t="str">
        <f aca="false">IF(OR(D377="",B377="",C377=""),"",IF(N(C377)&lt;=N(B377),"Check dates",IF(T377="Cancelled","",IF(COUNTIFS($D$5:$D$1004,D377,$B$5:$B$1004,"&lt;"&amp;C377,$C$5:$C$1004,"&gt;"&amp;B377,$T$5:$T$1004,"&lt;&gt;Cancelled")&gt;1,"Double-booked",""))))</f>
        <v/>
      </c>
      <c r="Z377" s="42" t="str">
        <f aca="false">IF(AND(AA377=1,ISNUMBER(C377)),C377+ROW()/100000,"")</f>
        <v/>
      </c>
      <c r="AA377" s="43" t="n">
        <f aca="false">IF(AND(D377&lt;&gt;"",ISNUMBER(B377),ISNUMBER(C377),N(H377)&gt;0,T377&lt;&gt;"Cancelled",J377&lt;&gt;""),1,0)</f>
        <v>0</v>
      </c>
      <c r="AB377" s="44" t="n">
        <f aca="false">IF(AA377=1,J377/H377,0)</f>
        <v>0</v>
      </c>
      <c r="AC377" s="44" t="n">
        <f aca="false">IF(AA377=1,Q377/H377,0)</f>
        <v>0</v>
      </c>
      <c r="AD377" s="44" t="n">
        <f aca="false">IF(AA377=1,R377/H377,0)</f>
        <v>0</v>
      </c>
      <c r="AE377" s="44" t="n">
        <f aca="false">IF(AA377=1,O377/H377,0)</f>
        <v>0</v>
      </c>
      <c r="AF377" s="44" t="n">
        <f aca="false">IF(AA377=1,K377/H377,0)</f>
        <v>0</v>
      </c>
      <c r="AG377" s="45" t="str">
        <f aca="false">IF(AA377=1,D377&amp;"|"&amp;TEXT(B377,"0"),"")</f>
        <v/>
      </c>
      <c r="AH377" s="43" t="n">
        <f aca="false">IF(AA377=1,H377,0)</f>
        <v>0</v>
      </c>
    </row>
    <row r="378" customFormat="false" ht="15" hidden="false" customHeight="false" outlineLevel="0" collapsed="false">
      <c r="A378" s="23" t="str">
        <f aca="false">IF(B378="","","B-"&amp;TEXT(ROW()-4,"0000"))</f>
        <v/>
      </c>
      <c r="B378" s="38"/>
      <c r="C378" s="38"/>
      <c r="D378" s="6"/>
      <c r="E378" s="6"/>
      <c r="F378" s="6"/>
      <c r="G378" s="11"/>
      <c r="H378" s="24" t="str">
        <f aca="false">IF(AND(ISNUMBER(B378),ISNUMBER(C378)),MAX(0,C378-B378),"")</f>
        <v/>
      </c>
      <c r="I378" s="37"/>
      <c r="J378" s="46" t="str">
        <f aca="false">IF(OR(D378="",N(H378)=0),"",IFERROR(IF(I378&lt;&gt;"",H378*I378,ROUND(((H378-(INT((WEEKDAY(B378-6)+H378-1)/7)+INT((WEEKDAY(B378-7)+H378-1)/7)))*INDEX(Properties!$E$5:$E$24,MATCH(D378,Properties!$A$5:$A$24,0))+(INT((WEEKDAY(B378-6)+H378-1)/7)+INT((WEEKDAY(B378-7)+H378-1)/7))*INDEX(Properties!$F$5:$F$24,MATCH(D378,Properties!$A$5:$A$24,0)))*(1-IF(H378&gt;=28,Settings!$B$10,IF(H378&gt;=7,Settings!$B$9,0))),2)),0))</f>
        <v/>
      </c>
      <c r="K378" s="46" t="str">
        <f aca="false">IF(J378="","",IFERROR(N(INDEX(Properties!$G$5:$G$24,MATCH(D378,Properties!$A$5:$A$24,0))),0))</f>
        <v/>
      </c>
      <c r="L378" s="46" t="str">
        <f aca="false">IF(J378="","",IFERROR(MAX(0,N(G378)-INDEX(Properties!$I$5:$I$24,MATCH(D378,Properties!$A$5:$A$24,0)))*N(INDEX(Properties!$J$5:$J$24,MATCH(D378,Properties!$A$5:$A$24,0)))*H378,0))</f>
        <v/>
      </c>
      <c r="M378" s="37"/>
      <c r="N378" s="46" t="str">
        <f aca="false">IF(J378="","",J378+K378+L378+N(M378))</f>
        <v/>
      </c>
      <c r="O378" s="46" t="str">
        <f aca="false">IF(N378="","",IF(P378&lt;&gt;"",N378-P378,ROUND(N378*IFERROR(INDEX(Settings!$E$5:$E$12,MATCH(F378,Settings!$D$5:$D$12,0)),0),2)))</f>
        <v/>
      </c>
      <c r="P378" s="37"/>
      <c r="Q378" s="46" t="str">
        <f aca="false">IF(N378="","",IF(P378&lt;&gt;"",P378,N378-O378))</f>
        <v/>
      </c>
      <c r="R378" s="46" t="str">
        <f aca="false">IF(J378="","",IFERROR(N(INDEX(Properties!$H$5:$H$24,MATCH(D378,Properties!$A$5:$A$24,0))),0))</f>
        <v/>
      </c>
      <c r="S378" s="46" t="str">
        <f aca="false">IF(Q378="","",Q378-R378)</f>
        <v/>
      </c>
      <c r="T378" s="6"/>
      <c r="U378" s="6"/>
      <c r="V378" s="6"/>
      <c r="W378" s="6"/>
      <c r="X378" s="6"/>
      <c r="Y378" s="8" t="str">
        <f aca="false">IF(OR(D378="",B378="",C378=""),"",IF(N(C378)&lt;=N(B378),"Check dates",IF(T378="Cancelled","",IF(COUNTIFS($D$5:$D$1004,D378,$B$5:$B$1004,"&lt;"&amp;C378,$C$5:$C$1004,"&gt;"&amp;B378,$T$5:$T$1004,"&lt;&gt;Cancelled")&gt;1,"Double-booked",""))))</f>
        <v/>
      </c>
      <c r="Z378" s="42" t="str">
        <f aca="false">IF(AND(AA378=1,ISNUMBER(C378)),C378+ROW()/100000,"")</f>
        <v/>
      </c>
      <c r="AA378" s="43" t="n">
        <f aca="false">IF(AND(D378&lt;&gt;"",ISNUMBER(B378),ISNUMBER(C378),N(H378)&gt;0,T378&lt;&gt;"Cancelled",J378&lt;&gt;""),1,0)</f>
        <v>0</v>
      </c>
      <c r="AB378" s="44" t="n">
        <f aca="false">IF(AA378=1,J378/H378,0)</f>
        <v>0</v>
      </c>
      <c r="AC378" s="44" t="n">
        <f aca="false">IF(AA378=1,Q378/H378,0)</f>
        <v>0</v>
      </c>
      <c r="AD378" s="44" t="n">
        <f aca="false">IF(AA378=1,R378/H378,0)</f>
        <v>0</v>
      </c>
      <c r="AE378" s="44" t="n">
        <f aca="false">IF(AA378=1,O378/H378,0)</f>
        <v>0</v>
      </c>
      <c r="AF378" s="44" t="n">
        <f aca="false">IF(AA378=1,K378/H378,0)</f>
        <v>0</v>
      </c>
      <c r="AG378" s="45" t="str">
        <f aca="false">IF(AA378=1,D378&amp;"|"&amp;TEXT(B378,"0"),"")</f>
        <v/>
      </c>
      <c r="AH378" s="43" t="n">
        <f aca="false">IF(AA378=1,H378,0)</f>
        <v>0</v>
      </c>
    </row>
    <row r="379" customFormat="false" ht="15" hidden="false" customHeight="false" outlineLevel="0" collapsed="false">
      <c r="A379" s="8" t="str">
        <f aca="false">IF(B379="","","B-"&amp;TEXT(ROW()-4,"0000"))</f>
        <v/>
      </c>
      <c r="B379" s="38"/>
      <c r="C379" s="38"/>
      <c r="D379" s="6"/>
      <c r="E379" s="6"/>
      <c r="F379" s="6"/>
      <c r="G379" s="11"/>
      <c r="H379" s="18" t="str">
        <f aca="false">IF(AND(ISNUMBER(B379),ISNUMBER(C379)),MAX(0,C379-B379),"")</f>
        <v/>
      </c>
      <c r="I379" s="37"/>
      <c r="J379" s="41" t="str">
        <f aca="false">IF(OR(D379="",N(H379)=0),"",IFERROR(IF(I379&lt;&gt;"",H379*I379,ROUND(((H379-(INT((WEEKDAY(B379-6)+H379-1)/7)+INT((WEEKDAY(B379-7)+H379-1)/7)))*INDEX(Properties!$E$5:$E$24,MATCH(D379,Properties!$A$5:$A$24,0))+(INT((WEEKDAY(B379-6)+H379-1)/7)+INT((WEEKDAY(B379-7)+H379-1)/7))*INDEX(Properties!$F$5:$F$24,MATCH(D379,Properties!$A$5:$A$24,0)))*(1-IF(H379&gt;=28,Settings!$B$10,IF(H379&gt;=7,Settings!$B$9,0))),2)),0))</f>
        <v/>
      </c>
      <c r="K379" s="41" t="str">
        <f aca="false">IF(J379="","",IFERROR(N(INDEX(Properties!$G$5:$G$24,MATCH(D379,Properties!$A$5:$A$24,0))),0))</f>
        <v/>
      </c>
      <c r="L379" s="41" t="str">
        <f aca="false">IF(J379="","",IFERROR(MAX(0,N(G379)-INDEX(Properties!$I$5:$I$24,MATCH(D379,Properties!$A$5:$A$24,0)))*N(INDEX(Properties!$J$5:$J$24,MATCH(D379,Properties!$A$5:$A$24,0)))*H379,0))</f>
        <v/>
      </c>
      <c r="M379" s="37"/>
      <c r="N379" s="41" t="str">
        <f aca="false">IF(J379="","",J379+K379+L379+N(M379))</f>
        <v/>
      </c>
      <c r="O379" s="41" t="str">
        <f aca="false">IF(N379="","",IF(P379&lt;&gt;"",N379-P379,ROUND(N379*IFERROR(INDEX(Settings!$E$5:$E$12,MATCH(F379,Settings!$D$5:$D$12,0)),0),2)))</f>
        <v/>
      </c>
      <c r="P379" s="37"/>
      <c r="Q379" s="41" t="str">
        <f aca="false">IF(N379="","",IF(P379&lt;&gt;"",P379,N379-O379))</f>
        <v/>
      </c>
      <c r="R379" s="41" t="str">
        <f aca="false">IF(J379="","",IFERROR(N(INDEX(Properties!$H$5:$H$24,MATCH(D379,Properties!$A$5:$A$24,0))),0))</f>
        <v/>
      </c>
      <c r="S379" s="41" t="str">
        <f aca="false">IF(Q379="","",Q379-R379)</f>
        <v/>
      </c>
      <c r="T379" s="6"/>
      <c r="U379" s="6"/>
      <c r="V379" s="6"/>
      <c r="W379" s="6"/>
      <c r="X379" s="6"/>
      <c r="Y379" s="8" t="str">
        <f aca="false">IF(OR(D379="",B379="",C379=""),"",IF(N(C379)&lt;=N(B379),"Check dates",IF(T379="Cancelled","",IF(COUNTIFS($D$5:$D$1004,D379,$B$5:$B$1004,"&lt;"&amp;C379,$C$5:$C$1004,"&gt;"&amp;B379,$T$5:$T$1004,"&lt;&gt;Cancelled")&gt;1,"Double-booked",""))))</f>
        <v/>
      </c>
      <c r="Z379" s="42" t="str">
        <f aca="false">IF(AND(AA379=1,ISNUMBER(C379)),C379+ROW()/100000,"")</f>
        <v/>
      </c>
      <c r="AA379" s="43" t="n">
        <f aca="false">IF(AND(D379&lt;&gt;"",ISNUMBER(B379),ISNUMBER(C379),N(H379)&gt;0,T379&lt;&gt;"Cancelled",J379&lt;&gt;""),1,0)</f>
        <v>0</v>
      </c>
      <c r="AB379" s="44" t="n">
        <f aca="false">IF(AA379=1,J379/H379,0)</f>
        <v>0</v>
      </c>
      <c r="AC379" s="44" t="n">
        <f aca="false">IF(AA379=1,Q379/H379,0)</f>
        <v>0</v>
      </c>
      <c r="AD379" s="44" t="n">
        <f aca="false">IF(AA379=1,R379/H379,0)</f>
        <v>0</v>
      </c>
      <c r="AE379" s="44" t="n">
        <f aca="false">IF(AA379=1,O379/H379,0)</f>
        <v>0</v>
      </c>
      <c r="AF379" s="44" t="n">
        <f aca="false">IF(AA379=1,K379/H379,0)</f>
        <v>0</v>
      </c>
      <c r="AG379" s="45" t="str">
        <f aca="false">IF(AA379=1,D379&amp;"|"&amp;TEXT(B379,"0"),"")</f>
        <v/>
      </c>
      <c r="AH379" s="43" t="n">
        <f aca="false">IF(AA379=1,H379,0)</f>
        <v>0</v>
      </c>
    </row>
    <row r="380" customFormat="false" ht="15" hidden="false" customHeight="false" outlineLevel="0" collapsed="false">
      <c r="A380" s="23" t="str">
        <f aca="false">IF(B380="","","B-"&amp;TEXT(ROW()-4,"0000"))</f>
        <v/>
      </c>
      <c r="B380" s="38"/>
      <c r="C380" s="38"/>
      <c r="D380" s="6"/>
      <c r="E380" s="6"/>
      <c r="F380" s="6"/>
      <c r="G380" s="11"/>
      <c r="H380" s="24" t="str">
        <f aca="false">IF(AND(ISNUMBER(B380),ISNUMBER(C380)),MAX(0,C380-B380),"")</f>
        <v/>
      </c>
      <c r="I380" s="37"/>
      <c r="J380" s="46" t="str">
        <f aca="false">IF(OR(D380="",N(H380)=0),"",IFERROR(IF(I380&lt;&gt;"",H380*I380,ROUND(((H380-(INT((WEEKDAY(B380-6)+H380-1)/7)+INT((WEEKDAY(B380-7)+H380-1)/7)))*INDEX(Properties!$E$5:$E$24,MATCH(D380,Properties!$A$5:$A$24,0))+(INT((WEEKDAY(B380-6)+H380-1)/7)+INT((WEEKDAY(B380-7)+H380-1)/7))*INDEX(Properties!$F$5:$F$24,MATCH(D380,Properties!$A$5:$A$24,0)))*(1-IF(H380&gt;=28,Settings!$B$10,IF(H380&gt;=7,Settings!$B$9,0))),2)),0))</f>
        <v/>
      </c>
      <c r="K380" s="46" t="str">
        <f aca="false">IF(J380="","",IFERROR(N(INDEX(Properties!$G$5:$G$24,MATCH(D380,Properties!$A$5:$A$24,0))),0))</f>
        <v/>
      </c>
      <c r="L380" s="46" t="str">
        <f aca="false">IF(J380="","",IFERROR(MAX(0,N(G380)-INDEX(Properties!$I$5:$I$24,MATCH(D380,Properties!$A$5:$A$24,0)))*N(INDEX(Properties!$J$5:$J$24,MATCH(D380,Properties!$A$5:$A$24,0)))*H380,0))</f>
        <v/>
      </c>
      <c r="M380" s="37"/>
      <c r="N380" s="46" t="str">
        <f aca="false">IF(J380="","",J380+K380+L380+N(M380))</f>
        <v/>
      </c>
      <c r="O380" s="46" t="str">
        <f aca="false">IF(N380="","",IF(P380&lt;&gt;"",N380-P380,ROUND(N380*IFERROR(INDEX(Settings!$E$5:$E$12,MATCH(F380,Settings!$D$5:$D$12,0)),0),2)))</f>
        <v/>
      </c>
      <c r="P380" s="37"/>
      <c r="Q380" s="46" t="str">
        <f aca="false">IF(N380="","",IF(P380&lt;&gt;"",P380,N380-O380))</f>
        <v/>
      </c>
      <c r="R380" s="46" t="str">
        <f aca="false">IF(J380="","",IFERROR(N(INDEX(Properties!$H$5:$H$24,MATCH(D380,Properties!$A$5:$A$24,0))),0))</f>
        <v/>
      </c>
      <c r="S380" s="46" t="str">
        <f aca="false">IF(Q380="","",Q380-R380)</f>
        <v/>
      </c>
      <c r="T380" s="6"/>
      <c r="U380" s="6"/>
      <c r="V380" s="6"/>
      <c r="W380" s="6"/>
      <c r="X380" s="6"/>
      <c r="Y380" s="8" t="str">
        <f aca="false">IF(OR(D380="",B380="",C380=""),"",IF(N(C380)&lt;=N(B380),"Check dates",IF(T380="Cancelled","",IF(COUNTIFS($D$5:$D$1004,D380,$B$5:$B$1004,"&lt;"&amp;C380,$C$5:$C$1004,"&gt;"&amp;B380,$T$5:$T$1004,"&lt;&gt;Cancelled")&gt;1,"Double-booked",""))))</f>
        <v/>
      </c>
      <c r="Z380" s="42" t="str">
        <f aca="false">IF(AND(AA380=1,ISNUMBER(C380)),C380+ROW()/100000,"")</f>
        <v/>
      </c>
      <c r="AA380" s="43" t="n">
        <f aca="false">IF(AND(D380&lt;&gt;"",ISNUMBER(B380),ISNUMBER(C380),N(H380)&gt;0,T380&lt;&gt;"Cancelled",J380&lt;&gt;""),1,0)</f>
        <v>0</v>
      </c>
      <c r="AB380" s="44" t="n">
        <f aca="false">IF(AA380=1,J380/H380,0)</f>
        <v>0</v>
      </c>
      <c r="AC380" s="44" t="n">
        <f aca="false">IF(AA380=1,Q380/H380,0)</f>
        <v>0</v>
      </c>
      <c r="AD380" s="44" t="n">
        <f aca="false">IF(AA380=1,R380/H380,0)</f>
        <v>0</v>
      </c>
      <c r="AE380" s="44" t="n">
        <f aca="false">IF(AA380=1,O380/H380,0)</f>
        <v>0</v>
      </c>
      <c r="AF380" s="44" t="n">
        <f aca="false">IF(AA380=1,K380/H380,0)</f>
        <v>0</v>
      </c>
      <c r="AG380" s="45" t="str">
        <f aca="false">IF(AA380=1,D380&amp;"|"&amp;TEXT(B380,"0"),"")</f>
        <v/>
      </c>
      <c r="AH380" s="43" t="n">
        <f aca="false">IF(AA380=1,H380,0)</f>
        <v>0</v>
      </c>
    </row>
    <row r="381" customFormat="false" ht="15" hidden="false" customHeight="false" outlineLevel="0" collapsed="false">
      <c r="A381" s="8" t="str">
        <f aca="false">IF(B381="","","B-"&amp;TEXT(ROW()-4,"0000"))</f>
        <v/>
      </c>
      <c r="B381" s="38"/>
      <c r="C381" s="38"/>
      <c r="D381" s="6"/>
      <c r="E381" s="6"/>
      <c r="F381" s="6"/>
      <c r="G381" s="11"/>
      <c r="H381" s="18" t="str">
        <f aca="false">IF(AND(ISNUMBER(B381),ISNUMBER(C381)),MAX(0,C381-B381),"")</f>
        <v/>
      </c>
      <c r="I381" s="37"/>
      <c r="J381" s="41" t="str">
        <f aca="false">IF(OR(D381="",N(H381)=0),"",IFERROR(IF(I381&lt;&gt;"",H381*I381,ROUND(((H381-(INT((WEEKDAY(B381-6)+H381-1)/7)+INT((WEEKDAY(B381-7)+H381-1)/7)))*INDEX(Properties!$E$5:$E$24,MATCH(D381,Properties!$A$5:$A$24,0))+(INT((WEEKDAY(B381-6)+H381-1)/7)+INT((WEEKDAY(B381-7)+H381-1)/7))*INDEX(Properties!$F$5:$F$24,MATCH(D381,Properties!$A$5:$A$24,0)))*(1-IF(H381&gt;=28,Settings!$B$10,IF(H381&gt;=7,Settings!$B$9,0))),2)),0))</f>
        <v/>
      </c>
      <c r="K381" s="41" t="str">
        <f aca="false">IF(J381="","",IFERROR(N(INDEX(Properties!$G$5:$G$24,MATCH(D381,Properties!$A$5:$A$24,0))),0))</f>
        <v/>
      </c>
      <c r="L381" s="41" t="str">
        <f aca="false">IF(J381="","",IFERROR(MAX(0,N(G381)-INDEX(Properties!$I$5:$I$24,MATCH(D381,Properties!$A$5:$A$24,0)))*N(INDEX(Properties!$J$5:$J$24,MATCH(D381,Properties!$A$5:$A$24,0)))*H381,0))</f>
        <v/>
      </c>
      <c r="M381" s="37"/>
      <c r="N381" s="41" t="str">
        <f aca="false">IF(J381="","",J381+K381+L381+N(M381))</f>
        <v/>
      </c>
      <c r="O381" s="41" t="str">
        <f aca="false">IF(N381="","",IF(P381&lt;&gt;"",N381-P381,ROUND(N381*IFERROR(INDEX(Settings!$E$5:$E$12,MATCH(F381,Settings!$D$5:$D$12,0)),0),2)))</f>
        <v/>
      </c>
      <c r="P381" s="37"/>
      <c r="Q381" s="41" t="str">
        <f aca="false">IF(N381="","",IF(P381&lt;&gt;"",P381,N381-O381))</f>
        <v/>
      </c>
      <c r="R381" s="41" t="str">
        <f aca="false">IF(J381="","",IFERROR(N(INDEX(Properties!$H$5:$H$24,MATCH(D381,Properties!$A$5:$A$24,0))),0))</f>
        <v/>
      </c>
      <c r="S381" s="41" t="str">
        <f aca="false">IF(Q381="","",Q381-R381)</f>
        <v/>
      </c>
      <c r="T381" s="6"/>
      <c r="U381" s="6"/>
      <c r="V381" s="6"/>
      <c r="W381" s="6"/>
      <c r="X381" s="6"/>
      <c r="Y381" s="8" t="str">
        <f aca="false">IF(OR(D381="",B381="",C381=""),"",IF(N(C381)&lt;=N(B381),"Check dates",IF(T381="Cancelled","",IF(COUNTIFS($D$5:$D$1004,D381,$B$5:$B$1004,"&lt;"&amp;C381,$C$5:$C$1004,"&gt;"&amp;B381,$T$5:$T$1004,"&lt;&gt;Cancelled")&gt;1,"Double-booked",""))))</f>
        <v/>
      </c>
      <c r="Z381" s="42" t="str">
        <f aca="false">IF(AND(AA381=1,ISNUMBER(C381)),C381+ROW()/100000,"")</f>
        <v/>
      </c>
      <c r="AA381" s="43" t="n">
        <f aca="false">IF(AND(D381&lt;&gt;"",ISNUMBER(B381),ISNUMBER(C381),N(H381)&gt;0,T381&lt;&gt;"Cancelled",J381&lt;&gt;""),1,0)</f>
        <v>0</v>
      </c>
      <c r="AB381" s="44" t="n">
        <f aca="false">IF(AA381=1,J381/H381,0)</f>
        <v>0</v>
      </c>
      <c r="AC381" s="44" t="n">
        <f aca="false">IF(AA381=1,Q381/H381,0)</f>
        <v>0</v>
      </c>
      <c r="AD381" s="44" t="n">
        <f aca="false">IF(AA381=1,R381/H381,0)</f>
        <v>0</v>
      </c>
      <c r="AE381" s="44" t="n">
        <f aca="false">IF(AA381=1,O381/H381,0)</f>
        <v>0</v>
      </c>
      <c r="AF381" s="44" t="n">
        <f aca="false">IF(AA381=1,K381/H381,0)</f>
        <v>0</v>
      </c>
      <c r="AG381" s="45" t="str">
        <f aca="false">IF(AA381=1,D381&amp;"|"&amp;TEXT(B381,"0"),"")</f>
        <v/>
      </c>
      <c r="AH381" s="43" t="n">
        <f aca="false">IF(AA381=1,H381,0)</f>
        <v>0</v>
      </c>
    </row>
    <row r="382" customFormat="false" ht="15" hidden="false" customHeight="false" outlineLevel="0" collapsed="false">
      <c r="A382" s="23" t="str">
        <f aca="false">IF(B382="","","B-"&amp;TEXT(ROW()-4,"0000"))</f>
        <v/>
      </c>
      <c r="B382" s="38"/>
      <c r="C382" s="38"/>
      <c r="D382" s="6"/>
      <c r="E382" s="6"/>
      <c r="F382" s="6"/>
      <c r="G382" s="11"/>
      <c r="H382" s="24" t="str">
        <f aca="false">IF(AND(ISNUMBER(B382),ISNUMBER(C382)),MAX(0,C382-B382),"")</f>
        <v/>
      </c>
      <c r="I382" s="37"/>
      <c r="J382" s="46" t="str">
        <f aca="false">IF(OR(D382="",N(H382)=0),"",IFERROR(IF(I382&lt;&gt;"",H382*I382,ROUND(((H382-(INT((WEEKDAY(B382-6)+H382-1)/7)+INT((WEEKDAY(B382-7)+H382-1)/7)))*INDEX(Properties!$E$5:$E$24,MATCH(D382,Properties!$A$5:$A$24,0))+(INT((WEEKDAY(B382-6)+H382-1)/7)+INT((WEEKDAY(B382-7)+H382-1)/7))*INDEX(Properties!$F$5:$F$24,MATCH(D382,Properties!$A$5:$A$24,0)))*(1-IF(H382&gt;=28,Settings!$B$10,IF(H382&gt;=7,Settings!$B$9,0))),2)),0))</f>
        <v/>
      </c>
      <c r="K382" s="46" t="str">
        <f aca="false">IF(J382="","",IFERROR(N(INDEX(Properties!$G$5:$G$24,MATCH(D382,Properties!$A$5:$A$24,0))),0))</f>
        <v/>
      </c>
      <c r="L382" s="46" t="str">
        <f aca="false">IF(J382="","",IFERROR(MAX(0,N(G382)-INDEX(Properties!$I$5:$I$24,MATCH(D382,Properties!$A$5:$A$24,0)))*N(INDEX(Properties!$J$5:$J$24,MATCH(D382,Properties!$A$5:$A$24,0)))*H382,0))</f>
        <v/>
      </c>
      <c r="M382" s="37"/>
      <c r="N382" s="46" t="str">
        <f aca="false">IF(J382="","",J382+K382+L382+N(M382))</f>
        <v/>
      </c>
      <c r="O382" s="46" t="str">
        <f aca="false">IF(N382="","",IF(P382&lt;&gt;"",N382-P382,ROUND(N382*IFERROR(INDEX(Settings!$E$5:$E$12,MATCH(F382,Settings!$D$5:$D$12,0)),0),2)))</f>
        <v/>
      </c>
      <c r="P382" s="37"/>
      <c r="Q382" s="46" t="str">
        <f aca="false">IF(N382="","",IF(P382&lt;&gt;"",P382,N382-O382))</f>
        <v/>
      </c>
      <c r="R382" s="46" t="str">
        <f aca="false">IF(J382="","",IFERROR(N(INDEX(Properties!$H$5:$H$24,MATCH(D382,Properties!$A$5:$A$24,0))),0))</f>
        <v/>
      </c>
      <c r="S382" s="46" t="str">
        <f aca="false">IF(Q382="","",Q382-R382)</f>
        <v/>
      </c>
      <c r="T382" s="6"/>
      <c r="U382" s="6"/>
      <c r="V382" s="6"/>
      <c r="W382" s="6"/>
      <c r="X382" s="6"/>
      <c r="Y382" s="8" t="str">
        <f aca="false">IF(OR(D382="",B382="",C382=""),"",IF(N(C382)&lt;=N(B382),"Check dates",IF(T382="Cancelled","",IF(COUNTIFS($D$5:$D$1004,D382,$B$5:$B$1004,"&lt;"&amp;C382,$C$5:$C$1004,"&gt;"&amp;B382,$T$5:$T$1004,"&lt;&gt;Cancelled")&gt;1,"Double-booked",""))))</f>
        <v/>
      </c>
      <c r="Z382" s="42" t="str">
        <f aca="false">IF(AND(AA382=1,ISNUMBER(C382)),C382+ROW()/100000,"")</f>
        <v/>
      </c>
      <c r="AA382" s="43" t="n">
        <f aca="false">IF(AND(D382&lt;&gt;"",ISNUMBER(B382),ISNUMBER(C382),N(H382)&gt;0,T382&lt;&gt;"Cancelled",J382&lt;&gt;""),1,0)</f>
        <v>0</v>
      </c>
      <c r="AB382" s="44" t="n">
        <f aca="false">IF(AA382=1,J382/H382,0)</f>
        <v>0</v>
      </c>
      <c r="AC382" s="44" t="n">
        <f aca="false">IF(AA382=1,Q382/H382,0)</f>
        <v>0</v>
      </c>
      <c r="AD382" s="44" t="n">
        <f aca="false">IF(AA382=1,R382/H382,0)</f>
        <v>0</v>
      </c>
      <c r="AE382" s="44" t="n">
        <f aca="false">IF(AA382=1,O382/H382,0)</f>
        <v>0</v>
      </c>
      <c r="AF382" s="44" t="n">
        <f aca="false">IF(AA382=1,K382/H382,0)</f>
        <v>0</v>
      </c>
      <c r="AG382" s="45" t="str">
        <f aca="false">IF(AA382=1,D382&amp;"|"&amp;TEXT(B382,"0"),"")</f>
        <v/>
      </c>
      <c r="AH382" s="43" t="n">
        <f aca="false">IF(AA382=1,H382,0)</f>
        <v>0</v>
      </c>
    </row>
    <row r="383" customFormat="false" ht="15" hidden="false" customHeight="false" outlineLevel="0" collapsed="false">
      <c r="A383" s="8" t="str">
        <f aca="false">IF(B383="","","B-"&amp;TEXT(ROW()-4,"0000"))</f>
        <v/>
      </c>
      <c r="B383" s="38"/>
      <c r="C383" s="38"/>
      <c r="D383" s="6"/>
      <c r="E383" s="6"/>
      <c r="F383" s="6"/>
      <c r="G383" s="11"/>
      <c r="H383" s="18" t="str">
        <f aca="false">IF(AND(ISNUMBER(B383),ISNUMBER(C383)),MAX(0,C383-B383),"")</f>
        <v/>
      </c>
      <c r="I383" s="37"/>
      <c r="J383" s="41" t="str">
        <f aca="false">IF(OR(D383="",N(H383)=0),"",IFERROR(IF(I383&lt;&gt;"",H383*I383,ROUND(((H383-(INT((WEEKDAY(B383-6)+H383-1)/7)+INT((WEEKDAY(B383-7)+H383-1)/7)))*INDEX(Properties!$E$5:$E$24,MATCH(D383,Properties!$A$5:$A$24,0))+(INT((WEEKDAY(B383-6)+H383-1)/7)+INT((WEEKDAY(B383-7)+H383-1)/7))*INDEX(Properties!$F$5:$F$24,MATCH(D383,Properties!$A$5:$A$24,0)))*(1-IF(H383&gt;=28,Settings!$B$10,IF(H383&gt;=7,Settings!$B$9,0))),2)),0))</f>
        <v/>
      </c>
      <c r="K383" s="41" t="str">
        <f aca="false">IF(J383="","",IFERROR(N(INDEX(Properties!$G$5:$G$24,MATCH(D383,Properties!$A$5:$A$24,0))),0))</f>
        <v/>
      </c>
      <c r="L383" s="41" t="str">
        <f aca="false">IF(J383="","",IFERROR(MAX(0,N(G383)-INDEX(Properties!$I$5:$I$24,MATCH(D383,Properties!$A$5:$A$24,0)))*N(INDEX(Properties!$J$5:$J$24,MATCH(D383,Properties!$A$5:$A$24,0)))*H383,0))</f>
        <v/>
      </c>
      <c r="M383" s="37"/>
      <c r="N383" s="41" t="str">
        <f aca="false">IF(J383="","",J383+K383+L383+N(M383))</f>
        <v/>
      </c>
      <c r="O383" s="41" t="str">
        <f aca="false">IF(N383="","",IF(P383&lt;&gt;"",N383-P383,ROUND(N383*IFERROR(INDEX(Settings!$E$5:$E$12,MATCH(F383,Settings!$D$5:$D$12,0)),0),2)))</f>
        <v/>
      </c>
      <c r="P383" s="37"/>
      <c r="Q383" s="41" t="str">
        <f aca="false">IF(N383="","",IF(P383&lt;&gt;"",P383,N383-O383))</f>
        <v/>
      </c>
      <c r="R383" s="41" t="str">
        <f aca="false">IF(J383="","",IFERROR(N(INDEX(Properties!$H$5:$H$24,MATCH(D383,Properties!$A$5:$A$24,0))),0))</f>
        <v/>
      </c>
      <c r="S383" s="41" t="str">
        <f aca="false">IF(Q383="","",Q383-R383)</f>
        <v/>
      </c>
      <c r="T383" s="6"/>
      <c r="U383" s="6"/>
      <c r="V383" s="6"/>
      <c r="W383" s="6"/>
      <c r="X383" s="6"/>
      <c r="Y383" s="8" t="str">
        <f aca="false">IF(OR(D383="",B383="",C383=""),"",IF(N(C383)&lt;=N(B383),"Check dates",IF(T383="Cancelled","",IF(COUNTIFS($D$5:$D$1004,D383,$B$5:$B$1004,"&lt;"&amp;C383,$C$5:$C$1004,"&gt;"&amp;B383,$T$5:$T$1004,"&lt;&gt;Cancelled")&gt;1,"Double-booked",""))))</f>
        <v/>
      </c>
      <c r="Z383" s="42" t="str">
        <f aca="false">IF(AND(AA383=1,ISNUMBER(C383)),C383+ROW()/100000,"")</f>
        <v/>
      </c>
      <c r="AA383" s="43" t="n">
        <f aca="false">IF(AND(D383&lt;&gt;"",ISNUMBER(B383),ISNUMBER(C383),N(H383)&gt;0,T383&lt;&gt;"Cancelled",J383&lt;&gt;""),1,0)</f>
        <v>0</v>
      </c>
      <c r="AB383" s="44" t="n">
        <f aca="false">IF(AA383=1,J383/H383,0)</f>
        <v>0</v>
      </c>
      <c r="AC383" s="44" t="n">
        <f aca="false">IF(AA383=1,Q383/H383,0)</f>
        <v>0</v>
      </c>
      <c r="AD383" s="44" t="n">
        <f aca="false">IF(AA383=1,R383/H383,0)</f>
        <v>0</v>
      </c>
      <c r="AE383" s="44" t="n">
        <f aca="false">IF(AA383=1,O383/H383,0)</f>
        <v>0</v>
      </c>
      <c r="AF383" s="44" t="n">
        <f aca="false">IF(AA383=1,K383/H383,0)</f>
        <v>0</v>
      </c>
      <c r="AG383" s="45" t="str">
        <f aca="false">IF(AA383=1,D383&amp;"|"&amp;TEXT(B383,"0"),"")</f>
        <v/>
      </c>
      <c r="AH383" s="43" t="n">
        <f aca="false">IF(AA383=1,H383,0)</f>
        <v>0</v>
      </c>
    </row>
    <row r="384" customFormat="false" ht="15" hidden="false" customHeight="false" outlineLevel="0" collapsed="false">
      <c r="A384" s="23" t="str">
        <f aca="false">IF(B384="","","B-"&amp;TEXT(ROW()-4,"0000"))</f>
        <v/>
      </c>
      <c r="B384" s="38"/>
      <c r="C384" s="38"/>
      <c r="D384" s="6"/>
      <c r="E384" s="6"/>
      <c r="F384" s="6"/>
      <c r="G384" s="11"/>
      <c r="H384" s="24" t="str">
        <f aca="false">IF(AND(ISNUMBER(B384),ISNUMBER(C384)),MAX(0,C384-B384),"")</f>
        <v/>
      </c>
      <c r="I384" s="37"/>
      <c r="J384" s="46" t="str">
        <f aca="false">IF(OR(D384="",N(H384)=0),"",IFERROR(IF(I384&lt;&gt;"",H384*I384,ROUND(((H384-(INT((WEEKDAY(B384-6)+H384-1)/7)+INT((WEEKDAY(B384-7)+H384-1)/7)))*INDEX(Properties!$E$5:$E$24,MATCH(D384,Properties!$A$5:$A$24,0))+(INT((WEEKDAY(B384-6)+H384-1)/7)+INT((WEEKDAY(B384-7)+H384-1)/7))*INDEX(Properties!$F$5:$F$24,MATCH(D384,Properties!$A$5:$A$24,0)))*(1-IF(H384&gt;=28,Settings!$B$10,IF(H384&gt;=7,Settings!$B$9,0))),2)),0))</f>
        <v/>
      </c>
      <c r="K384" s="46" t="str">
        <f aca="false">IF(J384="","",IFERROR(N(INDEX(Properties!$G$5:$G$24,MATCH(D384,Properties!$A$5:$A$24,0))),0))</f>
        <v/>
      </c>
      <c r="L384" s="46" t="str">
        <f aca="false">IF(J384="","",IFERROR(MAX(0,N(G384)-INDEX(Properties!$I$5:$I$24,MATCH(D384,Properties!$A$5:$A$24,0)))*N(INDEX(Properties!$J$5:$J$24,MATCH(D384,Properties!$A$5:$A$24,0)))*H384,0))</f>
        <v/>
      </c>
      <c r="M384" s="37"/>
      <c r="N384" s="46" t="str">
        <f aca="false">IF(J384="","",J384+K384+L384+N(M384))</f>
        <v/>
      </c>
      <c r="O384" s="46" t="str">
        <f aca="false">IF(N384="","",IF(P384&lt;&gt;"",N384-P384,ROUND(N384*IFERROR(INDEX(Settings!$E$5:$E$12,MATCH(F384,Settings!$D$5:$D$12,0)),0),2)))</f>
        <v/>
      </c>
      <c r="P384" s="37"/>
      <c r="Q384" s="46" t="str">
        <f aca="false">IF(N384="","",IF(P384&lt;&gt;"",P384,N384-O384))</f>
        <v/>
      </c>
      <c r="R384" s="46" t="str">
        <f aca="false">IF(J384="","",IFERROR(N(INDEX(Properties!$H$5:$H$24,MATCH(D384,Properties!$A$5:$A$24,0))),0))</f>
        <v/>
      </c>
      <c r="S384" s="46" t="str">
        <f aca="false">IF(Q384="","",Q384-R384)</f>
        <v/>
      </c>
      <c r="T384" s="6"/>
      <c r="U384" s="6"/>
      <c r="V384" s="6"/>
      <c r="W384" s="6"/>
      <c r="X384" s="6"/>
      <c r="Y384" s="8" t="str">
        <f aca="false">IF(OR(D384="",B384="",C384=""),"",IF(N(C384)&lt;=N(B384),"Check dates",IF(T384="Cancelled","",IF(COUNTIFS($D$5:$D$1004,D384,$B$5:$B$1004,"&lt;"&amp;C384,$C$5:$C$1004,"&gt;"&amp;B384,$T$5:$T$1004,"&lt;&gt;Cancelled")&gt;1,"Double-booked",""))))</f>
        <v/>
      </c>
      <c r="Z384" s="42" t="str">
        <f aca="false">IF(AND(AA384=1,ISNUMBER(C384)),C384+ROW()/100000,"")</f>
        <v/>
      </c>
      <c r="AA384" s="43" t="n">
        <f aca="false">IF(AND(D384&lt;&gt;"",ISNUMBER(B384),ISNUMBER(C384),N(H384)&gt;0,T384&lt;&gt;"Cancelled",J384&lt;&gt;""),1,0)</f>
        <v>0</v>
      </c>
      <c r="AB384" s="44" t="n">
        <f aca="false">IF(AA384=1,J384/H384,0)</f>
        <v>0</v>
      </c>
      <c r="AC384" s="44" t="n">
        <f aca="false">IF(AA384=1,Q384/H384,0)</f>
        <v>0</v>
      </c>
      <c r="AD384" s="44" t="n">
        <f aca="false">IF(AA384=1,R384/H384,0)</f>
        <v>0</v>
      </c>
      <c r="AE384" s="44" t="n">
        <f aca="false">IF(AA384=1,O384/H384,0)</f>
        <v>0</v>
      </c>
      <c r="AF384" s="44" t="n">
        <f aca="false">IF(AA384=1,K384/H384,0)</f>
        <v>0</v>
      </c>
      <c r="AG384" s="45" t="str">
        <f aca="false">IF(AA384=1,D384&amp;"|"&amp;TEXT(B384,"0"),"")</f>
        <v/>
      </c>
      <c r="AH384" s="43" t="n">
        <f aca="false">IF(AA384=1,H384,0)</f>
        <v>0</v>
      </c>
    </row>
    <row r="385" customFormat="false" ht="15" hidden="false" customHeight="false" outlineLevel="0" collapsed="false">
      <c r="A385" s="8" t="str">
        <f aca="false">IF(B385="","","B-"&amp;TEXT(ROW()-4,"0000"))</f>
        <v/>
      </c>
      <c r="B385" s="38"/>
      <c r="C385" s="38"/>
      <c r="D385" s="6"/>
      <c r="E385" s="6"/>
      <c r="F385" s="6"/>
      <c r="G385" s="11"/>
      <c r="H385" s="18" t="str">
        <f aca="false">IF(AND(ISNUMBER(B385),ISNUMBER(C385)),MAX(0,C385-B385),"")</f>
        <v/>
      </c>
      <c r="I385" s="37"/>
      <c r="J385" s="41" t="str">
        <f aca="false">IF(OR(D385="",N(H385)=0),"",IFERROR(IF(I385&lt;&gt;"",H385*I385,ROUND(((H385-(INT((WEEKDAY(B385-6)+H385-1)/7)+INT((WEEKDAY(B385-7)+H385-1)/7)))*INDEX(Properties!$E$5:$E$24,MATCH(D385,Properties!$A$5:$A$24,0))+(INT((WEEKDAY(B385-6)+H385-1)/7)+INT((WEEKDAY(B385-7)+H385-1)/7))*INDEX(Properties!$F$5:$F$24,MATCH(D385,Properties!$A$5:$A$24,0)))*(1-IF(H385&gt;=28,Settings!$B$10,IF(H385&gt;=7,Settings!$B$9,0))),2)),0))</f>
        <v/>
      </c>
      <c r="K385" s="41" t="str">
        <f aca="false">IF(J385="","",IFERROR(N(INDEX(Properties!$G$5:$G$24,MATCH(D385,Properties!$A$5:$A$24,0))),0))</f>
        <v/>
      </c>
      <c r="L385" s="41" t="str">
        <f aca="false">IF(J385="","",IFERROR(MAX(0,N(G385)-INDEX(Properties!$I$5:$I$24,MATCH(D385,Properties!$A$5:$A$24,0)))*N(INDEX(Properties!$J$5:$J$24,MATCH(D385,Properties!$A$5:$A$24,0)))*H385,0))</f>
        <v/>
      </c>
      <c r="M385" s="37"/>
      <c r="N385" s="41" t="str">
        <f aca="false">IF(J385="","",J385+K385+L385+N(M385))</f>
        <v/>
      </c>
      <c r="O385" s="41" t="str">
        <f aca="false">IF(N385="","",IF(P385&lt;&gt;"",N385-P385,ROUND(N385*IFERROR(INDEX(Settings!$E$5:$E$12,MATCH(F385,Settings!$D$5:$D$12,0)),0),2)))</f>
        <v/>
      </c>
      <c r="P385" s="37"/>
      <c r="Q385" s="41" t="str">
        <f aca="false">IF(N385="","",IF(P385&lt;&gt;"",P385,N385-O385))</f>
        <v/>
      </c>
      <c r="R385" s="41" t="str">
        <f aca="false">IF(J385="","",IFERROR(N(INDEX(Properties!$H$5:$H$24,MATCH(D385,Properties!$A$5:$A$24,0))),0))</f>
        <v/>
      </c>
      <c r="S385" s="41" t="str">
        <f aca="false">IF(Q385="","",Q385-R385)</f>
        <v/>
      </c>
      <c r="T385" s="6"/>
      <c r="U385" s="6"/>
      <c r="V385" s="6"/>
      <c r="W385" s="6"/>
      <c r="X385" s="6"/>
      <c r="Y385" s="8" t="str">
        <f aca="false">IF(OR(D385="",B385="",C385=""),"",IF(N(C385)&lt;=N(B385),"Check dates",IF(T385="Cancelled","",IF(COUNTIFS($D$5:$D$1004,D385,$B$5:$B$1004,"&lt;"&amp;C385,$C$5:$C$1004,"&gt;"&amp;B385,$T$5:$T$1004,"&lt;&gt;Cancelled")&gt;1,"Double-booked",""))))</f>
        <v/>
      </c>
      <c r="Z385" s="42" t="str">
        <f aca="false">IF(AND(AA385=1,ISNUMBER(C385)),C385+ROW()/100000,"")</f>
        <v/>
      </c>
      <c r="AA385" s="43" t="n">
        <f aca="false">IF(AND(D385&lt;&gt;"",ISNUMBER(B385),ISNUMBER(C385),N(H385)&gt;0,T385&lt;&gt;"Cancelled",J385&lt;&gt;""),1,0)</f>
        <v>0</v>
      </c>
      <c r="AB385" s="44" t="n">
        <f aca="false">IF(AA385=1,J385/H385,0)</f>
        <v>0</v>
      </c>
      <c r="AC385" s="44" t="n">
        <f aca="false">IF(AA385=1,Q385/H385,0)</f>
        <v>0</v>
      </c>
      <c r="AD385" s="44" t="n">
        <f aca="false">IF(AA385=1,R385/H385,0)</f>
        <v>0</v>
      </c>
      <c r="AE385" s="44" t="n">
        <f aca="false">IF(AA385=1,O385/H385,0)</f>
        <v>0</v>
      </c>
      <c r="AF385" s="44" t="n">
        <f aca="false">IF(AA385=1,K385/H385,0)</f>
        <v>0</v>
      </c>
      <c r="AG385" s="45" t="str">
        <f aca="false">IF(AA385=1,D385&amp;"|"&amp;TEXT(B385,"0"),"")</f>
        <v/>
      </c>
      <c r="AH385" s="43" t="n">
        <f aca="false">IF(AA385=1,H385,0)</f>
        <v>0</v>
      </c>
    </row>
    <row r="386" customFormat="false" ht="15" hidden="false" customHeight="false" outlineLevel="0" collapsed="false">
      <c r="A386" s="23" t="str">
        <f aca="false">IF(B386="","","B-"&amp;TEXT(ROW()-4,"0000"))</f>
        <v/>
      </c>
      <c r="B386" s="38"/>
      <c r="C386" s="38"/>
      <c r="D386" s="6"/>
      <c r="E386" s="6"/>
      <c r="F386" s="6"/>
      <c r="G386" s="11"/>
      <c r="H386" s="24" t="str">
        <f aca="false">IF(AND(ISNUMBER(B386),ISNUMBER(C386)),MAX(0,C386-B386),"")</f>
        <v/>
      </c>
      <c r="I386" s="37"/>
      <c r="J386" s="46" t="str">
        <f aca="false">IF(OR(D386="",N(H386)=0),"",IFERROR(IF(I386&lt;&gt;"",H386*I386,ROUND(((H386-(INT((WEEKDAY(B386-6)+H386-1)/7)+INT((WEEKDAY(B386-7)+H386-1)/7)))*INDEX(Properties!$E$5:$E$24,MATCH(D386,Properties!$A$5:$A$24,0))+(INT((WEEKDAY(B386-6)+H386-1)/7)+INT((WEEKDAY(B386-7)+H386-1)/7))*INDEX(Properties!$F$5:$F$24,MATCH(D386,Properties!$A$5:$A$24,0)))*(1-IF(H386&gt;=28,Settings!$B$10,IF(H386&gt;=7,Settings!$B$9,0))),2)),0))</f>
        <v/>
      </c>
      <c r="K386" s="46" t="str">
        <f aca="false">IF(J386="","",IFERROR(N(INDEX(Properties!$G$5:$G$24,MATCH(D386,Properties!$A$5:$A$24,0))),0))</f>
        <v/>
      </c>
      <c r="L386" s="46" t="str">
        <f aca="false">IF(J386="","",IFERROR(MAX(0,N(G386)-INDEX(Properties!$I$5:$I$24,MATCH(D386,Properties!$A$5:$A$24,0)))*N(INDEX(Properties!$J$5:$J$24,MATCH(D386,Properties!$A$5:$A$24,0)))*H386,0))</f>
        <v/>
      </c>
      <c r="M386" s="37"/>
      <c r="N386" s="46" t="str">
        <f aca="false">IF(J386="","",J386+K386+L386+N(M386))</f>
        <v/>
      </c>
      <c r="O386" s="46" t="str">
        <f aca="false">IF(N386="","",IF(P386&lt;&gt;"",N386-P386,ROUND(N386*IFERROR(INDEX(Settings!$E$5:$E$12,MATCH(F386,Settings!$D$5:$D$12,0)),0),2)))</f>
        <v/>
      </c>
      <c r="P386" s="37"/>
      <c r="Q386" s="46" t="str">
        <f aca="false">IF(N386="","",IF(P386&lt;&gt;"",P386,N386-O386))</f>
        <v/>
      </c>
      <c r="R386" s="46" t="str">
        <f aca="false">IF(J386="","",IFERROR(N(INDEX(Properties!$H$5:$H$24,MATCH(D386,Properties!$A$5:$A$24,0))),0))</f>
        <v/>
      </c>
      <c r="S386" s="46" t="str">
        <f aca="false">IF(Q386="","",Q386-R386)</f>
        <v/>
      </c>
      <c r="T386" s="6"/>
      <c r="U386" s="6"/>
      <c r="V386" s="6"/>
      <c r="W386" s="6"/>
      <c r="X386" s="6"/>
      <c r="Y386" s="8" t="str">
        <f aca="false">IF(OR(D386="",B386="",C386=""),"",IF(N(C386)&lt;=N(B386),"Check dates",IF(T386="Cancelled","",IF(COUNTIFS($D$5:$D$1004,D386,$B$5:$B$1004,"&lt;"&amp;C386,$C$5:$C$1004,"&gt;"&amp;B386,$T$5:$T$1004,"&lt;&gt;Cancelled")&gt;1,"Double-booked",""))))</f>
        <v/>
      </c>
      <c r="Z386" s="42" t="str">
        <f aca="false">IF(AND(AA386=1,ISNUMBER(C386)),C386+ROW()/100000,"")</f>
        <v/>
      </c>
      <c r="AA386" s="43" t="n">
        <f aca="false">IF(AND(D386&lt;&gt;"",ISNUMBER(B386),ISNUMBER(C386),N(H386)&gt;0,T386&lt;&gt;"Cancelled",J386&lt;&gt;""),1,0)</f>
        <v>0</v>
      </c>
      <c r="AB386" s="44" t="n">
        <f aca="false">IF(AA386=1,J386/H386,0)</f>
        <v>0</v>
      </c>
      <c r="AC386" s="44" t="n">
        <f aca="false">IF(AA386=1,Q386/H386,0)</f>
        <v>0</v>
      </c>
      <c r="AD386" s="44" t="n">
        <f aca="false">IF(AA386=1,R386/H386,0)</f>
        <v>0</v>
      </c>
      <c r="AE386" s="44" t="n">
        <f aca="false">IF(AA386=1,O386/H386,0)</f>
        <v>0</v>
      </c>
      <c r="AF386" s="44" t="n">
        <f aca="false">IF(AA386=1,K386/H386,0)</f>
        <v>0</v>
      </c>
      <c r="AG386" s="45" t="str">
        <f aca="false">IF(AA386=1,D386&amp;"|"&amp;TEXT(B386,"0"),"")</f>
        <v/>
      </c>
      <c r="AH386" s="43" t="n">
        <f aca="false">IF(AA386=1,H386,0)</f>
        <v>0</v>
      </c>
    </row>
    <row r="387" customFormat="false" ht="15" hidden="false" customHeight="false" outlineLevel="0" collapsed="false">
      <c r="A387" s="8" t="str">
        <f aca="false">IF(B387="","","B-"&amp;TEXT(ROW()-4,"0000"))</f>
        <v/>
      </c>
      <c r="B387" s="38"/>
      <c r="C387" s="38"/>
      <c r="D387" s="6"/>
      <c r="E387" s="6"/>
      <c r="F387" s="6"/>
      <c r="G387" s="11"/>
      <c r="H387" s="18" t="str">
        <f aca="false">IF(AND(ISNUMBER(B387),ISNUMBER(C387)),MAX(0,C387-B387),"")</f>
        <v/>
      </c>
      <c r="I387" s="37"/>
      <c r="J387" s="41" t="str">
        <f aca="false">IF(OR(D387="",N(H387)=0),"",IFERROR(IF(I387&lt;&gt;"",H387*I387,ROUND(((H387-(INT((WEEKDAY(B387-6)+H387-1)/7)+INT((WEEKDAY(B387-7)+H387-1)/7)))*INDEX(Properties!$E$5:$E$24,MATCH(D387,Properties!$A$5:$A$24,0))+(INT((WEEKDAY(B387-6)+H387-1)/7)+INT((WEEKDAY(B387-7)+H387-1)/7))*INDEX(Properties!$F$5:$F$24,MATCH(D387,Properties!$A$5:$A$24,0)))*(1-IF(H387&gt;=28,Settings!$B$10,IF(H387&gt;=7,Settings!$B$9,0))),2)),0))</f>
        <v/>
      </c>
      <c r="K387" s="41" t="str">
        <f aca="false">IF(J387="","",IFERROR(N(INDEX(Properties!$G$5:$G$24,MATCH(D387,Properties!$A$5:$A$24,0))),0))</f>
        <v/>
      </c>
      <c r="L387" s="41" t="str">
        <f aca="false">IF(J387="","",IFERROR(MAX(0,N(G387)-INDEX(Properties!$I$5:$I$24,MATCH(D387,Properties!$A$5:$A$24,0)))*N(INDEX(Properties!$J$5:$J$24,MATCH(D387,Properties!$A$5:$A$24,0)))*H387,0))</f>
        <v/>
      </c>
      <c r="M387" s="37"/>
      <c r="N387" s="41" t="str">
        <f aca="false">IF(J387="","",J387+K387+L387+N(M387))</f>
        <v/>
      </c>
      <c r="O387" s="41" t="str">
        <f aca="false">IF(N387="","",IF(P387&lt;&gt;"",N387-P387,ROUND(N387*IFERROR(INDEX(Settings!$E$5:$E$12,MATCH(F387,Settings!$D$5:$D$12,0)),0),2)))</f>
        <v/>
      </c>
      <c r="P387" s="37"/>
      <c r="Q387" s="41" t="str">
        <f aca="false">IF(N387="","",IF(P387&lt;&gt;"",P387,N387-O387))</f>
        <v/>
      </c>
      <c r="R387" s="41" t="str">
        <f aca="false">IF(J387="","",IFERROR(N(INDEX(Properties!$H$5:$H$24,MATCH(D387,Properties!$A$5:$A$24,0))),0))</f>
        <v/>
      </c>
      <c r="S387" s="41" t="str">
        <f aca="false">IF(Q387="","",Q387-R387)</f>
        <v/>
      </c>
      <c r="T387" s="6"/>
      <c r="U387" s="6"/>
      <c r="V387" s="6"/>
      <c r="W387" s="6"/>
      <c r="X387" s="6"/>
      <c r="Y387" s="8" t="str">
        <f aca="false">IF(OR(D387="",B387="",C387=""),"",IF(N(C387)&lt;=N(B387),"Check dates",IF(T387="Cancelled","",IF(COUNTIFS($D$5:$D$1004,D387,$B$5:$B$1004,"&lt;"&amp;C387,$C$5:$C$1004,"&gt;"&amp;B387,$T$5:$T$1004,"&lt;&gt;Cancelled")&gt;1,"Double-booked",""))))</f>
        <v/>
      </c>
      <c r="Z387" s="42" t="str">
        <f aca="false">IF(AND(AA387=1,ISNUMBER(C387)),C387+ROW()/100000,"")</f>
        <v/>
      </c>
      <c r="AA387" s="43" t="n">
        <f aca="false">IF(AND(D387&lt;&gt;"",ISNUMBER(B387),ISNUMBER(C387),N(H387)&gt;0,T387&lt;&gt;"Cancelled",J387&lt;&gt;""),1,0)</f>
        <v>0</v>
      </c>
      <c r="AB387" s="44" t="n">
        <f aca="false">IF(AA387=1,J387/H387,0)</f>
        <v>0</v>
      </c>
      <c r="AC387" s="44" t="n">
        <f aca="false">IF(AA387=1,Q387/H387,0)</f>
        <v>0</v>
      </c>
      <c r="AD387" s="44" t="n">
        <f aca="false">IF(AA387=1,R387/H387,0)</f>
        <v>0</v>
      </c>
      <c r="AE387" s="44" t="n">
        <f aca="false">IF(AA387=1,O387/H387,0)</f>
        <v>0</v>
      </c>
      <c r="AF387" s="44" t="n">
        <f aca="false">IF(AA387=1,K387/H387,0)</f>
        <v>0</v>
      </c>
      <c r="AG387" s="45" t="str">
        <f aca="false">IF(AA387=1,D387&amp;"|"&amp;TEXT(B387,"0"),"")</f>
        <v/>
      </c>
      <c r="AH387" s="43" t="n">
        <f aca="false">IF(AA387=1,H387,0)</f>
        <v>0</v>
      </c>
    </row>
    <row r="388" customFormat="false" ht="15" hidden="false" customHeight="false" outlineLevel="0" collapsed="false">
      <c r="A388" s="23" t="str">
        <f aca="false">IF(B388="","","B-"&amp;TEXT(ROW()-4,"0000"))</f>
        <v/>
      </c>
      <c r="B388" s="38"/>
      <c r="C388" s="38"/>
      <c r="D388" s="6"/>
      <c r="E388" s="6"/>
      <c r="F388" s="6"/>
      <c r="G388" s="11"/>
      <c r="H388" s="24" t="str">
        <f aca="false">IF(AND(ISNUMBER(B388),ISNUMBER(C388)),MAX(0,C388-B388),"")</f>
        <v/>
      </c>
      <c r="I388" s="37"/>
      <c r="J388" s="46" t="str">
        <f aca="false">IF(OR(D388="",N(H388)=0),"",IFERROR(IF(I388&lt;&gt;"",H388*I388,ROUND(((H388-(INT((WEEKDAY(B388-6)+H388-1)/7)+INT((WEEKDAY(B388-7)+H388-1)/7)))*INDEX(Properties!$E$5:$E$24,MATCH(D388,Properties!$A$5:$A$24,0))+(INT((WEEKDAY(B388-6)+H388-1)/7)+INT((WEEKDAY(B388-7)+H388-1)/7))*INDEX(Properties!$F$5:$F$24,MATCH(D388,Properties!$A$5:$A$24,0)))*(1-IF(H388&gt;=28,Settings!$B$10,IF(H388&gt;=7,Settings!$B$9,0))),2)),0))</f>
        <v/>
      </c>
      <c r="K388" s="46" t="str">
        <f aca="false">IF(J388="","",IFERROR(N(INDEX(Properties!$G$5:$G$24,MATCH(D388,Properties!$A$5:$A$24,0))),0))</f>
        <v/>
      </c>
      <c r="L388" s="46" t="str">
        <f aca="false">IF(J388="","",IFERROR(MAX(0,N(G388)-INDEX(Properties!$I$5:$I$24,MATCH(D388,Properties!$A$5:$A$24,0)))*N(INDEX(Properties!$J$5:$J$24,MATCH(D388,Properties!$A$5:$A$24,0)))*H388,0))</f>
        <v/>
      </c>
      <c r="M388" s="37"/>
      <c r="N388" s="46" t="str">
        <f aca="false">IF(J388="","",J388+K388+L388+N(M388))</f>
        <v/>
      </c>
      <c r="O388" s="46" t="str">
        <f aca="false">IF(N388="","",IF(P388&lt;&gt;"",N388-P388,ROUND(N388*IFERROR(INDEX(Settings!$E$5:$E$12,MATCH(F388,Settings!$D$5:$D$12,0)),0),2)))</f>
        <v/>
      </c>
      <c r="P388" s="37"/>
      <c r="Q388" s="46" t="str">
        <f aca="false">IF(N388="","",IF(P388&lt;&gt;"",P388,N388-O388))</f>
        <v/>
      </c>
      <c r="R388" s="46" t="str">
        <f aca="false">IF(J388="","",IFERROR(N(INDEX(Properties!$H$5:$H$24,MATCH(D388,Properties!$A$5:$A$24,0))),0))</f>
        <v/>
      </c>
      <c r="S388" s="46" t="str">
        <f aca="false">IF(Q388="","",Q388-R388)</f>
        <v/>
      </c>
      <c r="T388" s="6"/>
      <c r="U388" s="6"/>
      <c r="V388" s="6"/>
      <c r="W388" s="6"/>
      <c r="X388" s="6"/>
      <c r="Y388" s="8" t="str">
        <f aca="false">IF(OR(D388="",B388="",C388=""),"",IF(N(C388)&lt;=N(B388),"Check dates",IF(T388="Cancelled","",IF(COUNTIFS($D$5:$D$1004,D388,$B$5:$B$1004,"&lt;"&amp;C388,$C$5:$C$1004,"&gt;"&amp;B388,$T$5:$T$1004,"&lt;&gt;Cancelled")&gt;1,"Double-booked",""))))</f>
        <v/>
      </c>
      <c r="Z388" s="42" t="str">
        <f aca="false">IF(AND(AA388=1,ISNUMBER(C388)),C388+ROW()/100000,"")</f>
        <v/>
      </c>
      <c r="AA388" s="43" t="n">
        <f aca="false">IF(AND(D388&lt;&gt;"",ISNUMBER(B388),ISNUMBER(C388),N(H388)&gt;0,T388&lt;&gt;"Cancelled",J388&lt;&gt;""),1,0)</f>
        <v>0</v>
      </c>
      <c r="AB388" s="44" t="n">
        <f aca="false">IF(AA388=1,J388/H388,0)</f>
        <v>0</v>
      </c>
      <c r="AC388" s="44" t="n">
        <f aca="false">IF(AA388=1,Q388/H388,0)</f>
        <v>0</v>
      </c>
      <c r="AD388" s="44" t="n">
        <f aca="false">IF(AA388=1,R388/H388,0)</f>
        <v>0</v>
      </c>
      <c r="AE388" s="44" t="n">
        <f aca="false">IF(AA388=1,O388/H388,0)</f>
        <v>0</v>
      </c>
      <c r="AF388" s="44" t="n">
        <f aca="false">IF(AA388=1,K388/H388,0)</f>
        <v>0</v>
      </c>
      <c r="AG388" s="45" t="str">
        <f aca="false">IF(AA388=1,D388&amp;"|"&amp;TEXT(B388,"0"),"")</f>
        <v/>
      </c>
      <c r="AH388" s="43" t="n">
        <f aca="false">IF(AA388=1,H388,0)</f>
        <v>0</v>
      </c>
    </row>
    <row r="389" customFormat="false" ht="15" hidden="false" customHeight="false" outlineLevel="0" collapsed="false">
      <c r="A389" s="8" t="str">
        <f aca="false">IF(B389="","","B-"&amp;TEXT(ROW()-4,"0000"))</f>
        <v/>
      </c>
      <c r="B389" s="38"/>
      <c r="C389" s="38"/>
      <c r="D389" s="6"/>
      <c r="E389" s="6"/>
      <c r="F389" s="6"/>
      <c r="G389" s="11"/>
      <c r="H389" s="18" t="str">
        <f aca="false">IF(AND(ISNUMBER(B389),ISNUMBER(C389)),MAX(0,C389-B389),"")</f>
        <v/>
      </c>
      <c r="I389" s="37"/>
      <c r="J389" s="41" t="str">
        <f aca="false">IF(OR(D389="",N(H389)=0),"",IFERROR(IF(I389&lt;&gt;"",H389*I389,ROUND(((H389-(INT((WEEKDAY(B389-6)+H389-1)/7)+INT((WEEKDAY(B389-7)+H389-1)/7)))*INDEX(Properties!$E$5:$E$24,MATCH(D389,Properties!$A$5:$A$24,0))+(INT((WEEKDAY(B389-6)+H389-1)/7)+INT((WEEKDAY(B389-7)+H389-1)/7))*INDEX(Properties!$F$5:$F$24,MATCH(D389,Properties!$A$5:$A$24,0)))*(1-IF(H389&gt;=28,Settings!$B$10,IF(H389&gt;=7,Settings!$B$9,0))),2)),0))</f>
        <v/>
      </c>
      <c r="K389" s="41" t="str">
        <f aca="false">IF(J389="","",IFERROR(N(INDEX(Properties!$G$5:$G$24,MATCH(D389,Properties!$A$5:$A$24,0))),0))</f>
        <v/>
      </c>
      <c r="L389" s="41" t="str">
        <f aca="false">IF(J389="","",IFERROR(MAX(0,N(G389)-INDEX(Properties!$I$5:$I$24,MATCH(D389,Properties!$A$5:$A$24,0)))*N(INDEX(Properties!$J$5:$J$24,MATCH(D389,Properties!$A$5:$A$24,0)))*H389,0))</f>
        <v/>
      </c>
      <c r="M389" s="37"/>
      <c r="N389" s="41" t="str">
        <f aca="false">IF(J389="","",J389+K389+L389+N(M389))</f>
        <v/>
      </c>
      <c r="O389" s="41" t="str">
        <f aca="false">IF(N389="","",IF(P389&lt;&gt;"",N389-P389,ROUND(N389*IFERROR(INDEX(Settings!$E$5:$E$12,MATCH(F389,Settings!$D$5:$D$12,0)),0),2)))</f>
        <v/>
      </c>
      <c r="P389" s="37"/>
      <c r="Q389" s="41" t="str">
        <f aca="false">IF(N389="","",IF(P389&lt;&gt;"",P389,N389-O389))</f>
        <v/>
      </c>
      <c r="R389" s="41" t="str">
        <f aca="false">IF(J389="","",IFERROR(N(INDEX(Properties!$H$5:$H$24,MATCH(D389,Properties!$A$5:$A$24,0))),0))</f>
        <v/>
      </c>
      <c r="S389" s="41" t="str">
        <f aca="false">IF(Q389="","",Q389-R389)</f>
        <v/>
      </c>
      <c r="T389" s="6"/>
      <c r="U389" s="6"/>
      <c r="V389" s="6"/>
      <c r="W389" s="6"/>
      <c r="X389" s="6"/>
      <c r="Y389" s="8" t="str">
        <f aca="false">IF(OR(D389="",B389="",C389=""),"",IF(N(C389)&lt;=N(B389),"Check dates",IF(T389="Cancelled","",IF(COUNTIFS($D$5:$D$1004,D389,$B$5:$B$1004,"&lt;"&amp;C389,$C$5:$C$1004,"&gt;"&amp;B389,$T$5:$T$1004,"&lt;&gt;Cancelled")&gt;1,"Double-booked",""))))</f>
        <v/>
      </c>
      <c r="Z389" s="42" t="str">
        <f aca="false">IF(AND(AA389=1,ISNUMBER(C389)),C389+ROW()/100000,"")</f>
        <v/>
      </c>
      <c r="AA389" s="43" t="n">
        <f aca="false">IF(AND(D389&lt;&gt;"",ISNUMBER(B389),ISNUMBER(C389),N(H389)&gt;0,T389&lt;&gt;"Cancelled",J389&lt;&gt;""),1,0)</f>
        <v>0</v>
      </c>
      <c r="AB389" s="44" t="n">
        <f aca="false">IF(AA389=1,J389/H389,0)</f>
        <v>0</v>
      </c>
      <c r="AC389" s="44" t="n">
        <f aca="false">IF(AA389=1,Q389/H389,0)</f>
        <v>0</v>
      </c>
      <c r="AD389" s="44" t="n">
        <f aca="false">IF(AA389=1,R389/H389,0)</f>
        <v>0</v>
      </c>
      <c r="AE389" s="44" t="n">
        <f aca="false">IF(AA389=1,O389/H389,0)</f>
        <v>0</v>
      </c>
      <c r="AF389" s="44" t="n">
        <f aca="false">IF(AA389=1,K389/H389,0)</f>
        <v>0</v>
      </c>
      <c r="AG389" s="45" t="str">
        <f aca="false">IF(AA389=1,D389&amp;"|"&amp;TEXT(B389,"0"),"")</f>
        <v/>
      </c>
      <c r="AH389" s="43" t="n">
        <f aca="false">IF(AA389=1,H389,0)</f>
        <v>0</v>
      </c>
    </row>
    <row r="390" customFormat="false" ht="15" hidden="false" customHeight="false" outlineLevel="0" collapsed="false">
      <c r="A390" s="23" t="str">
        <f aca="false">IF(B390="","","B-"&amp;TEXT(ROW()-4,"0000"))</f>
        <v/>
      </c>
      <c r="B390" s="38"/>
      <c r="C390" s="38"/>
      <c r="D390" s="6"/>
      <c r="E390" s="6"/>
      <c r="F390" s="6"/>
      <c r="G390" s="11"/>
      <c r="H390" s="24" t="str">
        <f aca="false">IF(AND(ISNUMBER(B390),ISNUMBER(C390)),MAX(0,C390-B390),"")</f>
        <v/>
      </c>
      <c r="I390" s="37"/>
      <c r="J390" s="46" t="str">
        <f aca="false">IF(OR(D390="",N(H390)=0),"",IFERROR(IF(I390&lt;&gt;"",H390*I390,ROUND(((H390-(INT((WEEKDAY(B390-6)+H390-1)/7)+INT((WEEKDAY(B390-7)+H390-1)/7)))*INDEX(Properties!$E$5:$E$24,MATCH(D390,Properties!$A$5:$A$24,0))+(INT((WEEKDAY(B390-6)+H390-1)/7)+INT((WEEKDAY(B390-7)+H390-1)/7))*INDEX(Properties!$F$5:$F$24,MATCH(D390,Properties!$A$5:$A$24,0)))*(1-IF(H390&gt;=28,Settings!$B$10,IF(H390&gt;=7,Settings!$B$9,0))),2)),0))</f>
        <v/>
      </c>
      <c r="K390" s="46" t="str">
        <f aca="false">IF(J390="","",IFERROR(N(INDEX(Properties!$G$5:$G$24,MATCH(D390,Properties!$A$5:$A$24,0))),0))</f>
        <v/>
      </c>
      <c r="L390" s="46" t="str">
        <f aca="false">IF(J390="","",IFERROR(MAX(0,N(G390)-INDEX(Properties!$I$5:$I$24,MATCH(D390,Properties!$A$5:$A$24,0)))*N(INDEX(Properties!$J$5:$J$24,MATCH(D390,Properties!$A$5:$A$24,0)))*H390,0))</f>
        <v/>
      </c>
      <c r="M390" s="37"/>
      <c r="N390" s="46" t="str">
        <f aca="false">IF(J390="","",J390+K390+L390+N(M390))</f>
        <v/>
      </c>
      <c r="O390" s="46" t="str">
        <f aca="false">IF(N390="","",IF(P390&lt;&gt;"",N390-P390,ROUND(N390*IFERROR(INDEX(Settings!$E$5:$E$12,MATCH(F390,Settings!$D$5:$D$12,0)),0),2)))</f>
        <v/>
      </c>
      <c r="P390" s="37"/>
      <c r="Q390" s="46" t="str">
        <f aca="false">IF(N390="","",IF(P390&lt;&gt;"",P390,N390-O390))</f>
        <v/>
      </c>
      <c r="R390" s="46" t="str">
        <f aca="false">IF(J390="","",IFERROR(N(INDEX(Properties!$H$5:$H$24,MATCH(D390,Properties!$A$5:$A$24,0))),0))</f>
        <v/>
      </c>
      <c r="S390" s="46" t="str">
        <f aca="false">IF(Q390="","",Q390-R390)</f>
        <v/>
      </c>
      <c r="T390" s="6"/>
      <c r="U390" s="6"/>
      <c r="V390" s="6"/>
      <c r="W390" s="6"/>
      <c r="X390" s="6"/>
      <c r="Y390" s="8" t="str">
        <f aca="false">IF(OR(D390="",B390="",C390=""),"",IF(N(C390)&lt;=N(B390),"Check dates",IF(T390="Cancelled","",IF(COUNTIFS($D$5:$D$1004,D390,$B$5:$B$1004,"&lt;"&amp;C390,$C$5:$C$1004,"&gt;"&amp;B390,$T$5:$T$1004,"&lt;&gt;Cancelled")&gt;1,"Double-booked",""))))</f>
        <v/>
      </c>
      <c r="Z390" s="42" t="str">
        <f aca="false">IF(AND(AA390=1,ISNUMBER(C390)),C390+ROW()/100000,"")</f>
        <v/>
      </c>
      <c r="AA390" s="43" t="n">
        <f aca="false">IF(AND(D390&lt;&gt;"",ISNUMBER(B390),ISNUMBER(C390),N(H390)&gt;0,T390&lt;&gt;"Cancelled",J390&lt;&gt;""),1,0)</f>
        <v>0</v>
      </c>
      <c r="AB390" s="44" t="n">
        <f aca="false">IF(AA390=1,J390/H390,0)</f>
        <v>0</v>
      </c>
      <c r="AC390" s="44" t="n">
        <f aca="false">IF(AA390=1,Q390/H390,0)</f>
        <v>0</v>
      </c>
      <c r="AD390" s="44" t="n">
        <f aca="false">IF(AA390=1,R390/H390,0)</f>
        <v>0</v>
      </c>
      <c r="AE390" s="44" t="n">
        <f aca="false">IF(AA390=1,O390/H390,0)</f>
        <v>0</v>
      </c>
      <c r="AF390" s="44" t="n">
        <f aca="false">IF(AA390=1,K390/H390,0)</f>
        <v>0</v>
      </c>
      <c r="AG390" s="45" t="str">
        <f aca="false">IF(AA390=1,D390&amp;"|"&amp;TEXT(B390,"0"),"")</f>
        <v/>
      </c>
      <c r="AH390" s="43" t="n">
        <f aca="false">IF(AA390=1,H390,0)</f>
        <v>0</v>
      </c>
    </row>
    <row r="391" customFormat="false" ht="15" hidden="false" customHeight="false" outlineLevel="0" collapsed="false">
      <c r="A391" s="8" t="str">
        <f aca="false">IF(B391="","","B-"&amp;TEXT(ROW()-4,"0000"))</f>
        <v/>
      </c>
      <c r="B391" s="38"/>
      <c r="C391" s="38"/>
      <c r="D391" s="6"/>
      <c r="E391" s="6"/>
      <c r="F391" s="6"/>
      <c r="G391" s="11"/>
      <c r="H391" s="18" t="str">
        <f aca="false">IF(AND(ISNUMBER(B391),ISNUMBER(C391)),MAX(0,C391-B391),"")</f>
        <v/>
      </c>
      <c r="I391" s="37"/>
      <c r="J391" s="41" t="str">
        <f aca="false">IF(OR(D391="",N(H391)=0),"",IFERROR(IF(I391&lt;&gt;"",H391*I391,ROUND(((H391-(INT((WEEKDAY(B391-6)+H391-1)/7)+INT((WEEKDAY(B391-7)+H391-1)/7)))*INDEX(Properties!$E$5:$E$24,MATCH(D391,Properties!$A$5:$A$24,0))+(INT((WEEKDAY(B391-6)+H391-1)/7)+INT((WEEKDAY(B391-7)+H391-1)/7))*INDEX(Properties!$F$5:$F$24,MATCH(D391,Properties!$A$5:$A$24,0)))*(1-IF(H391&gt;=28,Settings!$B$10,IF(H391&gt;=7,Settings!$B$9,0))),2)),0))</f>
        <v/>
      </c>
      <c r="K391" s="41" t="str">
        <f aca="false">IF(J391="","",IFERROR(N(INDEX(Properties!$G$5:$G$24,MATCH(D391,Properties!$A$5:$A$24,0))),0))</f>
        <v/>
      </c>
      <c r="L391" s="41" t="str">
        <f aca="false">IF(J391="","",IFERROR(MAX(0,N(G391)-INDEX(Properties!$I$5:$I$24,MATCH(D391,Properties!$A$5:$A$24,0)))*N(INDEX(Properties!$J$5:$J$24,MATCH(D391,Properties!$A$5:$A$24,0)))*H391,0))</f>
        <v/>
      </c>
      <c r="M391" s="37"/>
      <c r="N391" s="41" t="str">
        <f aca="false">IF(J391="","",J391+K391+L391+N(M391))</f>
        <v/>
      </c>
      <c r="O391" s="41" t="str">
        <f aca="false">IF(N391="","",IF(P391&lt;&gt;"",N391-P391,ROUND(N391*IFERROR(INDEX(Settings!$E$5:$E$12,MATCH(F391,Settings!$D$5:$D$12,0)),0),2)))</f>
        <v/>
      </c>
      <c r="P391" s="37"/>
      <c r="Q391" s="41" t="str">
        <f aca="false">IF(N391="","",IF(P391&lt;&gt;"",P391,N391-O391))</f>
        <v/>
      </c>
      <c r="R391" s="41" t="str">
        <f aca="false">IF(J391="","",IFERROR(N(INDEX(Properties!$H$5:$H$24,MATCH(D391,Properties!$A$5:$A$24,0))),0))</f>
        <v/>
      </c>
      <c r="S391" s="41" t="str">
        <f aca="false">IF(Q391="","",Q391-R391)</f>
        <v/>
      </c>
      <c r="T391" s="6"/>
      <c r="U391" s="6"/>
      <c r="V391" s="6"/>
      <c r="W391" s="6"/>
      <c r="X391" s="6"/>
      <c r="Y391" s="8" t="str">
        <f aca="false">IF(OR(D391="",B391="",C391=""),"",IF(N(C391)&lt;=N(B391),"Check dates",IF(T391="Cancelled","",IF(COUNTIFS($D$5:$D$1004,D391,$B$5:$B$1004,"&lt;"&amp;C391,$C$5:$C$1004,"&gt;"&amp;B391,$T$5:$T$1004,"&lt;&gt;Cancelled")&gt;1,"Double-booked",""))))</f>
        <v/>
      </c>
      <c r="Z391" s="42" t="str">
        <f aca="false">IF(AND(AA391=1,ISNUMBER(C391)),C391+ROW()/100000,"")</f>
        <v/>
      </c>
      <c r="AA391" s="43" t="n">
        <f aca="false">IF(AND(D391&lt;&gt;"",ISNUMBER(B391),ISNUMBER(C391),N(H391)&gt;0,T391&lt;&gt;"Cancelled",J391&lt;&gt;""),1,0)</f>
        <v>0</v>
      </c>
      <c r="AB391" s="44" t="n">
        <f aca="false">IF(AA391=1,J391/H391,0)</f>
        <v>0</v>
      </c>
      <c r="AC391" s="44" t="n">
        <f aca="false">IF(AA391=1,Q391/H391,0)</f>
        <v>0</v>
      </c>
      <c r="AD391" s="44" t="n">
        <f aca="false">IF(AA391=1,R391/H391,0)</f>
        <v>0</v>
      </c>
      <c r="AE391" s="44" t="n">
        <f aca="false">IF(AA391=1,O391/H391,0)</f>
        <v>0</v>
      </c>
      <c r="AF391" s="44" t="n">
        <f aca="false">IF(AA391=1,K391/H391,0)</f>
        <v>0</v>
      </c>
      <c r="AG391" s="45" t="str">
        <f aca="false">IF(AA391=1,D391&amp;"|"&amp;TEXT(B391,"0"),"")</f>
        <v/>
      </c>
      <c r="AH391" s="43" t="n">
        <f aca="false">IF(AA391=1,H391,0)</f>
        <v>0</v>
      </c>
    </row>
    <row r="392" customFormat="false" ht="15" hidden="false" customHeight="false" outlineLevel="0" collapsed="false">
      <c r="A392" s="23" t="str">
        <f aca="false">IF(B392="","","B-"&amp;TEXT(ROW()-4,"0000"))</f>
        <v/>
      </c>
      <c r="B392" s="38"/>
      <c r="C392" s="38"/>
      <c r="D392" s="6"/>
      <c r="E392" s="6"/>
      <c r="F392" s="6"/>
      <c r="G392" s="11"/>
      <c r="H392" s="24" t="str">
        <f aca="false">IF(AND(ISNUMBER(B392),ISNUMBER(C392)),MAX(0,C392-B392),"")</f>
        <v/>
      </c>
      <c r="I392" s="37"/>
      <c r="J392" s="46" t="str">
        <f aca="false">IF(OR(D392="",N(H392)=0),"",IFERROR(IF(I392&lt;&gt;"",H392*I392,ROUND(((H392-(INT((WEEKDAY(B392-6)+H392-1)/7)+INT((WEEKDAY(B392-7)+H392-1)/7)))*INDEX(Properties!$E$5:$E$24,MATCH(D392,Properties!$A$5:$A$24,0))+(INT((WEEKDAY(B392-6)+H392-1)/7)+INT((WEEKDAY(B392-7)+H392-1)/7))*INDEX(Properties!$F$5:$F$24,MATCH(D392,Properties!$A$5:$A$24,0)))*(1-IF(H392&gt;=28,Settings!$B$10,IF(H392&gt;=7,Settings!$B$9,0))),2)),0))</f>
        <v/>
      </c>
      <c r="K392" s="46" t="str">
        <f aca="false">IF(J392="","",IFERROR(N(INDEX(Properties!$G$5:$G$24,MATCH(D392,Properties!$A$5:$A$24,0))),0))</f>
        <v/>
      </c>
      <c r="L392" s="46" t="str">
        <f aca="false">IF(J392="","",IFERROR(MAX(0,N(G392)-INDEX(Properties!$I$5:$I$24,MATCH(D392,Properties!$A$5:$A$24,0)))*N(INDEX(Properties!$J$5:$J$24,MATCH(D392,Properties!$A$5:$A$24,0)))*H392,0))</f>
        <v/>
      </c>
      <c r="M392" s="37"/>
      <c r="N392" s="46" t="str">
        <f aca="false">IF(J392="","",J392+K392+L392+N(M392))</f>
        <v/>
      </c>
      <c r="O392" s="46" t="str">
        <f aca="false">IF(N392="","",IF(P392&lt;&gt;"",N392-P392,ROUND(N392*IFERROR(INDEX(Settings!$E$5:$E$12,MATCH(F392,Settings!$D$5:$D$12,0)),0),2)))</f>
        <v/>
      </c>
      <c r="P392" s="37"/>
      <c r="Q392" s="46" t="str">
        <f aca="false">IF(N392="","",IF(P392&lt;&gt;"",P392,N392-O392))</f>
        <v/>
      </c>
      <c r="R392" s="46" t="str">
        <f aca="false">IF(J392="","",IFERROR(N(INDEX(Properties!$H$5:$H$24,MATCH(D392,Properties!$A$5:$A$24,0))),0))</f>
        <v/>
      </c>
      <c r="S392" s="46" t="str">
        <f aca="false">IF(Q392="","",Q392-R392)</f>
        <v/>
      </c>
      <c r="T392" s="6"/>
      <c r="U392" s="6"/>
      <c r="V392" s="6"/>
      <c r="W392" s="6"/>
      <c r="X392" s="6"/>
      <c r="Y392" s="8" t="str">
        <f aca="false">IF(OR(D392="",B392="",C392=""),"",IF(N(C392)&lt;=N(B392),"Check dates",IF(T392="Cancelled","",IF(COUNTIFS($D$5:$D$1004,D392,$B$5:$B$1004,"&lt;"&amp;C392,$C$5:$C$1004,"&gt;"&amp;B392,$T$5:$T$1004,"&lt;&gt;Cancelled")&gt;1,"Double-booked",""))))</f>
        <v/>
      </c>
      <c r="Z392" s="42" t="str">
        <f aca="false">IF(AND(AA392=1,ISNUMBER(C392)),C392+ROW()/100000,"")</f>
        <v/>
      </c>
      <c r="AA392" s="43" t="n">
        <f aca="false">IF(AND(D392&lt;&gt;"",ISNUMBER(B392),ISNUMBER(C392),N(H392)&gt;0,T392&lt;&gt;"Cancelled",J392&lt;&gt;""),1,0)</f>
        <v>0</v>
      </c>
      <c r="AB392" s="44" t="n">
        <f aca="false">IF(AA392=1,J392/H392,0)</f>
        <v>0</v>
      </c>
      <c r="AC392" s="44" t="n">
        <f aca="false">IF(AA392=1,Q392/H392,0)</f>
        <v>0</v>
      </c>
      <c r="AD392" s="44" t="n">
        <f aca="false">IF(AA392=1,R392/H392,0)</f>
        <v>0</v>
      </c>
      <c r="AE392" s="44" t="n">
        <f aca="false">IF(AA392=1,O392/H392,0)</f>
        <v>0</v>
      </c>
      <c r="AF392" s="44" t="n">
        <f aca="false">IF(AA392=1,K392/H392,0)</f>
        <v>0</v>
      </c>
      <c r="AG392" s="45" t="str">
        <f aca="false">IF(AA392=1,D392&amp;"|"&amp;TEXT(B392,"0"),"")</f>
        <v/>
      </c>
      <c r="AH392" s="43" t="n">
        <f aca="false">IF(AA392=1,H392,0)</f>
        <v>0</v>
      </c>
    </row>
    <row r="393" customFormat="false" ht="15" hidden="false" customHeight="false" outlineLevel="0" collapsed="false">
      <c r="A393" s="8" t="str">
        <f aca="false">IF(B393="","","B-"&amp;TEXT(ROW()-4,"0000"))</f>
        <v/>
      </c>
      <c r="B393" s="38"/>
      <c r="C393" s="38"/>
      <c r="D393" s="6"/>
      <c r="E393" s="6"/>
      <c r="F393" s="6"/>
      <c r="G393" s="11"/>
      <c r="H393" s="18" t="str">
        <f aca="false">IF(AND(ISNUMBER(B393),ISNUMBER(C393)),MAX(0,C393-B393),"")</f>
        <v/>
      </c>
      <c r="I393" s="37"/>
      <c r="J393" s="41" t="str">
        <f aca="false">IF(OR(D393="",N(H393)=0),"",IFERROR(IF(I393&lt;&gt;"",H393*I393,ROUND(((H393-(INT((WEEKDAY(B393-6)+H393-1)/7)+INT((WEEKDAY(B393-7)+H393-1)/7)))*INDEX(Properties!$E$5:$E$24,MATCH(D393,Properties!$A$5:$A$24,0))+(INT((WEEKDAY(B393-6)+H393-1)/7)+INT((WEEKDAY(B393-7)+H393-1)/7))*INDEX(Properties!$F$5:$F$24,MATCH(D393,Properties!$A$5:$A$24,0)))*(1-IF(H393&gt;=28,Settings!$B$10,IF(H393&gt;=7,Settings!$B$9,0))),2)),0))</f>
        <v/>
      </c>
      <c r="K393" s="41" t="str">
        <f aca="false">IF(J393="","",IFERROR(N(INDEX(Properties!$G$5:$G$24,MATCH(D393,Properties!$A$5:$A$24,0))),0))</f>
        <v/>
      </c>
      <c r="L393" s="41" t="str">
        <f aca="false">IF(J393="","",IFERROR(MAX(0,N(G393)-INDEX(Properties!$I$5:$I$24,MATCH(D393,Properties!$A$5:$A$24,0)))*N(INDEX(Properties!$J$5:$J$24,MATCH(D393,Properties!$A$5:$A$24,0)))*H393,0))</f>
        <v/>
      </c>
      <c r="M393" s="37"/>
      <c r="N393" s="41" t="str">
        <f aca="false">IF(J393="","",J393+K393+L393+N(M393))</f>
        <v/>
      </c>
      <c r="O393" s="41" t="str">
        <f aca="false">IF(N393="","",IF(P393&lt;&gt;"",N393-P393,ROUND(N393*IFERROR(INDEX(Settings!$E$5:$E$12,MATCH(F393,Settings!$D$5:$D$12,0)),0),2)))</f>
        <v/>
      </c>
      <c r="P393" s="37"/>
      <c r="Q393" s="41" t="str">
        <f aca="false">IF(N393="","",IF(P393&lt;&gt;"",P393,N393-O393))</f>
        <v/>
      </c>
      <c r="R393" s="41" t="str">
        <f aca="false">IF(J393="","",IFERROR(N(INDEX(Properties!$H$5:$H$24,MATCH(D393,Properties!$A$5:$A$24,0))),0))</f>
        <v/>
      </c>
      <c r="S393" s="41" t="str">
        <f aca="false">IF(Q393="","",Q393-R393)</f>
        <v/>
      </c>
      <c r="T393" s="6"/>
      <c r="U393" s="6"/>
      <c r="V393" s="6"/>
      <c r="W393" s="6"/>
      <c r="X393" s="6"/>
      <c r="Y393" s="8" t="str">
        <f aca="false">IF(OR(D393="",B393="",C393=""),"",IF(N(C393)&lt;=N(B393),"Check dates",IF(T393="Cancelled","",IF(COUNTIFS($D$5:$D$1004,D393,$B$5:$B$1004,"&lt;"&amp;C393,$C$5:$C$1004,"&gt;"&amp;B393,$T$5:$T$1004,"&lt;&gt;Cancelled")&gt;1,"Double-booked",""))))</f>
        <v/>
      </c>
      <c r="Z393" s="42" t="str">
        <f aca="false">IF(AND(AA393=1,ISNUMBER(C393)),C393+ROW()/100000,"")</f>
        <v/>
      </c>
      <c r="AA393" s="43" t="n">
        <f aca="false">IF(AND(D393&lt;&gt;"",ISNUMBER(B393),ISNUMBER(C393),N(H393)&gt;0,T393&lt;&gt;"Cancelled",J393&lt;&gt;""),1,0)</f>
        <v>0</v>
      </c>
      <c r="AB393" s="44" t="n">
        <f aca="false">IF(AA393=1,J393/H393,0)</f>
        <v>0</v>
      </c>
      <c r="AC393" s="44" t="n">
        <f aca="false">IF(AA393=1,Q393/H393,0)</f>
        <v>0</v>
      </c>
      <c r="AD393" s="44" t="n">
        <f aca="false">IF(AA393=1,R393/H393,0)</f>
        <v>0</v>
      </c>
      <c r="AE393" s="44" t="n">
        <f aca="false">IF(AA393=1,O393/H393,0)</f>
        <v>0</v>
      </c>
      <c r="AF393" s="44" t="n">
        <f aca="false">IF(AA393=1,K393/H393,0)</f>
        <v>0</v>
      </c>
      <c r="AG393" s="45" t="str">
        <f aca="false">IF(AA393=1,D393&amp;"|"&amp;TEXT(B393,"0"),"")</f>
        <v/>
      </c>
      <c r="AH393" s="43" t="n">
        <f aca="false">IF(AA393=1,H393,0)</f>
        <v>0</v>
      </c>
    </row>
    <row r="394" customFormat="false" ht="15" hidden="false" customHeight="false" outlineLevel="0" collapsed="false">
      <c r="A394" s="23" t="str">
        <f aca="false">IF(B394="","","B-"&amp;TEXT(ROW()-4,"0000"))</f>
        <v/>
      </c>
      <c r="B394" s="38"/>
      <c r="C394" s="38"/>
      <c r="D394" s="6"/>
      <c r="E394" s="6"/>
      <c r="F394" s="6"/>
      <c r="G394" s="11"/>
      <c r="H394" s="24" t="str">
        <f aca="false">IF(AND(ISNUMBER(B394),ISNUMBER(C394)),MAX(0,C394-B394),"")</f>
        <v/>
      </c>
      <c r="I394" s="37"/>
      <c r="J394" s="46" t="str">
        <f aca="false">IF(OR(D394="",N(H394)=0),"",IFERROR(IF(I394&lt;&gt;"",H394*I394,ROUND(((H394-(INT((WEEKDAY(B394-6)+H394-1)/7)+INT((WEEKDAY(B394-7)+H394-1)/7)))*INDEX(Properties!$E$5:$E$24,MATCH(D394,Properties!$A$5:$A$24,0))+(INT((WEEKDAY(B394-6)+H394-1)/7)+INT((WEEKDAY(B394-7)+H394-1)/7))*INDEX(Properties!$F$5:$F$24,MATCH(D394,Properties!$A$5:$A$24,0)))*(1-IF(H394&gt;=28,Settings!$B$10,IF(H394&gt;=7,Settings!$B$9,0))),2)),0))</f>
        <v/>
      </c>
      <c r="K394" s="46" t="str">
        <f aca="false">IF(J394="","",IFERROR(N(INDEX(Properties!$G$5:$G$24,MATCH(D394,Properties!$A$5:$A$24,0))),0))</f>
        <v/>
      </c>
      <c r="L394" s="46" t="str">
        <f aca="false">IF(J394="","",IFERROR(MAX(0,N(G394)-INDEX(Properties!$I$5:$I$24,MATCH(D394,Properties!$A$5:$A$24,0)))*N(INDEX(Properties!$J$5:$J$24,MATCH(D394,Properties!$A$5:$A$24,0)))*H394,0))</f>
        <v/>
      </c>
      <c r="M394" s="37"/>
      <c r="N394" s="46" t="str">
        <f aca="false">IF(J394="","",J394+K394+L394+N(M394))</f>
        <v/>
      </c>
      <c r="O394" s="46" t="str">
        <f aca="false">IF(N394="","",IF(P394&lt;&gt;"",N394-P394,ROUND(N394*IFERROR(INDEX(Settings!$E$5:$E$12,MATCH(F394,Settings!$D$5:$D$12,0)),0),2)))</f>
        <v/>
      </c>
      <c r="P394" s="37"/>
      <c r="Q394" s="46" t="str">
        <f aca="false">IF(N394="","",IF(P394&lt;&gt;"",P394,N394-O394))</f>
        <v/>
      </c>
      <c r="R394" s="46" t="str">
        <f aca="false">IF(J394="","",IFERROR(N(INDEX(Properties!$H$5:$H$24,MATCH(D394,Properties!$A$5:$A$24,0))),0))</f>
        <v/>
      </c>
      <c r="S394" s="46" t="str">
        <f aca="false">IF(Q394="","",Q394-R394)</f>
        <v/>
      </c>
      <c r="T394" s="6"/>
      <c r="U394" s="6"/>
      <c r="V394" s="6"/>
      <c r="W394" s="6"/>
      <c r="X394" s="6"/>
      <c r="Y394" s="8" t="str">
        <f aca="false">IF(OR(D394="",B394="",C394=""),"",IF(N(C394)&lt;=N(B394),"Check dates",IF(T394="Cancelled","",IF(COUNTIFS($D$5:$D$1004,D394,$B$5:$B$1004,"&lt;"&amp;C394,$C$5:$C$1004,"&gt;"&amp;B394,$T$5:$T$1004,"&lt;&gt;Cancelled")&gt;1,"Double-booked",""))))</f>
        <v/>
      </c>
      <c r="Z394" s="42" t="str">
        <f aca="false">IF(AND(AA394=1,ISNUMBER(C394)),C394+ROW()/100000,"")</f>
        <v/>
      </c>
      <c r="AA394" s="43" t="n">
        <f aca="false">IF(AND(D394&lt;&gt;"",ISNUMBER(B394),ISNUMBER(C394),N(H394)&gt;0,T394&lt;&gt;"Cancelled",J394&lt;&gt;""),1,0)</f>
        <v>0</v>
      </c>
      <c r="AB394" s="44" t="n">
        <f aca="false">IF(AA394=1,J394/H394,0)</f>
        <v>0</v>
      </c>
      <c r="AC394" s="44" t="n">
        <f aca="false">IF(AA394=1,Q394/H394,0)</f>
        <v>0</v>
      </c>
      <c r="AD394" s="44" t="n">
        <f aca="false">IF(AA394=1,R394/H394,0)</f>
        <v>0</v>
      </c>
      <c r="AE394" s="44" t="n">
        <f aca="false">IF(AA394=1,O394/H394,0)</f>
        <v>0</v>
      </c>
      <c r="AF394" s="44" t="n">
        <f aca="false">IF(AA394=1,K394/H394,0)</f>
        <v>0</v>
      </c>
      <c r="AG394" s="45" t="str">
        <f aca="false">IF(AA394=1,D394&amp;"|"&amp;TEXT(B394,"0"),"")</f>
        <v/>
      </c>
      <c r="AH394" s="43" t="n">
        <f aca="false">IF(AA394=1,H394,0)</f>
        <v>0</v>
      </c>
    </row>
    <row r="395" customFormat="false" ht="15" hidden="false" customHeight="false" outlineLevel="0" collapsed="false">
      <c r="A395" s="8" t="str">
        <f aca="false">IF(B395="","","B-"&amp;TEXT(ROW()-4,"0000"))</f>
        <v/>
      </c>
      <c r="B395" s="38"/>
      <c r="C395" s="38"/>
      <c r="D395" s="6"/>
      <c r="E395" s="6"/>
      <c r="F395" s="6"/>
      <c r="G395" s="11"/>
      <c r="H395" s="18" t="str">
        <f aca="false">IF(AND(ISNUMBER(B395),ISNUMBER(C395)),MAX(0,C395-B395),"")</f>
        <v/>
      </c>
      <c r="I395" s="37"/>
      <c r="J395" s="41" t="str">
        <f aca="false">IF(OR(D395="",N(H395)=0),"",IFERROR(IF(I395&lt;&gt;"",H395*I395,ROUND(((H395-(INT((WEEKDAY(B395-6)+H395-1)/7)+INT((WEEKDAY(B395-7)+H395-1)/7)))*INDEX(Properties!$E$5:$E$24,MATCH(D395,Properties!$A$5:$A$24,0))+(INT((WEEKDAY(B395-6)+H395-1)/7)+INT((WEEKDAY(B395-7)+H395-1)/7))*INDEX(Properties!$F$5:$F$24,MATCH(D395,Properties!$A$5:$A$24,0)))*(1-IF(H395&gt;=28,Settings!$B$10,IF(H395&gt;=7,Settings!$B$9,0))),2)),0))</f>
        <v/>
      </c>
      <c r="K395" s="41" t="str">
        <f aca="false">IF(J395="","",IFERROR(N(INDEX(Properties!$G$5:$G$24,MATCH(D395,Properties!$A$5:$A$24,0))),0))</f>
        <v/>
      </c>
      <c r="L395" s="41" t="str">
        <f aca="false">IF(J395="","",IFERROR(MAX(0,N(G395)-INDEX(Properties!$I$5:$I$24,MATCH(D395,Properties!$A$5:$A$24,0)))*N(INDEX(Properties!$J$5:$J$24,MATCH(D395,Properties!$A$5:$A$24,0)))*H395,0))</f>
        <v/>
      </c>
      <c r="M395" s="37"/>
      <c r="N395" s="41" t="str">
        <f aca="false">IF(J395="","",J395+K395+L395+N(M395))</f>
        <v/>
      </c>
      <c r="O395" s="41" t="str">
        <f aca="false">IF(N395="","",IF(P395&lt;&gt;"",N395-P395,ROUND(N395*IFERROR(INDEX(Settings!$E$5:$E$12,MATCH(F395,Settings!$D$5:$D$12,0)),0),2)))</f>
        <v/>
      </c>
      <c r="P395" s="37"/>
      <c r="Q395" s="41" t="str">
        <f aca="false">IF(N395="","",IF(P395&lt;&gt;"",P395,N395-O395))</f>
        <v/>
      </c>
      <c r="R395" s="41" t="str">
        <f aca="false">IF(J395="","",IFERROR(N(INDEX(Properties!$H$5:$H$24,MATCH(D395,Properties!$A$5:$A$24,0))),0))</f>
        <v/>
      </c>
      <c r="S395" s="41" t="str">
        <f aca="false">IF(Q395="","",Q395-R395)</f>
        <v/>
      </c>
      <c r="T395" s="6"/>
      <c r="U395" s="6"/>
      <c r="V395" s="6"/>
      <c r="W395" s="6"/>
      <c r="X395" s="6"/>
      <c r="Y395" s="8" t="str">
        <f aca="false">IF(OR(D395="",B395="",C395=""),"",IF(N(C395)&lt;=N(B395),"Check dates",IF(T395="Cancelled","",IF(COUNTIFS($D$5:$D$1004,D395,$B$5:$B$1004,"&lt;"&amp;C395,$C$5:$C$1004,"&gt;"&amp;B395,$T$5:$T$1004,"&lt;&gt;Cancelled")&gt;1,"Double-booked",""))))</f>
        <v/>
      </c>
      <c r="Z395" s="42" t="str">
        <f aca="false">IF(AND(AA395=1,ISNUMBER(C395)),C395+ROW()/100000,"")</f>
        <v/>
      </c>
      <c r="AA395" s="43" t="n">
        <f aca="false">IF(AND(D395&lt;&gt;"",ISNUMBER(B395),ISNUMBER(C395),N(H395)&gt;0,T395&lt;&gt;"Cancelled",J395&lt;&gt;""),1,0)</f>
        <v>0</v>
      </c>
      <c r="AB395" s="44" t="n">
        <f aca="false">IF(AA395=1,J395/H395,0)</f>
        <v>0</v>
      </c>
      <c r="AC395" s="44" t="n">
        <f aca="false">IF(AA395=1,Q395/H395,0)</f>
        <v>0</v>
      </c>
      <c r="AD395" s="44" t="n">
        <f aca="false">IF(AA395=1,R395/H395,0)</f>
        <v>0</v>
      </c>
      <c r="AE395" s="44" t="n">
        <f aca="false">IF(AA395=1,O395/H395,0)</f>
        <v>0</v>
      </c>
      <c r="AF395" s="44" t="n">
        <f aca="false">IF(AA395=1,K395/H395,0)</f>
        <v>0</v>
      </c>
      <c r="AG395" s="45" t="str">
        <f aca="false">IF(AA395=1,D395&amp;"|"&amp;TEXT(B395,"0"),"")</f>
        <v/>
      </c>
      <c r="AH395" s="43" t="n">
        <f aca="false">IF(AA395=1,H395,0)</f>
        <v>0</v>
      </c>
    </row>
    <row r="396" customFormat="false" ht="15" hidden="false" customHeight="false" outlineLevel="0" collapsed="false">
      <c r="A396" s="23" t="str">
        <f aca="false">IF(B396="","","B-"&amp;TEXT(ROW()-4,"0000"))</f>
        <v/>
      </c>
      <c r="B396" s="38"/>
      <c r="C396" s="38"/>
      <c r="D396" s="6"/>
      <c r="E396" s="6"/>
      <c r="F396" s="6"/>
      <c r="G396" s="11"/>
      <c r="H396" s="24" t="str">
        <f aca="false">IF(AND(ISNUMBER(B396),ISNUMBER(C396)),MAX(0,C396-B396),"")</f>
        <v/>
      </c>
      <c r="I396" s="37"/>
      <c r="J396" s="46" t="str">
        <f aca="false">IF(OR(D396="",N(H396)=0),"",IFERROR(IF(I396&lt;&gt;"",H396*I396,ROUND(((H396-(INT((WEEKDAY(B396-6)+H396-1)/7)+INT((WEEKDAY(B396-7)+H396-1)/7)))*INDEX(Properties!$E$5:$E$24,MATCH(D396,Properties!$A$5:$A$24,0))+(INT((WEEKDAY(B396-6)+H396-1)/7)+INT((WEEKDAY(B396-7)+H396-1)/7))*INDEX(Properties!$F$5:$F$24,MATCH(D396,Properties!$A$5:$A$24,0)))*(1-IF(H396&gt;=28,Settings!$B$10,IF(H396&gt;=7,Settings!$B$9,0))),2)),0))</f>
        <v/>
      </c>
      <c r="K396" s="46" t="str">
        <f aca="false">IF(J396="","",IFERROR(N(INDEX(Properties!$G$5:$G$24,MATCH(D396,Properties!$A$5:$A$24,0))),0))</f>
        <v/>
      </c>
      <c r="L396" s="46" t="str">
        <f aca="false">IF(J396="","",IFERROR(MAX(0,N(G396)-INDEX(Properties!$I$5:$I$24,MATCH(D396,Properties!$A$5:$A$24,0)))*N(INDEX(Properties!$J$5:$J$24,MATCH(D396,Properties!$A$5:$A$24,0)))*H396,0))</f>
        <v/>
      </c>
      <c r="M396" s="37"/>
      <c r="N396" s="46" t="str">
        <f aca="false">IF(J396="","",J396+K396+L396+N(M396))</f>
        <v/>
      </c>
      <c r="O396" s="46" t="str">
        <f aca="false">IF(N396="","",IF(P396&lt;&gt;"",N396-P396,ROUND(N396*IFERROR(INDEX(Settings!$E$5:$E$12,MATCH(F396,Settings!$D$5:$D$12,0)),0),2)))</f>
        <v/>
      </c>
      <c r="P396" s="37"/>
      <c r="Q396" s="46" t="str">
        <f aca="false">IF(N396="","",IF(P396&lt;&gt;"",P396,N396-O396))</f>
        <v/>
      </c>
      <c r="R396" s="46" t="str">
        <f aca="false">IF(J396="","",IFERROR(N(INDEX(Properties!$H$5:$H$24,MATCH(D396,Properties!$A$5:$A$24,0))),0))</f>
        <v/>
      </c>
      <c r="S396" s="46" t="str">
        <f aca="false">IF(Q396="","",Q396-R396)</f>
        <v/>
      </c>
      <c r="T396" s="6"/>
      <c r="U396" s="6"/>
      <c r="V396" s="6"/>
      <c r="W396" s="6"/>
      <c r="X396" s="6"/>
      <c r="Y396" s="8" t="str">
        <f aca="false">IF(OR(D396="",B396="",C396=""),"",IF(N(C396)&lt;=N(B396),"Check dates",IF(T396="Cancelled","",IF(COUNTIFS($D$5:$D$1004,D396,$B$5:$B$1004,"&lt;"&amp;C396,$C$5:$C$1004,"&gt;"&amp;B396,$T$5:$T$1004,"&lt;&gt;Cancelled")&gt;1,"Double-booked",""))))</f>
        <v/>
      </c>
      <c r="Z396" s="42" t="str">
        <f aca="false">IF(AND(AA396=1,ISNUMBER(C396)),C396+ROW()/100000,"")</f>
        <v/>
      </c>
      <c r="AA396" s="43" t="n">
        <f aca="false">IF(AND(D396&lt;&gt;"",ISNUMBER(B396),ISNUMBER(C396),N(H396)&gt;0,T396&lt;&gt;"Cancelled",J396&lt;&gt;""),1,0)</f>
        <v>0</v>
      </c>
      <c r="AB396" s="44" t="n">
        <f aca="false">IF(AA396=1,J396/H396,0)</f>
        <v>0</v>
      </c>
      <c r="AC396" s="44" t="n">
        <f aca="false">IF(AA396=1,Q396/H396,0)</f>
        <v>0</v>
      </c>
      <c r="AD396" s="44" t="n">
        <f aca="false">IF(AA396=1,R396/H396,0)</f>
        <v>0</v>
      </c>
      <c r="AE396" s="44" t="n">
        <f aca="false">IF(AA396=1,O396/H396,0)</f>
        <v>0</v>
      </c>
      <c r="AF396" s="44" t="n">
        <f aca="false">IF(AA396=1,K396/H396,0)</f>
        <v>0</v>
      </c>
      <c r="AG396" s="45" t="str">
        <f aca="false">IF(AA396=1,D396&amp;"|"&amp;TEXT(B396,"0"),"")</f>
        <v/>
      </c>
      <c r="AH396" s="43" t="n">
        <f aca="false">IF(AA396=1,H396,0)</f>
        <v>0</v>
      </c>
    </row>
    <row r="397" customFormat="false" ht="15" hidden="false" customHeight="false" outlineLevel="0" collapsed="false">
      <c r="A397" s="8" t="str">
        <f aca="false">IF(B397="","","B-"&amp;TEXT(ROW()-4,"0000"))</f>
        <v/>
      </c>
      <c r="B397" s="38"/>
      <c r="C397" s="38"/>
      <c r="D397" s="6"/>
      <c r="E397" s="6"/>
      <c r="F397" s="6"/>
      <c r="G397" s="11"/>
      <c r="H397" s="18" t="str">
        <f aca="false">IF(AND(ISNUMBER(B397),ISNUMBER(C397)),MAX(0,C397-B397),"")</f>
        <v/>
      </c>
      <c r="I397" s="37"/>
      <c r="J397" s="41" t="str">
        <f aca="false">IF(OR(D397="",N(H397)=0),"",IFERROR(IF(I397&lt;&gt;"",H397*I397,ROUND(((H397-(INT((WEEKDAY(B397-6)+H397-1)/7)+INT((WEEKDAY(B397-7)+H397-1)/7)))*INDEX(Properties!$E$5:$E$24,MATCH(D397,Properties!$A$5:$A$24,0))+(INT((WEEKDAY(B397-6)+H397-1)/7)+INT((WEEKDAY(B397-7)+H397-1)/7))*INDEX(Properties!$F$5:$F$24,MATCH(D397,Properties!$A$5:$A$24,0)))*(1-IF(H397&gt;=28,Settings!$B$10,IF(H397&gt;=7,Settings!$B$9,0))),2)),0))</f>
        <v/>
      </c>
      <c r="K397" s="41" t="str">
        <f aca="false">IF(J397="","",IFERROR(N(INDEX(Properties!$G$5:$G$24,MATCH(D397,Properties!$A$5:$A$24,0))),0))</f>
        <v/>
      </c>
      <c r="L397" s="41" t="str">
        <f aca="false">IF(J397="","",IFERROR(MAX(0,N(G397)-INDEX(Properties!$I$5:$I$24,MATCH(D397,Properties!$A$5:$A$24,0)))*N(INDEX(Properties!$J$5:$J$24,MATCH(D397,Properties!$A$5:$A$24,0)))*H397,0))</f>
        <v/>
      </c>
      <c r="M397" s="37"/>
      <c r="N397" s="41" t="str">
        <f aca="false">IF(J397="","",J397+K397+L397+N(M397))</f>
        <v/>
      </c>
      <c r="O397" s="41" t="str">
        <f aca="false">IF(N397="","",IF(P397&lt;&gt;"",N397-P397,ROUND(N397*IFERROR(INDEX(Settings!$E$5:$E$12,MATCH(F397,Settings!$D$5:$D$12,0)),0),2)))</f>
        <v/>
      </c>
      <c r="P397" s="37"/>
      <c r="Q397" s="41" t="str">
        <f aca="false">IF(N397="","",IF(P397&lt;&gt;"",P397,N397-O397))</f>
        <v/>
      </c>
      <c r="R397" s="41" t="str">
        <f aca="false">IF(J397="","",IFERROR(N(INDEX(Properties!$H$5:$H$24,MATCH(D397,Properties!$A$5:$A$24,0))),0))</f>
        <v/>
      </c>
      <c r="S397" s="41" t="str">
        <f aca="false">IF(Q397="","",Q397-R397)</f>
        <v/>
      </c>
      <c r="T397" s="6"/>
      <c r="U397" s="6"/>
      <c r="V397" s="6"/>
      <c r="W397" s="6"/>
      <c r="X397" s="6"/>
      <c r="Y397" s="8" t="str">
        <f aca="false">IF(OR(D397="",B397="",C397=""),"",IF(N(C397)&lt;=N(B397),"Check dates",IF(T397="Cancelled","",IF(COUNTIFS($D$5:$D$1004,D397,$B$5:$B$1004,"&lt;"&amp;C397,$C$5:$C$1004,"&gt;"&amp;B397,$T$5:$T$1004,"&lt;&gt;Cancelled")&gt;1,"Double-booked",""))))</f>
        <v/>
      </c>
      <c r="Z397" s="42" t="str">
        <f aca="false">IF(AND(AA397=1,ISNUMBER(C397)),C397+ROW()/100000,"")</f>
        <v/>
      </c>
      <c r="AA397" s="43" t="n">
        <f aca="false">IF(AND(D397&lt;&gt;"",ISNUMBER(B397),ISNUMBER(C397),N(H397)&gt;0,T397&lt;&gt;"Cancelled",J397&lt;&gt;""),1,0)</f>
        <v>0</v>
      </c>
      <c r="AB397" s="44" t="n">
        <f aca="false">IF(AA397=1,J397/H397,0)</f>
        <v>0</v>
      </c>
      <c r="AC397" s="44" t="n">
        <f aca="false">IF(AA397=1,Q397/H397,0)</f>
        <v>0</v>
      </c>
      <c r="AD397" s="44" t="n">
        <f aca="false">IF(AA397=1,R397/H397,0)</f>
        <v>0</v>
      </c>
      <c r="AE397" s="44" t="n">
        <f aca="false">IF(AA397=1,O397/H397,0)</f>
        <v>0</v>
      </c>
      <c r="AF397" s="44" t="n">
        <f aca="false">IF(AA397=1,K397/H397,0)</f>
        <v>0</v>
      </c>
      <c r="AG397" s="45" t="str">
        <f aca="false">IF(AA397=1,D397&amp;"|"&amp;TEXT(B397,"0"),"")</f>
        <v/>
      </c>
      <c r="AH397" s="43" t="n">
        <f aca="false">IF(AA397=1,H397,0)</f>
        <v>0</v>
      </c>
    </row>
    <row r="398" customFormat="false" ht="15" hidden="false" customHeight="false" outlineLevel="0" collapsed="false">
      <c r="A398" s="23" t="str">
        <f aca="false">IF(B398="","","B-"&amp;TEXT(ROW()-4,"0000"))</f>
        <v/>
      </c>
      <c r="B398" s="38"/>
      <c r="C398" s="38"/>
      <c r="D398" s="6"/>
      <c r="E398" s="6"/>
      <c r="F398" s="6"/>
      <c r="G398" s="11"/>
      <c r="H398" s="24" t="str">
        <f aca="false">IF(AND(ISNUMBER(B398),ISNUMBER(C398)),MAX(0,C398-B398),"")</f>
        <v/>
      </c>
      <c r="I398" s="37"/>
      <c r="J398" s="46" t="str">
        <f aca="false">IF(OR(D398="",N(H398)=0),"",IFERROR(IF(I398&lt;&gt;"",H398*I398,ROUND(((H398-(INT((WEEKDAY(B398-6)+H398-1)/7)+INT((WEEKDAY(B398-7)+H398-1)/7)))*INDEX(Properties!$E$5:$E$24,MATCH(D398,Properties!$A$5:$A$24,0))+(INT((WEEKDAY(B398-6)+H398-1)/7)+INT((WEEKDAY(B398-7)+H398-1)/7))*INDEX(Properties!$F$5:$F$24,MATCH(D398,Properties!$A$5:$A$24,0)))*(1-IF(H398&gt;=28,Settings!$B$10,IF(H398&gt;=7,Settings!$B$9,0))),2)),0))</f>
        <v/>
      </c>
      <c r="K398" s="46" t="str">
        <f aca="false">IF(J398="","",IFERROR(N(INDEX(Properties!$G$5:$G$24,MATCH(D398,Properties!$A$5:$A$24,0))),0))</f>
        <v/>
      </c>
      <c r="L398" s="46" t="str">
        <f aca="false">IF(J398="","",IFERROR(MAX(0,N(G398)-INDEX(Properties!$I$5:$I$24,MATCH(D398,Properties!$A$5:$A$24,0)))*N(INDEX(Properties!$J$5:$J$24,MATCH(D398,Properties!$A$5:$A$24,0)))*H398,0))</f>
        <v/>
      </c>
      <c r="M398" s="37"/>
      <c r="N398" s="46" t="str">
        <f aca="false">IF(J398="","",J398+K398+L398+N(M398))</f>
        <v/>
      </c>
      <c r="O398" s="46" t="str">
        <f aca="false">IF(N398="","",IF(P398&lt;&gt;"",N398-P398,ROUND(N398*IFERROR(INDEX(Settings!$E$5:$E$12,MATCH(F398,Settings!$D$5:$D$12,0)),0),2)))</f>
        <v/>
      </c>
      <c r="P398" s="37"/>
      <c r="Q398" s="46" t="str">
        <f aca="false">IF(N398="","",IF(P398&lt;&gt;"",P398,N398-O398))</f>
        <v/>
      </c>
      <c r="R398" s="46" t="str">
        <f aca="false">IF(J398="","",IFERROR(N(INDEX(Properties!$H$5:$H$24,MATCH(D398,Properties!$A$5:$A$24,0))),0))</f>
        <v/>
      </c>
      <c r="S398" s="46" t="str">
        <f aca="false">IF(Q398="","",Q398-R398)</f>
        <v/>
      </c>
      <c r="T398" s="6"/>
      <c r="U398" s="6"/>
      <c r="V398" s="6"/>
      <c r="W398" s="6"/>
      <c r="X398" s="6"/>
      <c r="Y398" s="8" t="str">
        <f aca="false">IF(OR(D398="",B398="",C398=""),"",IF(N(C398)&lt;=N(B398),"Check dates",IF(T398="Cancelled","",IF(COUNTIFS($D$5:$D$1004,D398,$B$5:$B$1004,"&lt;"&amp;C398,$C$5:$C$1004,"&gt;"&amp;B398,$T$5:$T$1004,"&lt;&gt;Cancelled")&gt;1,"Double-booked",""))))</f>
        <v/>
      </c>
      <c r="Z398" s="42" t="str">
        <f aca="false">IF(AND(AA398=1,ISNUMBER(C398)),C398+ROW()/100000,"")</f>
        <v/>
      </c>
      <c r="AA398" s="43" t="n">
        <f aca="false">IF(AND(D398&lt;&gt;"",ISNUMBER(B398),ISNUMBER(C398),N(H398)&gt;0,T398&lt;&gt;"Cancelled",J398&lt;&gt;""),1,0)</f>
        <v>0</v>
      </c>
      <c r="AB398" s="44" t="n">
        <f aca="false">IF(AA398=1,J398/H398,0)</f>
        <v>0</v>
      </c>
      <c r="AC398" s="44" t="n">
        <f aca="false">IF(AA398=1,Q398/H398,0)</f>
        <v>0</v>
      </c>
      <c r="AD398" s="44" t="n">
        <f aca="false">IF(AA398=1,R398/H398,0)</f>
        <v>0</v>
      </c>
      <c r="AE398" s="44" t="n">
        <f aca="false">IF(AA398=1,O398/H398,0)</f>
        <v>0</v>
      </c>
      <c r="AF398" s="44" t="n">
        <f aca="false">IF(AA398=1,K398/H398,0)</f>
        <v>0</v>
      </c>
      <c r="AG398" s="45" t="str">
        <f aca="false">IF(AA398=1,D398&amp;"|"&amp;TEXT(B398,"0"),"")</f>
        <v/>
      </c>
      <c r="AH398" s="43" t="n">
        <f aca="false">IF(AA398=1,H398,0)</f>
        <v>0</v>
      </c>
    </row>
    <row r="399" customFormat="false" ht="15" hidden="false" customHeight="false" outlineLevel="0" collapsed="false">
      <c r="A399" s="8" t="str">
        <f aca="false">IF(B399="","","B-"&amp;TEXT(ROW()-4,"0000"))</f>
        <v/>
      </c>
      <c r="B399" s="38"/>
      <c r="C399" s="38"/>
      <c r="D399" s="6"/>
      <c r="E399" s="6"/>
      <c r="F399" s="6"/>
      <c r="G399" s="11"/>
      <c r="H399" s="18" t="str">
        <f aca="false">IF(AND(ISNUMBER(B399),ISNUMBER(C399)),MAX(0,C399-B399),"")</f>
        <v/>
      </c>
      <c r="I399" s="37"/>
      <c r="J399" s="41" t="str">
        <f aca="false">IF(OR(D399="",N(H399)=0),"",IFERROR(IF(I399&lt;&gt;"",H399*I399,ROUND(((H399-(INT((WEEKDAY(B399-6)+H399-1)/7)+INT((WEEKDAY(B399-7)+H399-1)/7)))*INDEX(Properties!$E$5:$E$24,MATCH(D399,Properties!$A$5:$A$24,0))+(INT((WEEKDAY(B399-6)+H399-1)/7)+INT((WEEKDAY(B399-7)+H399-1)/7))*INDEX(Properties!$F$5:$F$24,MATCH(D399,Properties!$A$5:$A$24,0)))*(1-IF(H399&gt;=28,Settings!$B$10,IF(H399&gt;=7,Settings!$B$9,0))),2)),0))</f>
        <v/>
      </c>
      <c r="K399" s="41" t="str">
        <f aca="false">IF(J399="","",IFERROR(N(INDEX(Properties!$G$5:$G$24,MATCH(D399,Properties!$A$5:$A$24,0))),0))</f>
        <v/>
      </c>
      <c r="L399" s="41" t="str">
        <f aca="false">IF(J399="","",IFERROR(MAX(0,N(G399)-INDEX(Properties!$I$5:$I$24,MATCH(D399,Properties!$A$5:$A$24,0)))*N(INDEX(Properties!$J$5:$J$24,MATCH(D399,Properties!$A$5:$A$24,0)))*H399,0))</f>
        <v/>
      </c>
      <c r="M399" s="37"/>
      <c r="N399" s="41" t="str">
        <f aca="false">IF(J399="","",J399+K399+L399+N(M399))</f>
        <v/>
      </c>
      <c r="O399" s="41" t="str">
        <f aca="false">IF(N399="","",IF(P399&lt;&gt;"",N399-P399,ROUND(N399*IFERROR(INDEX(Settings!$E$5:$E$12,MATCH(F399,Settings!$D$5:$D$12,0)),0),2)))</f>
        <v/>
      </c>
      <c r="P399" s="37"/>
      <c r="Q399" s="41" t="str">
        <f aca="false">IF(N399="","",IF(P399&lt;&gt;"",P399,N399-O399))</f>
        <v/>
      </c>
      <c r="R399" s="41" t="str">
        <f aca="false">IF(J399="","",IFERROR(N(INDEX(Properties!$H$5:$H$24,MATCH(D399,Properties!$A$5:$A$24,0))),0))</f>
        <v/>
      </c>
      <c r="S399" s="41" t="str">
        <f aca="false">IF(Q399="","",Q399-R399)</f>
        <v/>
      </c>
      <c r="T399" s="6"/>
      <c r="U399" s="6"/>
      <c r="V399" s="6"/>
      <c r="W399" s="6"/>
      <c r="X399" s="6"/>
      <c r="Y399" s="8" t="str">
        <f aca="false">IF(OR(D399="",B399="",C399=""),"",IF(N(C399)&lt;=N(B399),"Check dates",IF(T399="Cancelled","",IF(COUNTIFS($D$5:$D$1004,D399,$B$5:$B$1004,"&lt;"&amp;C399,$C$5:$C$1004,"&gt;"&amp;B399,$T$5:$T$1004,"&lt;&gt;Cancelled")&gt;1,"Double-booked",""))))</f>
        <v/>
      </c>
      <c r="Z399" s="42" t="str">
        <f aca="false">IF(AND(AA399=1,ISNUMBER(C399)),C399+ROW()/100000,"")</f>
        <v/>
      </c>
      <c r="AA399" s="43" t="n">
        <f aca="false">IF(AND(D399&lt;&gt;"",ISNUMBER(B399),ISNUMBER(C399),N(H399)&gt;0,T399&lt;&gt;"Cancelled",J399&lt;&gt;""),1,0)</f>
        <v>0</v>
      </c>
      <c r="AB399" s="44" t="n">
        <f aca="false">IF(AA399=1,J399/H399,0)</f>
        <v>0</v>
      </c>
      <c r="AC399" s="44" t="n">
        <f aca="false">IF(AA399=1,Q399/H399,0)</f>
        <v>0</v>
      </c>
      <c r="AD399" s="44" t="n">
        <f aca="false">IF(AA399=1,R399/H399,0)</f>
        <v>0</v>
      </c>
      <c r="AE399" s="44" t="n">
        <f aca="false">IF(AA399=1,O399/H399,0)</f>
        <v>0</v>
      </c>
      <c r="AF399" s="44" t="n">
        <f aca="false">IF(AA399=1,K399/H399,0)</f>
        <v>0</v>
      </c>
      <c r="AG399" s="45" t="str">
        <f aca="false">IF(AA399=1,D399&amp;"|"&amp;TEXT(B399,"0"),"")</f>
        <v/>
      </c>
      <c r="AH399" s="43" t="n">
        <f aca="false">IF(AA399=1,H399,0)</f>
        <v>0</v>
      </c>
    </row>
    <row r="400" customFormat="false" ht="15" hidden="false" customHeight="false" outlineLevel="0" collapsed="false">
      <c r="A400" s="23" t="str">
        <f aca="false">IF(B400="","","B-"&amp;TEXT(ROW()-4,"0000"))</f>
        <v/>
      </c>
      <c r="B400" s="38"/>
      <c r="C400" s="38"/>
      <c r="D400" s="6"/>
      <c r="E400" s="6"/>
      <c r="F400" s="6"/>
      <c r="G400" s="11"/>
      <c r="H400" s="24" t="str">
        <f aca="false">IF(AND(ISNUMBER(B400),ISNUMBER(C400)),MAX(0,C400-B400),"")</f>
        <v/>
      </c>
      <c r="I400" s="37"/>
      <c r="J400" s="46" t="str">
        <f aca="false">IF(OR(D400="",N(H400)=0),"",IFERROR(IF(I400&lt;&gt;"",H400*I400,ROUND(((H400-(INT((WEEKDAY(B400-6)+H400-1)/7)+INT((WEEKDAY(B400-7)+H400-1)/7)))*INDEX(Properties!$E$5:$E$24,MATCH(D400,Properties!$A$5:$A$24,0))+(INT((WEEKDAY(B400-6)+H400-1)/7)+INT((WEEKDAY(B400-7)+H400-1)/7))*INDEX(Properties!$F$5:$F$24,MATCH(D400,Properties!$A$5:$A$24,0)))*(1-IF(H400&gt;=28,Settings!$B$10,IF(H400&gt;=7,Settings!$B$9,0))),2)),0))</f>
        <v/>
      </c>
      <c r="K400" s="46" t="str">
        <f aca="false">IF(J400="","",IFERROR(N(INDEX(Properties!$G$5:$G$24,MATCH(D400,Properties!$A$5:$A$24,0))),0))</f>
        <v/>
      </c>
      <c r="L400" s="46" t="str">
        <f aca="false">IF(J400="","",IFERROR(MAX(0,N(G400)-INDEX(Properties!$I$5:$I$24,MATCH(D400,Properties!$A$5:$A$24,0)))*N(INDEX(Properties!$J$5:$J$24,MATCH(D400,Properties!$A$5:$A$24,0)))*H400,0))</f>
        <v/>
      </c>
      <c r="M400" s="37"/>
      <c r="N400" s="46" t="str">
        <f aca="false">IF(J400="","",J400+K400+L400+N(M400))</f>
        <v/>
      </c>
      <c r="O400" s="46" t="str">
        <f aca="false">IF(N400="","",IF(P400&lt;&gt;"",N400-P400,ROUND(N400*IFERROR(INDEX(Settings!$E$5:$E$12,MATCH(F400,Settings!$D$5:$D$12,0)),0),2)))</f>
        <v/>
      </c>
      <c r="P400" s="37"/>
      <c r="Q400" s="46" t="str">
        <f aca="false">IF(N400="","",IF(P400&lt;&gt;"",P400,N400-O400))</f>
        <v/>
      </c>
      <c r="R400" s="46" t="str">
        <f aca="false">IF(J400="","",IFERROR(N(INDEX(Properties!$H$5:$H$24,MATCH(D400,Properties!$A$5:$A$24,0))),0))</f>
        <v/>
      </c>
      <c r="S400" s="46" t="str">
        <f aca="false">IF(Q400="","",Q400-R400)</f>
        <v/>
      </c>
      <c r="T400" s="6"/>
      <c r="U400" s="6"/>
      <c r="V400" s="6"/>
      <c r="W400" s="6"/>
      <c r="X400" s="6"/>
      <c r="Y400" s="8" t="str">
        <f aca="false">IF(OR(D400="",B400="",C400=""),"",IF(N(C400)&lt;=N(B400),"Check dates",IF(T400="Cancelled","",IF(COUNTIFS($D$5:$D$1004,D400,$B$5:$B$1004,"&lt;"&amp;C400,$C$5:$C$1004,"&gt;"&amp;B400,$T$5:$T$1004,"&lt;&gt;Cancelled")&gt;1,"Double-booked",""))))</f>
        <v/>
      </c>
      <c r="Z400" s="42" t="str">
        <f aca="false">IF(AND(AA400=1,ISNUMBER(C400)),C400+ROW()/100000,"")</f>
        <v/>
      </c>
      <c r="AA400" s="43" t="n">
        <f aca="false">IF(AND(D400&lt;&gt;"",ISNUMBER(B400),ISNUMBER(C400),N(H400)&gt;0,T400&lt;&gt;"Cancelled",J400&lt;&gt;""),1,0)</f>
        <v>0</v>
      </c>
      <c r="AB400" s="44" t="n">
        <f aca="false">IF(AA400=1,J400/H400,0)</f>
        <v>0</v>
      </c>
      <c r="AC400" s="44" t="n">
        <f aca="false">IF(AA400=1,Q400/H400,0)</f>
        <v>0</v>
      </c>
      <c r="AD400" s="44" t="n">
        <f aca="false">IF(AA400=1,R400/H400,0)</f>
        <v>0</v>
      </c>
      <c r="AE400" s="44" t="n">
        <f aca="false">IF(AA400=1,O400/H400,0)</f>
        <v>0</v>
      </c>
      <c r="AF400" s="44" t="n">
        <f aca="false">IF(AA400=1,K400/H400,0)</f>
        <v>0</v>
      </c>
      <c r="AG400" s="45" t="str">
        <f aca="false">IF(AA400=1,D400&amp;"|"&amp;TEXT(B400,"0"),"")</f>
        <v/>
      </c>
      <c r="AH400" s="43" t="n">
        <f aca="false">IF(AA400=1,H400,0)</f>
        <v>0</v>
      </c>
    </row>
    <row r="401" customFormat="false" ht="15" hidden="false" customHeight="false" outlineLevel="0" collapsed="false">
      <c r="A401" s="8" t="str">
        <f aca="false">IF(B401="","","B-"&amp;TEXT(ROW()-4,"0000"))</f>
        <v/>
      </c>
      <c r="B401" s="38"/>
      <c r="C401" s="38"/>
      <c r="D401" s="6"/>
      <c r="E401" s="6"/>
      <c r="F401" s="6"/>
      <c r="G401" s="11"/>
      <c r="H401" s="18" t="str">
        <f aca="false">IF(AND(ISNUMBER(B401),ISNUMBER(C401)),MAX(0,C401-B401),"")</f>
        <v/>
      </c>
      <c r="I401" s="37"/>
      <c r="J401" s="41" t="str">
        <f aca="false">IF(OR(D401="",N(H401)=0),"",IFERROR(IF(I401&lt;&gt;"",H401*I401,ROUND(((H401-(INT((WEEKDAY(B401-6)+H401-1)/7)+INT((WEEKDAY(B401-7)+H401-1)/7)))*INDEX(Properties!$E$5:$E$24,MATCH(D401,Properties!$A$5:$A$24,0))+(INT((WEEKDAY(B401-6)+H401-1)/7)+INT((WEEKDAY(B401-7)+H401-1)/7))*INDEX(Properties!$F$5:$F$24,MATCH(D401,Properties!$A$5:$A$24,0)))*(1-IF(H401&gt;=28,Settings!$B$10,IF(H401&gt;=7,Settings!$B$9,0))),2)),0))</f>
        <v/>
      </c>
      <c r="K401" s="41" t="str">
        <f aca="false">IF(J401="","",IFERROR(N(INDEX(Properties!$G$5:$G$24,MATCH(D401,Properties!$A$5:$A$24,0))),0))</f>
        <v/>
      </c>
      <c r="L401" s="41" t="str">
        <f aca="false">IF(J401="","",IFERROR(MAX(0,N(G401)-INDEX(Properties!$I$5:$I$24,MATCH(D401,Properties!$A$5:$A$24,0)))*N(INDEX(Properties!$J$5:$J$24,MATCH(D401,Properties!$A$5:$A$24,0)))*H401,0))</f>
        <v/>
      </c>
      <c r="M401" s="37"/>
      <c r="N401" s="41" t="str">
        <f aca="false">IF(J401="","",J401+K401+L401+N(M401))</f>
        <v/>
      </c>
      <c r="O401" s="41" t="str">
        <f aca="false">IF(N401="","",IF(P401&lt;&gt;"",N401-P401,ROUND(N401*IFERROR(INDEX(Settings!$E$5:$E$12,MATCH(F401,Settings!$D$5:$D$12,0)),0),2)))</f>
        <v/>
      </c>
      <c r="P401" s="37"/>
      <c r="Q401" s="41" t="str">
        <f aca="false">IF(N401="","",IF(P401&lt;&gt;"",P401,N401-O401))</f>
        <v/>
      </c>
      <c r="R401" s="41" t="str">
        <f aca="false">IF(J401="","",IFERROR(N(INDEX(Properties!$H$5:$H$24,MATCH(D401,Properties!$A$5:$A$24,0))),0))</f>
        <v/>
      </c>
      <c r="S401" s="41" t="str">
        <f aca="false">IF(Q401="","",Q401-R401)</f>
        <v/>
      </c>
      <c r="T401" s="6"/>
      <c r="U401" s="6"/>
      <c r="V401" s="6"/>
      <c r="W401" s="6"/>
      <c r="X401" s="6"/>
      <c r="Y401" s="8" t="str">
        <f aca="false">IF(OR(D401="",B401="",C401=""),"",IF(N(C401)&lt;=N(B401),"Check dates",IF(T401="Cancelled","",IF(COUNTIFS($D$5:$D$1004,D401,$B$5:$B$1004,"&lt;"&amp;C401,$C$5:$C$1004,"&gt;"&amp;B401,$T$5:$T$1004,"&lt;&gt;Cancelled")&gt;1,"Double-booked",""))))</f>
        <v/>
      </c>
      <c r="Z401" s="42" t="str">
        <f aca="false">IF(AND(AA401=1,ISNUMBER(C401)),C401+ROW()/100000,"")</f>
        <v/>
      </c>
      <c r="AA401" s="43" t="n">
        <f aca="false">IF(AND(D401&lt;&gt;"",ISNUMBER(B401),ISNUMBER(C401),N(H401)&gt;0,T401&lt;&gt;"Cancelled",J401&lt;&gt;""),1,0)</f>
        <v>0</v>
      </c>
      <c r="AB401" s="44" t="n">
        <f aca="false">IF(AA401=1,J401/H401,0)</f>
        <v>0</v>
      </c>
      <c r="AC401" s="44" t="n">
        <f aca="false">IF(AA401=1,Q401/H401,0)</f>
        <v>0</v>
      </c>
      <c r="AD401" s="44" t="n">
        <f aca="false">IF(AA401=1,R401/H401,0)</f>
        <v>0</v>
      </c>
      <c r="AE401" s="44" t="n">
        <f aca="false">IF(AA401=1,O401/H401,0)</f>
        <v>0</v>
      </c>
      <c r="AF401" s="44" t="n">
        <f aca="false">IF(AA401=1,K401/H401,0)</f>
        <v>0</v>
      </c>
      <c r="AG401" s="45" t="str">
        <f aca="false">IF(AA401=1,D401&amp;"|"&amp;TEXT(B401,"0"),"")</f>
        <v/>
      </c>
      <c r="AH401" s="43" t="n">
        <f aca="false">IF(AA401=1,H401,0)</f>
        <v>0</v>
      </c>
    </row>
    <row r="402" customFormat="false" ht="15" hidden="false" customHeight="false" outlineLevel="0" collapsed="false">
      <c r="A402" s="23" t="str">
        <f aca="false">IF(B402="","","B-"&amp;TEXT(ROW()-4,"0000"))</f>
        <v/>
      </c>
      <c r="B402" s="38"/>
      <c r="C402" s="38"/>
      <c r="D402" s="6"/>
      <c r="E402" s="6"/>
      <c r="F402" s="6"/>
      <c r="G402" s="11"/>
      <c r="H402" s="24" t="str">
        <f aca="false">IF(AND(ISNUMBER(B402),ISNUMBER(C402)),MAX(0,C402-B402),"")</f>
        <v/>
      </c>
      <c r="I402" s="37"/>
      <c r="J402" s="46" t="str">
        <f aca="false">IF(OR(D402="",N(H402)=0),"",IFERROR(IF(I402&lt;&gt;"",H402*I402,ROUND(((H402-(INT((WEEKDAY(B402-6)+H402-1)/7)+INT((WEEKDAY(B402-7)+H402-1)/7)))*INDEX(Properties!$E$5:$E$24,MATCH(D402,Properties!$A$5:$A$24,0))+(INT((WEEKDAY(B402-6)+H402-1)/7)+INT((WEEKDAY(B402-7)+H402-1)/7))*INDEX(Properties!$F$5:$F$24,MATCH(D402,Properties!$A$5:$A$24,0)))*(1-IF(H402&gt;=28,Settings!$B$10,IF(H402&gt;=7,Settings!$B$9,0))),2)),0))</f>
        <v/>
      </c>
      <c r="K402" s="46" t="str">
        <f aca="false">IF(J402="","",IFERROR(N(INDEX(Properties!$G$5:$G$24,MATCH(D402,Properties!$A$5:$A$24,0))),0))</f>
        <v/>
      </c>
      <c r="L402" s="46" t="str">
        <f aca="false">IF(J402="","",IFERROR(MAX(0,N(G402)-INDEX(Properties!$I$5:$I$24,MATCH(D402,Properties!$A$5:$A$24,0)))*N(INDEX(Properties!$J$5:$J$24,MATCH(D402,Properties!$A$5:$A$24,0)))*H402,0))</f>
        <v/>
      </c>
      <c r="M402" s="37"/>
      <c r="N402" s="46" t="str">
        <f aca="false">IF(J402="","",J402+K402+L402+N(M402))</f>
        <v/>
      </c>
      <c r="O402" s="46" t="str">
        <f aca="false">IF(N402="","",IF(P402&lt;&gt;"",N402-P402,ROUND(N402*IFERROR(INDEX(Settings!$E$5:$E$12,MATCH(F402,Settings!$D$5:$D$12,0)),0),2)))</f>
        <v/>
      </c>
      <c r="P402" s="37"/>
      <c r="Q402" s="46" t="str">
        <f aca="false">IF(N402="","",IF(P402&lt;&gt;"",P402,N402-O402))</f>
        <v/>
      </c>
      <c r="R402" s="46" t="str">
        <f aca="false">IF(J402="","",IFERROR(N(INDEX(Properties!$H$5:$H$24,MATCH(D402,Properties!$A$5:$A$24,0))),0))</f>
        <v/>
      </c>
      <c r="S402" s="46" t="str">
        <f aca="false">IF(Q402="","",Q402-R402)</f>
        <v/>
      </c>
      <c r="T402" s="6"/>
      <c r="U402" s="6"/>
      <c r="V402" s="6"/>
      <c r="W402" s="6"/>
      <c r="X402" s="6"/>
      <c r="Y402" s="8" t="str">
        <f aca="false">IF(OR(D402="",B402="",C402=""),"",IF(N(C402)&lt;=N(B402),"Check dates",IF(T402="Cancelled","",IF(COUNTIFS($D$5:$D$1004,D402,$B$5:$B$1004,"&lt;"&amp;C402,$C$5:$C$1004,"&gt;"&amp;B402,$T$5:$T$1004,"&lt;&gt;Cancelled")&gt;1,"Double-booked",""))))</f>
        <v/>
      </c>
      <c r="Z402" s="42" t="str">
        <f aca="false">IF(AND(AA402=1,ISNUMBER(C402)),C402+ROW()/100000,"")</f>
        <v/>
      </c>
      <c r="AA402" s="43" t="n">
        <f aca="false">IF(AND(D402&lt;&gt;"",ISNUMBER(B402),ISNUMBER(C402),N(H402)&gt;0,T402&lt;&gt;"Cancelled",J402&lt;&gt;""),1,0)</f>
        <v>0</v>
      </c>
      <c r="AB402" s="44" t="n">
        <f aca="false">IF(AA402=1,J402/H402,0)</f>
        <v>0</v>
      </c>
      <c r="AC402" s="44" t="n">
        <f aca="false">IF(AA402=1,Q402/H402,0)</f>
        <v>0</v>
      </c>
      <c r="AD402" s="44" t="n">
        <f aca="false">IF(AA402=1,R402/H402,0)</f>
        <v>0</v>
      </c>
      <c r="AE402" s="44" t="n">
        <f aca="false">IF(AA402=1,O402/H402,0)</f>
        <v>0</v>
      </c>
      <c r="AF402" s="44" t="n">
        <f aca="false">IF(AA402=1,K402/H402,0)</f>
        <v>0</v>
      </c>
      <c r="AG402" s="45" t="str">
        <f aca="false">IF(AA402=1,D402&amp;"|"&amp;TEXT(B402,"0"),"")</f>
        <v/>
      </c>
      <c r="AH402" s="43" t="n">
        <f aca="false">IF(AA402=1,H402,0)</f>
        <v>0</v>
      </c>
    </row>
    <row r="403" customFormat="false" ht="15" hidden="false" customHeight="false" outlineLevel="0" collapsed="false">
      <c r="A403" s="8" t="str">
        <f aca="false">IF(B403="","","B-"&amp;TEXT(ROW()-4,"0000"))</f>
        <v/>
      </c>
      <c r="B403" s="38"/>
      <c r="C403" s="38"/>
      <c r="D403" s="6"/>
      <c r="E403" s="6"/>
      <c r="F403" s="6"/>
      <c r="G403" s="11"/>
      <c r="H403" s="18" t="str">
        <f aca="false">IF(AND(ISNUMBER(B403),ISNUMBER(C403)),MAX(0,C403-B403),"")</f>
        <v/>
      </c>
      <c r="I403" s="37"/>
      <c r="J403" s="41" t="str">
        <f aca="false">IF(OR(D403="",N(H403)=0),"",IFERROR(IF(I403&lt;&gt;"",H403*I403,ROUND(((H403-(INT((WEEKDAY(B403-6)+H403-1)/7)+INT((WEEKDAY(B403-7)+H403-1)/7)))*INDEX(Properties!$E$5:$E$24,MATCH(D403,Properties!$A$5:$A$24,0))+(INT((WEEKDAY(B403-6)+H403-1)/7)+INT((WEEKDAY(B403-7)+H403-1)/7))*INDEX(Properties!$F$5:$F$24,MATCH(D403,Properties!$A$5:$A$24,0)))*(1-IF(H403&gt;=28,Settings!$B$10,IF(H403&gt;=7,Settings!$B$9,0))),2)),0))</f>
        <v/>
      </c>
      <c r="K403" s="41" t="str">
        <f aca="false">IF(J403="","",IFERROR(N(INDEX(Properties!$G$5:$G$24,MATCH(D403,Properties!$A$5:$A$24,0))),0))</f>
        <v/>
      </c>
      <c r="L403" s="41" t="str">
        <f aca="false">IF(J403="","",IFERROR(MAX(0,N(G403)-INDEX(Properties!$I$5:$I$24,MATCH(D403,Properties!$A$5:$A$24,0)))*N(INDEX(Properties!$J$5:$J$24,MATCH(D403,Properties!$A$5:$A$24,0)))*H403,0))</f>
        <v/>
      </c>
      <c r="M403" s="37"/>
      <c r="N403" s="41" t="str">
        <f aca="false">IF(J403="","",J403+K403+L403+N(M403))</f>
        <v/>
      </c>
      <c r="O403" s="41" t="str">
        <f aca="false">IF(N403="","",IF(P403&lt;&gt;"",N403-P403,ROUND(N403*IFERROR(INDEX(Settings!$E$5:$E$12,MATCH(F403,Settings!$D$5:$D$12,0)),0),2)))</f>
        <v/>
      </c>
      <c r="P403" s="37"/>
      <c r="Q403" s="41" t="str">
        <f aca="false">IF(N403="","",IF(P403&lt;&gt;"",P403,N403-O403))</f>
        <v/>
      </c>
      <c r="R403" s="41" t="str">
        <f aca="false">IF(J403="","",IFERROR(N(INDEX(Properties!$H$5:$H$24,MATCH(D403,Properties!$A$5:$A$24,0))),0))</f>
        <v/>
      </c>
      <c r="S403" s="41" t="str">
        <f aca="false">IF(Q403="","",Q403-R403)</f>
        <v/>
      </c>
      <c r="T403" s="6"/>
      <c r="U403" s="6"/>
      <c r="V403" s="6"/>
      <c r="W403" s="6"/>
      <c r="X403" s="6"/>
      <c r="Y403" s="8" t="str">
        <f aca="false">IF(OR(D403="",B403="",C403=""),"",IF(N(C403)&lt;=N(B403),"Check dates",IF(T403="Cancelled","",IF(COUNTIFS($D$5:$D$1004,D403,$B$5:$B$1004,"&lt;"&amp;C403,$C$5:$C$1004,"&gt;"&amp;B403,$T$5:$T$1004,"&lt;&gt;Cancelled")&gt;1,"Double-booked",""))))</f>
        <v/>
      </c>
      <c r="Z403" s="42" t="str">
        <f aca="false">IF(AND(AA403=1,ISNUMBER(C403)),C403+ROW()/100000,"")</f>
        <v/>
      </c>
      <c r="AA403" s="43" t="n">
        <f aca="false">IF(AND(D403&lt;&gt;"",ISNUMBER(B403),ISNUMBER(C403),N(H403)&gt;0,T403&lt;&gt;"Cancelled",J403&lt;&gt;""),1,0)</f>
        <v>0</v>
      </c>
      <c r="AB403" s="44" t="n">
        <f aca="false">IF(AA403=1,J403/H403,0)</f>
        <v>0</v>
      </c>
      <c r="AC403" s="44" t="n">
        <f aca="false">IF(AA403=1,Q403/H403,0)</f>
        <v>0</v>
      </c>
      <c r="AD403" s="44" t="n">
        <f aca="false">IF(AA403=1,R403/H403,0)</f>
        <v>0</v>
      </c>
      <c r="AE403" s="44" t="n">
        <f aca="false">IF(AA403=1,O403/H403,0)</f>
        <v>0</v>
      </c>
      <c r="AF403" s="44" t="n">
        <f aca="false">IF(AA403=1,K403/H403,0)</f>
        <v>0</v>
      </c>
      <c r="AG403" s="45" t="str">
        <f aca="false">IF(AA403=1,D403&amp;"|"&amp;TEXT(B403,"0"),"")</f>
        <v/>
      </c>
      <c r="AH403" s="43" t="n">
        <f aca="false">IF(AA403=1,H403,0)</f>
        <v>0</v>
      </c>
    </row>
    <row r="404" customFormat="false" ht="15" hidden="false" customHeight="false" outlineLevel="0" collapsed="false">
      <c r="A404" s="23" t="str">
        <f aca="false">IF(B404="","","B-"&amp;TEXT(ROW()-4,"0000"))</f>
        <v/>
      </c>
      <c r="B404" s="38"/>
      <c r="C404" s="38"/>
      <c r="D404" s="6"/>
      <c r="E404" s="6"/>
      <c r="F404" s="6"/>
      <c r="G404" s="11"/>
      <c r="H404" s="24" t="str">
        <f aca="false">IF(AND(ISNUMBER(B404),ISNUMBER(C404)),MAX(0,C404-B404),"")</f>
        <v/>
      </c>
      <c r="I404" s="37"/>
      <c r="J404" s="46" t="str">
        <f aca="false">IF(OR(D404="",N(H404)=0),"",IFERROR(IF(I404&lt;&gt;"",H404*I404,ROUND(((H404-(INT((WEEKDAY(B404-6)+H404-1)/7)+INT((WEEKDAY(B404-7)+H404-1)/7)))*INDEX(Properties!$E$5:$E$24,MATCH(D404,Properties!$A$5:$A$24,0))+(INT((WEEKDAY(B404-6)+H404-1)/7)+INT((WEEKDAY(B404-7)+H404-1)/7))*INDEX(Properties!$F$5:$F$24,MATCH(D404,Properties!$A$5:$A$24,0)))*(1-IF(H404&gt;=28,Settings!$B$10,IF(H404&gt;=7,Settings!$B$9,0))),2)),0))</f>
        <v/>
      </c>
      <c r="K404" s="46" t="str">
        <f aca="false">IF(J404="","",IFERROR(N(INDEX(Properties!$G$5:$G$24,MATCH(D404,Properties!$A$5:$A$24,0))),0))</f>
        <v/>
      </c>
      <c r="L404" s="46" t="str">
        <f aca="false">IF(J404="","",IFERROR(MAX(0,N(G404)-INDEX(Properties!$I$5:$I$24,MATCH(D404,Properties!$A$5:$A$24,0)))*N(INDEX(Properties!$J$5:$J$24,MATCH(D404,Properties!$A$5:$A$24,0)))*H404,0))</f>
        <v/>
      </c>
      <c r="M404" s="37"/>
      <c r="N404" s="46" t="str">
        <f aca="false">IF(J404="","",J404+K404+L404+N(M404))</f>
        <v/>
      </c>
      <c r="O404" s="46" t="str">
        <f aca="false">IF(N404="","",IF(P404&lt;&gt;"",N404-P404,ROUND(N404*IFERROR(INDEX(Settings!$E$5:$E$12,MATCH(F404,Settings!$D$5:$D$12,0)),0),2)))</f>
        <v/>
      </c>
      <c r="P404" s="37"/>
      <c r="Q404" s="46" t="str">
        <f aca="false">IF(N404="","",IF(P404&lt;&gt;"",P404,N404-O404))</f>
        <v/>
      </c>
      <c r="R404" s="46" t="str">
        <f aca="false">IF(J404="","",IFERROR(N(INDEX(Properties!$H$5:$H$24,MATCH(D404,Properties!$A$5:$A$24,0))),0))</f>
        <v/>
      </c>
      <c r="S404" s="46" t="str">
        <f aca="false">IF(Q404="","",Q404-R404)</f>
        <v/>
      </c>
      <c r="T404" s="6"/>
      <c r="U404" s="6"/>
      <c r="V404" s="6"/>
      <c r="W404" s="6"/>
      <c r="X404" s="6"/>
      <c r="Y404" s="8" t="str">
        <f aca="false">IF(OR(D404="",B404="",C404=""),"",IF(N(C404)&lt;=N(B404),"Check dates",IF(T404="Cancelled","",IF(COUNTIFS($D$5:$D$1004,D404,$B$5:$B$1004,"&lt;"&amp;C404,$C$5:$C$1004,"&gt;"&amp;B404,$T$5:$T$1004,"&lt;&gt;Cancelled")&gt;1,"Double-booked",""))))</f>
        <v/>
      </c>
      <c r="Z404" s="42" t="str">
        <f aca="false">IF(AND(AA404=1,ISNUMBER(C404)),C404+ROW()/100000,"")</f>
        <v/>
      </c>
      <c r="AA404" s="43" t="n">
        <f aca="false">IF(AND(D404&lt;&gt;"",ISNUMBER(B404),ISNUMBER(C404),N(H404)&gt;0,T404&lt;&gt;"Cancelled",J404&lt;&gt;""),1,0)</f>
        <v>0</v>
      </c>
      <c r="AB404" s="44" t="n">
        <f aca="false">IF(AA404=1,J404/H404,0)</f>
        <v>0</v>
      </c>
      <c r="AC404" s="44" t="n">
        <f aca="false">IF(AA404=1,Q404/H404,0)</f>
        <v>0</v>
      </c>
      <c r="AD404" s="44" t="n">
        <f aca="false">IF(AA404=1,R404/H404,0)</f>
        <v>0</v>
      </c>
      <c r="AE404" s="44" t="n">
        <f aca="false">IF(AA404=1,O404/H404,0)</f>
        <v>0</v>
      </c>
      <c r="AF404" s="44" t="n">
        <f aca="false">IF(AA404=1,K404/H404,0)</f>
        <v>0</v>
      </c>
      <c r="AG404" s="45" t="str">
        <f aca="false">IF(AA404=1,D404&amp;"|"&amp;TEXT(B404,"0"),"")</f>
        <v/>
      </c>
      <c r="AH404" s="43" t="n">
        <f aca="false">IF(AA404=1,H404,0)</f>
        <v>0</v>
      </c>
    </row>
    <row r="405" customFormat="false" ht="15" hidden="false" customHeight="false" outlineLevel="0" collapsed="false">
      <c r="A405" s="8" t="str">
        <f aca="false">IF(B405="","","B-"&amp;TEXT(ROW()-4,"0000"))</f>
        <v/>
      </c>
      <c r="B405" s="38"/>
      <c r="C405" s="38"/>
      <c r="D405" s="6"/>
      <c r="E405" s="6"/>
      <c r="F405" s="6"/>
      <c r="G405" s="11"/>
      <c r="H405" s="18" t="str">
        <f aca="false">IF(AND(ISNUMBER(B405),ISNUMBER(C405)),MAX(0,C405-B405),"")</f>
        <v/>
      </c>
      <c r="I405" s="37"/>
      <c r="J405" s="41" t="str">
        <f aca="false">IF(OR(D405="",N(H405)=0),"",IFERROR(IF(I405&lt;&gt;"",H405*I405,ROUND(((H405-(INT((WEEKDAY(B405-6)+H405-1)/7)+INT((WEEKDAY(B405-7)+H405-1)/7)))*INDEX(Properties!$E$5:$E$24,MATCH(D405,Properties!$A$5:$A$24,0))+(INT((WEEKDAY(B405-6)+H405-1)/7)+INT((WEEKDAY(B405-7)+H405-1)/7))*INDEX(Properties!$F$5:$F$24,MATCH(D405,Properties!$A$5:$A$24,0)))*(1-IF(H405&gt;=28,Settings!$B$10,IF(H405&gt;=7,Settings!$B$9,0))),2)),0))</f>
        <v/>
      </c>
      <c r="K405" s="41" t="str">
        <f aca="false">IF(J405="","",IFERROR(N(INDEX(Properties!$G$5:$G$24,MATCH(D405,Properties!$A$5:$A$24,0))),0))</f>
        <v/>
      </c>
      <c r="L405" s="41" t="str">
        <f aca="false">IF(J405="","",IFERROR(MAX(0,N(G405)-INDEX(Properties!$I$5:$I$24,MATCH(D405,Properties!$A$5:$A$24,0)))*N(INDEX(Properties!$J$5:$J$24,MATCH(D405,Properties!$A$5:$A$24,0)))*H405,0))</f>
        <v/>
      </c>
      <c r="M405" s="37"/>
      <c r="N405" s="41" t="str">
        <f aca="false">IF(J405="","",J405+K405+L405+N(M405))</f>
        <v/>
      </c>
      <c r="O405" s="41" t="str">
        <f aca="false">IF(N405="","",IF(P405&lt;&gt;"",N405-P405,ROUND(N405*IFERROR(INDEX(Settings!$E$5:$E$12,MATCH(F405,Settings!$D$5:$D$12,0)),0),2)))</f>
        <v/>
      </c>
      <c r="P405" s="37"/>
      <c r="Q405" s="41" t="str">
        <f aca="false">IF(N405="","",IF(P405&lt;&gt;"",P405,N405-O405))</f>
        <v/>
      </c>
      <c r="R405" s="41" t="str">
        <f aca="false">IF(J405="","",IFERROR(N(INDEX(Properties!$H$5:$H$24,MATCH(D405,Properties!$A$5:$A$24,0))),0))</f>
        <v/>
      </c>
      <c r="S405" s="41" t="str">
        <f aca="false">IF(Q405="","",Q405-R405)</f>
        <v/>
      </c>
      <c r="T405" s="6"/>
      <c r="U405" s="6"/>
      <c r="V405" s="6"/>
      <c r="W405" s="6"/>
      <c r="X405" s="6"/>
      <c r="Y405" s="8" t="str">
        <f aca="false">IF(OR(D405="",B405="",C405=""),"",IF(N(C405)&lt;=N(B405),"Check dates",IF(T405="Cancelled","",IF(COUNTIFS($D$5:$D$1004,D405,$B$5:$B$1004,"&lt;"&amp;C405,$C$5:$C$1004,"&gt;"&amp;B405,$T$5:$T$1004,"&lt;&gt;Cancelled")&gt;1,"Double-booked",""))))</f>
        <v/>
      </c>
      <c r="Z405" s="42" t="str">
        <f aca="false">IF(AND(AA405=1,ISNUMBER(C405)),C405+ROW()/100000,"")</f>
        <v/>
      </c>
      <c r="AA405" s="43" t="n">
        <f aca="false">IF(AND(D405&lt;&gt;"",ISNUMBER(B405),ISNUMBER(C405),N(H405)&gt;0,T405&lt;&gt;"Cancelled",J405&lt;&gt;""),1,0)</f>
        <v>0</v>
      </c>
      <c r="AB405" s="44" t="n">
        <f aca="false">IF(AA405=1,J405/H405,0)</f>
        <v>0</v>
      </c>
      <c r="AC405" s="44" t="n">
        <f aca="false">IF(AA405=1,Q405/H405,0)</f>
        <v>0</v>
      </c>
      <c r="AD405" s="44" t="n">
        <f aca="false">IF(AA405=1,R405/H405,0)</f>
        <v>0</v>
      </c>
      <c r="AE405" s="44" t="n">
        <f aca="false">IF(AA405=1,O405/H405,0)</f>
        <v>0</v>
      </c>
      <c r="AF405" s="44" t="n">
        <f aca="false">IF(AA405=1,K405/H405,0)</f>
        <v>0</v>
      </c>
      <c r="AG405" s="45" t="str">
        <f aca="false">IF(AA405=1,D405&amp;"|"&amp;TEXT(B405,"0"),"")</f>
        <v/>
      </c>
      <c r="AH405" s="43" t="n">
        <f aca="false">IF(AA405=1,H405,0)</f>
        <v>0</v>
      </c>
    </row>
    <row r="406" customFormat="false" ht="15" hidden="false" customHeight="false" outlineLevel="0" collapsed="false">
      <c r="A406" s="23" t="str">
        <f aca="false">IF(B406="","","B-"&amp;TEXT(ROW()-4,"0000"))</f>
        <v/>
      </c>
      <c r="B406" s="38"/>
      <c r="C406" s="38"/>
      <c r="D406" s="6"/>
      <c r="E406" s="6"/>
      <c r="F406" s="6"/>
      <c r="G406" s="11"/>
      <c r="H406" s="24" t="str">
        <f aca="false">IF(AND(ISNUMBER(B406),ISNUMBER(C406)),MAX(0,C406-B406),"")</f>
        <v/>
      </c>
      <c r="I406" s="37"/>
      <c r="J406" s="46" t="str">
        <f aca="false">IF(OR(D406="",N(H406)=0),"",IFERROR(IF(I406&lt;&gt;"",H406*I406,ROUND(((H406-(INT((WEEKDAY(B406-6)+H406-1)/7)+INT((WEEKDAY(B406-7)+H406-1)/7)))*INDEX(Properties!$E$5:$E$24,MATCH(D406,Properties!$A$5:$A$24,0))+(INT((WEEKDAY(B406-6)+H406-1)/7)+INT((WEEKDAY(B406-7)+H406-1)/7))*INDEX(Properties!$F$5:$F$24,MATCH(D406,Properties!$A$5:$A$24,0)))*(1-IF(H406&gt;=28,Settings!$B$10,IF(H406&gt;=7,Settings!$B$9,0))),2)),0))</f>
        <v/>
      </c>
      <c r="K406" s="46" t="str">
        <f aca="false">IF(J406="","",IFERROR(N(INDEX(Properties!$G$5:$G$24,MATCH(D406,Properties!$A$5:$A$24,0))),0))</f>
        <v/>
      </c>
      <c r="L406" s="46" t="str">
        <f aca="false">IF(J406="","",IFERROR(MAX(0,N(G406)-INDEX(Properties!$I$5:$I$24,MATCH(D406,Properties!$A$5:$A$24,0)))*N(INDEX(Properties!$J$5:$J$24,MATCH(D406,Properties!$A$5:$A$24,0)))*H406,0))</f>
        <v/>
      </c>
      <c r="M406" s="37"/>
      <c r="N406" s="46" t="str">
        <f aca="false">IF(J406="","",J406+K406+L406+N(M406))</f>
        <v/>
      </c>
      <c r="O406" s="46" t="str">
        <f aca="false">IF(N406="","",IF(P406&lt;&gt;"",N406-P406,ROUND(N406*IFERROR(INDEX(Settings!$E$5:$E$12,MATCH(F406,Settings!$D$5:$D$12,0)),0),2)))</f>
        <v/>
      </c>
      <c r="P406" s="37"/>
      <c r="Q406" s="46" t="str">
        <f aca="false">IF(N406="","",IF(P406&lt;&gt;"",P406,N406-O406))</f>
        <v/>
      </c>
      <c r="R406" s="46" t="str">
        <f aca="false">IF(J406="","",IFERROR(N(INDEX(Properties!$H$5:$H$24,MATCH(D406,Properties!$A$5:$A$24,0))),0))</f>
        <v/>
      </c>
      <c r="S406" s="46" t="str">
        <f aca="false">IF(Q406="","",Q406-R406)</f>
        <v/>
      </c>
      <c r="T406" s="6"/>
      <c r="U406" s="6"/>
      <c r="V406" s="6"/>
      <c r="W406" s="6"/>
      <c r="X406" s="6"/>
      <c r="Y406" s="8" t="str">
        <f aca="false">IF(OR(D406="",B406="",C406=""),"",IF(N(C406)&lt;=N(B406),"Check dates",IF(T406="Cancelled","",IF(COUNTIFS($D$5:$D$1004,D406,$B$5:$B$1004,"&lt;"&amp;C406,$C$5:$C$1004,"&gt;"&amp;B406,$T$5:$T$1004,"&lt;&gt;Cancelled")&gt;1,"Double-booked",""))))</f>
        <v/>
      </c>
      <c r="Z406" s="42" t="str">
        <f aca="false">IF(AND(AA406=1,ISNUMBER(C406)),C406+ROW()/100000,"")</f>
        <v/>
      </c>
      <c r="AA406" s="43" t="n">
        <f aca="false">IF(AND(D406&lt;&gt;"",ISNUMBER(B406),ISNUMBER(C406),N(H406)&gt;0,T406&lt;&gt;"Cancelled",J406&lt;&gt;""),1,0)</f>
        <v>0</v>
      </c>
      <c r="AB406" s="44" t="n">
        <f aca="false">IF(AA406=1,J406/H406,0)</f>
        <v>0</v>
      </c>
      <c r="AC406" s="44" t="n">
        <f aca="false">IF(AA406=1,Q406/H406,0)</f>
        <v>0</v>
      </c>
      <c r="AD406" s="44" t="n">
        <f aca="false">IF(AA406=1,R406/H406,0)</f>
        <v>0</v>
      </c>
      <c r="AE406" s="44" t="n">
        <f aca="false">IF(AA406=1,O406/H406,0)</f>
        <v>0</v>
      </c>
      <c r="AF406" s="44" t="n">
        <f aca="false">IF(AA406=1,K406/H406,0)</f>
        <v>0</v>
      </c>
      <c r="AG406" s="45" t="str">
        <f aca="false">IF(AA406=1,D406&amp;"|"&amp;TEXT(B406,"0"),"")</f>
        <v/>
      </c>
      <c r="AH406" s="43" t="n">
        <f aca="false">IF(AA406=1,H406,0)</f>
        <v>0</v>
      </c>
    </row>
    <row r="407" customFormat="false" ht="15" hidden="false" customHeight="false" outlineLevel="0" collapsed="false">
      <c r="A407" s="8" t="str">
        <f aca="false">IF(B407="","","B-"&amp;TEXT(ROW()-4,"0000"))</f>
        <v/>
      </c>
      <c r="B407" s="38"/>
      <c r="C407" s="38"/>
      <c r="D407" s="6"/>
      <c r="E407" s="6"/>
      <c r="F407" s="6"/>
      <c r="G407" s="11"/>
      <c r="H407" s="18" t="str">
        <f aca="false">IF(AND(ISNUMBER(B407),ISNUMBER(C407)),MAX(0,C407-B407),"")</f>
        <v/>
      </c>
      <c r="I407" s="37"/>
      <c r="J407" s="41" t="str">
        <f aca="false">IF(OR(D407="",N(H407)=0),"",IFERROR(IF(I407&lt;&gt;"",H407*I407,ROUND(((H407-(INT((WEEKDAY(B407-6)+H407-1)/7)+INT((WEEKDAY(B407-7)+H407-1)/7)))*INDEX(Properties!$E$5:$E$24,MATCH(D407,Properties!$A$5:$A$24,0))+(INT((WEEKDAY(B407-6)+H407-1)/7)+INT((WEEKDAY(B407-7)+H407-1)/7))*INDEX(Properties!$F$5:$F$24,MATCH(D407,Properties!$A$5:$A$24,0)))*(1-IF(H407&gt;=28,Settings!$B$10,IF(H407&gt;=7,Settings!$B$9,0))),2)),0))</f>
        <v/>
      </c>
      <c r="K407" s="41" t="str">
        <f aca="false">IF(J407="","",IFERROR(N(INDEX(Properties!$G$5:$G$24,MATCH(D407,Properties!$A$5:$A$24,0))),0))</f>
        <v/>
      </c>
      <c r="L407" s="41" t="str">
        <f aca="false">IF(J407="","",IFERROR(MAX(0,N(G407)-INDEX(Properties!$I$5:$I$24,MATCH(D407,Properties!$A$5:$A$24,0)))*N(INDEX(Properties!$J$5:$J$24,MATCH(D407,Properties!$A$5:$A$24,0)))*H407,0))</f>
        <v/>
      </c>
      <c r="M407" s="37"/>
      <c r="N407" s="41" t="str">
        <f aca="false">IF(J407="","",J407+K407+L407+N(M407))</f>
        <v/>
      </c>
      <c r="O407" s="41" t="str">
        <f aca="false">IF(N407="","",IF(P407&lt;&gt;"",N407-P407,ROUND(N407*IFERROR(INDEX(Settings!$E$5:$E$12,MATCH(F407,Settings!$D$5:$D$12,0)),0),2)))</f>
        <v/>
      </c>
      <c r="P407" s="37"/>
      <c r="Q407" s="41" t="str">
        <f aca="false">IF(N407="","",IF(P407&lt;&gt;"",P407,N407-O407))</f>
        <v/>
      </c>
      <c r="R407" s="41" t="str">
        <f aca="false">IF(J407="","",IFERROR(N(INDEX(Properties!$H$5:$H$24,MATCH(D407,Properties!$A$5:$A$24,0))),0))</f>
        <v/>
      </c>
      <c r="S407" s="41" t="str">
        <f aca="false">IF(Q407="","",Q407-R407)</f>
        <v/>
      </c>
      <c r="T407" s="6"/>
      <c r="U407" s="6"/>
      <c r="V407" s="6"/>
      <c r="W407" s="6"/>
      <c r="X407" s="6"/>
      <c r="Y407" s="8" t="str">
        <f aca="false">IF(OR(D407="",B407="",C407=""),"",IF(N(C407)&lt;=N(B407),"Check dates",IF(T407="Cancelled","",IF(COUNTIFS($D$5:$D$1004,D407,$B$5:$B$1004,"&lt;"&amp;C407,$C$5:$C$1004,"&gt;"&amp;B407,$T$5:$T$1004,"&lt;&gt;Cancelled")&gt;1,"Double-booked",""))))</f>
        <v/>
      </c>
      <c r="Z407" s="42" t="str">
        <f aca="false">IF(AND(AA407=1,ISNUMBER(C407)),C407+ROW()/100000,"")</f>
        <v/>
      </c>
      <c r="AA407" s="43" t="n">
        <f aca="false">IF(AND(D407&lt;&gt;"",ISNUMBER(B407),ISNUMBER(C407),N(H407)&gt;0,T407&lt;&gt;"Cancelled",J407&lt;&gt;""),1,0)</f>
        <v>0</v>
      </c>
      <c r="AB407" s="44" t="n">
        <f aca="false">IF(AA407=1,J407/H407,0)</f>
        <v>0</v>
      </c>
      <c r="AC407" s="44" t="n">
        <f aca="false">IF(AA407=1,Q407/H407,0)</f>
        <v>0</v>
      </c>
      <c r="AD407" s="44" t="n">
        <f aca="false">IF(AA407=1,R407/H407,0)</f>
        <v>0</v>
      </c>
      <c r="AE407" s="44" t="n">
        <f aca="false">IF(AA407=1,O407/H407,0)</f>
        <v>0</v>
      </c>
      <c r="AF407" s="44" t="n">
        <f aca="false">IF(AA407=1,K407/H407,0)</f>
        <v>0</v>
      </c>
      <c r="AG407" s="45" t="str">
        <f aca="false">IF(AA407=1,D407&amp;"|"&amp;TEXT(B407,"0"),"")</f>
        <v/>
      </c>
      <c r="AH407" s="43" t="n">
        <f aca="false">IF(AA407=1,H407,0)</f>
        <v>0</v>
      </c>
    </row>
    <row r="408" customFormat="false" ht="15" hidden="false" customHeight="false" outlineLevel="0" collapsed="false">
      <c r="A408" s="23" t="str">
        <f aca="false">IF(B408="","","B-"&amp;TEXT(ROW()-4,"0000"))</f>
        <v/>
      </c>
      <c r="B408" s="38"/>
      <c r="C408" s="38"/>
      <c r="D408" s="6"/>
      <c r="E408" s="6"/>
      <c r="F408" s="6"/>
      <c r="G408" s="11"/>
      <c r="H408" s="24" t="str">
        <f aca="false">IF(AND(ISNUMBER(B408),ISNUMBER(C408)),MAX(0,C408-B408),"")</f>
        <v/>
      </c>
      <c r="I408" s="37"/>
      <c r="J408" s="46" t="str">
        <f aca="false">IF(OR(D408="",N(H408)=0),"",IFERROR(IF(I408&lt;&gt;"",H408*I408,ROUND(((H408-(INT((WEEKDAY(B408-6)+H408-1)/7)+INT((WEEKDAY(B408-7)+H408-1)/7)))*INDEX(Properties!$E$5:$E$24,MATCH(D408,Properties!$A$5:$A$24,0))+(INT((WEEKDAY(B408-6)+H408-1)/7)+INT((WEEKDAY(B408-7)+H408-1)/7))*INDEX(Properties!$F$5:$F$24,MATCH(D408,Properties!$A$5:$A$24,0)))*(1-IF(H408&gt;=28,Settings!$B$10,IF(H408&gt;=7,Settings!$B$9,0))),2)),0))</f>
        <v/>
      </c>
      <c r="K408" s="46" t="str">
        <f aca="false">IF(J408="","",IFERROR(N(INDEX(Properties!$G$5:$G$24,MATCH(D408,Properties!$A$5:$A$24,0))),0))</f>
        <v/>
      </c>
      <c r="L408" s="46" t="str">
        <f aca="false">IF(J408="","",IFERROR(MAX(0,N(G408)-INDEX(Properties!$I$5:$I$24,MATCH(D408,Properties!$A$5:$A$24,0)))*N(INDEX(Properties!$J$5:$J$24,MATCH(D408,Properties!$A$5:$A$24,0)))*H408,0))</f>
        <v/>
      </c>
      <c r="M408" s="37"/>
      <c r="N408" s="46" t="str">
        <f aca="false">IF(J408="","",J408+K408+L408+N(M408))</f>
        <v/>
      </c>
      <c r="O408" s="46" t="str">
        <f aca="false">IF(N408="","",IF(P408&lt;&gt;"",N408-P408,ROUND(N408*IFERROR(INDEX(Settings!$E$5:$E$12,MATCH(F408,Settings!$D$5:$D$12,0)),0),2)))</f>
        <v/>
      </c>
      <c r="P408" s="37"/>
      <c r="Q408" s="46" t="str">
        <f aca="false">IF(N408="","",IF(P408&lt;&gt;"",P408,N408-O408))</f>
        <v/>
      </c>
      <c r="R408" s="46" t="str">
        <f aca="false">IF(J408="","",IFERROR(N(INDEX(Properties!$H$5:$H$24,MATCH(D408,Properties!$A$5:$A$24,0))),0))</f>
        <v/>
      </c>
      <c r="S408" s="46" t="str">
        <f aca="false">IF(Q408="","",Q408-R408)</f>
        <v/>
      </c>
      <c r="T408" s="6"/>
      <c r="U408" s="6"/>
      <c r="V408" s="6"/>
      <c r="W408" s="6"/>
      <c r="X408" s="6"/>
      <c r="Y408" s="8" t="str">
        <f aca="false">IF(OR(D408="",B408="",C408=""),"",IF(N(C408)&lt;=N(B408),"Check dates",IF(T408="Cancelled","",IF(COUNTIFS($D$5:$D$1004,D408,$B$5:$B$1004,"&lt;"&amp;C408,$C$5:$C$1004,"&gt;"&amp;B408,$T$5:$T$1004,"&lt;&gt;Cancelled")&gt;1,"Double-booked",""))))</f>
        <v/>
      </c>
      <c r="Z408" s="42" t="str">
        <f aca="false">IF(AND(AA408=1,ISNUMBER(C408)),C408+ROW()/100000,"")</f>
        <v/>
      </c>
      <c r="AA408" s="43" t="n">
        <f aca="false">IF(AND(D408&lt;&gt;"",ISNUMBER(B408),ISNUMBER(C408),N(H408)&gt;0,T408&lt;&gt;"Cancelled",J408&lt;&gt;""),1,0)</f>
        <v>0</v>
      </c>
      <c r="AB408" s="44" t="n">
        <f aca="false">IF(AA408=1,J408/H408,0)</f>
        <v>0</v>
      </c>
      <c r="AC408" s="44" t="n">
        <f aca="false">IF(AA408=1,Q408/H408,0)</f>
        <v>0</v>
      </c>
      <c r="AD408" s="44" t="n">
        <f aca="false">IF(AA408=1,R408/H408,0)</f>
        <v>0</v>
      </c>
      <c r="AE408" s="44" t="n">
        <f aca="false">IF(AA408=1,O408/H408,0)</f>
        <v>0</v>
      </c>
      <c r="AF408" s="44" t="n">
        <f aca="false">IF(AA408=1,K408/H408,0)</f>
        <v>0</v>
      </c>
      <c r="AG408" s="45" t="str">
        <f aca="false">IF(AA408=1,D408&amp;"|"&amp;TEXT(B408,"0"),"")</f>
        <v/>
      </c>
      <c r="AH408" s="43" t="n">
        <f aca="false">IF(AA408=1,H408,0)</f>
        <v>0</v>
      </c>
    </row>
    <row r="409" customFormat="false" ht="15" hidden="false" customHeight="false" outlineLevel="0" collapsed="false">
      <c r="A409" s="8" t="str">
        <f aca="false">IF(B409="","","B-"&amp;TEXT(ROW()-4,"0000"))</f>
        <v/>
      </c>
      <c r="B409" s="38"/>
      <c r="C409" s="38"/>
      <c r="D409" s="6"/>
      <c r="E409" s="6"/>
      <c r="F409" s="6"/>
      <c r="G409" s="11"/>
      <c r="H409" s="18" t="str">
        <f aca="false">IF(AND(ISNUMBER(B409),ISNUMBER(C409)),MAX(0,C409-B409),"")</f>
        <v/>
      </c>
      <c r="I409" s="37"/>
      <c r="J409" s="41" t="str">
        <f aca="false">IF(OR(D409="",N(H409)=0),"",IFERROR(IF(I409&lt;&gt;"",H409*I409,ROUND(((H409-(INT((WEEKDAY(B409-6)+H409-1)/7)+INT((WEEKDAY(B409-7)+H409-1)/7)))*INDEX(Properties!$E$5:$E$24,MATCH(D409,Properties!$A$5:$A$24,0))+(INT((WEEKDAY(B409-6)+H409-1)/7)+INT((WEEKDAY(B409-7)+H409-1)/7))*INDEX(Properties!$F$5:$F$24,MATCH(D409,Properties!$A$5:$A$24,0)))*(1-IF(H409&gt;=28,Settings!$B$10,IF(H409&gt;=7,Settings!$B$9,0))),2)),0))</f>
        <v/>
      </c>
      <c r="K409" s="41" t="str">
        <f aca="false">IF(J409="","",IFERROR(N(INDEX(Properties!$G$5:$G$24,MATCH(D409,Properties!$A$5:$A$24,0))),0))</f>
        <v/>
      </c>
      <c r="L409" s="41" t="str">
        <f aca="false">IF(J409="","",IFERROR(MAX(0,N(G409)-INDEX(Properties!$I$5:$I$24,MATCH(D409,Properties!$A$5:$A$24,0)))*N(INDEX(Properties!$J$5:$J$24,MATCH(D409,Properties!$A$5:$A$24,0)))*H409,0))</f>
        <v/>
      </c>
      <c r="M409" s="37"/>
      <c r="N409" s="41" t="str">
        <f aca="false">IF(J409="","",J409+K409+L409+N(M409))</f>
        <v/>
      </c>
      <c r="O409" s="41" t="str">
        <f aca="false">IF(N409="","",IF(P409&lt;&gt;"",N409-P409,ROUND(N409*IFERROR(INDEX(Settings!$E$5:$E$12,MATCH(F409,Settings!$D$5:$D$12,0)),0),2)))</f>
        <v/>
      </c>
      <c r="P409" s="37"/>
      <c r="Q409" s="41" t="str">
        <f aca="false">IF(N409="","",IF(P409&lt;&gt;"",P409,N409-O409))</f>
        <v/>
      </c>
      <c r="R409" s="41" t="str">
        <f aca="false">IF(J409="","",IFERROR(N(INDEX(Properties!$H$5:$H$24,MATCH(D409,Properties!$A$5:$A$24,0))),0))</f>
        <v/>
      </c>
      <c r="S409" s="41" t="str">
        <f aca="false">IF(Q409="","",Q409-R409)</f>
        <v/>
      </c>
      <c r="T409" s="6"/>
      <c r="U409" s="6"/>
      <c r="V409" s="6"/>
      <c r="W409" s="6"/>
      <c r="X409" s="6"/>
      <c r="Y409" s="8" t="str">
        <f aca="false">IF(OR(D409="",B409="",C409=""),"",IF(N(C409)&lt;=N(B409),"Check dates",IF(T409="Cancelled","",IF(COUNTIFS($D$5:$D$1004,D409,$B$5:$B$1004,"&lt;"&amp;C409,$C$5:$C$1004,"&gt;"&amp;B409,$T$5:$T$1004,"&lt;&gt;Cancelled")&gt;1,"Double-booked",""))))</f>
        <v/>
      </c>
      <c r="Z409" s="42" t="str">
        <f aca="false">IF(AND(AA409=1,ISNUMBER(C409)),C409+ROW()/100000,"")</f>
        <v/>
      </c>
      <c r="AA409" s="43" t="n">
        <f aca="false">IF(AND(D409&lt;&gt;"",ISNUMBER(B409),ISNUMBER(C409),N(H409)&gt;0,T409&lt;&gt;"Cancelled",J409&lt;&gt;""),1,0)</f>
        <v>0</v>
      </c>
      <c r="AB409" s="44" t="n">
        <f aca="false">IF(AA409=1,J409/H409,0)</f>
        <v>0</v>
      </c>
      <c r="AC409" s="44" t="n">
        <f aca="false">IF(AA409=1,Q409/H409,0)</f>
        <v>0</v>
      </c>
      <c r="AD409" s="44" t="n">
        <f aca="false">IF(AA409=1,R409/H409,0)</f>
        <v>0</v>
      </c>
      <c r="AE409" s="44" t="n">
        <f aca="false">IF(AA409=1,O409/H409,0)</f>
        <v>0</v>
      </c>
      <c r="AF409" s="44" t="n">
        <f aca="false">IF(AA409=1,K409/H409,0)</f>
        <v>0</v>
      </c>
      <c r="AG409" s="45" t="str">
        <f aca="false">IF(AA409=1,D409&amp;"|"&amp;TEXT(B409,"0"),"")</f>
        <v/>
      </c>
      <c r="AH409" s="43" t="n">
        <f aca="false">IF(AA409=1,H409,0)</f>
        <v>0</v>
      </c>
    </row>
    <row r="410" customFormat="false" ht="15" hidden="false" customHeight="false" outlineLevel="0" collapsed="false">
      <c r="A410" s="23" t="str">
        <f aca="false">IF(B410="","","B-"&amp;TEXT(ROW()-4,"0000"))</f>
        <v/>
      </c>
      <c r="B410" s="38"/>
      <c r="C410" s="38"/>
      <c r="D410" s="6"/>
      <c r="E410" s="6"/>
      <c r="F410" s="6"/>
      <c r="G410" s="11"/>
      <c r="H410" s="24" t="str">
        <f aca="false">IF(AND(ISNUMBER(B410),ISNUMBER(C410)),MAX(0,C410-B410),"")</f>
        <v/>
      </c>
      <c r="I410" s="37"/>
      <c r="J410" s="46" t="str">
        <f aca="false">IF(OR(D410="",N(H410)=0),"",IFERROR(IF(I410&lt;&gt;"",H410*I410,ROUND(((H410-(INT((WEEKDAY(B410-6)+H410-1)/7)+INT((WEEKDAY(B410-7)+H410-1)/7)))*INDEX(Properties!$E$5:$E$24,MATCH(D410,Properties!$A$5:$A$24,0))+(INT((WEEKDAY(B410-6)+H410-1)/7)+INT((WEEKDAY(B410-7)+H410-1)/7))*INDEX(Properties!$F$5:$F$24,MATCH(D410,Properties!$A$5:$A$24,0)))*(1-IF(H410&gt;=28,Settings!$B$10,IF(H410&gt;=7,Settings!$B$9,0))),2)),0))</f>
        <v/>
      </c>
      <c r="K410" s="46" t="str">
        <f aca="false">IF(J410="","",IFERROR(N(INDEX(Properties!$G$5:$G$24,MATCH(D410,Properties!$A$5:$A$24,0))),0))</f>
        <v/>
      </c>
      <c r="L410" s="46" t="str">
        <f aca="false">IF(J410="","",IFERROR(MAX(0,N(G410)-INDEX(Properties!$I$5:$I$24,MATCH(D410,Properties!$A$5:$A$24,0)))*N(INDEX(Properties!$J$5:$J$24,MATCH(D410,Properties!$A$5:$A$24,0)))*H410,0))</f>
        <v/>
      </c>
      <c r="M410" s="37"/>
      <c r="N410" s="46" t="str">
        <f aca="false">IF(J410="","",J410+K410+L410+N(M410))</f>
        <v/>
      </c>
      <c r="O410" s="46" t="str">
        <f aca="false">IF(N410="","",IF(P410&lt;&gt;"",N410-P410,ROUND(N410*IFERROR(INDEX(Settings!$E$5:$E$12,MATCH(F410,Settings!$D$5:$D$12,0)),0),2)))</f>
        <v/>
      </c>
      <c r="P410" s="37"/>
      <c r="Q410" s="46" t="str">
        <f aca="false">IF(N410="","",IF(P410&lt;&gt;"",P410,N410-O410))</f>
        <v/>
      </c>
      <c r="R410" s="46" t="str">
        <f aca="false">IF(J410="","",IFERROR(N(INDEX(Properties!$H$5:$H$24,MATCH(D410,Properties!$A$5:$A$24,0))),0))</f>
        <v/>
      </c>
      <c r="S410" s="46" t="str">
        <f aca="false">IF(Q410="","",Q410-R410)</f>
        <v/>
      </c>
      <c r="T410" s="6"/>
      <c r="U410" s="6"/>
      <c r="V410" s="6"/>
      <c r="W410" s="6"/>
      <c r="X410" s="6"/>
      <c r="Y410" s="8" t="str">
        <f aca="false">IF(OR(D410="",B410="",C410=""),"",IF(N(C410)&lt;=N(B410),"Check dates",IF(T410="Cancelled","",IF(COUNTIFS($D$5:$D$1004,D410,$B$5:$B$1004,"&lt;"&amp;C410,$C$5:$C$1004,"&gt;"&amp;B410,$T$5:$T$1004,"&lt;&gt;Cancelled")&gt;1,"Double-booked",""))))</f>
        <v/>
      </c>
      <c r="Z410" s="42" t="str">
        <f aca="false">IF(AND(AA410=1,ISNUMBER(C410)),C410+ROW()/100000,"")</f>
        <v/>
      </c>
      <c r="AA410" s="43" t="n">
        <f aca="false">IF(AND(D410&lt;&gt;"",ISNUMBER(B410),ISNUMBER(C410),N(H410)&gt;0,T410&lt;&gt;"Cancelled",J410&lt;&gt;""),1,0)</f>
        <v>0</v>
      </c>
      <c r="AB410" s="44" t="n">
        <f aca="false">IF(AA410=1,J410/H410,0)</f>
        <v>0</v>
      </c>
      <c r="AC410" s="44" t="n">
        <f aca="false">IF(AA410=1,Q410/H410,0)</f>
        <v>0</v>
      </c>
      <c r="AD410" s="44" t="n">
        <f aca="false">IF(AA410=1,R410/H410,0)</f>
        <v>0</v>
      </c>
      <c r="AE410" s="44" t="n">
        <f aca="false">IF(AA410=1,O410/H410,0)</f>
        <v>0</v>
      </c>
      <c r="AF410" s="44" t="n">
        <f aca="false">IF(AA410=1,K410/H410,0)</f>
        <v>0</v>
      </c>
      <c r="AG410" s="45" t="str">
        <f aca="false">IF(AA410=1,D410&amp;"|"&amp;TEXT(B410,"0"),"")</f>
        <v/>
      </c>
      <c r="AH410" s="43" t="n">
        <f aca="false">IF(AA410=1,H410,0)</f>
        <v>0</v>
      </c>
    </row>
    <row r="411" customFormat="false" ht="15" hidden="false" customHeight="false" outlineLevel="0" collapsed="false">
      <c r="A411" s="8" t="str">
        <f aca="false">IF(B411="","","B-"&amp;TEXT(ROW()-4,"0000"))</f>
        <v/>
      </c>
      <c r="B411" s="38"/>
      <c r="C411" s="38"/>
      <c r="D411" s="6"/>
      <c r="E411" s="6"/>
      <c r="F411" s="6"/>
      <c r="G411" s="11"/>
      <c r="H411" s="18" t="str">
        <f aca="false">IF(AND(ISNUMBER(B411),ISNUMBER(C411)),MAX(0,C411-B411),"")</f>
        <v/>
      </c>
      <c r="I411" s="37"/>
      <c r="J411" s="41" t="str">
        <f aca="false">IF(OR(D411="",N(H411)=0),"",IFERROR(IF(I411&lt;&gt;"",H411*I411,ROUND(((H411-(INT((WEEKDAY(B411-6)+H411-1)/7)+INT((WEEKDAY(B411-7)+H411-1)/7)))*INDEX(Properties!$E$5:$E$24,MATCH(D411,Properties!$A$5:$A$24,0))+(INT((WEEKDAY(B411-6)+H411-1)/7)+INT((WEEKDAY(B411-7)+H411-1)/7))*INDEX(Properties!$F$5:$F$24,MATCH(D411,Properties!$A$5:$A$24,0)))*(1-IF(H411&gt;=28,Settings!$B$10,IF(H411&gt;=7,Settings!$B$9,0))),2)),0))</f>
        <v/>
      </c>
      <c r="K411" s="41" t="str">
        <f aca="false">IF(J411="","",IFERROR(N(INDEX(Properties!$G$5:$G$24,MATCH(D411,Properties!$A$5:$A$24,0))),0))</f>
        <v/>
      </c>
      <c r="L411" s="41" t="str">
        <f aca="false">IF(J411="","",IFERROR(MAX(0,N(G411)-INDEX(Properties!$I$5:$I$24,MATCH(D411,Properties!$A$5:$A$24,0)))*N(INDEX(Properties!$J$5:$J$24,MATCH(D411,Properties!$A$5:$A$24,0)))*H411,0))</f>
        <v/>
      </c>
      <c r="M411" s="37"/>
      <c r="N411" s="41" t="str">
        <f aca="false">IF(J411="","",J411+K411+L411+N(M411))</f>
        <v/>
      </c>
      <c r="O411" s="41" t="str">
        <f aca="false">IF(N411="","",IF(P411&lt;&gt;"",N411-P411,ROUND(N411*IFERROR(INDEX(Settings!$E$5:$E$12,MATCH(F411,Settings!$D$5:$D$12,0)),0),2)))</f>
        <v/>
      </c>
      <c r="P411" s="37"/>
      <c r="Q411" s="41" t="str">
        <f aca="false">IF(N411="","",IF(P411&lt;&gt;"",P411,N411-O411))</f>
        <v/>
      </c>
      <c r="R411" s="41" t="str">
        <f aca="false">IF(J411="","",IFERROR(N(INDEX(Properties!$H$5:$H$24,MATCH(D411,Properties!$A$5:$A$24,0))),0))</f>
        <v/>
      </c>
      <c r="S411" s="41" t="str">
        <f aca="false">IF(Q411="","",Q411-R411)</f>
        <v/>
      </c>
      <c r="T411" s="6"/>
      <c r="U411" s="6"/>
      <c r="V411" s="6"/>
      <c r="W411" s="6"/>
      <c r="X411" s="6"/>
      <c r="Y411" s="8" t="str">
        <f aca="false">IF(OR(D411="",B411="",C411=""),"",IF(N(C411)&lt;=N(B411),"Check dates",IF(T411="Cancelled","",IF(COUNTIFS($D$5:$D$1004,D411,$B$5:$B$1004,"&lt;"&amp;C411,$C$5:$C$1004,"&gt;"&amp;B411,$T$5:$T$1004,"&lt;&gt;Cancelled")&gt;1,"Double-booked",""))))</f>
        <v/>
      </c>
      <c r="Z411" s="42" t="str">
        <f aca="false">IF(AND(AA411=1,ISNUMBER(C411)),C411+ROW()/100000,"")</f>
        <v/>
      </c>
      <c r="AA411" s="43" t="n">
        <f aca="false">IF(AND(D411&lt;&gt;"",ISNUMBER(B411),ISNUMBER(C411),N(H411)&gt;0,T411&lt;&gt;"Cancelled",J411&lt;&gt;""),1,0)</f>
        <v>0</v>
      </c>
      <c r="AB411" s="44" t="n">
        <f aca="false">IF(AA411=1,J411/H411,0)</f>
        <v>0</v>
      </c>
      <c r="AC411" s="44" t="n">
        <f aca="false">IF(AA411=1,Q411/H411,0)</f>
        <v>0</v>
      </c>
      <c r="AD411" s="44" t="n">
        <f aca="false">IF(AA411=1,R411/H411,0)</f>
        <v>0</v>
      </c>
      <c r="AE411" s="44" t="n">
        <f aca="false">IF(AA411=1,O411/H411,0)</f>
        <v>0</v>
      </c>
      <c r="AF411" s="44" t="n">
        <f aca="false">IF(AA411=1,K411/H411,0)</f>
        <v>0</v>
      </c>
      <c r="AG411" s="45" t="str">
        <f aca="false">IF(AA411=1,D411&amp;"|"&amp;TEXT(B411,"0"),"")</f>
        <v/>
      </c>
      <c r="AH411" s="43" t="n">
        <f aca="false">IF(AA411=1,H411,0)</f>
        <v>0</v>
      </c>
    </row>
    <row r="412" customFormat="false" ht="15" hidden="false" customHeight="false" outlineLevel="0" collapsed="false">
      <c r="A412" s="23" t="str">
        <f aca="false">IF(B412="","","B-"&amp;TEXT(ROW()-4,"0000"))</f>
        <v/>
      </c>
      <c r="B412" s="38"/>
      <c r="C412" s="38"/>
      <c r="D412" s="6"/>
      <c r="E412" s="6"/>
      <c r="F412" s="6"/>
      <c r="G412" s="11"/>
      <c r="H412" s="24" t="str">
        <f aca="false">IF(AND(ISNUMBER(B412),ISNUMBER(C412)),MAX(0,C412-B412),"")</f>
        <v/>
      </c>
      <c r="I412" s="37"/>
      <c r="J412" s="46" t="str">
        <f aca="false">IF(OR(D412="",N(H412)=0),"",IFERROR(IF(I412&lt;&gt;"",H412*I412,ROUND(((H412-(INT((WEEKDAY(B412-6)+H412-1)/7)+INT((WEEKDAY(B412-7)+H412-1)/7)))*INDEX(Properties!$E$5:$E$24,MATCH(D412,Properties!$A$5:$A$24,0))+(INT((WEEKDAY(B412-6)+H412-1)/7)+INT((WEEKDAY(B412-7)+H412-1)/7))*INDEX(Properties!$F$5:$F$24,MATCH(D412,Properties!$A$5:$A$24,0)))*(1-IF(H412&gt;=28,Settings!$B$10,IF(H412&gt;=7,Settings!$B$9,0))),2)),0))</f>
        <v/>
      </c>
      <c r="K412" s="46" t="str">
        <f aca="false">IF(J412="","",IFERROR(N(INDEX(Properties!$G$5:$G$24,MATCH(D412,Properties!$A$5:$A$24,0))),0))</f>
        <v/>
      </c>
      <c r="L412" s="46" t="str">
        <f aca="false">IF(J412="","",IFERROR(MAX(0,N(G412)-INDEX(Properties!$I$5:$I$24,MATCH(D412,Properties!$A$5:$A$24,0)))*N(INDEX(Properties!$J$5:$J$24,MATCH(D412,Properties!$A$5:$A$24,0)))*H412,0))</f>
        <v/>
      </c>
      <c r="M412" s="37"/>
      <c r="N412" s="46" t="str">
        <f aca="false">IF(J412="","",J412+K412+L412+N(M412))</f>
        <v/>
      </c>
      <c r="O412" s="46" t="str">
        <f aca="false">IF(N412="","",IF(P412&lt;&gt;"",N412-P412,ROUND(N412*IFERROR(INDEX(Settings!$E$5:$E$12,MATCH(F412,Settings!$D$5:$D$12,0)),0),2)))</f>
        <v/>
      </c>
      <c r="P412" s="37"/>
      <c r="Q412" s="46" t="str">
        <f aca="false">IF(N412="","",IF(P412&lt;&gt;"",P412,N412-O412))</f>
        <v/>
      </c>
      <c r="R412" s="46" t="str">
        <f aca="false">IF(J412="","",IFERROR(N(INDEX(Properties!$H$5:$H$24,MATCH(D412,Properties!$A$5:$A$24,0))),0))</f>
        <v/>
      </c>
      <c r="S412" s="46" t="str">
        <f aca="false">IF(Q412="","",Q412-R412)</f>
        <v/>
      </c>
      <c r="T412" s="6"/>
      <c r="U412" s="6"/>
      <c r="V412" s="6"/>
      <c r="W412" s="6"/>
      <c r="X412" s="6"/>
      <c r="Y412" s="8" t="str">
        <f aca="false">IF(OR(D412="",B412="",C412=""),"",IF(N(C412)&lt;=N(B412),"Check dates",IF(T412="Cancelled","",IF(COUNTIFS($D$5:$D$1004,D412,$B$5:$B$1004,"&lt;"&amp;C412,$C$5:$C$1004,"&gt;"&amp;B412,$T$5:$T$1004,"&lt;&gt;Cancelled")&gt;1,"Double-booked",""))))</f>
        <v/>
      </c>
      <c r="Z412" s="42" t="str">
        <f aca="false">IF(AND(AA412=1,ISNUMBER(C412)),C412+ROW()/100000,"")</f>
        <v/>
      </c>
      <c r="AA412" s="43" t="n">
        <f aca="false">IF(AND(D412&lt;&gt;"",ISNUMBER(B412),ISNUMBER(C412),N(H412)&gt;0,T412&lt;&gt;"Cancelled",J412&lt;&gt;""),1,0)</f>
        <v>0</v>
      </c>
      <c r="AB412" s="44" t="n">
        <f aca="false">IF(AA412=1,J412/H412,0)</f>
        <v>0</v>
      </c>
      <c r="AC412" s="44" t="n">
        <f aca="false">IF(AA412=1,Q412/H412,0)</f>
        <v>0</v>
      </c>
      <c r="AD412" s="44" t="n">
        <f aca="false">IF(AA412=1,R412/H412,0)</f>
        <v>0</v>
      </c>
      <c r="AE412" s="44" t="n">
        <f aca="false">IF(AA412=1,O412/H412,0)</f>
        <v>0</v>
      </c>
      <c r="AF412" s="44" t="n">
        <f aca="false">IF(AA412=1,K412/H412,0)</f>
        <v>0</v>
      </c>
      <c r="AG412" s="45" t="str">
        <f aca="false">IF(AA412=1,D412&amp;"|"&amp;TEXT(B412,"0"),"")</f>
        <v/>
      </c>
      <c r="AH412" s="43" t="n">
        <f aca="false">IF(AA412=1,H412,0)</f>
        <v>0</v>
      </c>
    </row>
    <row r="413" customFormat="false" ht="15" hidden="false" customHeight="false" outlineLevel="0" collapsed="false">
      <c r="A413" s="8" t="str">
        <f aca="false">IF(B413="","","B-"&amp;TEXT(ROW()-4,"0000"))</f>
        <v/>
      </c>
      <c r="B413" s="38"/>
      <c r="C413" s="38"/>
      <c r="D413" s="6"/>
      <c r="E413" s="6"/>
      <c r="F413" s="6"/>
      <c r="G413" s="11"/>
      <c r="H413" s="18" t="str">
        <f aca="false">IF(AND(ISNUMBER(B413),ISNUMBER(C413)),MAX(0,C413-B413),"")</f>
        <v/>
      </c>
      <c r="I413" s="37"/>
      <c r="J413" s="41" t="str">
        <f aca="false">IF(OR(D413="",N(H413)=0),"",IFERROR(IF(I413&lt;&gt;"",H413*I413,ROUND(((H413-(INT((WEEKDAY(B413-6)+H413-1)/7)+INT((WEEKDAY(B413-7)+H413-1)/7)))*INDEX(Properties!$E$5:$E$24,MATCH(D413,Properties!$A$5:$A$24,0))+(INT((WEEKDAY(B413-6)+H413-1)/7)+INT((WEEKDAY(B413-7)+H413-1)/7))*INDEX(Properties!$F$5:$F$24,MATCH(D413,Properties!$A$5:$A$24,0)))*(1-IF(H413&gt;=28,Settings!$B$10,IF(H413&gt;=7,Settings!$B$9,0))),2)),0))</f>
        <v/>
      </c>
      <c r="K413" s="41" t="str">
        <f aca="false">IF(J413="","",IFERROR(N(INDEX(Properties!$G$5:$G$24,MATCH(D413,Properties!$A$5:$A$24,0))),0))</f>
        <v/>
      </c>
      <c r="L413" s="41" t="str">
        <f aca="false">IF(J413="","",IFERROR(MAX(0,N(G413)-INDEX(Properties!$I$5:$I$24,MATCH(D413,Properties!$A$5:$A$24,0)))*N(INDEX(Properties!$J$5:$J$24,MATCH(D413,Properties!$A$5:$A$24,0)))*H413,0))</f>
        <v/>
      </c>
      <c r="M413" s="37"/>
      <c r="N413" s="41" t="str">
        <f aca="false">IF(J413="","",J413+K413+L413+N(M413))</f>
        <v/>
      </c>
      <c r="O413" s="41" t="str">
        <f aca="false">IF(N413="","",IF(P413&lt;&gt;"",N413-P413,ROUND(N413*IFERROR(INDEX(Settings!$E$5:$E$12,MATCH(F413,Settings!$D$5:$D$12,0)),0),2)))</f>
        <v/>
      </c>
      <c r="P413" s="37"/>
      <c r="Q413" s="41" t="str">
        <f aca="false">IF(N413="","",IF(P413&lt;&gt;"",P413,N413-O413))</f>
        <v/>
      </c>
      <c r="R413" s="41" t="str">
        <f aca="false">IF(J413="","",IFERROR(N(INDEX(Properties!$H$5:$H$24,MATCH(D413,Properties!$A$5:$A$24,0))),0))</f>
        <v/>
      </c>
      <c r="S413" s="41" t="str">
        <f aca="false">IF(Q413="","",Q413-R413)</f>
        <v/>
      </c>
      <c r="T413" s="6"/>
      <c r="U413" s="6"/>
      <c r="V413" s="6"/>
      <c r="W413" s="6"/>
      <c r="X413" s="6"/>
      <c r="Y413" s="8" t="str">
        <f aca="false">IF(OR(D413="",B413="",C413=""),"",IF(N(C413)&lt;=N(B413),"Check dates",IF(T413="Cancelled","",IF(COUNTIFS($D$5:$D$1004,D413,$B$5:$B$1004,"&lt;"&amp;C413,$C$5:$C$1004,"&gt;"&amp;B413,$T$5:$T$1004,"&lt;&gt;Cancelled")&gt;1,"Double-booked",""))))</f>
        <v/>
      </c>
      <c r="Z413" s="42" t="str">
        <f aca="false">IF(AND(AA413=1,ISNUMBER(C413)),C413+ROW()/100000,"")</f>
        <v/>
      </c>
      <c r="AA413" s="43" t="n">
        <f aca="false">IF(AND(D413&lt;&gt;"",ISNUMBER(B413),ISNUMBER(C413),N(H413)&gt;0,T413&lt;&gt;"Cancelled",J413&lt;&gt;""),1,0)</f>
        <v>0</v>
      </c>
      <c r="AB413" s="44" t="n">
        <f aca="false">IF(AA413=1,J413/H413,0)</f>
        <v>0</v>
      </c>
      <c r="AC413" s="44" t="n">
        <f aca="false">IF(AA413=1,Q413/H413,0)</f>
        <v>0</v>
      </c>
      <c r="AD413" s="44" t="n">
        <f aca="false">IF(AA413=1,R413/H413,0)</f>
        <v>0</v>
      </c>
      <c r="AE413" s="44" t="n">
        <f aca="false">IF(AA413=1,O413/H413,0)</f>
        <v>0</v>
      </c>
      <c r="AF413" s="44" t="n">
        <f aca="false">IF(AA413=1,K413/H413,0)</f>
        <v>0</v>
      </c>
      <c r="AG413" s="45" t="str">
        <f aca="false">IF(AA413=1,D413&amp;"|"&amp;TEXT(B413,"0"),"")</f>
        <v/>
      </c>
      <c r="AH413" s="43" t="n">
        <f aca="false">IF(AA413=1,H413,0)</f>
        <v>0</v>
      </c>
    </row>
    <row r="414" customFormat="false" ht="15" hidden="false" customHeight="false" outlineLevel="0" collapsed="false">
      <c r="A414" s="23" t="str">
        <f aca="false">IF(B414="","","B-"&amp;TEXT(ROW()-4,"0000"))</f>
        <v/>
      </c>
      <c r="B414" s="38"/>
      <c r="C414" s="38"/>
      <c r="D414" s="6"/>
      <c r="E414" s="6"/>
      <c r="F414" s="6"/>
      <c r="G414" s="11"/>
      <c r="H414" s="24" t="str">
        <f aca="false">IF(AND(ISNUMBER(B414),ISNUMBER(C414)),MAX(0,C414-B414),"")</f>
        <v/>
      </c>
      <c r="I414" s="37"/>
      <c r="J414" s="46" t="str">
        <f aca="false">IF(OR(D414="",N(H414)=0),"",IFERROR(IF(I414&lt;&gt;"",H414*I414,ROUND(((H414-(INT((WEEKDAY(B414-6)+H414-1)/7)+INT((WEEKDAY(B414-7)+H414-1)/7)))*INDEX(Properties!$E$5:$E$24,MATCH(D414,Properties!$A$5:$A$24,0))+(INT((WEEKDAY(B414-6)+H414-1)/7)+INT((WEEKDAY(B414-7)+H414-1)/7))*INDEX(Properties!$F$5:$F$24,MATCH(D414,Properties!$A$5:$A$24,0)))*(1-IF(H414&gt;=28,Settings!$B$10,IF(H414&gt;=7,Settings!$B$9,0))),2)),0))</f>
        <v/>
      </c>
      <c r="K414" s="46" t="str">
        <f aca="false">IF(J414="","",IFERROR(N(INDEX(Properties!$G$5:$G$24,MATCH(D414,Properties!$A$5:$A$24,0))),0))</f>
        <v/>
      </c>
      <c r="L414" s="46" t="str">
        <f aca="false">IF(J414="","",IFERROR(MAX(0,N(G414)-INDEX(Properties!$I$5:$I$24,MATCH(D414,Properties!$A$5:$A$24,0)))*N(INDEX(Properties!$J$5:$J$24,MATCH(D414,Properties!$A$5:$A$24,0)))*H414,0))</f>
        <v/>
      </c>
      <c r="M414" s="37"/>
      <c r="N414" s="46" t="str">
        <f aca="false">IF(J414="","",J414+K414+L414+N(M414))</f>
        <v/>
      </c>
      <c r="O414" s="46" t="str">
        <f aca="false">IF(N414="","",IF(P414&lt;&gt;"",N414-P414,ROUND(N414*IFERROR(INDEX(Settings!$E$5:$E$12,MATCH(F414,Settings!$D$5:$D$12,0)),0),2)))</f>
        <v/>
      </c>
      <c r="P414" s="37"/>
      <c r="Q414" s="46" t="str">
        <f aca="false">IF(N414="","",IF(P414&lt;&gt;"",P414,N414-O414))</f>
        <v/>
      </c>
      <c r="R414" s="46" t="str">
        <f aca="false">IF(J414="","",IFERROR(N(INDEX(Properties!$H$5:$H$24,MATCH(D414,Properties!$A$5:$A$24,0))),0))</f>
        <v/>
      </c>
      <c r="S414" s="46" t="str">
        <f aca="false">IF(Q414="","",Q414-R414)</f>
        <v/>
      </c>
      <c r="T414" s="6"/>
      <c r="U414" s="6"/>
      <c r="V414" s="6"/>
      <c r="W414" s="6"/>
      <c r="X414" s="6"/>
      <c r="Y414" s="8" t="str">
        <f aca="false">IF(OR(D414="",B414="",C414=""),"",IF(N(C414)&lt;=N(B414),"Check dates",IF(T414="Cancelled","",IF(COUNTIFS($D$5:$D$1004,D414,$B$5:$B$1004,"&lt;"&amp;C414,$C$5:$C$1004,"&gt;"&amp;B414,$T$5:$T$1004,"&lt;&gt;Cancelled")&gt;1,"Double-booked",""))))</f>
        <v/>
      </c>
      <c r="Z414" s="42" t="str">
        <f aca="false">IF(AND(AA414=1,ISNUMBER(C414)),C414+ROW()/100000,"")</f>
        <v/>
      </c>
      <c r="AA414" s="43" t="n">
        <f aca="false">IF(AND(D414&lt;&gt;"",ISNUMBER(B414),ISNUMBER(C414),N(H414)&gt;0,T414&lt;&gt;"Cancelled",J414&lt;&gt;""),1,0)</f>
        <v>0</v>
      </c>
      <c r="AB414" s="44" t="n">
        <f aca="false">IF(AA414=1,J414/H414,0)</f>
        <v>0</v>
      </c>
      <c r="AC414" s="44" t="n">
        <f aca="false">IF(AA414=1,Q414/H414,0)</f>
        <v>0</v>
      </c>
      <c r="AD414" s="44" t="n">
        <f aca="false">IF(AA414=1,R414/H414,0)</f>
        <v>0</v>
      </c>
      <c r="AE414" s="44" t="n">
        <f aca="false">IF(AA414=1,O414/H414,0)</f>
        <v>0</v>
      </c>
      <c r="AF414" s="44" t="n">
        <f aca="false">IF(AA414=1,K414/H414,0)</f>
        <v>0</v>
      </c>
      <c r="AG414" s="45" t="str">
        <f aca="false">IF(AA414=1,D414&amp;"|"&amp;TEXT(B414,"0"),"")</f>
        <v/>
      </c>
      <c r="AH414" s="43" t="n">
        <f aca="false">IF(AA414=1,H414,0)</f>
        <v>0</v>
      </c>
    </row>
    <row r="415" customFormat="false" ht="15" hidden="false" customHeight="false" outlineLevel="0" collapsed="false">
      <c r="A415" s="8" t="str">
        <f aca="false">IF(B415="","","B-"&amp;TEXT(ROW()-4,"0000"))</f>
        <v/>
      </c>
      <c r="B415" s="38"/>
      <c r="C415" s="38"/>
      <c r="D415" s="6"/>
      <c r="E415" s="6"/>
      <c r="F415" s="6"/>
      <c r="G415" s="11"/>
      <c r="H415" s="18" t="str">
        <f aca="false">IF(AND(ISNUMBER(B415),ISNUMBER(C415)),MAX(0,C415-B415),"")</f>
        <v/>
      </c>
      <c r="I415" s="37"/>
      <c r="J415" s="41" t="str">
        <f aca="false">IF(OR(D415="",N(H415)=0),"",IFERROR(IF(I415&lt;&gt;"",H415*I415,ROUND(((H415-(INT((WEEKDAY(B415-6)+H415-1)/7)+INT((WEEKDAY(B415-7)+H415-1)/7)))*INDEX(Properties!$E$5:$E$24,MATCH(D415,Properties!$A$5:$A$24,0))+(INT((WEEKDAY(B415-6)+H415-1)/7)+INT((WEEKDAY(B415-7)+H415-1)/7))*INDEX(Properties!$F$5:$F$24,MATCH(D415,Properties!$A$5:$A$24,0)))*(1-IF(H415&gt;=28,Settings!$B$10,IF(H415&gt;=7,Settings!$B$9,0))),2)),0))</f>
        <v/>
      </c>
      <c r="K415" s="41" t="str">
        <f aca="false">IF(J415="","",IFERROR(N(INDEX(Properties!$G$5:$G$24,MATCH(D415,Properties!$A$5:$A$24,0))),0))</f>
        <v/>
      </c>
      <c r="L415" s="41" t="str">
        <f aca="false">IF(J415="","",IFERROR(MAX(0,N(G415)-INDEX(Properties!$I$5:$I$24,MATCH(D415,Properties!$A$5:$A$24,0)))*N(INDEX(Properties!$J$5:$J$24,MATCH(D415,Properties!$A$5:$A$24,0)))*H415,0))</f>
        <v/>
      </c>
      <c r="M415" s="37"/>
      <c r="N415" s="41" t="str">
        <f aca="false">IF(J415="","",J415+K415+L415+N(M415))</f>
        <v/>
      </c>
      <c r="O415" s="41" t="str">
        <f aca="false">IF(N415="","",IF(P415&lt;&gt;"",N415-P415,ROUND(N415*IFERROR(INDEX(Settings!$E$5:$E$12,MATCH(F415,Settings!$D$5:$D$12,0)),0),2)))</f>
        <v/>
      </c>
      <c r="P415" s="37"/>
      <c r="Q415" s="41" t="str">
        <f aca="false">IF(N415="","",IF(P415&lt;&gt;"",P415,N415-O415))</f>
        <v/>
      </c>
      <c r="R415" s="41" t="str">
        <f aca="false">IF(J415="","",IFERROR(N(INDEX(Properties!$H$5:$H$24,MATCH(D415,Properties!$A$5:$A$24,0))),0))</f>
        <v/>
      </c>
      <c r="S415" s="41" t="str">
        <f aca="false">IF(Q415="","",Q415-R415)</f>
        <v/>
      </c>
      <c r="T415" s="6"/>
      <c r="U415" s="6"/>
      <c r="V415" s="6"/>
      <c r="W415" s="6"/>
      <c r="X415" s="6"/>
      <c r="Y415" s="8" t="str">
        <f aca="false">IF(OR(D415="",B415="",C415=""),"",IF(N(C415)&lt;=N(B415),"Check dates",IF(T415="Cancelled","",IF(COUNTIFS($D$5:$D$1004,D415,$B$5:$B$1004,"&lt;"&amp;C415,$C$5:$C$1004,"&gt;"&amp;B415,$T$5:$T$1004,"&lt;&gt;Cancelled")&gt;1,"Double-booked",""))))</f>
        <v/>
      </c>
      <c r="Z415" s="42" t="str">
        <f aca="false">IF(AND(AA415=1,ISNUMBER(C415)),C415+ROW()/100000,"")</f>
        <v/>
      </c>
      <c r="AA415" s="43" t="n">
        <f aca="false">IF(AND(D415&lt;&gt;"",ISNUMBER(B415),ISNUMBER(C415),N(H415)&gt;0,T415&lt;&gt;"Cancelled",J415&lt;&gt;""),1,0)</f>
        <v>0</v>
      </c>
      <c r="AB415" s="44" t="n">
        <f aca="false">IF(AA415=1,J415/H415,0)</f>
        <v>0</v>
      </c>
      <c r="AC415" s="44" t="n">
        <f aca="false">IF(AA415=1,Q415/H415,0)</f>
        <v>0</v>
      </c>
      <c r="AD415" s="44" t="n">
        <f aca="false">IF(AA415=1,R415/H415,0)</f>
        <v>0</v>
      </c>
      <c r="AE415" s="44" t="n">
        <f aca="false">IF(AA415=1,O415/H415,0)</f>
        <v>0</v>
      </c>
      <c r="AF415" s="44" t="n">
        <f aca="false">IF(AA415=1,K415/H415,0)</f>
        <v>0</v>
      </c>
      <c r="AG415" s="45" t="str">
        <f aca="false">IF(AA415=1,D415&amp;"|"&amp;TEXT(B415,"0"),"")</f>
        <v/>
      </c>
      <c r="AH415" s="43" t="n">
        <f aca="false">IF(AA415=1,H415,0)</f>
        <v>0</v>
      </c>
    </row>
    <row r="416" customFormat="false" ht="15" hidden="false" customHeight="false" outlineLevel="0" collapsed="false">
      <c r="A416" s="23" t="str">
        <f aca="false">IF(B416="","","B-"&amp;TEXT(ROW()-4,"0000"))</f>
        <v/>
      </c>
      <c r="B416" s="38"/>
      <c r="C416" s="38"/>
      <c r="D416" s="6"/>
      <c r="E416" s="6"/>
      <c r="F416" s="6"/>
      <c r="G416" s="11"/>
      <c r="H416" s="24" t="str">
        <f aca="false">IF(AND(ISNUMBER(B416),ISNUMBER(C416)),MAX(0,C416-B416),"")</f>
        <v/>
      </c>
      <c r="I416" s="37"/>
      <c r="J416" s="46" t="str">
        <f aca="false">IF(OR(D416="",N(H416)=0),"",IFERROR(IF(I416&lt;&gt;"",H416*I416,ROUND(((H416-(INT((WEEKDAY(B416-6)+H416-1)/7)+INT((WEEKDAY(B416-7)+H416-1)/7)))*INDEX(Properties!$E$5:$E$24,MATCH(D416,Properties!$A$5:$A$24,0))+(INT((WEEKDAY(B416-6)+H416-1)/7)+INT((WEEKDAY(B416-7)+H416-1)/7))*INDEX(Properties!$F$5:$F$24,MATCH(D416,Properties!$A$5:$A$24,0)))*(1-IF(H416&gt;=28,Settings!$B$10,IF(H416&gt;=7,Settings!$B$9,0))),2)),0))</f>
        <v/>
      </c>
      <c r="K416" s="46" t="str">
        <f aca="false">IF(J416="","",IFERROR(N(INDEX(Properties!$G$5:$G$24,MATCH(D416,Properties!$A$5:$A$24,0))),0))</f>
        <v/>
      </c>
      <c r="L416" s="46" t="str">
        <f aca="false">IF(J416="","",IFERROR(MAX(0,N(G416)-INDEX(Properties!$I$5:$I$24,MATCH(D416,Properties!$A$5:$A$24,0)))*N(INDEX(Properties!$J$5:$J$24,MATCH(D416,Properties!$A$5:$A$24,0)))*H416,0))</f>
        <v/>
      </c>
      <c r="M416" s="37"/>
      <c r="N416" s="46" t="str">
        <f aca="false">IF(J416="","",J416+K416+L416+N(M416))</f>
        <v/>
      </c>
      <c r="O416" s="46" t="str">
        <f aca="false">IF(N416="","",IF(P416&lt;&gt;"",N416-P416,ROUND(N416*IFERROR(INDEX(Settings!$E$5:$E$12,MATCH(F416,Settings!$D$5:$D$12,0)),0),2)))</f>
        <v/>
      </c>
      <c r="P416" s="37"/>
      <c r="Q416" s="46" t="str">
        <f aca="false">IF(N416="","",IF(P416&lt;&gt;"",P416,N416-O416))</f>
        <v/>
      </c>
      <c r="R416" s="46" t="str">
        <f aca="false">IF(J416="","",IFERROR(N(INDEX(Properties!$H$5:$H$24,MATCH(D416,Properties!$A$5:$A$24,0))),0))</f>
        <v/>
      </c>
      <c r="S416" s="46" t="str">
        <f aca="false">IF(Q416="","",Q416-R416)</f>
        <v/>
      </c>
      <c r="T416" s="6"/>
      <c r="U416" s="6"/>
      <c r="V416" s="6"/>
      <c r="W416" s="6"/>
      <c r="X416" s="6"/>
      <c r="Y416" s="8" t="str">
        <f aca="false">IF(OR(D416="",B416="",C416=""),"",IF(N(C416)&lt;=N(B416),"Check dates",IF(T416="Cancelled","",IF(COUNTIFS($D$5:$D$1004,D416,$B$5:$B$1004,"&lt;"&amp;C416,$C$5:$C$1004,"&gt;"&amp;B416,$T$5:$T$1004,"&lt;&gt;Cancelled")&gt;1,"Double-booked",""))))</f>
        <v/>
      </c>
      <c r="Z416" s="42" t="str">
        <f aca="false">IF(AND(AA416=1,ISNUMBER(C416)),C416+ROW()/100000,"")</f>
        <v/>
      </c>
      <c r="AA416" s="43" t="n">
        <f aca="false">IF(AND(D416&lt;&gt;"",ISNUMBER(B416),ISNUMBER(C416),N(H416)&gt;0,T416&lt;&gt;"Cancelled",J416&lt;&gt;""),1,0)</f>
        <v>0</v>
      </c>
      <c r="AB416" s="44" t="n">
        <f aca="false">IF(AA416=1,J416/H416,0)</f>
        <v>0</v>
      </c>
      <c r="AC416" s="44" t="n">
        <f aca="false">IF(AA416=1,Q416/H416,0)</f>
        <v>0</v>
      </c>
      <c r="AD416" s="44" t="n">
        <f aca="false">IF(AA416=1,R416/H416,0)</f>
        <v>0</v>
      </c>
      <c r="AE416" s="44" t="n">
        <f aca="false">IF(AA416=1,O416/H416,0)</f>
        <v>0</v>
      </c>
      <c r="AF416" s="44" t="n">
        <f aca="false">IF(AA416=1,K416/H416,0)</f>
        <v>0</v>
      </c>
      <c r="AG416" s="45" t="str">
        <f aca="false">IF(AA416=1,D416&amp;"|"&amp;TEXT(B416,"0"),"")</f>
        <v/>
      </c>
      <c r="AH416" s="43" t="n">
        <f aca="false">IF(AA416=1,H416,0)</f>
        <v>0</v>
      </c>
    </row>
    <row r="417" customFormat="false" ht="15" hidden="false" customHeight="false" outlineLevel="0" collapsed="false">
      <c r="A417" s="8" t="str">
        <f aca="false">IF(B417="","","B-"&amp;TEXT(ROW()-4,"0000"))</f>
        <v/>
      </c>
      <c r="B417" s="38"/>
      <c r="C417" s="38"/>
      <c r="D417" s="6"/>
      <c r="E417" s="6"/>
      <c r="F417" s="6"/>
      <c r="G417" s="11"/>
      <c r="H417" s="18" t="str">
        <f aca="false">IF(AND(ISNUMBER(B417),ISNUMBER(C417)),MAX(0,C417-B417),"")</f>
        <v/>
      </c>
      <c r="I417" s="37"/>
      <c r="J417" s="41" t="str">
        <f aca="false">IF(OR(D417="",N(H417)=0),"",IFERROR(IF(I417&lt;&gt;"",H417*I417,ROUND(((H417-(INT((WEEKDAY(B417-6)+H417-1)/7)+INT((WEEKDAY(B417-7)+H417-1)/7)))*INDEX(Properties!$E$5:$E$24,MATCH(D417,Properties!$A$5:$A$24,0))+(INT((WEEKDAY(B417-6)+H417-1)/7)+INT((WEEKDAY(B417-7)+H417-1)/7))*INDEX(Properties!$F$5:$F$24,MATCH(D417,Properties!$A$5:$A$24,0)))*(1-IF(H417&gt;=28,Settings!$B$10,IF(H417&gt;=7,Settings!$B$9,0))),2)),0))</f>
        <v/>
      </c>
      <c r="K417" s="41" t="str">
        <f aca="false">IF(J417="","",IFERROR(N(INDEX(Properties!$G$5:$G$24,MATCH(D417,Properties!$A$5:$A$24,0))),0))</f>
        <v/>
      </c>
      <c r="L417" s="41" t="str">
        <f aca="false">IF(J417="","",IFERROR(MAX(0,N(G417)-INDEX(Properties!$I$5:$I$24,MATCH(D417,Properties!$A$5:$A$24,0)))*N(INDEX(Properties!$J$5:$J$24,MATCH(D417,Properties!$A$5:$A$24,0)))*H417,0))</f>
        <v/>
      </c>
      <c r="M417" s="37"/>
      <c r="N417" s="41" t="str">
        <f aca="false">IF(J417="","",J417+K417+L417+N(M417))</f>
        <v/>
      </c>
      <c r="O417" s="41" t="str">
        <f aca="false">IF(N417="","",IF(P417&lt;&gt;"",N417-P417,ROUND(N417*IFERROR(INDEX(Settings!$E$5:$E$12,MATCH(F417,Settings!$D$5:$D$12,0)),0),2)))</f>
        <v/>
      </c>
      <c r="P417" s="37"/>
      <c r="Q417" s="41" t="str">
        <f aca="false">IF(N417="","",IF(P417&lt;&gt;"",P417,N417-O417))</f>
        <v/>
      </c>
      <c r="R417" s="41" t="str">
        <f aca="false">IF(J417="","",IFERROR(N(INDEX(Properties!$H$5:$H$24,MATCH(D417,Properties!$A$5:$A$24,0))),0))</f>
        <v/>
      </c>
      <c r="S417" s="41" t="str">
        <f aca="false">IF(Q417="","",Q417-R417)</f>
        <v/>
      </c>
      <c r="T417" s="6"/>
      <c r="U417" s="6"/>
      <c r="V417" s="6"/>
      <c r="W417" s="6"/>
      <c r="X417" s="6"/>
      <c r="Y417" s="8" t="str">
        <f aca="false">IF(OR(D417="",B417="",C417=""),"",IF(N(C417)&lt;=N(B417),"Check dates",IF(T417="Cancelled","",IF(COUNTIFS($D$5:$D$1004,D417,$B$5:$B$1004,"&lt;"&amp;C417,$C$5:$C$1004,"&gt;"&amp;B417,$T$5:$T$1004,"&lt;&gt;Cancelled")&gt;1,"Double-booked",""))))</f>
        <v/>
      </c>
      <c r="Z417" s="42" t="str">
        <f aca="false">IF(AND(AA417=1,ISNUMBER(C417)),C417+ROW()/100000,"")</f>
        <v/>
      </c>
      <c r="AA417" s="43" t="n">
        <f aca="false">IF(AND(D417&lt;&gt;"",ISNUMBER(B417),ISNUMBER(C417),N(H417)&gt;0,T417&lt;&gt;"Cancelled",J417&lt;&gt;""),1,0)</f>
        <v>0</v>
      </c>
      <c r="AB417" s="44" t="n">
        <f aca="false">IF(AA417=1,J417/H417,0)</f>
        <v>0</v>
      </c>
      <c r="AC417" s="44" t="n">
        <f aca="false">IF(AA417=1,Q417/H417,0)</f>
        <v>0</v>
      </c>
      <c r="AD417" s="44" t="n">
        <f aca="false">IF(AA417=1,R417/H417,0)</f>
        <v>0</v>
      </c>
      <c r="AE417" s="44" t="n">
        <f aca="false">IF(AA417=1,O417/H417,0)</f>
        <v>0</v>
      </c>
      <c r="AF417" s="44" t="n">
        <f aca="false">IF(AA417=1,K417/H417,0)</f>
        <v>0</v>
      </c>
      <c r="AG417" s="45" t="str">
        <f aca="false">IF(AA417=1,D417&amp;"|"&amp;TEXT(B417,"0"),"")</f>
        <v/>
      </c>
      <c r="AH417" s="43" t="n">
        <f aca="false">IF(AA417=1,H417,0)</f>
        <v>0</v>
      </c>
    </row>
    <row r="418" customFormat="false" ht="15" hidden="false" customHeight="false" outlineLevel="0" collapsed="false">
      <c r="A418" s="23" t="str">
        <f aca="false">IF(B418="","","B-"&amp;TEXT(ROW()-4,"0000"))</f>
        <v/>
      </c>
      <c r="B418" s="38"/>
      <c r="C418" s="38"/>
      <c r="D418" s="6"/>
      <c r="E418" s="6"/>
      <c r="F418" s="6"/>
      <c r="G418" s="11"/>
      <c r="H418" s="24" t="str">
        <f aca="false">IF(AND(ISNUMBER(B418),ISNUMBER(C418)),MAX(0,C418-B418),"")</f>
        <v/>
      </c>
      <c r="I418" s="37"/>
      <c r="J418" s="46" t="str">
        <f aca="false">IF(OR(D418="",N(H418)=0),"",IFERROR(IF(I418&lt;&gt;"",H418*I418,ROUND(((H418-(INT((WEEKDAY(B418-6)+H418-1)/7)+INT((WEEKDAY(B418-7)+H418-1)/7)))*INDEX(Properties!$E$5:$E$24,MATCH(D418,Properties!$A$5:$A$24,0))+(INT((WEEKDAY(B418-6)+H418-1)/7)+INT((WEEKDAY(B418-7)+H418-1)/7))*INDEX(Properties!$F$5:$F$24,MATCH(D418,Properties!$A$5:$A$24,0)))*(1-IF(H418&gt;=28,Settings!$B$10,IF(H418&gt;=7,Settings!$B$9,0))),2)),0))</f>
        <v/>
      </c>
      <c r="K418" s="46" t="str">
        <f aca="false">IF(J418="","",IFERROR(N(INDEX(Properties!$G$5:$G$24,MATCH(D418,Properties!$A$5:$A$24,0))),0))</f>
        <v/>
      </c>
      <c r="L418" s="46" t="str">
        <f aca="false">IF(J418="","",IFERROR(MAX(0,N(G418)-INDEX(Properties!$I$5:$I$24,MATCH(D418,Properties!$A$5:$A$24,0)))*N(INDEX(Properties!$J$5:$J$24,MATCH(D418,Properties!$A$5:$A$24,0)))*H418,0))</f>
        <v/>
      </c>
      <c r="M418" s="37"/>
      <c r="N418" s="46" t="str">
        <f aca="false">IF(J418="","",J418+K418+L418+N(M418))</f>
        <v/>
      </c>
      <c r="O418" s="46" t="str">
        <f aca="false">IF(N418="","",IF(P418&lt;&gt;"",N418-P418,ROUND(N418*IFERROR(INDEX(Settings!$E$5:$E$12,MATCH(F418,Settings!$D$5:$D$12,0)),0),2)))</f>
        <v/>
      </c>
      <c r="P418" s="37"/>
      <c r="Q418" s="46" t="str">
        <f aca="false">IF(N418="","",IF(P418&lt;&gt;"",P418,N418-O418))</f>
        <v/>
      </c>
      <c r="R418" s="46" t="str">
        <f aca="false">IF(J418="","",IFERROR(N(INDEX(Properties!$H$5:$H$24,MATCH(D418,Properties!$A$5:$A$24,0))),0))</f>
        <v/>
      </c>
      <c r="S418" s="46" t="str">
        <f aca="false">IF(Q418="","",Q418-R418)</f>
        <v/>
      </c>
      <c r="T418" s="6"/>
      <c r="U418" s="6"/>
      <c r="V418" s="6"/>
      <c r="W418" s="6"/>
      <c r="X418" s="6"/>
      <c r="Y418" s="8" t="str">
        <f aca="false">IF(OR(D418="",B418="",C418=""),"",IF(N(C418)&lt;=N(B418),"Check dates",IF(T418="Cancelled","",IF(COUNTIFS($D$5:$D$1004,D418,$B$5:$B$1004,"&lt;"&amp;C418,$C$5:$C$1004,"&gt;"&amp;B418,$T$5:$T$1004,"&lt;&gt;Cancelled")&gt;1,"Double-booked",""))))</f>
        <v/>
      </c>
      <c r="Z418" s="42" t="str">
        <f aca="false">IF(AND(AA418=1,ISNUMBER(C418)),C418+ROW()/100000,"")</f>
        <v/>
      </c>
      <c r="AA418" s="43" t="n">
        <f aca="false">IF(AND(D418&lt;&gt;"",ISNUMBER(B418),ISNUMBER(C418),N(H418)&gt;0,T418&lt;&gt;"Cancelled",J418&lt;&gt;""),1,0)</f>
        <v>0</v>
      </c>
      <c r="AB418" s="44" t="n">
        <f aca="false">IF(AA418=1,J418/H418,0)</f>
        <v>0</v>
      </c>
      <c r="AC418" s="44" t="n">
        <f aca="false">IF(AA418=1,Q418/H418,0)</f>
        <v>0</v>
      </c>
      <c r="AD418" s="44" t="n">
        <f aca="false">IF(AA418=1,R418/H418,0)</f>
        <v>0</v>
      </c>
      <c r="AE418" s="44" t="n">
        <f aca="false">IF(AA418=1,O418/H418,0)</f>
        <v>0</v>
      </c>
      <c r="AF418" s="44" t="n">
        <f aca="false">IF(AA418=1,K418/H418,0)</f>
        <v>0</v>
      </c>
      <c r="AG418" s="45" t="str">
        <f aca="false">IF(AA418=1,D418&amp;"|"&amp;TEXT(B418,"0"),"")</f>
        <v/>
      </c>
      <c r="AH418" s="43" t="n">
        <f aca="false">IF(AA418=1,H418,0)</f>
        <v>0</v>
      </c>
    </row>
    <row r="419" customFormat="false" ht="15" hidden="false" customHeight="false" outlineLevel="0" collapsed="false">
      <c r="A419" s="8" t="str">
        <f aca="false">IF(B419="","","B-"&amp;TEXT(ROW()-4,"0000"))</f>
        <v/>
      </c>
      <c r="B419" s="38"/>
      <c r="C419" s="38"/>
      <c r="D419" s="6"/>
      <c r="E419" s="6"/>
      <c r="F419" s="6"/>
      <c r="G419" s="11"/>
      <c r="H419" s="18" t="str">
        <f aca="false">IF(AND(ISNUMBER(B419),ISNUMBER(C419)),MAX(0,C419-B419),"")</f>
        <v/>
      </c>
      <c r="I419" s="37"/>
      <c r="J419" s="41" t="str">
        <f aca="false">IF(OR(D419="",N(H419)=0),"",IFERROR(IF(I419&lt;&gt;"",H419*I419,ROUND(((H419-(INT((WEEKDAY(B419-6)+H419-1)/7)+INT((WEEKDAY(B419-7)+H419-1)/7)))*INDEX(Properties!$E$5:$E$24,MATCH(D419,Properties!$A$5:$A$24,0))+(INT((WEEKDAY(B419-6)+H419-1)/7)+INT((WEEKDAY(B419-7)+H419-1)/7))*INDEX(Properties!$F$5:$F$24,MATCH(D419,Properties!$A$5:$A$24,0)))*(1-IF(H419&gt;=28,Settings!$B$10,IF(H419&gt;=7,Settings!$B$9,0))),2)),0))</f>
        <v/>
      </c>
      <c r="K419" s="41" t="str">
        <f aca="false">IF(J419="","",IFERROR(N(INDEX(Properties!$G$5:$G$24,MATCH(D419,Properties!$A$5:$A$24,0))),0))</f>
        <v/>
      </c>
      <c r="L419" s="41" t="str">
        <f aca="false">IF(J419="","",IFERROR(MAX(0,N(G419)-INDEX(Properties!$I$5:$I$24,MATCH(D419,Properties!$A$5:$A$24,0)))*N(INDEX(Properties!$J$5:$J$24,MATCH(D419,Properties!$A$5:$A$24,0)))*H419,0))</f>
        <v/>
      </c>
      <c r="M419" s="37"/>
      <c r="N419" s="41" t="str">
        <f aca="false">IF(J419="","",J419+K419+L419+N(M419))</f>
        <v/>
      </c>
      <c r="O419" s="41" t="str">
        <f aca="false">IF(N419="","",IF(P419&lt;&gt;"",N419-P419,ROUND(N419*IFERROR(INDEX(Settings!$E$5:$E$12,MATCH(F419,Settings!$D$5:$D$12,0)),0),2)))</f>
        <v/>
      </c>
      <c r="P419" s="37"/>
      <c r="Q419" s="41" t="str">
        <f aca="false">IF(N419="","",IF(P419&lt;&gt;"",P419,N419-O419))</f>
        <v/>
      </c>
      <c r="R419" s="41" t="str">
        <f aca="false">IF(J419="","",IFERROR(N(INDEX(Properties!$H$5:$H$24,MATCH(D419,Properties!$A$5:$A$24,0))),0))</f>
        <v/>
      </c>
      <c r="S419" s="41" t="str">
        <f aca="false">IF(Q419="","",Q419-R419)</f>
        <v/>
      </c>
      <c r="T419" s="6"/>
      <c r="U419" s="6"/>
      <c r="V419" s="6"/>
      <c r="W419" s="6"/>
      <c r="X419" s="6"/>
      <c r="Y419" s="8" t="str">
        <f aca="false">IF(OR(D419="",B419="",C419=""),"",IF(N(C419)&lt;=N(B419),"Check dates",IF(T419="Cancelled","",IF(COUNTIFS($D$5:$D$1004,D419,$B$5:$B$1004,"&lt;"&amp;C419,$C$5:$C$1004,"&gt;"&amp;B419,$T$5:$T$1004,"&lt;&gt;Cancelled")&gt;1,"Double-booked",""))))</f>
        <v/>
      </c>
      <c r="Z419" s="42" t="str">
        <f aca="false">IF(AND(AA419=1,ISNUMBER(C419)),C419+ROW()/100000,"")</f>
        <v/>
      </c>
      <c r="AA419" s="43" t="n">
        <f aca="false">IF(AND(D419&lt;&gt;"",ISNUMBER(B419),ISNUMBER(C419),N(H419)&gt;0,T419&lt;&gt;"Cancelled",J419&lt;&gt;""),1,0)</f>
        <v>0</v>
      </c>
      <c r="AB419" s="44" t="n">
        <f aca="false">IF(AA419=1,J419/H419,0)</f>
        <v>0</v>
      </c>
      <c r="AC419" s="44" t="n">
        <f aca="false">IF(AA419=1,Q419/H419,0)</f>
        <v>0</v>
      </c>
      <c r="AD419" s="44" t="n">
        <f aca="false">IF(AA419=1,R419/H419,0)</f>
        <v>0</v>
      </c>
      <c r="AE419" s="44" t="n">
        <f aca="false">IF(AA419=1,O419/H419,0)</f>
        <v>0</v>
      </c>
      <c r="AF419" s="44" t="n">
        <f aca="false">IF(AA419=1,K419/H419,0)</f>
        <v>0</v>
      </c>
      <c r="AG419" s="45" t="str">
        <f aca="false">IF(AA419=1,D419&amp;"|"&amp;TEXT(B419,"0"),"")</f>
        <v/>
      </c>
      <c r="AH419" s="43" t="n">
        <f aca="false">IF(AA419=1,H419,0)</f>
        <v>0</v>
      </c>
    </row>
    <row r="420" customFormat="false" ht="15" hidden="false" customHeight="false" outlineLevel="0" collapsed="false">
      <c r="A420" s="23" t="str">
        <f aca="false">IF(B420="","","B-"&amp;TEXT(ROW()-4,"0000"))</f>
        <v/>
      </c>
      <c r="B420" s="38"/>
      <c r="C420" s="38"/>
      <c r="D420" s="6"/>
      <c r="E420" s="6"/>
      <c r="F420" s="6"/>
      <c r="G420" s="11"/>
      <c r="H420" s="24" t="str">
        <f aca="false">IF(AND(ISNUMBER(B420),ISNUMBER(C420)),MAX(0,C420-B420),"")</f>
        <v/>
      </c>
      <c r="I420" s="37"/>
      <c r="J420" s="46" t="str">
        <f aca="false">IF(OR(D420="",N(H420)=0),"",IFERROR(IF(I420&lt;&gt;"",H420*I420,ROUND(((H420-(INT((WEEKDAY(B420-6)+H420-1)/7)+INT((WEEKDAY(B420-7)+H420-1)/7)))*INDEX(Properties!$E$5:$E$24,MATCH(D420,Properties!$A$5:$A$24,0))+(INT((WEEKDAY(B420-6)+H420-1)/7)+INT((WEEKDAY(B420-7)+H420-1)/7))*INDEX(Properties!$F$5:$F$24,MATCH(D420,Properties!$A$5:$A$24,0)))*(1-IF(H420&gt;=28,Settings!$B$10,IF(H420&gt;=7,Settings!$B$9,0))),2)),0))</f>
        <v/>
      </c>
      <c r="K420" s="46" t="str">
        <f aca="false">IF(J420="","",IFERROR(N(INDEX(Properties!$G$5:$G$24,MATCH(D420,Properties!$A$5:$A$24,0))),0))</f>
        <v/>
      </c>
      <c r="L420" s="46" t="str">
        <f aca="false">IF(J420="","",IFERROR(MAX(0,N(G420)-INDEX(Properties!$I$5:$I$24,MATCH(D420,Properties!$A$5:$A$24,0)))*N(INDEX(Properties!$J$5:$J$24,MATCH(D420,Properties!$A$5:$A$24,0)))*H420,0))</f>
        <v/>
      </c>
      <c r="M420" s="37"/>
      <c r="N420" s="46" t="str">
        <f aca="false">IF(J420="","",J420+K420+L420+N(M420))</f>
        <v/>
      </c>
      <c r="O420" s="46" t="str">
        <f aca="false">IF(N420="","",IF(P420&lt;&gt;"",N420-P420,ROUND(N420*IFERROR(INDEX(Settings!$E$5:$E$12,MATCH(F420,Settings!$D$5:$D$12,0)),0),2)))</f>
        <v/>
      </c>
      <c r="P420" s="37"/>
      <c r="Q420" s="46" t="str">
        <f aca="false">IF(N420="","",IF(P420&lt;&gt;"",P420,N420-O420))</f>
        <v/>
      </c>
      <c r="R420" s="46" t="str">
        <f aca="false">IF(J420="","",IFERROR(N(INDEX(Properties!$H$5:$H$24,MATCH(D420,Properties!$A$5:$A$24,0))),0))</f>
        <v/>
      </c>
      <c r="S420" s="46" t="str">
        <f aca="false">IF(Q420="","",Q420-R420)</f>
        <v/>
      </c>
      <c r="T420" s="6"/>
      <c r="U420" s="6"/>
      <c r="V420" s="6"/>
      <c r="W420" s="6"/>
      <c r="X420" s="6"/>
      <c r="Y420" s="8" t="str">
        <f aca="false">IF(OR(D420="",B420="",C420=""),"",IF(N(C420)&lt;=N(B420),"Check dates",IF(T420="Cancelled","",IF(COUNTIFS($D$5:$D$1004,D420,$B$5:$B$1004,"&lt;"&amp;C420,$C$5:$C$1004,"&gt;"&amp;B420,$T$5:$T$1004,"&lt;&gt;Cancelled")&gt;1,"Double-booked",""))))</f>
        <v/>
      </c>
      <c r="Z420" s="42" t="str">
        <f aca="false">IF(AND(AA420=1,ISNUMBER(C420)),C420+ROW()/100000,"")</f>
        <v/>
      </c>
      <c r="AA420" s="43" t="n">
        <f aca="false">IF(AND(D420&lt;&gt;"",ISNUMBER(B420),ISNUMBER(C420),N(H420)&gt;0,T420&lt;&gt;"Cancelled",J420&lt;&gt;""),1,0)</f>
        <v>0</v>
      </c>
      <c r="AB420" s="44" t="n">
        <f aca="false">IF(AA420=1,J420/H420,0)</f>
        <v>0</v>
      </c>
      <c r="AC420" s="44" t="n">
        <f aca="false">IF(AA420=1,Q420/H420,0)</f>
        <v>0</v>
      </c>
      <c r="AD420" s="44" t="n">
        <f aca="false">IF(AA420=1,R420/H420,0)</f>
        <v>0</v>
      </c>
      <c r="AE420" s="44" t="n">
        <f aca="false">IF(AA420=1,O420/H420,0)</f>
        <v>0</v>
      </c>
      <c r="AF420" s="44" t="n">
        <f aca="false">IF(AA420=1,K420/H420,0)</f>
        <v>0</v>
      </c>
      <c r="AG420" s="45" t="str">
        <f aca="false">IF(AA420=1,D420&amp;"|"&amp;TEXT(B420,"0"),"")</f>
        <v/>
      </c>
      <c r="AH420" s="43" t="n">
        <f aca="false">IF(AA420=1,H420,0)</f>
        <v>0</v>
      </c>
    </row>
    <row r="421" customFormat="false" ht="15" hidden="false" customHeight="false" outlineLevel="0" collapsed="false">
      <c r="A421" s="8" t="str">
        <f aca="false">IF(B421="","","B-"&amp;TEXT(ROW()-4,"0000"))</f>
        <v/>
      </c>
      <c r="B421" s="38"/>
      <c r="C421" s="38"/>
      <c r="D421" s="6"/>
      <c r="E421" s="6"/>
      <c r="F421" s="6"/>
      <c r="G421" s="11"/>
      <c r="H421" s="18" t="str">
        <f aca="false">IF(AND(ISNUMBER(B421),ISNUMBER(C421)),MAX(0,C421-B421),"")</f>
        <v/>
      </c>
      <c r="I421" s="37"/>
      <c r="J421" s="41" t="str">
        <f aca="false">IF(OR(D421="",N(H421)=0),"",IFERROR(IF(I421&lt;&gt;"",H421*I421,ROUND(((H421-(INT((WEEKDAY(B421-6)+H421-1)/7)+INT((WEEKDAY(B421-7)+H421-1)/7)))*INDEX(Properties!$E$5:$E$24,MATCH(D421,Properties!$A$5:$A$24,0))+(INT((WEEKDAY(B421-6)+H421-1)/7)+INT((WEEKDAY(B421-7)+H421-1)/7))*INDEX(Properties!$F$5:$F$24,MATCH(D421,Properties!$A$5:$A$24,0)))*(1-IF(H421&gt;=28,Settings!$B$10,IF(H421&gt;=7,Settings!$B$9,0))),2)),0))</f>
        <v/>
      </c>
      <c r="K421" s="41" t="str">
        <f aca="false">IF(J421="","",IFERROR(N(INDEX(Properties!$G$5:$G$24,MATCH(D421,Properties!$A$5:$A$24,0))),0))</f>
        <v/>
      </c>
      <c r="L421" s="41" t="str">
        <f aca="false">IF(J421="","",IFERROR(MAX(0,N(G421)-INDEX(Properties!$I$5:$I$24,MATCH(D421,Properties!$A$5:$A$24,0)))*N(INDEX(Properties!$J$5:$J$24,MATCH(D421,Properties!$A$5:$A$24,0)))*H421,0))</f>
        <v/>
      </c>
      <c r="M421" s="37"/>
      <c r="N421" s="41" t="str">
        <f aca="false">IF(J421="","",J421+K421+L421+N(M421))</f>
        <v/>
      </c>
      <c r="O421" s="41" t="str">
        <f aca="false">IF(N421="","",IF(P421&lt;&gt;"",N421-P421,ROUND(N421*IFERROR(INDEX(Settings!$E$5:$E$12,MATCH(F421,Settings!$D$5:$D$12,0)),0),2)))</f>
        <v/>
      </c>
      <c r="P421" s="37"/>
      <c r="Q421" s="41" t="str">
        <f aca="false">IF(N421="","",IF(P421&lt;&gt;"",P421,N421-O421))</f>
        <v/>
      </c>
      <c r="R421" s="41" t="str">
        <f aca="false">IF(J421="","",IFERROR(N(INDEX(Properties!$H$5:$H$24,MATCH(D421,Properties!$A$5:$A$24,0))),0))</f>
        <v/>
      </c>
      <c r="S421" s="41" t="str">
        <f aca="false">IF(Q421="","",Q421-R421)</f>
        <v/>
      </c>
      <c r="T421" s="6"/>
      <c r="U421" s="6"/>
      <c r="V421" s="6"/>
      <c r="W421" s="6"/>
      <c r="X421" s="6"/>
      <c r="Y421" s="8" t="str">
        <f aca="false">IF(OR(D421="",B421="",C421=""),"",IF(N(C421)&lt;=N(B421),"Check dates",IF(T421="Cancelled","",IF(COUNTIFS($D$5:$D$1004,D421,$B$5:$B$1004,"&lt;"&amp;C421,$C$5:$C$1004,"&gt;"&amp;B421,$T$5:$T$1004,"&lt;&gt;Cancelled")&gt;1,"Double-booked",""))))</f>
        <v/>
      </c>
      <c r="Z421" s="42" t="str">
        <f aca="false">IF(AND(AA421=1,ISNUMBER(C421)),C421+ROW()/100000,"")</f>
        <v/>
      </c>
      <c r="AA421" s="43" t="n">
        <f aca="false">IF(AND(D421&lt;&gt;"",ISNUMBER(B421),ISNUMBER(C421),N(H421)&gt;0,T421&lt;&gt;"Cancelled",J421&lt;&gt;""),1,0)</f>
        <v>0</v>
      </c>
      <c r="AB421" s="44" t="n">
        <f aca="false">IF(AA421=1,J421/H421,0)</f>
        <v>0</v>
      </c>
      <c r="AC421" s="44" t="n">
        <f aca="false">IF(AA421=1,Q421/H421,0)</f>
        <v>0</v>
      </c>
      <c r="AD421" s="44" t="n">
        <f aca="false">IF(AA421=1,R421/H421,0)</f>
        <v>0</v>
      </c>
      <c r="AE421" s="44" t="n">
        <f aca="false">IF(AA421=1,O421/H421,0)</f>
        <v>0</v>
      </c>
      <c r="AF421" s="44" t="n">
        <f aca="false">IF(AA421=1,K421/H421,0)</f>
        <v>0</v>
      </c>
      <c r="AG421" s="45" t="str">
        <f aca="false">IF(AA421=1,D421&amp;"|"&amp;TEXT(B421,"0"),"")</f>
        <v/>
      </c>
      <c r="AH421" s="43" t="n">
        <f aca="false">IF(AA421=1,H421,0)</f>
        <v>0</v>
      </c>
    </row>
    <row r="422" customFormat="false" ht="15" hidden="false" customHeight="false" outlineLevel="0" collapsed="false">
      <c r="A422" s="23" t="str">
        <f aca="false">IF(B422="","","B-"&amp;TEXT(ROW()-4,"0000"))</f>
        <v/>
      </c>
      <c r="B422" s="38"/>
      <c r="C422" s="38"/>
      <c r="D422" s="6"/>
      <c r="E422" s="6"/>
      <c r="F422" s="6"/>
      <c r="G422" s="11"/>
      <c r="H422" s="24" t="str">
        <f aca="false">IF(AND(ISNUMBER(B422),ISNUMBER(C422)),MAX(0,C422-B422),"")</f>
        <v/>
      </c>
      <c r="I422" s="37"/>
      <c r="J422" s="46" t="str">
        <f aca="false">IF(OR(D422="",N(H422)=0),"",IFERROR(IF(I422&lt;&gt;"",H422*I422,ROUND(((H422-(INT((WEEKDAY(B422-6)+H422-1)/7)+INT((WEEKDAY(B422-7)+H422-1)/7)))*INDEX(Properties!$E$5:$E$24,MATCH(D422,Properties!$A$5:$A$24,0))+(INT((WEEKDAY(B422-6)+H422-1)/7)+INT((WEEKDAY(B422-7)+H422-1)/7))*INDEX(Properties!$F$5:$F$24,MATCH(D422,Properties!$A$5:$A$24,0)))*(1-IF(H422&gt;=28,Settings!$B$10,IF(H422&gt;=7,Settings!$B$9,0))),2)),0))</f>
        <v/>
      </c>
      <c r="K422" s="46" t="str">
        <f aca="false">IF(J422="","",IFERROR(N(INDEX(Properties!$G$5:$G$24,MATCH(D422,Properties!$A$5:$A$24,0))),0))</f>
        <v/>
      </c>
      <c r="L422" s="46" t="str">
        <f aca="false">IF(J422="","",IFERROR(MAX(0,N(G422)-INDEX(Properties!$I$5:$I$24,MATCH(D422,Properties!$A$5:$A$24,0)))*N(INDEX(Properties!$J$5:$J$24,MATCH(D422,Properties!$A$5:$A$24,0)))*H422,0))</f>
        <v/>
      </c>
      <c r="M422" s="37"/>
      <c r="N422" s="46" t="str">
        <f aca="false">IF(J422="","",J422+K422+L422+N(M422))</f>
        <v/>
      </c>
      <c r="O422" s="46" t="str">
        <f aca="false">IF(N422="","",IF(P422&lt;&gt;"",N422-P422,ROUND(N422*IFERROR(INDEX(Settings!$E$5:$E$12,MATCH(F422,Settings!$D$5:$D$12,0)),0),2)))</f>
        <v/>
      </c>
      <c r="P422" s="37"/>
      <c r="Q422" s="46" t="str">
        <f aca="false">IF(N422="","",IF(P422&lt;&gt;"",P422,N422-O422))</f>
        <v/>
      </c>
      <c r="R422" s="46" t="str">
        <f aca="false">IF(J422="","",IFERROR(N(INDEX(Properties!$H$5:$H$24,MATCH(D422,Properties!$A$5:$A$24,0))),0))</f>
        <v/>
      </c>
      <c r="S422" s="46" t="str">
        <f aca="false">IF(Q422="","",Q422-R422)</f>
        <v/>
      </c>
      <c r="T422" s="6"/>
      <c r="U422" s="6"/>
      <c r="V422" s="6"/>
      <c r="W422" s="6"/>
      <c r="X422" s="6"/>
      <c r="Y422" s="8" t="str">
        <f aca="false">IF(OR(D422="",B422="",C422=""),"",IF(N(C422)&lt;=N(B422),"Check dates",IF(T422="Cancelled","",IF(COUNTIFS($D$5:$D$1004,D422,$B$5:$B$1004,"&lt;"&amp;C422,$C$5:$C$1004,"&gt;"&amp;B422,$T$5:$T$1004,"&lt;&gt;Cancelled")&gt;1,"Double-booked",""))))</f>
        <v/>
      </c>
      <c r="Z422" s="42" t="str">
        <f aca="false">IF(AND(AA422=1,ISNUMBER(C422)),C422+ROW()/100000,"")</f>
        <v/>
      </c>
      <c r="AA422" s="43" t="n">
        <f aca="false">IF(AND(D422&lt;&gt;"",ISNUMBER(B422),ISNUMBER(C422),N(H422)&gt;0,T422&lt;&gt;"Cancelled",J422&lt;&gt;""),1,0)</f>
        <v>0</v>
      </c>
      <c r="AB422" s="44" t="n">
        <f aca="false">IF(AA422=1,J422/H422,0)</f>
        <v>0</v>
      </c>
      <c r="AC422" s="44" t="n">
        <f aca="false">IF(AA422=1,Q422/H422,0)</f>
        <v>0</v>
      </c>
      <c r="AD422" s="44" t="n">
        <f aca="false">IF(AA422=1,R422/H422,0)</f>
        <v>0</v>
      </c>
      <c r="AE422" s="44" t="n">
        <f aca="false">IF(AA422=1,O422/H422,0)</f>
        <v>0</v>
      </c>
      <c r="AF422" s="44" t="n">
        <f aca="false">IF(AA422=1,K422/H422,0)</f>
        <v>0</v>
      </c>
      <c r="AG422" s="45" t="str">
        <f aca="false">IF(AA422=1,D422&amp;"|"&amp;TEXT(B422,"0"),"")</f>
        <v/>
      </c>
      <c r="AH422" s="43" t="n">
        <f aca="false">IF(AA422=1,H422,0)</f>
        <v>0</v>
      </c>
    </row>
    <row r="423" customFormat="false" ht="15" hidden="false" customHeight="false" outlineLevel="0" collapsed="false">
      <c r="A423" s="8" t="str">
        <f aca="false">IF(B423="","","B-"&amp;TEXT(ROW()-4,"0000"))</f>
        <v/>
      </c>
      <c r="B423" s="38"/>
      <c r="C423" s="38"/>
      <c r="D423" s="6"/>
      <c r="E423" s="6"/>
      <c r="F423" s="6"/>
      <c r="G423" s="11"/>
      <c r="H423" s="18" t="str">
        <f aca="false">IF(AND(ISNUMBER(B423),ISNUMBER(C423)),MAX(0,C423-B423),"")</f>
        <v/>
      </c>
      <c r="I423" s="37"/>
      <c r="J423" s="41" t="str">
        <f aca="false">IF(OR(D423="",N(H423)=0),"",IFERROR(IF(I423&lt;&gt;"",H423*I423,ROUND(((H423-(INT((WEEKDAY(B423-6)+H423-1)/7)+INT((WEEKDAY(B423-7)+H423-1)/7)))*INDEX(Properties!$E$5:$E$24,MATCH(D423,Properties!$A$5:$A$24,0))+(INT((WEEKDAY(B423-6)+H423-1)/7)+INT((WEEKDAY(B423-7)+H423-1)/7))*INDEX(Properties!$F$5:$F$24,MATCH(D423,Properties!$A$5:$A$24,0)))*(1-IF(H423&gt;=28,Settings!$B$10,IF(H423&gt;=7,Settings!$B$9,0))),2)),0))</f>
        <v/>
      </c>
      <c r="K423" s="41" t="str">
        <f aca="false">IF(J423="","",IFERROR(N(INDEX(Properties!$G$5:$G$24,MATCH(D423,Properties!$A$5:$A$24,0))),0))</f>
        <v/>
      </c>
      <c r="L423" s="41" t="str">
        <f aca="false">IF(J423="","",IFERROR(MAX(0,N(G423)-INDEX(Properties!$I$5:$I$24,MATCH(D423,Properties!$A$5:$A$24,0)))*N(INDEX(Properties!$J$5:$J$24,MATCH(D423,Properties!$A$5:$A$24,0)))*H423,0))</f>
        <v/>
      </c>
      <c r="M423" s="37"/>
      <c r="N423" s="41" t="str">
        <f aca="false">IF(J423="","",J423+K423+L423+N(M423))</f>
        <v/>
      </c>
      <c r="O423" s="41" t="str">
        <f aca="false">IF(N423="","",IF(P423&lt;&gt;"",N423-P423,ROUND(N423*IFERROR(INDEX(Settings!$E$5:$E$12,MATCH(F423,Settings!$D$5:$D$12,0)),0),2)))</f>
        <v/>
      </c>
      <c r="P423" s="37"/>
      <c r="Q423" s="41" t="str">
        <f aca="false">IF(N423="","",IF(P423&lt;&gt;"",P423,N423-O423))</f>
        <v/>
      </c>
      <c r="R423" s="41" t="str">
        <f aca="false">IF(J423="","",IFERROR(N(INDEX(Properties!$H$5:$H$24,MATCH(D423,Properties!$A$5:$A$24,0))),0))</f>
        <v/>
      </c>
      <c r="S423" s="41" t="str">
        <f aca="false">IF(Q423="","",Q423-R423)</f>
        <v/>
      </c>
      <c r="T423" s="6"/>
      <c r="U423" s="6"/>
      <c r="V423" s="6"/>
      <c r="W423" s="6"/>
      <c r="X423" s="6"/>
      <c r="Y423" s="8" t="str">
        <f aca="false">IF(OR(D423="",B423="",C423=""),"",IF(N(C423)&lt;=N(B423),"Check dates",IF(T423="Cancelled","",IF(COUNTIFS($D$5:$D$1004,D423,$B$5:$B$1004,"&lt;"&amp;C423,$C$5:$C$1004,"&gt;"&amp;B423,$T$5:$T$1004,"&lt;&gt;Cancelled")&gt;1,"Double-booked",""))))</f>
        <v/>
      </c>
      <c r="Z423" s="42" t="str">
        <f aca="false">IF(AND(AA423=1,ISNUMBER(C423)),C423+ROW()/100000,"")</f>
        <v/>
      </c>
      <c r="AA423" s="43" t="n">
        <f aca="false">IF(AND(D423&lt;&gt;"",ISNUMBER(B423),ISNUMBER(C423),N(H423)&gt;0,T423&lt;&gt;"Cancelled",J423&lt;&gt;""),1,0)</f>
        <v>0</v>
      </c>
      <c r="AB423" s="44" t="n">
        <f aca="false">IF(AA423=1,J423/H423,0)</f>
        <v>0</v>
      </c>
      <c r="AC423" s="44" t="n">
        <f aca="false">IF(AA423=1,Q423/H423,0)</f>
        <v>0</v>
      </c>
      <c r="AD423" s="44" t="n">
        <f aca="false">IF(AA423=1,R423/H423,0)</f>
        <v>0</v>
      </c>
      <c r="AE423" s="44" t="n">
        <f aca="false">IF(AA423=1,O423/H423,0)</f>
        <v>0</v>
      </c>
      <c r="AF423" s="44" t="n">
        <f aca="false">IF(AA423=1,K423/H423,0)</f>
        <v>0</v>
      </c>
      <c r="AG423" s="45" t="str">
        <f aca="false">IF(AA423=1,D423&amp;"|"&amp;TEXT(B423,"0"),"")</f>
        <v/>
      </c>
      <c r="AH423" s="43" t="n">
        <f aca="false">IF(AA423=1,H423,0)</f>
        <v>0</v>
      </c>
    </row>
    <row r="424" customFormat="false" ht="15" hidden="false" customHeight="false" outlineLevel="0" collapsed="false">
      <c r="A424" s="23" t="str">
        <f aca="false">IF(B424="","","B-"&amp;TEXT(ROW()-4,"0000"))</f>
        <v/>
      </c>
      <c r="B424" s="38"/>
      <c r="C424" s="38"/>
      <c r="D424" s="6"/>
      <c r="E424" s="6"/>
      <c r="F424" s="6"/>
      <c r="G424" s="11"/>
      <c r="H424" s="24" t="str">
        <f aca="false">IF(AND(ISNUMBER(B424),ISNUMBER(C424)),MAX(0,C424-B424),"")</f>
        <v/>
      </c>
      <c r="I424" s="37"/>
      <c r="J424" s="46" t="str">
        <f aca="false">IF(OR(D424="",N(H424)=0),"",IFERROR(IF(I424&lt;&gt;"",H424*I424,ROUND(((H424-(INT((WEEKDAY(B424-6)+H424-1)/7)+INT((WEEKDAY(B424-7)+H424-1)/7)))*INDEX(Properties!$E$5:$E$24,MATCH(D424,Properties!$A$5:$A$24,0))+(INT((WEEKDAY(B424-6)+H424-1)/7)+INT((WEEKDAY(B424-7)+H424-1)/7))*INDEX(Properties!$F$5:$F$24,MATCH(D424,Properties!$A$5:$A$24,0)))*(1-IF(H424&gt;=28,Settings!$B$10,IF(H424&gt;=7,Settings!$B$9,0))),2)),0))</f>
        <v/>
      </c>
      <c r="K424" s="46" t="str">
        <f aca="false">IF(J424="","",IFERROR(N(INDEX(Properties!$G$5:$G$24,MATCH(D424,Properties!$A$5:$A$24,0))),0))</f>
        <v/>
      </c>
      <c r="L424" s="46" t="str">
        <f aca="false">IF(J424="","",IFERROR(MAX(0,N(G424)-INDEX(Properties!$I$5:$I$24,MATCH(D424,Properties!$A$5:$A$24,0)))*N(INDEX(Properties!$J$5:$J$24,MATCH(D424,Properties!$A$5:$A$24,0)))*H424,0))</f>
        <v/>
      </c>
      <c r="M424" s="37"/>
      <c r="N424" s="46" t="str">
        <f aca="false">IF(J424="","",J424+K424+L424+N(M424))</f>
        <v/>
      </c>
      <c r="O424" s="46" t="str">
        <f aca="false">IF(N424="","",IF(P424&lt;&gt;"",N424-P424,ROUND(N424*IFERROR(INDEX(Settings!$E$5:$E$12,MATCH(F424,Settings!$D$5:$D$12,0)),0),2)))</f>
        <v/>
      </c>
      <c r="P424" s="37"/>
      <c r="Q424" s="46" t="str">
        <f aca="false">IF(N424="","",IF(P424&lt;&gt;"",P424,N424-O424))</f>
        <v/>
      </c>
      <c r="R424" s="46" t="str">
        <f aca="false">IF(J424="","",IFERROR(N(INDEX(Properties!$H$5:$H$24,MATCH(D424,Properties!$A$5:$A$24,0))),0))</f>
        <v/>
      </c>
      <c r="S424" s="46" t="str">
        <f aca="false">IF(Q424="","",Q424-R424)</f>
        <v/>
      </c>
      <c r="T424" s="6"/>
      <c r="U424" s="6"/>
      <c r="V424" s="6"/>
      <c r="W424" s="6"/>
      <c r="X424" s="6"/>
      <c r="Y424" s="8" t="str">
        <f aca="false">IF(OR(D424="",B424="",C424=""),"",IF(N(C424)&lt;=N(B424),"Check dates",IF(T424="Cancelled","",IF(COUNTIFS($D$5:$D$1004,D424,$B$5:$B$1004,"&lt;"&amp;C424,$C$5:$C$1004,"&gt;"&amp;B424,$T$5:$T$1004,"&lt;&gt;Cancelled")&gt;1,"Double-booked",""))))</f>
        <v/>
      </c>
      <c r="Z424" s="42" t="str">
        <f aca="false">IF(AND(AA424=1,ISNUMBER(C424)),C424+ROW()/100000,"")</f>
        <v/>
      </c>
      <c r="AA424" s="43" t="n">
        <f aca="false">IF(AND(D424&lt;&gt;"",ISNUMBER(B424),ISNUMBER(C424),N(H424)&gt;0,T424&lt;&gt;"Cancelled",J424&lt;&gt;""),1,0)</f>
        <v>0</v>
      </c>
      <c r="AB424" s="44" t="n">
        <f aca="false">IF(AA424=1,J424/H424,0)</f>
        <v>0</v>
      </c>
      <c r="AC424" s="44" t="n">
        <f aca="false">IF(AA424=1,Q424/H424,0)</f>
        <v>0</v>
      </c>
      <c r="AD424" s="44" t="n">
        <f aca="false">IF(AA424=1,R424/H424,0)</f>
        <v>0</v>
      </c>
      <c r="AE424" s="44" t="n">
        <f aca="false">IF(AA424=1,O424/H424,0)</f>
        <v>0</v>
      </c>
      <c r="AF424" s="44" t="n">
        <f aca="false">IF(AA424=1,K424/H424,0)</f>
        <v>0</v>
      </c>
      <c r="AG424" s="45" t="str">
        <f aca="false">IF(AA424=1,D424&amp;"|"&amp;TEXT(B424,"0"),"")</f>
        <v/>
      </c>
      <c r="AH424" s="43" t="n">
        <f aca="false">IF(AA424=1,H424,0)</f>
        <v>0</v>
      </c>
    </row>
    <row r="425" customFormat="false" ht="15" hidden="false" customHeight="false" outlineLevel="0" collapsed="false">
      <c r="A425" s="8" t="str">
        <f aca="false">IF(B425="","","B-"&amp;TEXT(ROW()-4,"0000"))</f>
        <v/>
      </c>
      <c r="B425" s="38"/>
      <c r="C425" s="38"/>
      <c r="D425" s="6"/>
      <c r="E425" s="6"/>
      <c r="F425" s="6"/>
      <c r="G425" s="11"/>
      <c r="H425" s="18" t="str">
        <f aca="false">IF(AND(ISNUMBER(B425),ISNUMBER(C425)),MAX(0,C425-B425),"")</f>
        <v/>
      </c>
      <c r="I425" s="37"/>
      <c r="J425" s="41" t="str">
        <f aca="false">IF(OR(D425="",N(H425)=0),"",IFERROR(IF(I425&lt;&gt;"",H425*I425,ROUND(((H425-(INT((WEEKDAY(B425-6)+H425-1)/7)+INT((WEEKDAY(B425-7)+H425-1)/7)))*INDEX(Properties!$E$5:$E$24,MATCH(D425,Properties!$A$5:$A$24,0))+(INT((WEEKDAY(B425-6)+H425-1)/7)+INT((WEEKDAY(B425-7)+H425-1)/7))*INDEX(Properties!$F$5:$F$24,MATCH(D425,Properties!$A$5:$A$24,0)))*(1-IF(H425&gt;=28,Settings!$B$10,IF(H425&gt;=7,Settings!$B$9,0))),2)),0))</f>
        <v/>
      </c>
      <c r="K425" s="41" t="str">
        <f aca="false">IF(J425="","",IFERROR(N(INDEX(Properties!$G$5:$G$24,MATCH(D425,Properties!$A$5:$A$24,0))),0))</f>
        <v/>
      </c>
      <c r="L425" s="41" t="str">
        <f aca="false">IF(J425="","",IFERROR(MAX(0,N(G425)-INDEX(Properties!$I$5:$I$24,MATCH(D425,Properties!$A$5:$A$24,0)))*N(INDEX(Properties!$J$5:$J$24,MATCH(D425,Properties!$A$5:$A$24,0)))*H425,0))</f>
        <v/>
      </c>
      <c r="M425" s="37"/>
      <c r="N425" s="41" t="str">
        <f aca="false">IF(J425="","",J425+K425+L425+N(M425))</f>
        <v/>
      </c>
      <c r="O425" s="41" t="str">
        <f aca="false">IF(N425="","",IF(P425&lt;&gt;"",N425-P425,ROUND(N425*IFERROR(INDEX(Settings!$E$5:$E$12,MATCH(F425,Settings!$D$5:$D$12,0)),0),2)))</f>
        <v/>
      </c>
      <c r="P425" s="37"/>
      <c r="Q425" s="41" t="str">
        <f aca="false">IF(N425="","",IF(P425&lt;&gt;"",P425,N425-O425))</f>
        <v/>
      </c>
      <c r="R425" s="41" t="str">
        <f aca="false">IF(J425="","",IFERROR(N(INDEX(Properties!$H$5:$H$24,MATCH(D425,Properties!$A$5:$A$24,0))),0))</f>
        <v/>
      </c>
      <c r="S425" s="41" t="str">
        <f aca="false">IF(Q425="","",Q425-R425)</f>
        <v/>
      </c>
      <c r="T425" s="6"/>
      <c r="U425" s="6"/>
      <c r="V425" s="6"/>
      <c r="W425" s="6"/>
      <c r="X425" s="6"/>
      <c r="Y425" s="8" t="str">
        <f aca="false">IF(OR(D425="",B425="",C425=""),"",IF(N(C425)&lt;=N(B425),"Check dates",IF(T425="Cancelled","",IF(COUNTIFS($D$5:$D$1004,D425,$B$5:$B$1004,"&lt;"&amp;C425,$C$5:$C$1004,"&gt;"&amp;B425,$T$5:$T$1004,"&lt;&gt;Cancelled")&gt;1,"Double-booked",""))))</f>
        <v/>
      </c>
      <c r="Z425" s="42" t="str">
        <f aca="false">IF(AND(AA425=1,ISNUMBER(C425)),C425+ROW()/100000,"")</f>
        <v/>
      </c>
      <c r="AA425" s="43" t="n">
        <f aca="false">IF(AND(D425&lt;&gt;"",ISNUMBER(B425),ISNUMBER(C425),N(H425)&gt;0,T425&lt;&gt;"Cancelled",J425&lt;&gt;""),1,0)</f>
        <v>0</v>
      </c>
      <c r="AB425" s="44" t="n">
        <f aca="false">IF(AA425=1,J425/H425,0)</f>
        <v>0</v>
      </c>
      <c r="AC425" s="44" t="n">
        <f aca="false">IF(AA425=1,Q425/H425,0)</f>
        <v>0</v>
      </c>
      <c r="AD425" s="44" t="n">
        <f aca="false">IF(AA425=1,R425/H425,0)</f>
        <v>0</v>
      </c>
      <c r="AE425" s="44" t="n">
        <f aca="false">IF(AA425=1,O425/H425,0)</f>
        <v>0</v>
      </c>
      <c r="AF425" s="44" t="n">
        <f aca="false">IF(AA425=1,K425/H425,0)</f>
        <v>0</v>
      </c>
      <c r="AG425" s="45" t="str">
        <f aca="false">IF(AA425=1,D425&amp;"|"&amp;TEXT(B425,"0"),"")</f>
        <v/>
      </c>
      <c r="AH425" s="43" t="n">
        <f aca="false">IF(AA425=1,H425,0)</f>
        <v>0</v>
      </c>
    </row>
    <row r="426" customFormat="false" ht="15" hidden="false" customHeight="false" outlineLevel="0" collapsed="false">
      <c r="A426" s="23" t="str">
        <f aca="false">IF(B426="","","B-"&amp;TEXT(ROW()-4,"0000"))</f>
        <v/>
      </c>
      <c r="B426" s="38"/>
      <c r="C426" s="38"/>
      <c r="D426" s="6"/>
      <c r="E426" s="6"/>
      <c r="F426" s="6"/>
      <c r="G426" s="11"/>
      <c r="H426" s="24" t="str">
        <f aca="false">IF(AND(ISNUMBER(B426),ISNUMBER(C426)),MAX(0,C426-B426),"")</f>
        <v/>
      </c>
      <c r="I426" s="37"/>
      <c r="J426" s="46" t="str">
        <f aca="false">IF(OR(D426="",N(H426)=0),"",IFERROR(IF(I426&lt;&gt;"",H426*I426,ROUND(((H426-(INT((WEEKDAY(B426-6)+H426-1)/7)+INT((WEEKDAY(B426-7)+H426-1)/7)))*INDEX(Properties!$E$5:$E$24,MATCH(D426,Properties!$A$5:$A$24,0))+(INT((WEEKDAY(B426-6)+H426-1)/7)+INT((WEEKDAY(B426-7)+H426-1)/7))*INDEX(Properties!$F$5:$F$24,MATCH(D426,Properties!$A$5:$A$24,0)))*(1-IF(H426&gt;=28,Settings!$B$10,IF(H426&gt;=7,Settings!$B$9,0))),2)),0))</f>
        <v/>
      </c>
      <c r="K426" s="46" t="str">
        <f aca="false">IF(J426="","",IFERROR(N(INDEX(Properties!$G$5:$G$24,MATCH(D426,Properties!$A$5:$A$24,0))),0))</f>
        <v/>
      </c>
      <c r="L426" s="46" t="str">
        <f aca="false">IF(J426="","",IFERROR(MAX(0,N(G426)-INDEX(Properties!$I$5:$I$24,MATCH(D426,Properties!$A$5:$A$24,0)))*N(INDEX(Properties!$J$5:$J$24,MATCH(D426,Properties!$A$5:$A$24,0)))*H426,0))</f>
        <v/>
      </c>
      <c r="M426" s="37"/>
      <c r="N426" s="46" t="str">
        <f aca="false">IF(J426="","",J426+K426+L426+N(M426))</f>
        <v/>
      </c>
      <c r="O426" s="46" t="str">
        <f aca="false">IF(N426="","",IF(P426&lt;&gt;"",N426-P426,ROUND(N426*IFERROR(INDEX(Settings!$E$5:$E$12,MATCH(F426,Settings!$D$5:$D$12,0)),0),2)))</f>
        <v/>
      </c>
      <c r="P426" s="37"/>
      <c r="Q426" s="46" t="str">
        <f aca="false">IF(N426="","",IF(P426&lt;&gt;"",P426,N426-O426))</f>
        <v/>
      </c>
      <c r="R426" s="46" t="str">
        <f aca="false">IF(J426="","",IFERROR(N(INDEX(Properties!$H$5:$H$24,MATCH(D426,Properties!$A$5:$A$24,0))),0))</f>
        <v/>
      </c>
      <c r="S426" s="46" t="str">
        <f aca="false">IF(Q426="","",Q426-R426)</f>
        <v/>
      </c>
      <c r="T426" s="6"/>
      <c r="U426" s="6"/>
      <c r="V426" s="6"/>
      <c r="W426" s="6"/>
      <c r="X426" s="6"/>
      <c r="Y426" s="8" t="str">
        <f aca="false">IF(OR(D426="",B426="",C426=""),"",IF(N(C426)&lt;=N(B426),"Check dates",IF(T426="Cancelled","",IF(COUNTIFS($D$5:$D$1004,D426,$B$5:$B$1004,"&lt;"&amp;C426,$C$5:$C$1004,"&gt;"&amp;B426,$T$5:$T$1004,"&lt;&gt;Cancelled")&gt;1,"Double-booked",""))))</f>
        <v/>
      </c>
      <c r="Z426" s="42" t="str">
        <f aca="false">IF(AND(AA426=1,ISNUMBER(C426)),C426+ROW()/100000,"")</f>
        <v/>
      </c>
      <c r="AA426" s="43" t="n">
        <f aca="false">IF(AND(D426&lt;&gt;"",ISNUMBER(B426),ISNUMBER(C426),N(H426)&gt;0,T426&lt;&gt;"Cancelled",J426&lt;&gt;""),1,0)</f>
        <v>0</v>
      </c>
      <c r="AB426" s="44" t="n">
        <f aca="false">IF(AA426=1,J426/H426,0)</f>
        <v>0</v>
      </c>
      <c r="AC426" s="44" t="n">
        <f aca="false">IF(AA426=1,Q426/H426,0)</f>
        <v>0</v>
      </c>
      <c r="AD426" s="44" t="n">
        <f aca="false">IF(AA426=1,R426/H426,0)</f>
        <v>0</v>
      </c>
      <c r="AE426" s="44" t="n">
        <f aca="false">IF(AA426=1,O426/H426,0)</f>
        <v>0</v>
      </c>
      <c r="AF426" s="44" t="n">
        <f aca="false">IF(AA426=1,K426/H426,0)</f>
        <v>0</v>
      </c>
      <c r="AG426" s="45" t="str">
        <f aca="false">IF(AA426=1,D426&amp;"|"&amp;TEXT(B426,"0"),"")</f>
        <v/>
      </c>
      <c r="AH426" s="43" t="n">
        <f aca="false">IF(AA426=1,H426,0)</f>
        <v>0</v>
      </c>
    </row>
    <row r="427" customFormat="false" ht="15" hidden="false" customHeight="false" outlineLevel="0" collapsed="false">
      <c r="A427" s="8" t="str">
        <f aca="false">IF(B427="","","B-"&amp;TEXT(ROW()-4,"0000"))</f>
        <v/>
      </c>
      <c r="B427" s="38"/>
      <c r="C427" s="38"/>
      <c r="D427" s="6"/>
      <c r="E427" s="6"/>
      <c r="F427" s="6"/>
      <c r="G427" s="11"/>
      <c r="H427" s="18" t="str">
        <f aca="false">IF(AND(ISNUMBER(B427),ISNUMBER(C427)),MAX(0,C427-B427),"")</f>
        <v/>
      </c>
      <c r="I427" s="37"/>
      <c r="J427" s="41" t="str">
        <f aca="false">IF(OR(D427="",N(H427)=0),"",IFERROR(IF(I427&lt;&gt;"",H427*I427,ROUND(((H427-(INT((WEEKDAY(B427-6)+H427-1)/7)+INT((WEEKDAY(B427-7)+H427-1)/7)))*INDEX(Properties!$E$5:$E$24,MATCH(D427,Properties!$A$5:$A$24,0))+(INT((WEEKDAY(B427-6)+H427-1)/7)+INT((WEEKDAY(B427-7)+H427-1)/7))*INDEX(Properties!$F$5:$F$24,MATCH(D427,Properties!$A$5:$A$24,0)))*(1-IF(H427&gt;=28,Settings!$B$10,IF(H427&gt;=7,Settings!$B$9,0))),2)),0))</f>
        <v/>
      </c>
      <c r="K427" s="41" t="str">
        <f aca="false">IF(J427="","",IFERROR(N(INDEX(Properties!$G$5:$G$24,MATCH(D427,Properties!$A$5:$A$24,0))),0))</f>
        <v/>
      </c>
      <c r="L427" s="41" t="str">
        <f aca="false">IF(J427="","",IFERROR(MAX(0,N(G427)-INDEX(Properties!$I$5:$I$24,MATCH(D427,Properties!$A$5:$A$24,0)))*N(INDEX(Properties!$J$5:$J$24,MATCH(D427,Properties!$A$5:$A$24,0)))*H427,0))</f>
        <v/>
      </c>
      <c r="M427" s="37"/>
      <c r="N427" s="41" t="str">
        <f aca="false">IF(J427="","",J427+K427+L427+N(M427))</f>
        <v/>
      </c>
      <c r="O427" s="41" t="str">
        <f aca="false">IF(N427="","",IF(P427&lt;&gt;"",N427-P427,ROUND(N427*IFERROR(INDEX(Settings!$E$5:$E$12,MATCH(F427,Settings!$D$5:$D$12,0)),0),2)))</f>
        <v/>
      </c>
      <c r="P427" s="37"/>
      <c r="Q427" s="41" t="str">
        <f aca="false">IF(N427="","",IF(P427&lt;&gt;"",P427,N427-O427))</f>
        <v/>
      </c>
      <c r="R427" s="41" t="str">
        <f aca="false">IF(J427="","",IFERROR(N(INDEX(Properties!$H$5:$H$24,MATCH(D427,Properties!$A$5:$A$24,0))),0))</f>
        <v/>
      </c>
      <c r="S427" s="41" t="str">
        <f aca="false">IF(Q427="","",Q427-R427)</f>
        <v/>
      </c>
      <c r="T427" s="6"/>
      <c r="U427" s="6"/>
      <c r="V427" s="6"/>
      <c r="W427" s="6"/>
      <c r="X427" s="6"/>
      <c r="Y427" s="8" t="str">
        <f aca="false">IF(OR(D427="",B427="",C427=""),"",IF(N(C427)&lt;=N(B427),"Check dates",IF(T427="Cancelled","",IF(COUNTIFS($D$5:$D$1004,D427,$B$5:$B$1004,"&lt;"&amp;C427,$C$5:$C$1004,"&gt;"&amp;B427,$T$5:$T$1004,"&lt;&gt;Cancelled")&gt;1,"Double-booked",""))))</f>
        <v/>
      </c>
      <c r="Z427" s="42" t="str">
        <f aca="false">IF(AND(AA427=1,ISNUMBER(C427)),C427+ROW()/100000,"")</f>
        <v/>
      </c>
      <c r="AA427" s="43" t="n">
        <f aca="false">IF(AND(D427&lt;&gt;"",ISNUMBER(B427),ISNUMBER(C427),N(H427)&gt;0,T427&lt;&gt;"Cancelled",J427&lt;&gt;""),1,0)</f>
        <v>0</v>
      </c>
      <c r="AB427" s="44" t="n">
        <f aca="false">IF(AA427=1,J427/H427,0)</f>
        <v>0</v>
      </c>
      <c r="AC427" s="44" t="n">
        <f aca="false">IF(AA427=1,Q427/H427,0)</f>
        <v>0</v>
      </c>
      <c r="AD427" s="44" t="n">
        <f aca="false">IF(AA427=1,R427/H427,0)</f>
        <v>0</v>
      </c>
      <c r="AE427" s="44" t="n">
        <f aca="false">IF(AA427=1,O427/H427,0)</f>
        <v>0</v>
      </c>
      <c r="AF427" s="44" t="n">
        <f aca="false">IF(AA427=1,K427/H427,0)</f>
        <v>0</v>
      </c>
      <c r="AG427" s="45" t="str">
        <f aca="false">IF(AA427=1,D427&amp;"|"&amp;TEXT(B427,"0"),"")</f>
        <v/>
      </c>
      <c r="AH427" s="43" t="n">
        <f aca="false">IF(AA427=1,H427,0)</f>
        <v>0</v>
      </c>
    </row>
    <row r="428" customFormat="false" ht="15" hidden="false" customHeight="false" outlineLevel="0" collapsed="false">
      <c r="A428" s="23" t="str">
        <f aca="false">IF(B428="","","B-"&amp;TEXT(ROW()-4,"0000"))</f>
        <v/>
      </c>
      <c r="B428" s="38"/>
      <c r="C428" s="38"/>
      <c r="D428" s="6"/>
      <c r="E428" s="6"/>
      <c r="F428" s="6"/>
      <c r="G428" s="11"/>
      <c r="H428" s="24" t="str">
        <f aca="false">IF(AND(ISNUMBER(B428),ISNUMBER(C428)),MAX(0,C428-B428),"")</f>
        <v/>
      </c>
      <c r="I428" s="37"/>
      <c r="J428" s="46" t="str">
        <f aca="false">IF(OR(D428="",N(H428)=0),"",IFERROR(IF(I428&lt;&gt;"",H428*I428,ROUND(((H428-(INT((WEEKDAY(B428-6)+H428-1)/7)+INT((WEEKDAY(B428-7)+H428-1)/7)))*INDEX(Properties!$E$5:$E$24,MATCH(D428,Properties!$A$5:$A$24,0))+(INT((WEEKDAY(B428-6)+H428-1)/7)+INT((WEEKDAY(B428-7)+H428-1)/7))*INDEX(Properties!$F$5:$F$24,MATCH(D428,Properties!$A$5:$A$24,0)))*(1-IF(H428&gt;=28,Settings!$B$10,IF(H428&gt;=7,Settings!$B$9,0))),2)),0))</f>
        <v/>
      </c>
      <c r="K428" s="46" t="str">
        <f aca="false">IF(J428="","",IFERROR(N(INDEX(Properties!$G$5:$G$24,MATCH(D428,Properties!$A$5:$A$24,0))),0))</f>
        <v/>
      </c>
      <c r="L428" s="46" t="str">
        <f aca="false">IF(J428="","",IFERROR(MAX(0,N(G428)-INDEX(Properties!$I$5:$I$24,MATCH(D428,Properties!$A$5:$A$24,0)))*N(INDEX(Properties!$J$5:$J$24,MATCH(D428,Properties!$A$5:$A$24,0)))*H428,0))</f>
        <v/>
      </c>
      <c r="M428" s="37"/>
      <c r="N428" s="46" t="str">
        <f aca="false">IF(J428="","",J428+K428+L428+N(M428))</f>
        <v/>
      </c>
      <c r="O428" s="46" t="str">
        <f aca="false">IF(N428="","",IF(P428&lt;&gt;"",N428-P428,ROUND(N428*IFERROR(INDEX(Settings!$E$5:$E$12,MATCH(F428,Settings!$D$5:$D$12,0)),0),2)))</f>
        <v/>
      </c>
      <c r="P428" s="37"/>
      <c r="Q428" s="46" t="str">
        <f aca="false">IF(N428="","",IF(P428&lt;&gt;"",P428,N428-O428))</f>
        <v/>
      </c>
      <c r="R428" s="46" t="str">
        <f aca="false">IF(J428="","",IFERROR(N(INDEX(Properties!$H$5:$H$24,MATCH(D428,Properties!$A$5:$A$24,0))),0))</f>
        <v/>
      </c>
      <c r="S428" s="46" t="str">
        <f aca="false">IF(Q428="","",Q428-R428)</f>
        <v/>
      </c>
      <c r="T428" s="6"/>
      <c r="U428" s="6"/>
      <c r="V428" s="6"/>
      <c r="W428" s="6"/>
      <c r="X428" s="6"/>
      <c r="Y428" s="8" t="str">
        <f aca="false">IF(OR(D428="",B428="",C428=""),"",IF(N(C428)&lt;=N(B428),"Check dates",IF(T428="Cancelled","",IF(COUNTIFS($D$5:$D$1004,D428,$B$5:$B$1004,"&lt;"&amp;C428,$C$5:$C$1004,"&gt;"&amp;B428,$T$5:$T$1004,"&lt;&gt;Cancelled")&gt;1,"Double-booked",""))))</f>
        <v/>
      </c>
      <c r="Z428" s="42" t="str">
        <f aca="false">IF(AND(AA428=1,ISNUMBER(C428)),C428+ROW()/100000,"")</f>
        <v/>
      </c>
      <c r="AA428" s="43" t="n">
        <f aca="false">IF(AND(D428&lt;&gt;"",ISNUMBER(B428),ISNUMBER(C428),N(H428)&gt;0,T428&lt;&gt;"Cancelled",J428&lt;&gt;""),1,0)</f>
        <v>0</v>
      </c>
      <c r="AB428" s="44" t="n">
        <f aca="false">IF(AA428=1,J428/H428,0)</f>
        <v>0</v>
      </c>
      <c r="AC428" s="44" t="n">
        <f aca="false">IF(AA428=1,Q428/H428,0)</f>
        <v>0</v>
      </c>
      <c r="AD428" s="44" t="n">
        <f aca="false">IF(AA428=1,R428/H428,0)</f>
        <v>0</v>
      </c>
      <c r="AE428" s="44" t="n">
        <f aca="false">IF(AA428=1,O428/H428,0)</f>
        <v>0</v>
      </c>
      <c r="AF428" s="44" t="n">
        <f aca="false">IF(AA428=1,K428/H428,0)</f>
        <v>0</v>
      </c>
      <c r="AG428" s="45" t="str">
        <f aca="false">IF(AA428=1,D428&amp;"|"&amp;TEXT(B428,"0"),"")</f>
        <v/>
      </c>
      <c r="AH428" s="43" t="n">
        <f aca="false">IF(AA428=1,H428,0)</f>
        <v>0</v>
      </c>
    </row>
    <row r="429" customFormat="false" ht="15" hidden="false" customHeight="false" outlineLevel="0" collapsed="false">
      <c r="A429" s="8" t="str">
        <f aca="false">IF(B429="","","B-"&amp;TEXT(ROW()-4,"0000"))</f>
        <v/>
      </c>
      <c r="B429" s="38"/>
      <c r="C429" s="38"/>
      <c r="D429" s="6"/>
      <c r="E429" s="6"/>
      <c r="F429" s="6"/>
      <c r="G429" s="11"/>
      <c r="H429" s="18" t="str">
        <f aca="false">IF(AND(ISNUMBER(B429),ISNUMBER(C429)),MAX(0,C429-B429),"")</f>
        <v/>
      </c>
      <c r="I429" s="37"/>
      <c r="J429" s="41" t="str">
        <f aca="false">IF(OR(D429="",N(H429)=0),"",IFERROR(IF(I429&lt;&gt;"",H429*I429,ROUND(((H429-(INT((WEEKDAY(B429-6)+H429-1)/7)+INT((WEEKDAY(B429-7)+H429-1)/7)))*INDEX(Properties!$E$5:$E$24,MATCH(D429,Properties!$A$5:$A$24,0))+(INT((WEEKDAY(B429-6)+H429-1)/7)+INT((WEEKDAY(B429-7)+H429-1)/7))*INDEX(Properties!$F$5:$F$24,MATCH(D429,Properties!$A$5:$A$24,0)))*(1-IF(H429&gt;=28,Settings!$B$10,IF(H429&gt;=7,Settings!$B$9,0))),2)),0))</f>
        <v/>
      </c>
      <c r="K429" s="41" t="str">
        <f aca="false">IF(J429="","",IFERROR(N(INDEX(Properties!$G$5:$G$24,MATCH(D429,Properties!$A$5:$A$24,0))),0))</f>
        <v/>
      </c>
      <c r="L429" s="41" t="str">
        <f aca="false">IF(J429="","",IFERROR(MAX(0,N(G429)-INDEX(Properties!$I$5:$I$24,MATCH(D429,Properties!$A$5:$A$24,0)))*N(INDEX(Properties!$J$5:$J$24,MATCH(D429,Properties!$A$5:$A$24,0)))*H429,0))</f>
        <v/>
      </c>
      <c r="M429" s="37"/>
      <c r="N429" s="41" t="str">
        <f aca="false">IF(J429="","",J429+K429+L429+N(M429))</f>
        <v/>
      </c>
      <c r="O429" s="41" t="str">
        <f aca="false">IF(N429="","",IF(P429&lt;&gt;"",N429-P429,ROUND(N429*IFERROR(INDEX(Settings!$E$5:$E$12,MATCH(F429,Settings!$D$5:$D$12,0)),0),2)))</f>
        <v/>
      </c>
      <c r="P429" s="37"/>
      <c r="Q429" s="41" t="str">
        <f aca="false">IF(N429="","",IF(P429&lt;&gt;"",P429,N429-O429))</f>
        <v/>
      </c>
      <c r="R429" s="41" t="str">
        <f aca="false">IF(J429="","",IFERROR(N(INDEX(Properties!$H$5:$H$24,MATCH(D429,Properties!$A$5:$A$24,0))),0))</f>
        <v/>
      </c>
      <c r="S429" s="41" t="str">
        <f aca="false">IF(Q429="","",Q429-R429)</f>
        <v/>
      </c>
      <c r="T429" s="6"/>
      <c r="U429" s="6"/>
      <c r="V429" s="6"/>
      <c r="W429" s="6"/>
      <c r="X429" s="6"/>
      <c r="Y429" s="8" t="str">
        <f aca="false">IF(OR(D429="",B429="",C429=""),"",IF(N(C429)&lt;=N(B429),"Check dates",IF(T429="Cancelled","",IF(COUNTIFS($D$5:$D$1004,D429,$B$5:$B$1004,"&lt;"&amp;C429,$C$5:$C$1004,"&gt;"&amp;B429,$T$5:$T$1004,"&lt;&gt;Cancelled")&gt;1,"Double-booked",""))))</f>
        <v/>
      </c>
      <c r="Z429" s="42" t="str">
        <f aca="false">IF(AND(AA429=1,ISNUMBER(C429)),C429+ROW()/100000,"")</f>
        <v/>
      </c>
      <c r="AA429" s="43" t="n">
        <f aca="false">IF(AND(D429&lt;&gt;"",ISNUMBER(B429),ISNUMBER(C429),N(H429)&gt;0,T429&lt;&gt;"Cancelled",J429&lt;&gt;""),1,0)</f>
        <v>0</v>
      </c>
      <c r="AB429" s="44" t="n">
        <f aca="false">IF(AA429=1,J429/H429,0)</f>
        <v>0</v>
      </c>
      <c r="AC429" s="44" t="n">
        <f aca="false">IF(AA429=1,Q429/H429,0)</f>
        <v>0</v>
      </c>
      <c r="AD429" s="44" t="n">
        <f aca="false">IF(AA429=1,R429/H429,0)</f>
        <v>0</v>
      </c>
      <c r="AE429" s="44" t="n">
        <f aca="false">IF(AA429=1,O429/H429,0)</f>
        <v>0</v>
      </c>
      <c r="AF429" s="44" t="n">
        <f aca="false">IF(AA429=1,K429/H429,0)</f>
        <v>0</v>
      </c>
      <c r="AG429" s="45" t="str">
        <f aca="false">IF(AA429=1,D429&amp;"|"&amp;TEXT(B429,"0"),"")</f>
        <v/>
      </c>
      <c r="AH429" s="43" t="n">
        <f aca="false">IF(AA429=1,H429,0)</f>
        <v>0</v>
      </c>
    </row>
    <row r="430" customFormat="false" ht="15" hidden="false" customHeight="false" outlineLevel="0" collapsed="false">
      <c r="A430" s="23" t="str">
        <f aca="false">IF(B430="","","B-"&amp;TEXT(ROW()-4,"0000"))</f>
        <v/>
      </c>
      <c r="B430" s="38"/>
      <c r="C430" s="38"/>
      <c r="D430" s="6"/>
      <c r="E430" s="6"/>
      <c r="F430" s="6"/>
      <c r="G430" s="11"/>
      <c r="H430" s="24" t="str">
        <f aca="false">IF(AND(ISNUMBER(B430),ISNUMBER(C430)),MAX(0,C430-B430),"")</f>
        <v/>
      </c>
      <c r="I430" s="37"/>
      <c r="J430" s="46" t="str">
        <f aca="false">IF(OR(D430="",N(H430)=0),"",IFERROR(IF(I430&lt;&gt;"",H430*I430,ROUND(((H430-(INT((WEEKDAY(B430-6)+H430-1)/7)+INT((WEEKDAY(B430-7)+H430-1)/7)))*INDEX(Properties!$E$5:$E$24,MATCH(D430,Properties!$A$5:$A$24,0))+(INT((WEEKDAY(B430-6)+H430-1)/7)+INT((WEEKDAY(B430-7)+H430-1)/7))*INDEX(Properties!$F$5:$F$24,MATCH(D430,Properties!$A$5:$A$24,0)))*(1-IF(H430&gt;=28,Settings!$B$10,IF(H430&gt;=7,Settings!$B$9,0))),2)),0))</f>
        <v/>
      </c>
      <c r="K430" s="46" t="str">
        <f aca="false">IF(J430="","",IFERROR(N(INDEX(Properties!$G$5:$G$24,MATCH(D430,Properties!$A$5:$A$24,0))),0))</f>
        <v/>
      </c>
      <c r="L430" s="46" t="str">
        <f aca="false">IF(J430="","",IFERROR(MAX(0,N(G430)-INDEX(Properties!$I$5:$I$24,MATCH(D430,Properties!$A$5:$A$24,0)))*N(INDEX(Properties!$J$5:$J$24,MATCH(D430,Properties!$A$5:$A$24,0)))*H430,0))</f>
        <v/>
      </c>
      <c r="M430" s="37"/>
      <c r="N430" s="46" t="str">
        <f aca="false">IF(J430="","",J430+K430+L430+N(M430))</f>
        <v/>
      </c>
      <c r="O430" s="46" t="str">
        <f aca="false">IF(N430="","",IF(P430&lt;&gt;"",N430-P430,ROUND(N430*IFERROR(INDEX(Settings!$E$5:$E$12,MATCH(F430,Settings!$D$5:$D$12,0)),0),2)))</f>
        <v/>
      </c>
      <c r="P430" s="37"/>
      <c r="Q430" s="46" t="str">
        <f aca="false">IF(N430="","",IF(P430&lt;&gt;"",P430,N430-O430))</f>
        <v/>
      </c>
      <c r="R430" s="46" t="str">
        <f aca="false">IF(J430="","",IFERROR(N(INDEX(Properties!$H$5:$H$24,MATCH(D430,Properties!$A$5:$A$24,0))),0))</f>
        <v/>
      </c>
      <c r="S430" s="46" t="str">
        <f aca="false">IF(Q430="","",Q430-R430)</f>
        <v/>
      </c>
      <c r="T430" s="6"/>
      <c r="U430" s="6"/>
      <c r="V430" s="6"/>
      <c r="W430" s="6"/>
      <c r="X430" s="6"/>
      <c r="Y430" s="8" t="str">
        <f aca="false">IF(OR(D430="",B430="",C430=""),"",IF(N(C430)&lt;=N(B430),"Check dates",IF(T430="Cancelled","",IF(COUNTIFS($D$5:$D$1004,D430,$B$5:$B$1004,"&lt;"&amp;C430,$C$5:$C$1004,"&gt;"&amp;B430,$T$5:$T$1004,"&lt;&gt;Cancelled")&gt;1,"Double-booked",""))))</f>
        <v/>
      </c>
      <c r="Z430" s="42" t="str">
        <f aca="false">IF(AND(AA430=1,ISNUMBER(C430)),C430+ROW()/100000,"")</f>
        <v/>
      </c>
      <c r="AA430" s="43" t="n">
        <f aca="false">IF(AND(D430&lt;&gt;"",ISNUMBER(B430),ISNUMBER(C430),N(H430)&gt;0,T430&lt;&gt;"Cancelled",J430&lt;&gt;""),1,0)</f>
        <v>0</v>
      </c>
      <c r="AB430" s="44" t="n">
        <f aca="false">IF(AA430=1,J430/H430,0)</f>
        <v>0</v>
      </c>
      <c r="AC430" s="44" t="n">
        <f aca="false">IF(AA430=1,Q430/H430,0)</f>
        <v>0</v>
      </c>
      <c r="AD430" s="44" t="n">
        <f aca="false">IF(AA430=1,R430/H430,0)</f>
        <v>0</v>
      </c>
      <c r="AE430" s="44" t="n">
        <f aca="false">IF(AA430=1,O430/H430,0)</f>
        <v>0</v>
      </c>
      <c r="AF430" s="44" t="n">
        <f aca="false">IF(AA430=1,K430/H430,0)</f>
        <v>0</v>
      </c>
      <c r="AG430" s="45" t="str">
        <f aca="false">IF(AA430=1,D430&amp;"|"&amp;TEXT(B430,"0"),"")</f>
        <v/>
      </c>
      <c r="AH430" s="43" t="n">
        <f aca="false">IF(AA430=1,H430,0)</f>
        <v>0</v>
      </c>
    </row>
    <row r="431" customFormat="false" ht="15" hidden="false" customHeight="false" outlineLevel="0" collapsed="false">
      <c r="A431" s="8" t="str">
        <f aca="false">IF(B431="","","B-"&amp;TEXT(ROW()-4,"0000"))</f>
        <v/>
      </c>
      <c r="B431" s="38"/>
      <c r="C431" s="38"/>
      <c r="D431" s="6"/>
      <c r="E431" s="6"/>
      <c r="F431" s="6"/>
      <c r="G431" s="11"/>
      <c r="H431" s="18" t="str">
        <f aca="false">IF(AND(ISNUMBER(B431),ISNUMBER(C431)),MAX(0,C431-B431),"")</f>
        <v/>
      </c>
      <c r="I431" s="37"/>
      <c r="J431" s="41" t="str">
        <f aca="false">IF(OR(D431="",N(H431)=0),"",IFERROR(IF(I431&lt;&gt;"",H431*I431,ROUND(((H431-(INT((WEEKDAY(B431-6)+H431-1)/7)+INT((WEEKDAY(B431-7)+H431-1)/7)))*INDEX(Properties!$E$5:$E$24,MATCH(D431,Properties!$A$5:$A$24,0))+(INT((WEEKDAY(B431-6)+H431-1)/7)+INT((WEEKDAY(B431-7)+H431-1)/7))*INDEX(Properties!$F$5:$F$24,MATCH(D431,Properties!$A$5:$A$24,0)))*(1-IF(H431&gt;=28,Settings!$B$10,IF(H431&gt;=7,Settings!$B$9,0))),2)),0))</f>
        <v/>
      </c>
      <c r="K431" s="41" t="str">
        <f aca="false">IF(J431="","",IFERROR(N(INDEX(Properties!$G$5:$G$24,MATCH(D431,Properties!$A$5:$A$24,0))),0))</f>
        <v/>
      </c>
      <c r="L431" s="41" t="str">
        <f aca="false">IF(J431="","",IFERROR(MAX(0,N(G431)-INDEX(Properties!$I$5:$I$24,MATCH(D431,Properties!$A$5:$A$24,0)))*N(INDEX(Properties!$J$5:$J$24,MATCH(D431,Properties!$A$5:$A$24,0)))*H431,0))</f>
        <v/>
      </c>
      <c r="M431" s="37"/>
      <c r="N431" s="41" t="str">
        <f aca="false">IF(J431="","",J431+K431+L431+N(M431))</f>
        <v/>
      </c>
      <c r="O431" s="41" t="str">
        <f aca="false">IF(N431="","",IF(P431&lt;&gt;"",N431-P431,ROUND(N431*IFERROR(INDEX(Settings!$E$5:$E$12,MATCH(F431,Settings!$D$5:$D$12,0)),0),2)))</f>
        <v/>
      </c>
      <c r="P431" s="37"/>
      <c r="Q431" s="41" t="str">
        <f aca="false">IF(N431="","",IF(P431&lt;&gt;"",P431,N431-O431))</f>
        <v/>
      </c>
      <c r="R431" s="41" t="str">
        <f aca="false">IF(J431="","",IFERROR(N(INDEX(Properties!$H$5:$H$24,MATCH(D431,Properties!$A$5:$A$24,0))),0))</f>
        <v/>
      </c>
      <c r="S431" s="41" t="str">
        <f aca="false">IF(Q431="","",Q431-R431)</f>
        <v/>
      </c>
      <c r="T431" s="6"/>
      <c r="U431" s="6"/>
      <c r="V431" s="6"/>
      <c r="W431" s="6"/>
      <c r="X431" s="6"/>
      <c r="Y431" s="8" t="str">
        <f aca="false">IF(OR(D431="",B431="",C431=""),"",IF(N(C431)&lt;=N(B431),"Check dates",IF(T431="Cancelled","",IF(COUNTIFS($D$5:$D$1004,D431,$B$5:$B$1004,"&lt;"&amp;C431,$C$5:$C$1004,"&gt;"&amp;B431,$T$5:$T$1004,"&lt;&gt;Cancelled")&gt;1,"Double-booked",""))))</f>
        <v/>
      </c>
      <c r="Z431" s="42" t="str">
        <f aca="false">IF(AND(AA431=1,ISNUMBER(C431)),C431+ROW()/100000,"")</f>
        <v/>
      </c>
      <c r="AA431" s="43" t="n">
        <f aca="false">IF(AND(D431&lt;&gt;"",ISNUMBER(B431),ISNUMBER(C431),N(H431)&gt;0,T431&lt;&gt;"Cancelled",J431&lt;&gt;""),1,0)</f>
        <v>0</v>
      </c>
      <c r="AB431" s="44" t="n">
        <f aca="false">IF(AA431=1,J431/H431,0)</f>
        <v>0</v>
      </c>
      <c r="AC431" s="44" t="n">
        <f aca="false">IF(AA431=1,Q431/H431,0)</f>
        <v>0</v>
      </c>
      <c r="AD431" s="44" t="n">
        <f aca="false">IF(AA431=1,R431/H431,0)</f>
        <v>0</v>
      </c>
      <c r="AE431" s="44" t="n">
        <f aca="false">IF(AA431=1,O431/H431,0)</f>
        <v>0</v>
      </c>
      <c r="AF431" s="44" t="n">
        <f aca="false">IF(AA431=1,K431/H431,0)</f>
        <v>0</v>
      </c>
      <c r="AG431" s="45" t="str">
        <f aca="false">IF(AA431=1,D431&amp;"|"&amp;TEXT(B431,"0"),"")</f>
        <v/>
      </c>
      <c r="AH431" s="43" t="n">
        <f aca="false">IF(AA431=1,H431,0)</f>
        <v>0</v>
      </c>
    </row>
    <row r="432" customFormat="false" ht="15" hidden="false" customHeight="false" outlineLevel="0" collapsed="false">
      <c r="A432" s="23" t="str">
        <f aca="false">IF(B432="","","B-"&amp;TEXT(ROW()-4,"0000"))</f>
        <v/>
      </c>
      <c r="B432" s="38"/>
      <c r="C432" s="38"/>
      <c r="D432" s="6"/>
      <c r="E432" s="6"/>
      <c r="F432" s="6"/>
      <c r="G432" s="11"/>
      <c r="H432" s="24" t="str">
        <f aca="false">IF(AND(ISNUMBER(B432),ISNUMBER(C432)),MAX(0,C432-B432),"")</f>
        <v/>
      </c>
      <c r="I432" s="37"/>
      <c r="J432" s="46" t="str">
        <f aca="false">IF(OR(D432="",N(H432)=0),"",IFERROR(IF(I432&lt;&gt;"",H432*I432,ROUND(((H432-(INT((WEEKDAY(B432-6)+H432-1)/7)+INT((WEEKDAY(B432-7)+H432-1)/7)))*INDEX(Properties!$E$5:$E$24,MATCH(D432,Properties!$A$5:$A$24,0))+(INT((WEEKDAY(B432-6)+H432-1)/7)+INT((WEEKDAY(B432-7)+H432-1)/7))*INDEX(Properties!$F$5:$F$24,MATCH(D432,Properties!$A$5:$A$24,0)))*(1-IF(H432&gt;=28,Settings!$B$10,IF(H432&gt;=7,Settings!$B$9,0))),2)),0))</f>
        <v/>
      </c>
      <c r="K432" s="46" t="str">
        <f aca="false">IF(J432="","",IFERROR(N(INDEX(Properties!$G$5:$G$24,MATCH(D432,Properties!$A$5:$A$24,0))),0))</f>
        <v/>
      </c>
      <c r="L432" s="46" t="str">
        <f aca="false">IF(J432="","",IFERROR(MAX(0,N(G432)-INDEX(Properties!$I$5:$I$24,MATCH(D432,Properties!$A$5:$A$24,0)))*N(INDEX(Properties!$J$5:$J$24,MATCH(D432,Properties!$A$5:$A$24,0)))*H432,0))</f>
        <v/>
      </c>
      <c r="M432" s="37"/>
      <c r="N432" s="46" t="str">
        <f aca="false">IF(J432="","",J432+K432+L432+N(M432))</f>
        <v/>
      </c>
      <c r="O432" s="46" t="str">
        <f aca="false">IF(N432="","",IF(P432&lt;&gt;"",N432-P432,ROUND(N432*IFERROR(INDEX(Settings!$E$5:$E$12,MATCH(F432,Settings!$D$5:$D$12,0)),0),2)))</f>
        <v/>
      </c>
      <c r="P432" s="37"/>
      <c r="Q432" s="46" t="str">
        <f aca="false">IF(N432="","",IF(P432&lt;&gt;"",P432,N432-O432))</f>
        <v/>
      </c>
      <c r="R432" s="46" t="str">
        <f aca="false">IF(J432="","",IFERROR(N(INDEX(Properties!$H$5:$H$24,MATCH(D432,Properties!$A$5:$A$24,0))),0))</f>
        <v/>
      </c>
      <c r="S432" s="46" t="str">
        <f aca="false">IF(Q432="","",Q432-R432)</f>
        <v/>
      </c>
      <c r="T432" s="6"/>
      <c r="U432" s="6"/>
      <c r="V432" s="6"/>
      <c r="W432" s="6"/>
      <c r="X432" s="6"/>
      <c r="Y432" s="8" t="str">
        <f aca="false">IF(OR(D432="",B432="",C432=""),"",IF(N(C432)&lt;=N(B432),"Check dates",IF(T432="Cancelled","",IF(COUNTIFS($D$5:$D$1004,D432,$B$5:$B$1004,"&lt;"&amp;C432,$C$5:$C$1004,"&gt;"&amp;B432,$T$5:$T$1004,"&lt;&gt;Cancelled")&gt;1,"Double-booked",""))))</f>
        <v/>
      </c>
      <c r="Z432" s="42" t="str">
        <f aca="false">IF(AND(AA432=1,ISNUMBER(C432)),C432+ROW()/100000,"")</f>
        <v/>
      </c>
      <c r="AA432" s="43" t="n">
        <f aca="false">IF(AND(D432&lt;&gt;"",ISNUMBER(B432),ISNUMBER(C432),N(H432)&gt;0,T432&lt;&gt;"Cancelled",J432&lt;&gt;""),1,0)</f>
        <v>0</v>
      </c>
      <c r="AB432" s="44" t="n">
        <f aca="false">IF(AA432=1,J432/H432,0)</f>
        <v>0</v>
      </c>
      <c r="AC432" s="44" t="n">
        <f aca="false">IF(AA432=1,Q432/H432,0)</f>
        <v>0</v>
      </c>
      <c r="AD432" s="44" t="n">
        <f aca="false">IF(AA432=1,R432/H432,0)</f>
        <v>0</v>
      </c>
      <c r="AE432" s="44" t="n">
        <f aca="false">IF(AA432=1,O432/H432,0)</f>
        <v>0</v>
      </c>
      <c r="AF432" s="44" t="n">
        <f aca="false">IF(AA432=1,K432/H432,0)</f>
        <v>0</v>
      </c>
      <c r="AG432" s="45" t="str">
        <f aca="false">IF(AA432=1,D432&amp;"|"&amp;TEXT(B432,"0"),"")</f>
        <v/>
      </c>
      <c r="AH432" s="43" t="n">
        <f aca="false">IF(AA432=1,H432,0)</f>
        <v>0</v>
      </c>
    </row>
    <row r="433" customFormat="false" ht="15" hidden="false" customHeight="false" outlineLevel="0" collapsed="false">
      <c r="A433" s="8" t="str">
        <f aca="false">IF(B433="","","B-"&amp;TEXT(ROW()-4,"0000"))</f>
        <v/>
      </c>
      <c r="B433" s="38"/>
      <c r="C433" s="38"/>
      <c r="D433" s="6"/>
      <c r="E433" s="6"/>
      <c r="F433" s="6"/>
      <c r="G433" s="11"/>
      <c r="H433" s="18" t="str">
        <f aca="false">IF(AND(ISNUMBER(B433),ISNUMBER(C433)),MAX(0,C433-B433),"")</f>
        <v/>
      </c>
      <c r="I433" s="37"/>
      <c r="J433" s="41" t="str">
        <f aca="false">IF(OR(D433="",N(H433)=0),"",IFERROR(IF(I433&lt;&gt;"",H433*I433,ROUND(((H433-(INT((WEEKDAY(B433-6)+H433-1)/7)+INT((WEEKDAY(B433-7)+H433-1)/7)))*INDEX(Properties!$E$5:$E$24,MATCH(D433,Properties!$A$5:$A$24,0))+(INT((WEEKDAY(B433-6)+H433-1)/7)+INT((WEEKDAY(B433-7)+H433-1)/7))*INDEX(Properties!$F$5:$F$24,MATCH(D433,Properties!$A$5:$A$24,0)))*(1-IF(H433&gt;=28,Settings!$B$10,IF(H433&gt;=7,Settings!$B$9,0))),2)),0))</f>
        <v/>
      </c>
      <c r="K433" s="41" t="str">
        <f aca="false">IF(J433="","",IFERROR(N(INDEX(Properties!$G$5:$G$24,MATCH(D433,Properties!$A$5:$A$24,0))),0))</f>
        <v/>
      </c>
      <c r="L433" s="41" t="str">
        <f aca="false">IF(J433="","",IFERROR(MAX(0,N(G433)-INDEX(Properties!$I$5:$I$24,MATCH(D433,Properties!$A$5:$A$24,0)))*N(INDEX(Properties!$J$5:$J$24,MATCH(D433,Properties!$A$5:$A$24,0)))*H433,0))</f>
        <v/>
      </c>
      <c r="M433" s="37"/>
      <c r="N433" s="41" t="str">
        <f aca="false">IF(J433="","",J433+K433+L433+N(M433))</f>
        <v/>
      </c>
      <c r="O433" s="41" t="str">
        <f aca="false">IF(N433="","",IF(P433&lt;&gt;"",N433-P433,ROUND(N433*IFERROR(INDEX(Settings!$E$5:$E$12,MATCH(F433,Settings!$D$5:$D$12,0)),0),2)))</f>
        <v/>
      </c>
      <c r="P433" s="37"/>
      <c r="Q433" s="41" t="str">
        <f aca="false">IF(N433="","",IF(P433&lt;&gt;"",P433,N433-O433))</f>
        <v/>
      </c>
      <c r="R433" s="41" t="str">
        <f aca="false">IF(J433="","",IFERROR(N(INDEX(Properties!$H$5:$H$24,MATCH(D433,Properties!$A$5:$A$24,0))),0))</f>
        <v/>
      </c>
      <c r="S433" s="41" t="str">
        <f aca="false">IF(Q433="","",Q433-R433)</f>
        <v/>
      </c>
      <c r="T433" s="6"/>
      <c r="U433" s="6"/>
      <c r="V433" s="6"/>
      <c r="W433" s="6"/>
      <c r="X433" s="6"/>
      <c r="Y433" s="8" t="str">
        <f aca="false">IF(OR(D433="",B433="",C433=""),"",IF(N(C433)&lt;=N(B433),"Check dates",IF(T433="Cancelled","",IF(COUNTIFS($D$5:$D$1004,D433,$B$5:$B$1004,"&lt;"&amp;C433,$C$5:$C$1004,"&gt;"&amp;B433,$T$5:$T$1004,"&lt;&gt;Cancelled")&gt;1,"Double-booked",""))))</f>
        <v/>
      </c>
      <c r="Z433" s="42" t="str">
        <f aca="false">IF(AND(AA433=1,ISNUMBER(C433)),C433+ROW()/100000,"")</f>
        <v/>
      </c>
      <c r="AA433" s="43" t="n">
        <f aca="false">IF(AND(D433&lt;&gt;"",ISNUMBER(B433),ISNUMBER(C433),N(H433)&gt;0,T433&lt;&gt;"Cancelled",J433&lt;&gt;""),1,0)</f>
        <v>0</v>
      </c>
      <c r="AB433" s="44" t="n">
        <f aca="false">IF(AA433=1,J433/H433,0)</f>
        <v>0</v>
      </c>
      <c r="AC433" s="44" t="n">
        <f aca="false">IF(AA433=1,Q433/H433,0)</f>
        <v>0</v>
      </c>
      <c r="AD433" s="44" t="n">
        <f aca="false">IF(AA433=1,R433/H433,0)</f>
        <v>0</v>
      </c>
      <c r="AE433" s="44" t="n">
        <f aca="false">IF(AA433=1,O433/H433,0)</f>
        <v>0</v>
      </c>
      <c r="AF433" s="44" t="n">
        <f aca="false">IF(AA433=1,K433/H433,0)</f>
        <v>0</v>
      </c>
      <c r="AG433" s="45" t="str">
        <f aca="false">IF(AA433=1,D433&amp;"|"&amp;TEXT(B433,"0"),"")</f>
        <v/>
      </c>
      <c r="AH433" s="43" t="n">
        <f aca="false">IF(AA433=1,H433,0)</f>
        <v>0</v>
      </c>
    </row>
    <row r="434" customFormat="false" ht="15" hidden="false" customHeight="false" outlineLevel="0" collapsed="false">
      <c r="A434" s="23" t="str">
        <f aca="false">IF(B434="","","B-"&amp;TEXT(ROW()-4,"0000"))</f>
        <v/>
      </c>
      <c r="B434" s="38"/>
      <c r="C434" s="38"/>
      <c r="D434" s="6"/>
      <c r="E434" s="6"/>
      <c r="F434" s="6"/>
      <c r="G434" s="11"/>
      <c r="H434" s="24" t="str">
        <f aca="false">IF(AND(ISNUMBER(B434),ISNUMBER(C434)),MAX(0,C434-B434),"")</f>
        <v/>
      </c>
      <c r="I434" s="37"/>
      <c r="J434" s="46" t="str">
        <f aca="false">IF(OR(D434="",N(H434)=0),"",IFERROR(IF(I434&lt;&gt;"",H434*I434,ROUND(((H434-(INT((WEEKDAY(B434-6)+H434-1)/7)+INT((WEEKDAY(B434-7)+H434-1)/7)))*INDEX(Properties!$E$5:$E$24,MATCH(D434,Properties!$A$5:$A$24,0))+(INT((WEEKDAY(B434-6)+H434-1)/7)+INT((WEEKDAY(B434-7)+H434-1)/7))*INDEX(Properties!$F$5:$F$24,MATCH(D434,Properties!$A$5:$A$24,0)))*(1-IF(H434&gt;=28,Settings!$B$10,IF(H434&gt;=7,Settings!$B$9,0))),2)),0))</f>
        <v/>
      </c>
      <c r="K434" s="46" t="str">
        <f aca="false">IF(J434="","",IFERROR(N(INDEX(Properties!$G$5:$G$24,MATCH(D434,Properties!$A$5:$A$24,0))),0))</f>
        <v/>
      </c>
      <c r="L434" s="46" t="str">
        <f aca="false">IF(J434="","",IFERROR(MAX(0,N(G434)-INDEX(Properties!$I$5:$I$24,MATCH(D434,Properties!$A$5:$A$24,0)))*N(INDEX(Properties!$J$5:$J$24,MATCH(D434,Properties!$A$5:$A$24,0)))*H434,0))</f>
        <v/>
      </c>
      <c r="M434" s="37"/>
      <c r="N434" s="46" t="str">
        <f aca="false">IF(J434="","",J434+K434+L434+N(M434))</f>
        <v/>
      </c>
      <c r="O434" s="46" t="str">
        <f aca="false">IF(N434="","",IF(P434&lt;&gt;"",N434-P434,ROUND(N434*IFERROR(INDEX(Settings!$E$5:$E$12,MATCH(F434,Settings!$D$5:$D$12,0)),0),2)))</f>
        <v/>
      </c>
      <c r="P434" s="37"/>
      <c r="Q434" s="46" t="str">
        <f aca="false">IF(N434="","",IF(P434&lt;&gt;"",P434,N434-O434))</f>
        <v/>
      </c>
      <c r="R434" s="46" t="str">
        <f aca="false">IF(J434="","",IFERROR(N(INDEX(Properties!$H$5:$H$24,MATCH(D434,Properties!$A$5:$A$24,0))),0))</f>
        <v/>
      </c>
      <c r="S434" s="46" t="str">
        <f aca="false">IF(Q434="","",Q434-R434)</f>
        <v/>
      </c>
      <c r="T434" s="6"/>
      <c r="U434" s="6"/>
      <c r="V434" s="6"/>
      <c r="W434" s="6"/>
      <c r="X434" s="6"/>
      <c r="Y434" s="8" t="str">
        <f aca="false">IF(OR(D434="",B434="",C434=""),"",IF(N(C434)&lt;=N(B434),"Check dates",IF(T434="Cancelled","",IF(COUNTIFS($D$5:$D$1004,D434,$B$5:$B$1004,"&lt;"&amp;C434,$C$5:$C$1004,"&gt;"&amp;B434,$T$5:$T$1004,"&lt;&gt;Cancelled")&gt;1,"Double-booked",""))))</f>
        <v/>
      </c>
      <c r="Z434" s="42" t="str">
        <f aca="false">IF(AND(AA434=1,ISNUMBER(C434)),C434+ROW()/100000,"")</f>
        <v/>
      </c>
      <c r="AA434" s="43" t="n">
        <f aca="false">IF(AND(D434&lt;&gt;"",ISNUMBER(B434),ISNUMBER(C434),N(H434)&gt;0,T434&lt;&gt;"Cancelled",J434&lt;&gt;""),1,0)</f>
        <v>0</v>
      </c>
      <c r="AB434" s="44" t="n">
        <f aca="false">IF(AA434=1,J434/H434,0)</f>
        <v>0</v>
      </c>
      <c r="AC434" s="44" t="n">
        <f aca="false">IF(AA434=1,Q434/H434,0)</f>
        <v>0</v>
      </c>
      <c r="AD434" s="44" t="n">
        <f aca="false">IF(AA434=1,R434/H434,0)</f>
        <v>0</v>
      </c>
      <c r="AE434" s="44" t="n">
        <f aca="false">IF(AA434=1,O434/H434,0)</f>
        <v>0</v>
      </c>
      <c r="AF434" s="44" t="n">
        <f aca="false">IF(AA434=1,K434/H434,0)</f>
        <v>0</v>
      </c>
      <c r="AG434" s="45" t="str">
        <f aca="false">IF(AA434=1,D434&amp;"|"&amp;TEXT(B434,"0"),"")</f>
        <v/>
      </c>
      <c r="AH434" s="43" t="n">
        <f aca="false">IF(AA434=1,H434,0)</f>
        <v>0</v>
      </c>
    </row>
    <row r="435" customFormat="false" ht="15" hidden="false" customHeight="false" outlineLevel="0" collapsed="false">
      <c r="A435" s="8" t="str">
        <f aca="false">IF(B435="","","B-"&amp;TEXT(ROW()-4,"0000"))</f>
        <v/>
      </c>
      <c r="B435" s="38"/>
      <c r="C435" s="38"/>
      <c r="D435" s="6"/>
      <c r="E435" s="6"/>
      <c r="F435" s="6"/>
      <c r="G435" s="11"/>
      <c r="H435" s="18" t="str">
        <f aca="false">IF(AND(ISNUMBER(B435),ISNUMBER(C435)),MAX(0,C435-B435),"")</f>
        <v/>
      </c>
      <c r="I435" s="37"/>
      <c r="J435" s="41" t="str">
        <f aca="false">IF(OR(D435="",N(H435)=0),"",IFERROR(IF(I435&lt;&gt;"",H435*I435,ROUND(((H435-(INT((WEEKDAY(B435-6)+H435-1)/7)+INT((WEEKDAY(B435-7)+H435-1)/7)))*INDEX(Properties!$E$5:$E$24,MATCH(D435,Properties!$A$5:$A$24,0))+(INT((WEEKDAY(B435-6)+H435-1)/7)+INT((WEEKDAY(B435-7)+H435-1)/7))*INDEX(Properties!$F$5:$F$24,MATCH(D435,Properties!$A$5:$A$24,0)))*(1-IF(H435&gt;=28,Settings!$B$10,IF(H435&gt;=7,Settings!$B$9,0))),2)),0))</f>
        <v/>
      </c>
      <c r="K435" s="41" t="str">
        <f aca="false">IF(J435="","",IFERROR(N(INDEX(Properties!$G$5:$G$24,MATCH(D435,Properties!$A$5:$A$24,0))),0))</f>
        <v/>
      </c>
      <c r="L435" s="41" t="str">
        <f aca="false">IF(J435="","",IFERROR(MAX(0,N(G435)-INDEX(Properties!$I$5:$I$24,MATCH(D435,Properties!$A$5:$A$24,0)))*N(INDEX(Properties!$J$5:$J$24,MATCH(D435,Properties!$A$5:$A$24,0)))*H435,0))</f>
        <v/>
      </c>
      <c r="M435" s="37"/>
      <c r="N435" s="41" t="str">
        <f aca="false">IF(J435="","",J435+K435+L435+N(M435))</f>
        <v/>
      </c>
      <c r="O435" s="41" t="str">
        <f aca="false">IF(N435="","",IF(P435&lt;&gt;"",N435-P435,ROUND(N435*IFERROR(INDEX(Settings!$E$5:$E$12,MATCH(F435,Settings!$D$5:$D$12,0)),0),2)))</f>
        <v/>
      </c>
      <c r="P435" s="37"/>
      <c r="Q435" s="41" t="str">
        <f aca="false">IF(N435="","",IF(P435&lt;&gt;"",P435,N435-O435))</f>
        <v/>
      </c>
      <c r="R435" s="41" t="str">
        <f aca="false">IF(J435="","",IFERROR(N(INDEX(Properties!$H$5:$H$24,MATCH(D435,Properties!$A$5:$A$24,0))),0))</f>
        <v/>
      </c>
      <c r="S435" s="41" t="str">
        <f aca="false">IF(Q435="","",Q435-R435)</f>
        <v/>
      </c>
      <c r="T435" s="6"/>
      <c r="U435" s="6"/>
      <c r="V435" s="6"/>
      <c r="W435" s="6"/>
      <c r="X435" s="6"/>
      <c r="Y435" s="8" t="str">
        <f aca="false">IF(OR(D435="",B435="",C435=""),"",IF(N(C435)&lt;=N(B435),"Check dates",IF(T435="Cancelled","",IF(COUNTIFS($D$5:$D$1004,D435,$B$5:$B$1004,"&lt;"&amp;C435,$C$5:$C$1004,"&gt;"&amp;B435,$T$5:$T$1004,"&lt;&gt;Cancelled")&gt;1,"Double-booked",""))))</f>
        <v/>
      </c>
      <c r="Z435" s="42" t="str">
        <f aca="false">IF(AND(AA435=1,ISNUMBER(C435)),C435+ROW()/100000,"")</f>
        <v/>
      </c>
      <c r="AA435" s="43" t="n">
        <f aca="false">IF(AND(D435&lt;&gt;"",ISNUMBER(B435),ISNUMBER(C435),N(H435)&gt;0,T435&lt;&gt;"Cancelled",J435&lt;&gt;""),1,0)</f>
        <v>0</v>
      </c>
      <c r="AB435" s="44" t="n">
        <f aca="false">IF(AA435=1,J435/H435,0)</f>
        <v>0</v>
      </c>
      <c r="AC435" s="44" t="n">
        <f aca="false">IF(AA435=1,Q435/H435,0)</f>
        <v>0</v>
      </c>
      <c r="AD435" s="44" t="n">
        <f aca="false">IF(AA435=1,R435/H435,0)</f>
        <v>0</v>
      </c>
      <c r="AE435" s="44" t="n">
        <f aca="false">IF(AA435=1,O435/H435,0)</f>
        <v>0</v>
      </c>
      <c r="AF435" s="44" t="n">
        <f aca="false">IF(AA435=1,K435/H435,0)</f>
        <v>0</v>
      </c>
      <c r="AG435" s="45" t="str">
        <f aca="false">IF(AA435=1,D435&amp;"|"&amp;TEXT(B435,"0"),"")</f>
        <v/>
      </c>
      <c r="AH435" s="43" t="n">
        <f aca="false">IF(AA435=1,H435,0)</f>
        <v>0</v>
      </c>
    </row>
    <row r="436" customFormat="false" ht="15" hidden="false" customHeight="false" outlineLevel="0" collapsed="false">
      <c r="A436" s="23" t="str">
        <f aca="false">IF(B436="","","B-"&amp;TEXT(ROW()-4,"0000"))</f>
        <v/>
      </c>
      <c r="B436" s="38"/>
      <c r="C436" s="38"/>
      <c r="D436" s="6"/>
      <c r="E436" s="6"/>
      <c r="F436" s="6"/>
      <c r="G436" s="11"/>
      <c r="H436" s="24" t="str">
        <f aca="false">IF(AND(ISNUMBER(B436),ISNUMBER(C436)),MAX(0,C436-B436),"")</f>
        <v/>
      </c>
      <c r="I436" s="37"/>
      <c r="J436" s="46" t="str">
        <f aca="false">IF(OR(D436="",N(H436)=0),"",IFERROR(IF(I436&lt;&gt;"",H436*I436,ROUND(((H436-(INT((WEEKDAY(B436-6)+H436-1)/7)+INT((WEEKDAY(B436-7)+H436-1)/7)))*INDEX(Properties!$E$5:$E$24,MATCH(D436,Properties!$A$5:$A$24,0))+(INT((WEEKDAY(B436-6)+H436-1)/7)+INT((WEEKDAY(B436-7)+H436-1)/7))*INDEX(Properties!$F$5:$F$24,MATCH(D436,Properties!$A$5:$A$24,0)))*(1-IF(H436&gt;=28,Settings!$B$10,IF(H436&gt;=7,Settings!$B$9,0))),2)),0))</f>
        <v/>
      </c>
      <c r="K436" s="46" t="str">
        <f aca="false">IF(J436="","",IFERROR(N(INDEX(Properties!$G$5:$G$24,MATCH(D436,Properties!$A$5:$A$24,0))),0))</f>
        <v/>
      </c>
      <c r="L436" s="46" t="str">
        <f aca="false">IF(J436="","",IFERROR(MAX(0,N(G436)-INDEX(Properties!$I$5:$I$24,MATCH(D436,Properties!$A$5:$A$24,0)))*N(INDEX(Properties!$J$5:$J$24,MATCH(D436,Properties!$A$5:$A$24,0)))*H436,0))</f>
        <v/>
      </c>
      <c r="M436" s="37"/>
      <c r="N436" s="46" t="str">
        <f aca="false">IF(J436="","",J436+K436+L436+N(M436))</f>
        <v/>
      </c>
      <c r="O436" s="46" t="str">
        <f aca="false">IF(N436="","",IF(P436&lt;&gt;"",N436-P436,ROUND(N436*IFERROR(INDEX(Settings!$E$5:$E$12,MATCH(F436,Settings!$D$5:$D$12,0)),0),2)))</f>
        <v/>
      </c>
      <c r="P436" s="37"/>
      <c r="Q436" s="46" t="str">
        <f aca="false">IF(N436="","",IF(P436&lt;&gt;"",P436,N436-O436))</f>
        <v/>
      </c>
      <c r="R436" s="46" t="str">
        <f aca="false">IF(J436="","",IFERROR(N(INDEX(Properties!$H$5:$H$24,MATCH(D436,Properties!$A$5:$A$24,0))),0))</f>
        <v/>
      </c>
      <c r="S436" s="46" t="str">
        <f aca="false">IF(Q436="","",Q436-R436)</f>
        <v/>
      </c>
      <c r="T436" s="6"/>
      <c r="U436" s="6"/>
      <c r="V436" s="6"/>
      <c r="W436" s="6"/>
      <c r="X436" s="6"/>
      <c r="Y436" s="8" t="str">
        <f aca="false">IF(OR(D436="",B436="",C436=""),"",IF(N(C436)&lt;=N(B436),"Check dates",IF(T436="Cancelled","",IF(COUNTIFS($D$5:$D$1004,D436,$B$5:$B$1004,"&lt;"&amp;C436,$C$5:$C$1004,"&gt;"&amp;B436,$T$5:$T$1004,"&lt;&gt;Cancelled")&gt;1,"Double-booked",""))))</f>
        <v/>
      </c>
      <c r="Z436" s="42" t="str">
        <f aca="false">IF(AND(AA436=1,ISNUMBER(C436)),C436+ROW()/100000,"")</f>
        <v/>
      </c>
      <c r="AA436" s="43" t="n">
        <f aca="false">IF(AND(D436&lt;&gt;"",ISNUMBER(B436),ISNUMBER(C436),N(H436)&gt;0,T436&lt;&gt;"Cancelled",J436&lt;&gt;""),1,0)</f>
        <v>0</v>
      </c>
      <c r="AB436" s="44" t="n">
        <f aca="false">IF(AA436=1,J436/H436,0)</f>
        <v>0</v>
      </c>
      <c r="AC436" s="44" t="n">
        <f aca="false">IF(AA436=1,Q436/H436,0)</f>
        <v>0</v>
      </c>
      <c r="AD436" s="44" t="n">
        <f aca="false">IF(AA436=1,R436/H436,0)</f>
        <v>0</v>
      </c>
      <c r="AE436" s="44" t="n">
        <f aca="false">IF(AA436=1,O436/H436,0)</f>
        <v>0</v>
      </c>
      <c r="AF436" s="44" t="n">
        <f aca="false">IF(AA436=1,K436/H436,0)</f>
        <v>0</v>
      </c>
      <c r="AG436" s="45" t="str">
        <f aca="false">IF(AA436=1,D436&amp;"|"&amp;TEXT(B436,"0"),"")</f>
        <v/>
      </c>
      <c r="AH436" s="43" t="n">
        <f aca="false">IF(AA436=1,H436,0)</f>
        <v>0</v>
      </c>
    </row>
    <row r="437" customFormat="false" ht="15" hidden="false" customHeight="false" outlineLevel="0" collapsed="false">
      <c r="A437" s="8" t="str">
        <f aca="false">IF(B437="","","B-"&amp;TEXT(ROW()-4,"0000"))</f>
        <v/>
      </c>
      <c r="B437" s="38"/>
      <c r="C437" s="38"/>
      <c r="D437" s="6"/>
      <c r="E437" s="6"/>
      <c r="F437" s="6"/>
      <c r="G437" s="11"/>
      <c r="H437" s="18" t="str">
        <f aca="false">IF(AND(ISNUMBER(B437),ISNUMBER(C437)),MAX(0,C437-B437),"")</f>
        <v/>
      </c>
      <c r="I437" s="37"/>
      <c r="J437" s="41" t="str">
        <f aca="false">IF(OR(D437="",N(H437)=0),"",IFERROR(IF(I437&lt;&gt;"",H437*I437,ROUND(((H437-(INT((WEEKDAY(B437-6)+H437-1)/7)+INT((WEEKDAY(B437-7)+H437-1)/7)))*INDEX(Properties!$E$5:$E$24,MATCH(D437,Properties!$A$5:$A$24,0))+(INT((WEEKDAY(B437-6)+H437-1)/7)+INT((WEEKDAY(B437-7)+H437-1)/7))*INDEX(Properties!$F$5:$F$24,MATCH(D437,Properties!$A$5:$A$24,0)))*(1-IF(H437&gt;=28,Settings!$B$10,IF(H437&gt;=7,Settings!$B$9,0))),2)),0))</f>
        <v/>
      </c>
      <c r="K437" s="41" t="str">
        <f aca="false">IF(J437="","",IFERROR(N(INDEX(Properties!$G$5:$G$24,MATCH(D437,Properties!$A$5:$A$24,0))),0))</f>
        <v/>
      </c>
      <c r="L437" s="41" t="str">
        <f aca="false">IF(J437="","",IFERROR(MAX(0,N(G437)-INDEX(Properties!$I$5:$I$24,MATCH(D437,Properties!$A$5:$A$24,0)))*N(INDEX(Properties!$J$5:$J$24,MATCH(D437,Properties!$A$5:$A$24,0)))*H437,0))</f>
        <v/>
      </c>
      <c r="M437" s="37"/>
      <c r="N437" s="41" t="str">
        <f aca="false">IF(J437="","",J437+K437+L437+N(M437))</f>
        <v/>
      </c>
      <c r="O437" s="41" t="str">
        <f aca="false">IF(N437="","",IF(P437&lt;&gt;"",N437-P437,ROUND(N437*IFERROR(INDEX(Settings!$E$5:$E$12,MATCH(F437,Settings!$D$5:$D$12,0)),0),2)))</f>
        <v/>
      </c>
      <c r="P437" s="37"/>
      <c r="Q437" s="41" t="str">
        <f aca="false">IF(N437="","",IF(P437&lt;&gt;"",P437,N437-O437))</f>
        <v/>
      </c>
      <c r="R437" s="41" t="str">
        <f aca="false">IF(J437="","",IFERROR(N(INDEX(Properties!$H$5:$H$24,MATCH(D437,Properties!$A$5:$A$24,0))),0))</f>
        <v/>
      </c>
      <c r="S437" s="41" t="str">
        <f aca="false">IF(Q437="","",Q437-R437)</f>
        <v/>
      </c>
      <c r="T437" s="6"/>
      <c r="U437" s="6"/>
      <c r="V437" s="6"/>
      <c r="W437" s="6"/>
      <c r="X437" s="6"/>
      <c r="Y437" s="8" t="str">
        <f aca="false">IF(OR(D437="",B437="",C437=""),"",IF(N(C437)&lt;=N(B437),"Check dates",IF(T437="Cancelled","",IF(COUNTIFS($D$5:$D$1004,D437,$B$5:$B$1004,"&lt;"&amp;C437,$C$5:$C$1004,"&gt;"&amp;B437,$T$5:$T$1004,"&lt;&gt;Cancelled")&gt;1,"Double-booked",""))))</f>
        <v/>
      </c>
      <c r="Z437" s="42" t="str">
        <f aca="false">IF(AND(AA437=1,ISNUMBER(C437)),C437+ROW()/100000,"")</f>
        <v/>
      </c>
      <c r="AA437" s="43" t="n">
        <f aca="false">IF(AND(D437&lt;&gt;"",ISNUMBER(B437),ISNUMBER(C437),N(H437)&gt;0,T437&lt;&gt;"Cancelled",J437&lt;&gt;""),1,0)</f>
        <v>0</v>
      </c>
      <c r="AB437" s="44" t="n">
        <f aca="false">IF(AA437=1,J437/H437,0)</f>
        <v>0</v>
      </c>
      <c r="AC437" s="44" t="n">
        <f aca="false">IF(AA437=1,Q437/H437,0)</f>
        <v>0</v>
      </c>
      <c r="AD437" s="44" t="n">
        <f aca="false">IF(AA437=1,R437/H437,0)</f>
        <v>0</v>
      </c>
      <c r="AE437" s="44" t="n">
        <f aca="false">IF(AA437=1,O437/H437,0)</f>
        <v>0</v>
      </c>
      <c r="AF437" s="44" t="n">
        <f aca="false">IF(AA437=1,K437/H437,0)</f>
        <v>0</v>
      </c>
      <c r="AG437" s="45" t="str">
        <f aca="false">IF(AA437=1,D437&amp;"|"&amp;TEXT(B437,"0"),"")</f>
        <v/>
      </c>
      <c r="AH437" s="43" t="n">
        <f aca="false">IF(AA437=1,H437,0)</f>
        <v>0</v>
      </c>
    </row>
    <row r="438" customFormat="false" ht="15" hidden="false" customHeight="false" outlineLevel="0" collapsed="false">
      <c r="A438" s="23" t="str">
        <f aca="false">IF(B438="","","B-"&amp;TEXT(ROW()-4,"0000"))</f>
        <v/>
      </c>
      <c r="B438" s="38"/>
      <c r="C438" s="38"/>
      <c r="D438" s="6"/>
      <c r="E438" s="6"/>
      <c r="F438" s="6"/>
      <c r="G438" s="11"/>
      <c r="H438" s="24" t="str">
        <f aca="false">IF(AND(ISNUMBER(B438),ISNUMBER(C438)),MAX(0,C438-B438),"")</f>
        <v/>
      </c>
      <c r="I438" s="37"/>
      <c r="J438" s="46" t="str">
        <f aca="false">IF(OR(D438="",N(H438)=0),"",IFERROR(IF(I438&lt;&gt;"",H438*I438,ROUND(((H438-(INT((WEEKDAY(B438-6)+H438-1)/7)+INT((WEEKDAY(B438-7)+H438-1)/7)))*INDEX(Properties!$E$5:$E$24,MATCH(D438,Properties!$A$5:$A$24,0))+(INT((WEEKDAY(B438-6)+H438-1)/7)+INT((WEEKDAY(B438-7)+H438-1)/7))*INDEX(Properties!$F$5:$F$24,MATCH(D438,Properties!$A$5:$A$24,0)))*(1-IF(H438&gt;=28,Settings!$B$10,IF(H438&gt;=7,Settings!$B$9,0))),2)),0))</f>
        <v/>
      </c>
      <c r="K438" s="46" t="str">
        <f aca="false">IF(J438="","",IFERROR(N(INDEX(Properties!$G$5:$G$24,MATCH(D438,Properties!$A$5:$A$24,0))),0))</f>
        <v/>
      </c>
      <c r="L438" s="46" t="str">
        <f aca="false">IF(J438="","",IFERROR(MAX(0,N(G438)-INDEX(Properties!$I$5:$I$24,MATCH(D438,Properties!$A$5:$A$24,0)))*N(INDEX(Properties!$J$5:$J$24,MATCH(D438,Properties!$A$5:$A$24,0)))*H438,0))</f>
        <v/>
      </c>
      <c r="M438" s="37"/>
      <c r="N438" s="46" t="str">
        <f aca="false">IF(J438="","",J438+K438+L438+N(M438))</f>
        <v/>
      </c>
      <c r="O438" s="46" t="str">
        <f aca="false">IF(N438="","",IF(P438&lt;&gt;"",N438-P438,ROUND(N438*IFERROR(INDEX(Settings!$E$5:$E$12,MATCH(F438,Settings!$D$5:$D$12,0)),0),2)))</f>
        <v/>
      </c>
      <c r="P438" s="37"/>
      <c r="Q438" s="46" t="str">
        <f aca="false">IF(N438="","",IF(P438&lt;&gt;"",P438,N438-O438))</f>
        <v/>
      </c>
      <c r="R438" s="46" t="str">
        <f aca="false">IF(J438="","",IFERROR(N(INDEX(Properties!$H$5:$H$24,MATCH(D438,Properties!$A$5:$A$24,0))),0))</f>
        <v/>
      </c>
      <c r="S438" s="46" t="str">
        <f aca="false">IF(Q438="","",Q438-R438)</f>
        <v/>
      </c>
      <c r="T438" s="6"/>
      <c r="U438" s="6"/>
      <c r="V438" s="6"/>
      <c r="W438" s="6"/>
      <c r="X438" s="6"/>
      <c r="Y438" s="8" t="str">
        <f aca="false">IF(OR(D438="",B438="",C438=""),"",IF(N(C438)&lt;=N(B438),"Check dates",IF(T438="Cancelled","",IF(COUNTIFS($D$5:$D$1004,D438,$B$5:$B$1004,"&lt;"&amp;C438,$C$5:$C$1004,"&gt;"&amp;B438,$T$5:$T$1004,"&lt;&gt;Cancelled")&gt;1,"Double-booked",""))))</f>
        <v/>
      </c>
      <c r="Z438" s="42" t="str">
        <f aca="false">IF(AND(AA438=1,ISNUMBER(C438)),C438+ROW()/100000,"")</f>
        <v/>
      </c>
      <c r="AA438" s="43" t="n">
        <f aca="false">IF(AND(D438&lt;&gt;"",ISNUMBER(B438),ISNUMBER(C438),N(H438)&gt;0,T438&lt;&gt;"Cancelled",J438&lt;&gt;""),1,0)</f>
        <v>0</v>
      </c>
      <c r="AB438" s="44" t="n">
        <f aca="false">IF(AA438=1,J438/H438,0)</f>
        <v>0</v>
      </c>
      <c r="AC438" s="44" t="n">
        <f aca="false">IF(AA438=1,Q438/H438,0)</f>
        <v>0</v>
      </c>
      <c r="AD438" s="44" t="n">
        <f aca="false">IF(AA438=1,R438/H438,0)</f>
        <v>0</v>
      </c>
      <c r="AE438" s="44" t="n">
        <f aca="false">IF(AA438=1,O438/H438,0)</f>
        <v>0</v>
      </c>
      <c r="AF438" s="44" t="n">
        <f aca="false">IF(AA438=1,K438/H438,0)</f>
        <v>0</v>
      </c>
      <c r="AG438" s="45" t="str">
        <f aca="false">IF(AA438=1,D438&amp;"|"&amp;TEXT(B438,"0"),"")</f>
        <v/>
      </c>
      <c r="AH438" s="43" t="n">
        <f aca="false">IF(AA438=1,H438,0)</f>
        <v>0</v>
      </c>
    </row>
    <row r="439" customFormat="false" ht="15" hidden="false" customHeight="false" outlineLevel="0" collapsed="false">
      <c r="A439" s="8" t="str">
        <f aca="false">IF(B439="","","B-"&amp;TEXT(ROW()-4,"0000"))</f>
        <v/>
      </c>
      <c r="B439" s="38"/>
      <c r="C439" s="38"/>
      <c r="D439" s="6"/>
      <c r="E439" s="6"/>
      <c r="F439" s="6"/>
      <c r="G439" s="11"/>
      <c r="H439" s="18" t="str">
        <f aca="false">IF(AND(ISNUMBER(B439),ISNUMBER(C439)),MAX(0,C439-B439),"")</f>
        <v/>
      </c>
      <c r="I439" s="37"/>
      <c r="J439" s="41" t="str">
        <f aca="false">IF(OR(D439="",N(H439)=0),"",IFERROR(IF(I439&lt;&gt;"",H439*I439,ROUND(((H439-(INT((WEEKDAY(B439-6)+H439-1)/7)+INT((WEEKDAY(B439-7)+H439-1)/7)))*INDEX(Properties!$E$5:$E$24,MATCH(D439,Properties!$A$5:$A$24,0))+(INT((WEEKDAY(B439-6)+H439-1)/7)+INT((WEEKDAY(B439-7)+H439-1)/7))*INDEX(Properties!$F$5:$F$24,MATCH(D439,Properties!$A$5:$A$24,0)))*(1-IF(H439&gt;=28,Settings!$B$10,IF(H439&gt;=7,Settings!$B$9,0))),2)),0))</f>
        <v/>
      </c>
      <c r="K439" s="41" t="str">
        <f aca="false">IF(J439="","",IFERROR(N(INDEX(Properties!$G$5:$G$24,MATCH(D439,Properties!$A$5:$A$24,0))),0))</f>
        <v/>
      </c>
      <c r="L439" s="41" t="str">
        <f aca="false">IF(J439="","",IFERROR(MAX(0,N(G439)-INDEX(Properties!$I$5:$I$24,MATCH(D439,Properties!$A$5:$A$24,0)))*N(INDEX(Properties!$J$5:$J$24,MATCH(D439,Properties!$A$5:$A$24,0)))*H439,0))</f>
        <v/>
      </c>
      <c r="M439" s="37"/>
      <c r="N439" s="41" t="str">
        <f aca="false">IF(J439="","",J439+K439+L439+N(M439))</f>
        <v/>
      </c>
      <c r="O439" s="41" t="str">
        <f aca="false">IF(N439="","",IF(P439&lt;&gt;"",N439-P439,ROUND(N439*IFERROR(INDEX(Settings!$E$5:$E$12,MATCH(F439,Settings!$D$5:$D$12,0)),0),2)))</f>
        <v/>
      </c>
      <c r="P439" s="37"/>
      <c r="Q439" s="41" t="str">
        <f aca="false">IF(N439="","",IF(P439&lt;&gt;"",P439,N439-O439))</f>
        <v/>
      </c>
      <c r="R439" s="41" t="str">
        <f aca="false">IF(J439="","",IFERROR(N(INDEX(Properties!$H$5:$H$24,MATCH(D439,Properties!$A$5:$A$24,0))),0))</f>
        <v/>
      </c>
      <c r="S439" s="41" t="str">
        <f aca="false">IF(Q439="","",Q439-R439)</f>
        <v/>
      </c>
      <c r="T439" s="6"/>
      <c r="U439" s="6"/>
      <c r="V439" s="6"/>
      <c r="W439" s="6"/>
      <c r="X439" s="6"/>
      <c r="Y439" s="8" t="str">
        <f aca="false">IF(OR(D439="",B439="",C439=""),"",IF(N(C439)&lt;=N(B439),"Check dates",IF(T439="Cancelled","",IF(COUNTIFS($D$5:$D$1004,D439,$B$5:$B$1004,"&lt;"&amp;C439,$C$5:$C$1004,"&gt;"&amp;B439,$T$5:$T$1004,"&lt;&gt;Cancelled")&gt;1,"Double-booked",""))))</f>
        <v/>
      </c>
      <c r="Z439" s="42" t="str">
        <f aca="false">IF(AND(AA439=1,ISNUMBER(C439)),C439+ROW()/100000,"")</f>
        <v/>
      </c>
      <c r="AA439" s="43" t="n">
        <f aca="false">IF(AND(D439&lt;&gt;"",ISNUMBER(B439),ISNUMBER(C439),N(H439)&gt;0,T439&lt;&gt;"Cancelled",J439&lt;&gt;""),1,0)</f>
        <v>0</v>
      </c>
      <c r="AB439" s="44" t="n">
        <f aca="false">IF(AA439=1,J439/H439,0)</f>
        <v>0</v>
      </c>
      <c r="AC439" s="44" t="n">
        <f aca="false">IF(AA439=1,Q439/H439,0)</f>
        <v>0</v>
      </c>
      <c r="AD439" s="44" t="n">
        <f aca="false">IF(AA439=1,R439/H439,0)</f>
        <v>0</v>
      </c>
      <c r="AE439" s="44" t="n">
        <f aca="false">IF(AA439=1,O439/H439,0)</f>
        <v>0</v>
      </c>
      <c r="AF439" s="44" t="n">
        <f aca="false">IF(AA439=1,K439/H439,0)</f>
        <v>0</v>
      </c>
      <c r="AG439" s="45" t="str">
        <f aca="false">IF(AA439=1,D439&amp;"|"&amp;TEXT(B439,"0"),"")</f>
        <v/>
      </c>
      <c r="AH439" s="43" t="n">
        <f aca="false">IF(AA439=1,H439,0)</f>
        <v>0</v>
      </c>
    </row>
    <row r="440" customFormat="false" ht="15" hidden="false" customHeight="false" outlineLevel="0" collapsed="false">
      <c r="A440" s="23" t="str">
        <f aca="false">IF(B440="","","B-"&amp;TEXT(ROW()-4,"0000"))</f>
        <v/>
      </c>
      <c r="B440" s="38"/>
      <c r="C440" s="38"/>
      <c r="D440" s="6"/>
      <c r="E440" s="6"/>
      <c r="F440" s="6"/>
      <c r="G440" s="11"/>
      <c r="H440" s="24" t="str">
        <f aca="false">IF(AND(ISNUMBER(B440),ISNUMBER(C440)),MAX(0,C440-B440),"")</f>
        <v/>
      </c>
      <c r="I440" s="37"/>
      <c r="J440" s="46" t="str">
        <f aca="false">IF(OR(D440="",N(H440)=0),"",IFERROR(IF(I440&lt;&gt;"",H440*I440,ROUND(((H440-(INT((WEEKDAY(B440-6)+H440-1)/7)+INT((WEEKDAY(B440-7)+H440-1)/7)))*INDEX(Properties!$E$5:$E$24,MATCH(D440,Properties!$A$5:$A$24,0))+(INT((WEEKDAY(B440-6)+H440-1)/7)+INT((WEEKDAY(B440-7)+H440-1)/7))*INDEX(Properties!$F$5:$F$24,MATCH(D440,Properties!$A$5:$A$24,0)))*(1-IF(H440&gt;=28,Settings!$B$10,IF(H440&gt;=7,Settings!$B$9,0))),2)),0))</f>
        <v/>
      </c>
      <c r="K440" s="46" t="str">
        <f aca="false">IF(J440="","",IFERROR(N(INDEX(Properties!$G$5:$G$24,MATCH(D440,Properties!$A$5:$A$24,0))),0))</f>
        <v/>
      </c>
      <c r="L440" s="46" t="str">
        <f aca="false">IF(J440="","",IFERROR(MAX(0,N(G440)-INDEX(Properties!$I$5:$I$24,MATCH(D440,Properties!$A$5:$A$24,0)))*N(INDEX(Properties!$J$5:$J$24,MATCH(D440,Properties!$A$5:$A$24,0)))*H440,0))</f>
        <v/>
      </c>
      <c r="M440" s="37"/>
      <c r="N440" s="46" t="str">
        <f aca="false">IF(J440="","",J440+K440+L440+N(M440))</f>
        <v/>
      </c>
      <c r="O440" s="46" t="str">
        <f aca="false">IF(N440="","",IF(P440&lt;&gt;"",N440-P440,ROUND(N440*IFERROR(INDEX(Settings!$E$5:$E$12,MATCH(F440,Settings!$D$5:$D$12,0)),0),2)))</f>
        <v/>
      </c>
      <c r="P440" s="37"/>
      <c r="Q440" s="46" t="str">
        <f aca="false">IF(N440="","",IF(P440&lt;&gt;"",P440,N440-O440))</f>
        <v/>
      </c>
      <c r="R440" s="46" t="str">
        <f aca="false">IF(J440="","",IFERROR(N(INDEX(Properties!$H$5:$H$24,MATCH(D440,Properties!$A$5:$A$24,0))),0))</f>
        <v/>
      </c>
      <c r="S440" s="46" t="str">
        <f aca="false">IF(Q440="","",Q440-R440)</f>
        <v/>
      </c>
      <c r="T440" s="6"/>
      <c r="U440" s="6"/>
      <c r="V440" s="6"/>
      <c r="W440" s="6"/>
      <c r="X440" s="6"/>
      <c r="Y440" s="8" t="str">
        <f aca="false">IF(OR(D440="",B440="",C440=""),"",IF(N(C440)&lt;=N(B440),"Check dates",IF(T440="Cancelled","",IF(COUNTIFS($D$5:$D$1004,D440,$B$5:$B$1004,"&lt;"&amp;C440,$C$5:$C$1004,"&gt;"&amp;B440,$T$5:$T$1004,"&lt;&gt;Cancelled")&gt;1,"Double-booked",""))))</f>
        <v/>
      </c>
      <c r="Z440" s="42" t="str">
        <f aca="false">IF(AND(AA440=1,ISNUMBER(C440)),C440+ROW()/100000,"")</f>
        <v/>
      </c>
      <c r="AA440" s="43" t="n">
        <f aca="false">IF(AND(D440&lt;&gt;"",ISNUMBER(B440),ISNUMBER(C440),N(H440)&gt;0,T440&lt;&gt;"Cancelled",J440&lt;&gt;""),1,0)</f>
        <v>0</v>
      </c>
      <c r="AB440" s="44" t="n">
        <f aca="false">IF(AA440=1,J440/H440,0)</f>
        <v>0</v>
      </c>
      <c r="AC440" s="44" t="n">
        <f aca="false">IF(AA440=1,Q440/H440,0)</f>
        <v>0</v>
      </c>
      <c r="AD440" s="44" t="n">
        <f aca="false">IF(AA440=1,R440/H440,0)</f>
        <v>0</v>
      </c>
      <c r="AE440" s="44" t="n">
        <f aca="false">IF(AA440=1,O440/H440,0)</f>
        <v>0</v>
      </c>
      <c r="AF440" s="44" t="n">
        <f aca="false">IF(AA440=1,K440/H440,0)</f>
        <v>0</v>
      </c>
      <c r="AG440" s="45" t="str">
        <f aca="false">IF(AA440=1,D440&amp;"|"&amp;TEXT(B440,"0"),"")</f>
        <v/>
      </c>
      <c r="AH440" s="43" t="n">
        <f aca="false">IF(AA440=1,H440,0)</f>
        <v>0</v>
      </c>
    </row>
    <row r="441" customFormat="false" ht="15" hidden="false" customHeight="false" outlineLevel="0" collapsed="false">
      <c r="A441" s="8" t="str">
        <f aca="false">IF(B441="","","B-"&amp;TEXT(ROW()-4,"0000"))</f>
        <v/>
      </c>
      <c r="B441" s="38"/>
      <c r="C441" s="38"/>
      <c r="D441" s="6"/>
      <c r="E441" s="6"/>
      <c r="F441" s="6"/>
      <c r="G441" s="11"/>
      <c r="H441" s="18" t="str">
        <f aca="false">IF(AND(ISNUMBER(B441),ISNUMBER(C441)),MAX(0,C441-B441),"")</f>
        <v/>
      </c>
      <c r="I441" s="37"/>
      <c r="J441" s="41" t="str">
        <f aca="false">IF(OR(D441="",N(H441)=0),"",IFERROR(IF(I441&lt;&gt;"",H441*I441,ROUND(((H441-(INT((WEEKDAY(B441-6)+H441-1)/7)+INT((WEEKDAY(B441-7)+H441-1)/7)))*INDEX(Properties!$E$5:$E$24,MATCH(D441,Properties!$A$5:$A$24,0))+(INT((WEEKDAY(B441-6)+H441-1)/7)+INT((WEEKDAY(B441-7)+H441-1)/7))*INDEX(Properties!$F$5:$F$24,MATCH(D441,Properties!$A$5:$A$24,0)))*(1-IF(H441&gt;=28,Settings!$B$10,IF(H441&gt;=7,Settings!$B$9,0))),2)),0))</f>
        <v/>
      </c>
      <c r="K441" s="41" t="str">
        <f aca="false">IF(J441="","",IFERROR(N(INDEX(Properties!$G$5:$G$24,MATCH(D441,Properties!$A$5:$A$24,0))),0))</f>
        <v/>
      </c>
      <c r="L441" s="41" t="str">
        <f aca="false">IF(J441="","",IFERROR(MAX(0,N(G441)-INDEX(Properties!$I$5:$I$24,MATCH(D441,Properties!$A$5:$A$24,0)))*N(INDEX(Properties!$J$5:$J$24,MATCH(D441,Properties!$A$5:$A$24,0)))*H441,0))</f>
        <v/>
      </c>
      <c r="M441" s="37"/>
      <c r="N441" s="41" t="str">
        <f aca="false">IF(J441="","",J441+K441+L441+N(M441))</f>
        <v/>
      </c>
      <c r="O441" s="41" t="str">
        <f aca="false">IF(N441="","",IF(P441&lt;&gt;"",N441-P441,ROUND(N441*IFERROR(INDEX(Settings!$E$5:$E$12,MATCH(F441,Settings!$D$5:$D$12,0)),0),2)))</f>
        <v/>
      </c>
      <c r="P441" s="37"/>
      <c r="Q441" s="41" t="str">
        <f aca="false">IF(N441="","",IF(P441&lt;&gt;"",P441,N441-O441))</f>
        <v/>
      </c>
      <c r="R441" s="41" t="str">
        <f aca="false">IF(J441="","",IFERROR(N(INDEX(Properties!$H$5:$H$24,MATCH(D441,Properties!$A$5:$A$24,0))),0))</f>
        <v/>
      </c>
      <c r="S441" s="41" t="str">
        <f aca="false">IF(Q441="","",Q441-R441)</f>
        <v/>
      </c>
      <c r="T441" s="6"/>
      <c r="U441" s="6"/>
      <c r="V441" s="6"/>
      <c r="W441" s="6"/>
      <c r="X441" s="6"/>
      <c r="Y441" s="8" t="str">
        <f aca="false">IF(OR(D441="",B441="",C441=""),"",IF(N(C441)&lt;=N(B441),"Check dates",IF(T441="Cancelled","",IF(COUNTIFS($D$5:$D$1004,D441,$B$5:$B$1004,"&lt;"&amp;C441,$C$5:$C$1004,"&gt;"&amp;B441,$T$5:$T$1004,"&lt;&gt;Cancelled")&gt;1,"Double-booked",""))))</f>
        <v/>
      </c>
      <c r="Z441" s="42" t="str">
        <f aca="false">IF(AND(AA441=1,ISNUMBER(C441)),C441+ROW()/100000,"")</f>
        <v/>
      </c>
      <c r="AA441" s="43" t="n">
        <f aca="false">IF(AND(D441&lt;&gt;"",ISNUMBER(B441),ISNUMBER(C441),N(H441)&gt;0,T441&lt;&gt;"Cancelled",J441&lt;&gt;""),1,0)</f>
        <v>0</v>
      </c>
      <c r="AB441" s="44" t="n">
        <f aca="false">IF(AA441=1,J441/H441,0)</f>
        <v>0</v>
      </c>
      <c r="AC441" s="44" t="n">
        <f aca="false">IF(AA441=1,Q441/H441,0)</f>
        <v>0</v>
      </c>
      <c r="AD441" s="44" t="n">
        <f aca="false">IF(AA441=1,R441/H441,0)</f>
        <v>0</v>
      </c>
      <c r="AE441" s="44" t="n">
        <f aca="false">IF(AA441=1,O441/H441,0)</f>
        <v>0</v>
      </c>
      <c r="AF441" s="44" t="n">
        <f aca="false">IF(AA441=1,K441/H441,0)</f>
        <v>0</v>
      </c>
      <c r="AG441" s="45" t="str">
        <f aca="false">IF(AA441=1,D441&amp;"|"&amp;TEXT(B441,"0"),"")</f>
        <v/>
      </c>
      <c r="AH441" s="43" t="n">
        <f aca="false">IF(AA441=1,H441,0)</f>
        <v>0</v>
      </c>
    </row>
    <row r="442" customFormat="false" ht="15" hidden="false" customHeight="false" outlineLevel="0" collapsed="false">
      <c r="A442" s="23" t="str">
        <f aca="false">IF(B442="","","B-"&amp;TEXT(ROW()-4,"0000"))</f>
        <v/>
      </c>
      <c r="B442" s="38"/>
      <c r="C442" s="38"/>
      <c r="D442" s="6"/>
      <c r="E442" s="6"/>
      <c r="F442" s="6"/>
      <c r="G442" s="11"/>
      <c r="H442" s="24" t="str">
        <f aca="false">IF(AND(ISNUMBER(B442),ISNUMBER(C442)),MAX(0,C442-B442),"")</f>
        <v/>
      </c>
      <c r="I442" s="37"/>
      <c r="J442" s="46" t="str">
        <f aca="false">IF(OR(D442="",N(H442)=0),"",IFERROR(IF(I442&lt;&gt;"",H442*I442,ROUND(((H442-(INT((WEEKDAY(B442-6)+H442-1)/7)+INT((WEEKDAY(B442-7)+H442-1)/7)))*INDEX(Properties!$E$5:$E$24,MATCH(D442,Properties!$A$5:$A$24,0))+(INT((WEEKDAY(B442-6)+H442-1)/7)+INT((WEEKDAY(B442-7)+H442-1)/7))*INDEX(Properties!$F$5:$F$24,MATCH(D442,Properties!$A$5:$A$24,0)))*(1-IF(H442&gt;=28,Settings!$B$10,IF(H442&gt;=7,Settings!$B$9,0))),2)),0))</f>
        <v/>
      </c>
      <c r="K442" s="46" t="str">
        <f aca="false">IF(J442="","",IFERROR(N(INDEX(Properties!$G$5:$G$24,MATCH(D442,Properties!$A$5:$A$24,0))),0))</f>
        <v/>
      </c>
      <c r="L442" s="46" t="str">
        <f aca="false">IF(J442="","",IFERROR(MAX(0,N(G442)-INDEX(Properties!$I$5:$I$24,MATCH(D442,Properties!$A$5:$A$24,0)))*N(INDEX(Properties!$J$5:$J$24,MATCH(D442,Properties!$A$5:$A$24,0)))*H442,0))</f>
        <v/>
      </c>
      <c r="M442" s="37"/>
      <c r="N442" s="46" t="str">
        <f aca="false">IF(J442="","",J442+K442+L442+N(M442))</f>
        <v/>
      </c>
      <c r="O442" s="46" t="str">
        <f aca="false">IF(N442="","",IF(P442&lt;&gt;"",N442-P442,ROUND(N442*IFERROR(INDEX(Settings!$E$5:$E$12,MATCH(F442,Settings!$D$5:$D$12,0)),0),2)))</f>
        <v/>
      </c>
      <c r="P442" s="37"/>
      <c r="Q442" s="46" t="str">
        <f aca="false">IF(N442="","",IF(P442&lt;&gt;"",P442,N442-O442))</f>
        <v/>
      </c>
      <c r="R442" s="46" t="str">
        <f aca="false">IF(J442="","",IFERROR(N(INDEX(Properties!$H$5:$H$24,MATCH(D442,Properties!$A$5:$A$24,0))),0))</f>
        <v/>
      </c>
      <c r="S442" s="46" t="str">
        <f aca="false">IF(Q442="","",Q442-R442)</f>
        <v/>
      </c>
      <c r="T442" s="6"/>
      <c r="U442" s="6"/>
      <c r="V442" s="6"/>
      <c r="W442" s="6"/>
      <c r="X442" s="6"/>
      <c r="Y442" s="8" t="str">
        <f aca="false">IF(OR(D442="",B442="",C442=""),"",IF(N(C442)&lt;=N(B442),"Check dates",IF(T442="Cancelled","",IF(COUNTIFS($D$5:$D$1004,D442,$B$5:$B$1004,"&lt;"&amp;C442,$C$5:$C$1004,"&gt;"&amp;B442,$T$5:$T$1004,"&lt;&gt;Cancelled")&gt;1,"Double-booked",""))))</f>
        <v/>
      </c>
      <c r="Z442" s="42" t="str">
        <f aca="false">IF(AND(AA442=1,ISNUMBER(C442)),C442+ROW()/100000,"")</f>
        <v/>
      </c>
      <c r="AA442" s="43" t="n">
        <f aca="false">IF(AND(D442&lt;&gt;"",ISNUMBER(B442),ISNUMBER(C442),N(H442)&gt;0,T442&lt;&gt;"Cancelled",J442&lt;&gt;""),1,0)</f>
        <v>0</v>
      </c>
      <c r="AB442" s="44" t="n">
        <f aca="false">IF(AA442=1,J442/H442,0)</f>
        <v>0</v>
      </c>
      <c r="AC442" s="44" t="n">
        <f aca="false">IF(AA442=1,Q442/H442,0)</f>
        <v>0</v>
      </c>
      <c r="AD442" s="44" t="n">
        <f aca="false">IF(AA442=1,R442/H442,0)</f>
        <v>0</v>
      </c>
      <c r="AE442" s="44" t="n">
        <f aca="false">IF(AA442=1,O442/H442,0)</f>
        <v>0</v>
      </c>
      <c r="AF442" s="44" t="n">
        <f aca="false">IF(AA442=1,K442/H442,0)</f>
        <v>0</v>
      </c>
      <c r="AG442" s="45" t="str">
        <f aca="false">IF(AA442=1,D442&amp;"|"&amp;TEXT(B442,"0"),"")</f>
        <v/>
      </c>
      <c r="AH442" s="43" t="n">
        <f aca="false">IF(AA442=1,H442,0)</f>
        <v>0</v>
      </c>
    </row>
    <row r="443" customFormat="false" ht="15" hidden="false" customHeight="false" outlineLevel="0" collapsed="false">
      <c r="A443" s="8" t="str">
        <f aca="false">IF(B443="","","B-"&amp;TEXT(ROW()-4,"0000"))</f>
        <v/>
      </c>
      <c r="B443" s="38"/>
      <c r="C443" s="38"/>
      <c r="D443" s="6"/>
      <c r="E443" s="6"/>
      <c r="F443" s="6"/>
      <c r="G443" s="11"/>
      <c r="H443" s="18" t="str">
        <f aca="false">IF(AND(ISNUMBER(B443),ISNUMBER(C443)),MAX(0,C443-B443),"")</f>
        <v/>
      </c>
      <c r="I443" s="37"/>
      <c r="J443" s="41" t="str">
        <f aca="false">IF(OR(D443="",N(H443)=0),"",IFERROR(IF(I443&lt;&gt;"",H443*I443,ROUND(((H443-(INT((WEEKDAY(B443-6)+H443-1)/7)+INT((WEEKDAY(B443-7)+H443-1)/7)))*INDEX(Properties!$E$5:$E$24,MATCH(D443,Properties!$A$5:$A$24,0))+(INT((WEEKDAY(B443-6)+H443-1)/7)+INT((WEEKDAY(B443-7)+H443-1)/7))*INDEX(Properties!$F$5:$F$24,MATCH(D443,Properties!$A$5:$A$24,0)))*(1-IF(H443&gt;=28,Settings!$B$10,IF(H443&gt;=7,Settings!$B$9,0))),2)),0))</f>
        <v/>
      </c>
      <c r="K443" s="41" t="str">
        <f aca="false">IF(J443="","",IFERROR(N(INDEX(Properties!$G$5:$G$24,MATCH(D443,Properties!$A$5:$A$24,0))),0))</f>
        <v/>
      </c>
      <c r="L443" s="41" t="str">
        <f aca="false">IF(J443="","",IFERROR(MAX(0,N(G443)-INDEX(Properties!$I$5:$I$24,MATCH(D443,Properties!$A$5:$A$24,0)))*N(INDEX(Properties!$J$5:$J$24,MATCH(D443,Properties!$A$5:$A$24,0)))*H443,0))</f>
        <v/>
      </c>
      <c r="M443" s="37"/>
      <c r="N443" s="41" t="str">
        <f aca="false">IF(J443="","",J443+K443+L443+N(M443))</f>
        <v/>
      </c>
      <c r="O443" s="41" t="str">
        <f aca="false">IF(N443="","",IF(P443&lt;&gt;"",N443-P443,ROUND(N443*IFERROR(INDEX(Settings!$E$5:$E$12,MATCH(F443,Settings!$D$5:$D$12,0)),0),2)))</f>
        <v/>
      </c>
      <c r="P443" s="37"/>
      <c r="Q443" s="41" t="str">
        <f aca="false">IF(N443="","",IF(P443&lt;&gt;"",P443,N443-O443))</f>
        <v/>
      </c>
      <c r="R443" s="41" t="str">
        <f aca="false">IF(J443="","",IFERROR(N(INDEX(Properties!$H$5:$H$24,MATCH(D443,Properties!$A$5:$A$24,0))),0))</f>
        <v/>
      </c>
      <c r="S443" s="41" t="str">
        <f aca="false">IF(Q443="","",Q443-R443)</f>
        <v/>
      </c>
      <c r="T443" s="6"/>
      <c r="U443" s="6"/>
      <c r="V443" s="6"/>
      <c r="W443" s="6"/>
      <c r="X443" s="6"/>
      <c r="Y443" s="8" t="str">
        <f aca="false">IF(OR(D443="",B443="",C443=""),"",IF(N(C443)&lt;=N(B443),"Check dates",IF(T443="Cancelled","",IF(COUNTIFS($D$5:$D$1004,D443,$B$5:$B$1004,"&lt;"&amp;C443,$C$5:$C$1004,"&gt;"&amp;B443,$T$5:$T$1004,"&lt;&gt;Cancelled")&gt;1,"Double-booked",""))))</f>
        <v/>
      </c>
      <c r="Z443" s="42" t="str">
        <f aca="false">IF(AND(AA443=1,ISNUMBER(C443)),C443+ROW()/100000,"")</f>
        <v/>
      </c>
      <c r="AA443" s="43" t="n">
        <f aca="false">IF(AND(D443&lt;&gt;"",ISNUMBER(B443),ISNUMBER(C443),N(H443)&gt;0,T443&lt;&gt;"Cancelled",J443&lt;&gt;""),1,0)</f>
        <v>0</v>
      </c>
      <c r="AB443" s="44" t="n">
        <f aca="false">IF(AA443=1,J443/H443,0)</f>
        <v>0</v>
      </c>
      <c r="AC443" s="44" t="n">
        <f aca="false">IF(AA443=1,Q443/H443,0)</f>
        <v>0</v>
      </c>
      <c r="AD443" s="44" t="n">
        <f aca="false">IF(AA443=1,R443/H443,0)</f>
        <v>0</v>
      </c>
      <c r="AE443" s="44" t="n">
        <f aca="false">IF(AA443=1,O443/H443,0)</f>
        <v>0</v>
      </c>
      <c r="AF443" s="44" t="n">
        <f aca="false">IF(AA443=1,K443/H443,0)</f>
        <v>0</v>
      </c>
      <c r="AG443" s="45" t="str">
        <f aca="false">IF(AA443=1,D443&amp;"|"&amp;TEXT(B443,"0"),"")</f>
        <v/>
      </c>
      <c r="AH443" s="43" t="n">
        <f aca="false">IF(AA443=1,H443,0)</f>
        <v>0</v>
      </c>
    </row>
    <row r="444" customFormat="false" ht="15" hidden="false" customHeight="false" outlineLevel="0" collapsed="false">
      <c r="A444" s="23" t="str">
        <f aca="false">IF(B444="","","B-"&amp;TEXT(ROW()-4,"0000"))</f>
        <v/>
      </c>
      <c r="B444" s="38"/>
      <c r="C444" s="38"/>
      <c r="D444" s="6"/>
      <c r="E444" s="6"/>
      <c r="F444" s="6"/>
      <c r="G444" s="11"/>
      <c r="H444" s="24" t="str">
        <f aca="false">IF(AND(ISNUMBER(B444),ISNUMBER(C444)),MAX(0,C444-B444),"")</f>
        <v/>
      </c>
      <c r="I444" s="37"/>
      <c r="J444" s="46" t="str">
        <f aca="false">IF(OR(D444="",N(H444)=0),"",IFERROR(IF(I444&lt;&gt;"",H444*I444,ROUND(((H444-(INT((WEEKDAY(B444-6)+H444-1)/7)+INT((WEEKDAY(B444-7)+H444-1)/7)))*INDEX(Properties!$E$5:$E$24,MATCH(D444,Properties!$A$5:$A$24,0))+(INT((WEEKDAY(B444-6)+H444-1)/7)+INT((WEEKDAY(B444-7)+H444-1)/7))*INDEX(Properties!$F$5:$F$24,MATCH(D444,Properties!$A$5:$A$24,0)))*(1-IF(H444&gt;=28,Settings!$B$10,IF(H444&gt;=7,Settings!$B$9,0))),2)),0))</f>
        <v/>
      </c>
      <c r="K444" s="46" t="str">
        <f aca="false">IF(J444="","",IFERROR(N(INDEX(Properties!$G$5:$G$24,MATCH(D444,Properties!$A$5:$A$24,0))),0))</f>
        <v/>
      </c>
      <c r="L444" s="46" t="str">
        <f aca="false">IF(J444="","",IFERROR(MAX(0,N(G444)-INDEX(Properties!$I$5:$I$24,MATCH(D444,Properties!$A$5:$A$24,0)))*N(INDEX(Properties!$J$5:$J$24,MATCH(D444,Properties!$A$5:$A$24,0)))*H444,0))</f>
        <v/>
      </c>
      <c r="M444" s="37"/>
      <c r="N444" s="46" t="str">
        <f aca="false">IF(J444="","",J444+K444+L444+N(M444))</f>
        <v/>
      </c>
      <c r="O444" s="46" t="str">
        <f aca="false">IF(N444="","",IF(P444&lt;&gt;"",N444-P444,ROUND(N444*IFERROR(INDEX(Settings!$E$5:$E$12,MATCH(F444,Settings!$D$5:$D$12,0)),0),2)))</f>
        <v/>
      </c>
      <c r="P444" s="37"/>
      <c r="Q444" s="46" t="str">
        <f aca="false">IF(N444="","",IF(P444&lt;&gt;"",P444,N444-O444))</f>
        <v/>
      </c>
      <c r="R444" s="46" t="str">
        <f aca="false">IF(J444="","",IFERROR(N(INDEX(Properties!$H$5:$H$24,MATCH(D444,Properties!$A$5:$A$24,0))),0))</f>
        <v/>
      </c>
      <c r="S444" s="46" t="str">
        <f aca="false">IF(Q444="","",Q444-R444)</f>
        <v/>
      </c>
      <c r="T444" s="6"/>
      <c r="U444" s="6"/>
      <c r="V444" s="6"/>
      <c r="W444" s="6"/>
      <c r="X444" s="6"/>
      <c r="Y444" s="8" t="str">
        <f aca="false">IF(OR(D444="",B444="",C444=""),"",IF(N(C444)&lt;=N(B444),"Check dates",IF(T444="Cancelled","",IF(COUNTIFS($D$5:$D$1004,D444,$B$5:$B$1004,"&lt;"&amp;C444,$C$5:$C$1004,"&gt;"&amp;B444,$T$5:$T$1004,"&lt;&gt;Cancelled")&gt;1,"Double-booked",""))))</f>
        <v/>
      </c>
      <c r="Z444" s="42" t="str">
        <f aca="false">IF(AND(AA444=1,ISNUMBER(C444)),C444+ROW()/100000,"")</f>
        <v/>
      </c>
      <c r="AA444" s="43" t="n">
        <f aca="false">IF(AND(D444&lt;&gt;"",ISNUMBER(B444),ISNUMBER(C444),N(H444)&gt;0,T444&lt;&gt;"Cancelled",J444&lt;&gt;""),1,0)</f>
        <v>0</v>
      </c>
      <c r="AB444" s="44" t="n">
        <f aca="false">IF(AA444=1,J444/H444,0)</f>
        <v>0</v>
      </c>
      <c r="AC444" s="44" t="n">
        <f aca="false">IF(AA444=1,Q444/H444,0)</f>
        <v>0</v>
      </c>
      <c r="AD444" s="44" t="n">
        <f aca="false">IF(AA444=1,R444/H444,0)</f>
        <v>0</v>
      </c>
      <c r="AE444" s="44" t="n">
        <f aca="false">IF(AA444=1,O444/H444,0)</f>
        <v>0</v>
      </c>
      <c r="AF444" s="44" t="n">
        <f aca="false">IF(AA444=1,K444/H444,0)</f>
        <v>0</v>
      </c>
      <c r="AG444" s="45" t="str">
        <f aca="false">IF(AA444=1,D444&amp;"|"&amp;TEXT(B444,"0"),"")</f>
        <v/>
      </c>
      <c r="AH444" s="43" t="n">
        <f aca="false">IF(AA444=1,H444,0)</f>
        <v>0</v>
      </c>
    </row>
    <row r="445" customFormat="false" ht="15" hidden="false" customHeight="false" outlineLevel="0" collapsed="false">
      <c r="A445" s="8" t="str">
        <f aca="false">IF(B445="","","B-"&amp;TEXT(ROW()-4,"0000"))</f>
        <v/>
      </c>
      <c r="B445" s="38"/>
      <c r="C445" s="38"/>
      <c r="D445" s="6"/>
      <c r="E445" s="6"/>
      <c r="F445" s="6"/>
      <c r="G445" s="11"/>
      <c r="H445" s="18" t="str">
        <f aca="false">IF(AND(ISNUMBER(B445),ISNUMBER(C445)),MAX(0,C445-B445),"")</f>
        <v/>
      </c>
      <c r="I445" s="37"/>
      <c r="J445" s="41" t="str">
        <f aca="false">IF(OR(D445="",N(H445)=0),"",IFERROR(IF(I445&lt;&gt;"",H445*I445,ROUND(((H445-(INT((WEEKDAY(B445-6)+H445-1)/7)+INT((WEEKDAY(B445-7)+H445-1)/7)))*INDEX(Properties!$E$5:$E$24,MATCH(D445,Properties!$A$5:$A$24,0))+(INT((WEEKDAY(B445-6)+H445-1)/7)+INT((WEEKDAY(B445-7)+H445-1)/7))*INDEX(Properties!$F$5:$F$24,MATCH(D445,Properties!$A$5:$A$24,0)))*(1-IF(H445&gt;=28,Settings!$B$10,IF(H445&gt;=7,Settings!$B$9,0))),2)),0))</f>
        <v/>
      </c>
      <c r="K445" s="41" t="str">
        <f aca="false">IF(J445="","",IFERROR(N(INDEX(Properties!$G$5:$G$24,MATCH(D445,Properties!$A$5:$A$24,0))),0))</f>
        <v/>
      </c>
      <c r="L445" s="41" t="str">
        <f aca="false">IF(J445="","",IFERROR(MAX(0,N(G445)-INDEX(Properties!$I$5:$I$24,MATCH(D445,Properties!$A$5:$A$24,0)))*N(INDEX(Properties!$J$5:$J$24,MATCH(D445,Properties!$A$5:$A$24,0)))*H445,0))</f>
        <v/>
      </c>
      <c r="M445" s="37"/>
      <c r="N445" s="41" t="str">
        <f aca="false">IF(J445="","",J445+K445+L445+N(M445))</f>
        <v/>
      </c>
      <c r="O445" s="41" t="str">
        <f aca="false">IF(N445="","",IF(P445&lt;&gt;"",N445-P445,ROUND(N445*IFERROR(INDEX(Settings!$E$5:$E$12,MATCH(F445,Settings!$D$5:$D$12,0)),0),2)))</f>
        <v/>
      </c>
      <c r="P445" s="37"/>
      <c r="Q445" s="41" t="str">
        <f aca="false">IF(N445="","",IF(P445&lt;&gt;"",P445,N445-O445))</f>
        <v/>
      </c>
      <c r="R445" s="41" t="str">
        <f aca="false">IF(J445="","",IFERROR(N(INDEX(Properties!$H$5:$H$24,MATCH(D445,Properties!$A$5:$A$24,0))),0))</f>
        <v/>
      </c>
      <c r="S445" s="41" t="str">
        <f aca="false">IF(Q445="","",Q445-R445)</f>
        <v/>
      </c>
      <c r="T445" s="6"/>
      <c r="U445" s="6"/>
      <c r="V445" s="6"/>
      <c r="W445" s="6"/>
      <c r="X445" s="6"/>
      <c r="Y445" s="8" t="str">
        <f aca="false">IF(OR(D445="",B445="",C445=""),"",IF(N(C445)&lt;=N(B445),"Check dates",IF(T445="Cancelled","",IF(COUNTIFS($D$5:$D$1004,D445,$B$5:$B$1004,"&lt;"&amp;C445,$C$5:$C$1004,"&gt;"&amp;B445,$T$5:$T$1004,"&lt;&gt;Cancelled")&gt;1,"Double-booked",""))))</f>
        <v/>
      </c>
      <c r="Z445" s="42" t="str">
        <f aca="false">IF(AND(AA445=1,ISNUMBER(C445)),C445+ROW()/100000,"")</f>
        <v/>
      </c>
      <c r="AA445" s="43" t="n">
        <f aca="false">IF(AND(D445&lt;&gt;"",ISNUMBER(B445),ISNUMBER(C445),N(H445)&gt;0,T445&lt;&gt;"Cancelled",J445&lt;&gt;""),1,0)</f>
        <v>0</v>
      </c>
      <c r="AB445" s="44" t="n">
        <f aca="false">IF(AA445=1,J445/H445,0)</f>
        <v>0</v>
      </c>
      <c r="AC445" s="44" t="n">
        <f aca="false">IF(AA445=1,Q445/H445,0)</f>
        <v>0</v>
      </c>
      <c r="AD445" s="44" t="n">
        <f aca="false">IF(AA445=1,R445/H445,0)</f>
        <v>0</v>
      </c>
      <c r="AE445" s="44" t="n">
        <f aca="false">IF(AA445=1,O445/H445,0)</f>
        <v>0</v>
      </c>
      <c r="AF445" s="44" t="n">
        <f aca="false">IF(AA445=1,K445/H445,0)</f>
        <v>0</v>
      </c>
      <c r="AG445" s="45" t="str">
        <f aca="false">IF(AA445=1,D445&amp;"|"&amp;TEXT(B445,"0"),"")</f>
        <v/>
      </c>
      <c r="AH445" s="43" t="n">
        <f aca="false">IF(AA445=1,H445,0)</f>
        <v>0</v>
      </c>
    </row>
    <row r="446" customFormat="false" ht="15" hidden="false" customHeight="false" outlineLevel="0" collapsed="false">
      <c r="A446" s="23" t="str">
        <f aca="false">IF(B446="","","B-"&amp;TEXT(ROW()-4,"0000"))</f>
        <v/>
      </c>
      <c r="B446" s="38"/>
      <c r="C446" s="38"/>
      <c r="D446" s="6"/>
      <c r="E446" s="6"/>
      <c r="F446" s="6"/>
      <c r="G446" s="11"/>
      <c r="H446" s="24" t="str">
        <f aca="false">IF(AND(ISNUMBER(B446),ISNUMBER(C446)),MAX(0,C446-B446),"")</f>
        <v/>
      </c>
      <c r="I446" s="37"/>
      <c r="J446" s="46" t="str">
        <f aca="false">IF(OR(D446="",N(H446)=0),"",IFERROR(IF(I446&lt;&gt;"",H446*I446,ROUND(((H446-(INT((WEEKDAY(B446-6)+H446-1)/7)+INT((WEEKDAY(B446-7)+H446-1)/7)))*INDEX(Properties!$E$5:$E$24,MATCH(D446,Properties!$A$5:$A$24,0))+(INT((WEEKDAY(B446-6)+H446-1)/7)+INT((WEEKDAY(B446-7)+H446-1)/7))*INDEX(Properties!$F$5:$F$24,MATCH(D446,Properties!$A$5:$A$24,0)))*(1-IF(H446&gt;=28,Settings!$B$10,IF(H446&gt;=7,Settings!$B$9,0))),2)),0))</f>
        <v/>
      </c>
      <c r="K446" s="46" t="str">
        <f aca="false">IF(J446="","",IFERROR(N(INDEX(Properties!$G$5:$G$24,MATCH(D446,Properties!$A$5:$A$24,0))),0))</f>
        <v/>
      </c>
      <c r="L446" s="46" t="str">
        <f aca="false">IF(J446="","",IFERROR(MAX(0,N(G446)-INDEX(Properties!$I$5:$I$24,MATCH(D446,Properties!$A$5:$A$24,0)))*N(INDEX(Properties!$J$5:$J$24,MATCH(D446,Properties!$A$5:$A$24,0)))*H446,0))</f>
        <v/>
      </c>
      <c r="M446" s="37"/>
      <c r="N446" s="46" t="str">
        <f aca="false">IF(J446="","",J446+K446+L446+N(M446))</f>
        <v/>
      </c>
      <c r="O446" s="46" t="str">
        <f aca="false">IF(N446="","",IF(P446&lt;&gt;"",N446-P446,ROUND(N446*IFERROR(INDEX(Settings!$E$5:$E$12,MATCH(F446,Settings!$D$5:$D$12,0)),0),2)))</f>
        <v/>
      </c>
      <c r="P446" s="37"/>
      <c r="Q446" s="46" t="str">
        <f aca="false">IF(N446="","",IF(P446&lt;&gt;"",P446,N446-O446))</f>
        <v/>
      </c>
      <c r="R446" s="46" t="str">
        <f aca="false">IF(J446="","",IFERROR(N(INDEX(Properties!$H$5:$H$24,MATCH(D446,Properties!$A$5:$A$24,0))),0))</f>
        <v/>
      </c>
      <c r="S446" s="46" t="str">
        <f aca="false">IF(Q446="","",Q446-R446)</f>
        <v/>
      </c>
      <c r="T446" s="6"/>
      <c r="U446" s="6"/>
      <c r="V446" s="6"/>
      <c r="W446" s="6"/>
      <c r="X446" s="6"/>
      <c r="Y446" s="8" t="str">
        <f aca="false">IF(OR(D446="",B446="",C446=""),"",IF(N(C446)&lt;=N(B446),"Check dates",IF(T446="Cancelled","",IF(COUNTIFS($D$5:$D$1004,D446,$B$5:$B$1004,"&lt;"&amp;C446,$C$5:$C$1004,"&gt;"&amp;B446,$T$5:$T$1004,"&lt;&gt;Cancelled")&gt;1,"Double-booked",""))))</f>
        <v/>
      </c>
      <c r="Z446" s="42" t="str">
        <f aca="false">IF(AND(AA446=1,ISNUMBER(C446)),C446+ROW()/100000,"")</f>
        <v/>
      </c>
      <c r="AA446" s="43" t="n">
        <f aca="false">IF(AND(D446&lt;&gt;"",ISNUMBER(B446),ISNUMBER(C446),N(H446)&gt;0,T446&lt;&gt;"Cancelled",J446&lt;&gt;""),1,0)</f>
        <v>0</v>
      </c>
      <c r="AB446" s="44" t="n">
        <f aca="false">IF(AA446=1,J446/H446,0)</f>
        <v>0</v>
      </c>
      <c r="AC446" s="44" t="n">
        <f aca="false">IF(AA446=1,Q446/H446,0)</f>
        <v>0</v>
      </c>
      <c r="AD446" s="44" t="n">
        <f aca="false">IF(AA446=1,R446/H446,0)</f>
        <v>0</v>
      </c>
      <c r="AE446" s="44" t="n">
        <f aca="false">IF(AA446=1,O446/H446,0)</f>
        <v>0</v>
      </c>
      <c r="AF446" s="44" t="n">
        <f aca="false">IF(AA446=1,K446/H446,0)</f>
        <v>0</v>
      </c>
      <c r="AG446" s="45" t="str">
        <f aca="false">IF(AA446=1,D446&amp;"|"&amp;TEXT(B446,"0"),"")</f>
        <v/>
      </c>
      <c r="AH446" s="43" t="n">
        <f aca="false">IF(AA446=1,H446,0)</f>
        <v>0</v>
      </c>
    </row>
    <row r="447" customFormat="false" ht="15" hidden="false" customHeight="false" outlineLevel="0" collapsed="false">
      <c r="A447" s="8" t="str">
        <f aca="false">IF(B447="","","B-"&amp;TEXT(ROW()-4,"0000"))</f>
        <v/>
      </c>
      <c r="B447" s="38"/>
      <c r="C447" s="38"/>
      <c r="D447" s="6"/>
      <c r="E447" s="6"/>
      <c r="F447" s="6"/>
      <c r="G447" s="11"/>
      <c r="H447" s="18" t="str">
        <f aca="false">IF(AND(ISNUMBER(B447),ISNUMBER(C447)),MAX(0,C447-B447),"")</f>
        <v/>
      </c>
      <c r="I447" s="37"/>
      <c r="J447" s="41" t="str">
        <f aca="false">IF(OR(D447="",N(H447)=0),"",IFERROR(IF(I447&lt;&gt;"",H447*I447,ROUND(((H447-(INT((WEEKDAY(B447-6)+H447-1)/7)+INT((WEEKDAY(B447-7)+H447-1)/7)))*INDEX(Properties!$E$5:$E$24,MATCH(D447,Properties!$A$5:$A$24,0))+(INT((WEEKDAY(B447-6)+H447-1)/7)+INT((WEEKDAY(B447-7)+H447-1)/7))*INDEX(Properties!$F$5:$F$24,MATCH(D447,Properties!$A$5:$A$24,0)))*(1-IF(H447&gt;=28,Settings!$B$10,IF(H447&gt;=7,Settings!$B$9,0))),2)),0))</f>
        <v/>
      </c>
      <c r="K447" s="41" t="str">
        <f aca="false">IF(J447="","",IFERROR(N(INDEX(Properties!$G$5:$G$24,MATCH(D447,Properties!$A$5:$A$24,0))),0))</f>
        <v/>
      </c>
      <c r="L447" s="41" t="str">
        <f aca="false">IF(J447="","",IFERROR(MAX(0,N(G447)-INDEX(Properties!$I$5:$I$24,MATCH(D447,Properties!$A$5:$A$24,0)))*N(INDEX(Properties!$J$5:$J$24,MATCH(D447,Properties!$A$5:$A$24,0)))*H447,0))</f>
        <v/>
      </c>
      <c r="M447" s="37"/>
      <c r="N447" s="41" t="str">
        <f aca="false">IF(J447="","",J447+K447+L447+N(M447))</f>
        <v/>
      </c>
      <c r="O447" s="41" t="str">
        <f aca="false">IF(N447="","",IF(P447&lt;&gt;"",N447-P447,ROUND(N447*IFERROR(INDEX(Settings!$E$5:$E$12,MATCH(F447,Settings!$D$5:$D$12,0)),0),2)))</f>
        <v/>
      </c>
      <c r="P447" s="37"/>
      <c r="Q447" s="41" t="str">
        <f aca="false">IF(N447="","",IF(P447&lt;&gt;"",P447,N447-O447))</f>
        <v/>
      </c>
      <c r="R447" s="41" t="str">
        <f aca="false">IF(J447="","",IFERROR(N(INDEX(Properties!$H$5:$H$24,MATCH(D447,Properties!$A$5:$A$24,0))),0))</f>
        <v/>
      </c>
      <c r="S447" s="41" t="str">
        <f aca="false">IF(Q447="","",Q447-R447)</f>
        <v/>
      </c>
      <c r="T447" s="6"/>
      <c r="U447" s="6"/>
      <c r="V447" s="6"/>
      <c r="W447" s="6"/>
      <c r="X447" s="6"/>
      <c r="Y447" s="8" t="str">
        <f aca="false">IF(OR(D447="",B447="",C447=""),"",IF(N(C447)&lt;=N(B447),"Check dates",IF(T447="Cancelled","",IF(COUNTIFS($D$5:$D$1004,D447,$B$5:$B$1004,"&lt;"&amp;C447,$C$5:$C$1004,"&gt;"&amp;B447,$T$5:$T$1004,"&lt;&gt;Cancelled")&gt;1,"Double-booked",""))))</f>
        <v/>
      </c>
      <c r="Z447" s="42" t="str">
        <f aca="false">IF(AND(AA447=1,ISNUMBER(C447)),C447+ROW()/100000,"")</f>
        <v/>
      </c>
      <c r="AA447" s="43" t="n">
        <f aca="false">IF(AND(D447&lt;&gt;"",ISNUMBER(B447),ISNUMBER(C447),N(H447)&gt;0,T447&lt;&gt;"Cancelled",J447&lt;&gt;""),1,0)</f>
        <v>0</v>
      </c>
      <c r="AB447" s="44" t="n">
        <f aca="false">IF(AA447=1,J447/H447,0)</f>
        <v>0</v>
      </c>
      <c r="AC447" s="44" t="n">
        <f aca="false">IF(AA447=1,Q447/H447,0)</f>
        <v>0</v>
      </c>
      <c r="AD447" s="44" t="n">
        <f aca="false">IF(AA447=1,R447/H447,0)</f>
        <v>0</v>
      </c>
      <c r="AE447" s="44" t="n">
        <f aca="false">IF(AA447=1,O447/H447,0)</f>
        <v>0</v>
      </c>
      <c r="AF447" s="44" t="n">
        <f aca="false">IF(AA447=1,K447/H447,0)</f>
        <v>0</v>
      </c>
      <c r="AG447" s="45" t="str">
        <f aca="false">IF(AA447=1,D447&amp;"|"&amp;TEXT(B447,"0"),"")</f>
        <v/>
      </c>
      <c r="AH447" s="43" t="n">
        <f aca="false">IF(AA447=1,H447,0)</f>
        <v>0</v>
      </c>
    </row>
    <row r="448" customFormat="false" ht="15" hidden="false" customHeight="false" outlineLevel="0" collapsed="false">
      <c r="A448" s="23" t="str">
        <f aca="false">IF(B448="","","B-"&amp;TEXT(ROW()-4,"0000"))</f>
        <v/>
      </c>
      <c r="B448" s="38"/>
      <c r="C448" s="38"/>
      <c r="D448" s="6"/>
      <c r="E448" s="6"/>
      <c r="F448" s="6"/>
      <c r="G448" s="11"/>
      <c r="H448" s="24" t="str">
        <f aca="false">IF(AND(ISNUMBER(B448),ISNUMBER(C448)),MAX(0,C448-B448),"")</f>
        <v/>
      </c>
      <c r="I448" s="37"/>
      <c r="J448" s="46" t="str">
        <f aca="false">IF(OR(D448="",N(H448)=0),"",IFERROR(IF(I448&lt;&gt;"",H448*I448,ROUND(((H448-(INT((WEEKDAY(B448-6)+H448-1)/7)+INT((WEEKDAY(B448-7)+H448-1)/7)))*INDEX(Properties!$E$5:$E$24,MATCH(D448,Properties!$A$5:$A$24,0))+(INT((WEEKDAY(B448-6)+H448-1)/7)+INT((WEEKDAY(B448-7)+H448-1)/7))*INDEX(Properties!$F$5:$F$24,MATCH(D448,Properties!$A$5:$A$24,0)))*(1-IF(H448&gt;=28,Settings!$B$10,IF(H448&gt;=7,Settings!$B$9,0))),2)),0))</f>
        <v/>
      </c>
      <c r="K448" s="46" t="str">
        <f aca="false">IF(J448="","",IFERROR(N(INDEX(Properties!$G$5:$G$24,MATCH(D448,Properties!$A$5:$A$24,0))),0))</f>
        <v/>
      </c>
      <c r="L448" s="46" t="str">
        <f aca="false">IF(J448="","",IFERROR(MAX(0,N(G448)-INDEX(Properties!$I$5:$I$24,MATCH(D448,Properties!$A$5:$A$24,0)))*N(INDEX(Properties!$J$5:$J$24,MATCH(D448,Properties!$A$5:$A$24,0)))*H448,0))</f>
        <v/>
      </c>
      <c r="M448" s="37"/>
      <c r="N448" s="46" t="str">
        <f aca="false">IF(J448="","",J448+K448+L448+N(M448))</f>
        <v/>
      </c>
      <c r="O448" s="46" t="str">
        <f aca="false">IF(N448="","",IF(P448&lt;&gt;"",N448-P448,ROUND(N448*IFERROR(INDEX(Settings!$E$5:$E$12,MATCH(F448,Settings!$D$5:$D$12,0)),0),2)))</f>
        <v/>
      </c>
      <c r="P448" s="37"/>
      <c r="Q448" s="46" t="str">
        <f aca="false">IF(N448="","",IF(P448&lt;&gt;"",P448,N448-O448))</f>
        <v/>
      </c>
      <c r="R448" s="46" t="str">
        <f aca="false">IF(J448="","",IFERROR(N(INDEX(Properties!$H$5:$H$24,MATCH(D448,Properties!$A$5:$A$24,0))),0))</f>
        <v/>
      </c>
      <c r="S448" s="46" t="str">
        <f aca="false">IF(Q448="","",Q448-R448)</f>
        <v/>
      </c>
      <c r="T448" s="6"/>
      <c r="U448" s="6"/>
      <c r="V448" s="6"/>
      <c r="W448" s="6"/>
      <c r="X448" s="6"/>
      <c r="Y448" s="8" t="str">
        <f aca="false">IF(OR(D448="",B448="",C448=""),"",IF(N(C448)&lt;=N(B448),"Check dates",IF(T448="Cancelled","",IF(COUNTIFS($D$5:$D$1004,D448,$B$5:$B$1004,"&lt;"&amp;C448,$C$5:$C$1004,"&gt;"&amp;B448,$T$5:$T$1004,"&lt;&gt;Cancelled")&gt;1,"Double-booked",""))))</f>
        <v/>
      </c>
      <c r="Z448" s="42" t="str">
        <f aca="false">IF(AND(AA448=1,ISNUMBER(C448)),C448+ROW()/100000,"")</f>
        <v/>
      </c>
      <c r="AA448" s="43" t="n">
        <f aca="false">IF(AND(D448&lt;&gt;"",ISNUMBER(B448),ISNUMBER(C448),N(H448)&gt;0,T448&lt;&gt;"Cancelled",J448&lt;&gt;""),1,0)</f>
        <v>0</v>
      </c>
      <c r="AB448" s="44" t="n">
        <f aca="false">IF(AA448=1,J448/H448,0)</f>
        <v>0</v>
      </c>
      <c r="AC448" s="44" t="n">
        <f aca="false">IF(AA448=1,Q448/H448,0)</f>
        <v>0</v>
      </c>
      <c r="AD448" s="44" t="n">
        <f aca="false">IF(AA448=1,R448/H448,0)</f>
        <v>0</v>
      </c>
      <c r="AE448" s="44" t="n">
        <f aca="false">IF(AA448=1,O448/H448,0)</f>
        <v>0</v>
      </c>
      <c r="AF448" s="44" t="n">
        <f aca="false">IF(AA448=1,K448/H448,0)</f>
        <v>0</v>
      </c>
      <c r="AG448" s="45" t="str">
        <f aca="false">IF(AA448=1,D448&amp;"|"&amp;TEXT(B448,"0"),"")</f>
        <v/>
      </c>
      <c r="AH448" s="43" t="n">
        <f aca="false">IF(AA448=1,H448,0)</f>
        <v>0</v>
      </c>
    </row>
    <row r="449" customFormat="false" ht="15" hidden="false" customHeight="false" outlineLevel="0" collapsed="false">
      <c r="A449" s="8" t="str">
        <f aca="false">IF(B449="","","B-"&amp;TEXT(ROW()-4,"0000"))</f>
        <v/>
      </c>
      <c r="B449" s="38"/>
      <c r="C449" s="38"/>
      <c r="D449" s="6"/>
      <c r="E449" s="6"/>
      <c r="F449" s="6"/>
      <c r="G449" s="11"/>
      <c r="H449" s="18" t="str">
        <f aca="false">IF(AND(ISNUMBER(B449),ISNUMBER(C449)),MAX(0,C449-B449),"")</f>
        <v/>
      </c>
      <c r="I449" s="37"/>
      <c r="J449" s="41" t="str">
        <f aca="false">IF(OR(D449="",N(H449)=0),"",IFERROR(IF(I449&lt;&gt;"",H449*I449,ROUND(((H449-(INT((WEEKDAY(B449-6)+H449-1)/7)+INT((WEEKDAY(B449-7)+H449-1)/7)))*INDEX(Properties!$E$5:$E$24,MATCH(D449,Properties!$A$5:$A$24,0))+(INT((WEEKDAY(B449-6)+H449-1)/7)+INT((WEEKDAY(B449-7)+H449-1)/7))*INDEX(Properties!$F$5:$F$24,MATCH(D449,Properties!$A$5:$A$24,0)))*(1-IF(H449&gt;=28,Settings!$B$10,IF(H449&gt;=7,Settings!$B$9,0))),2)),0))</f>
        <v/>
      </c>
      <c r="K449" s="41" t="str">
        <f aca="false">IF(J449="","",IFERROR(N(INDEX(Properties!$G$5:$G$24,MATCH(D449,Properties!$A$5:$A$24,0))),0))</f>
        <v/>
      </c>
      <c r="L449" s="41" t="str">
        <f aca="false">IF(J449="","",IFERROR(MAX(0,N(G449)-INDEX(Properties!$I$5:$I$24,MATCH(D449,Properties!$A$5:$A$24,0)))*N(INDEX(Properties!$J$5:$J$24,MATCH(D449,Properties!$A$5:$A$24,0)))*H449,0))</f>
        <v/>
      </c>
      <c r="M449" s="37"/>
      <c r="N449" s="41" t="str">
        <f aca="false">IF(J449="","",J449+K449+L449+N(M449))</f>
        <v/>
      </c>
      <c r="O449" s="41" t="str">
        <f aca="false">IF(N449="","",IF(P449&lt;&gt;"",N449-P449,ROUND(N449*IFERROR(INDEX(Settings!$E$5:$E$12,MATCH(F449,Settings!$D$5:$D$12,0)),0),2)))</f>
        <v/>
      </c>
      <c r="P449" s="37"/>
      <c r="Q449" s="41" t="str">
        <f aca="false">IF(N449="","",IF(P449&lt;&gt;"",P449,N449-O449))</f>
        <v/>
      </c>
      <c r="R449" s="41" t="str">
        <f aca="false">IF(J449="","",IFERROR(N(INDEX(Properties!$H$5:$H$24,MATCH(D449,Properties!$A$5:$A$24,0))),0))</f>
        <v/>
      </c>
      <c r="S449" s="41" t="str">
        <f aca="false">IF(Q449="","",Q449-R449)</f>
        <v/>
      </c>
      <c r="T449" s="6"/>
      <c r="U449" s="6"/>
      <c r="V449" s="6"/>
      <c r="W449" s="6"/>
      <c r="X449" s="6"/>
      <c r="Y449" s="8" t="str">
        <f aca="false">IF(OR(D449="",B449="",C449=""),"",IF(N(C449)&lt;=N(B449),"Check dates",IF(T449="Cancelled","",IF(COUNTIFS($D$5:$D$1004,D449,$B$5:$B$1004,"&lt;"&amp;C449,$C$5:$C$1004,"&gt;"&amp;B449,$T$5:$T$1004,"&lt;&gt;Cancelled")&gt;1,"Double-booked",""))))</f>
        <v/>
      </c>
      <c r="Z449" s="42" t="str">
        <f aca="false">IF(AND(AA449=1,ISNUMBER(C449)),C449+ROW()/100000,"")</f>
        <v/>
      </c>
      <c r="AA449" s="43" t="n">
        <f aca="false">IF(AND(D449&lt;&gt;"",ISNUMBER(B449),ISNUMBER(C449),N(H449)&gt;0,T449&lt;&gt;"Cancelled",J449&lt;&gt;""),1,0)</f>
        <v>0</v>
      </c>
      <c r="AB449" s="44" t="n">
        <f aca="false">IF(AA449=1,J449/H449,0)</f>
        <v>0</v>
      </c>
      <c r="AC449" s="44" t="n">
        <f aca="false">IF(AA449=1,Q449/H449,0)</f>
        <v>0</v>
      </c>
      <c r="AD449" s="44" t="n">
        <f aca="false">IF(AA449=1,R449/H449,0)</f>
        <v>0</v>
      </c>
      <c r="AE449" s="44" t="n">
        <f aca="false">IF(AA449=1,O449/H449,0)</f>
        <v>0</v>
      </c>
      <c r="AF449" s="44" t="n">
        <f aca="false">IF(AA449=1,K449/H449,0)</f>
        <v>0</v>
      </c>
      <c r="AG449" s="45" t="str">
        <f aca="false">IF(AA449=1,D449&amp;"|"&amp;TEXT(B449,"0"),"")</f>
        <v/>
      </c>
      <c r="AH449" s="43" t="n">
        <f aca="false">IF(AA449=1,H449,0)</f>
        <v>0</v>
      </c>
    </row>
    <row r="450" customFormat="false" ht="15" hidden="false" customHeight="false" outlineLevel="0" collapsed="false">
      <c r="A450" s="23" t="str">
        <f aca="false">IF(B450="","","B-"&amp;TEXT(ROW()-4,"0000"))</f>
        <v/>
      </c>
      <c r="B450" s="38"/>
      <c r="C450" s="38"/>
      <c r="D450" s="6"/>
      <c r="E450" s="6"/>
      <c r="F450" s="6"/>
      <c r="G450" s="11"/>
      <c r="H450" s="24" t="str">
        <f aca="false">IF(AND(ISNUMBER(B450),ISNUMBER(C450)),MAX(0,C450-B450),"")</f>
        <v/>
      </c>
      <c r="I450" s="37"/>
      <c r="J450" s="46" t="str">
        <f aca="false">IF(OR(D450="",N(H450)=0),"",IFERROR(IF(I450&lt;&gt;"",H450*I450,ROUND(((H450-(INT((WEEKDAY(B450-6)+H450-1)/7)+INT((WEEKDAY(B450-7)+H450-1)/7)))*INDEX(Properties!$E$5:$E$24,MATCH(D450,Properties!$A$5:$A$24,0))+(INT((WEEKDAY(B450-6)+H450-1)/7)+INT((WEEKDAY(B450-7)+H450-1)/7))*INDEX(Properties!$F$5:$F$24,MATCH(D450,Properties!$A$5:$A$24,0)))*(1-IF(H450&gt;=28,Settings!$B$10,IF(H450&gt;=7,Settings!$B$9,0))),2)),0))</f>
        <v/>
      </c>
      <c r="K450" s="46" t="str">
        <f aca="false">IF(J450="","",IFERROR(N(INDEX(Properties!$G$5:$G$24,MATCH(D450,Properties!$A$5:$A$24,0))),0))</f>
        <v/>
      </c>
      <c r="L450" s="46" t="str">
        <f aca="false">IF(J450="","",IFERROR(MAX(0,N(G450)-INDEX(Properties!$I$5:$I$24,MATCH(D450,Properties!$A$5:$A$24,0)))*N(INDEX(Properties!$J$5:$J$24,MATCH(D450,Properties!$A$5:$A$24,0)))*H450,0))</f>
        <v/>
      </c>
      <c r="M450" s="37"/>
      <c r="N450" s="46" t="str">
        <f aca="false">IF(J450="","",J450+K450+L450+N(M450))</f>
        <v/>
      </c>
      <c r="O450" s="46" t="str">
        <f aca="false">IF(N450="","",IF(P450&lt;&gt;"",N450-P450,ROUND(N450*IFERROR(INDEX(Settings!$E$5:$E$12,MATCH(F450,Settings!$D$5:$D$12,0)),0),2)))</f>
        <v/>
      </c>
      <c r="P450" s="37"/>
      <c r="Q450" s="46" t="str">
        <f aca="false">IF(N450="","",IF(P450&lt;&gt;"",P450,N450-O450))</f>
        <v/>
      </c>
      <c r="R450" s="46" t="str">
        <f aca="false">IF(J450="","",IFERROR(N(INDEX(Properties!$H$5:$H$24,MATCH(D450,Properties!$A$5:$A$24,0))),0))</f>
        <v/>
      </c>
      <c r="S450" s="46" t="str">
        <f aca="false">IF(Q450="","",Q450-R450)</f>
        <v/>
      </c>
      <c r="T450" s="6"/>
      <c r="U450" s="6"/>
      <c r="V450" s="6"/>
      <c r="W450" s="6"/>
      <c r="X450" s="6"/>
      <c r="Y450" s="8" t="str">
        <f aca="false">IF(OR(D450="",B450="",C450=""),"",IF(N(C450)&lt;=N(B450),"Check dates",IF(T450="Cancelled","",IF(COUNTIFS($D$5:$D$1004,D450,$B$5:$B$1004,"&lt;"&amp;C450,$C$5:$C$1004,"&gt;"&amp;B450,$T$5:$T$1004,"&lt;&gt;Cancelled")&gt;1,"Double-booked",""))))</f>
        <v/>
      </c>
      <c r="Z450" s="42" t="str">
        <f aca="false">IF(AND(AA450=1,ISNUMBER(C450)),C450+ROW()/100000,"")</f>
        <v/>
      </c>
      <c r="AA450" s="43" t="n">
        <f aca="false">IF(AND(D450&lt;&gt;"",ISNUMBER(B450),ISNUMBER(C450),N(H450)&gt;0,T450&lt;&gt;"Cancelled",J450&lt;&gt;""),1,0)</f>
        <v>0</v>
      </c>
      <c r="AB450" s="44" t="n">
        <f aca="false">IF(AA450=1,J450/H450,0)</f>
        <v>0</v>
      </c>
      <c r="AC450" s="44" t="n">
        <f aca="false">IF(AA450=1,Q450/H450,0)</f>
        <v>0</v>
      </c>
      <c r="AD450" s="44" t="n">
        <f aca="false">IF(AA450=1,R450/H450,0)</f>
        <v>0</v>
      </c>
      <c r="AE450" s="44" t="n">
        <f aca="false">IF(AA450=1,O450/H450,0)</f>
        <v>0</v>
      </c>
      <c r="AF450" s="44" t="n">
        <f aca="false">IF(AA450=1,K450/H450,0)</f>
        <v>0</v>
      </c>
      <c r="AG450" s="45" t="str">
        <f aca="false">IF(AA450=1,D450&amp;"|"&amp;TEXT(B450,"0"),"")</f>
        <v/>
      </c>
      <c r="AH450" s="43" t="n">
        <f aca="false">IF(AA450=1,H450,0)</f>
        <v>0</v>
      </c>
    </row>
    <row r="451" customFormat="false" ht="15" hidden="false" customHeight="false" outlineLevel="0" collapsed="false">
      <c r="A451" s="8" t="str">
        <f aca="false">IF(B451="","","B-"&amp;TEXT(ROW()-4,"0000"))</f>
        <v/>
      </c>
      <c r="B451" s="38"/>
      <c r="C451" s="38"/>
      <c r="D451" s="6"/>
      <c r="E451" s="6"/>
      <c r="F451" s="6"/>
      <c r="G451" s="11"/>
      <c r="H451" s="18" t="str">
        <f aca="false">IF(AND(ISNUMBER(B451),ISNUMBER(C451)),MAX(0,C451-B451),"")</f>
        <v/>
      </c>
      <c r="I451" s="37"/>
      <c r="J451" s="41" t="str">
        <f aca="false">IF(OR(D451="",N(H451)=0),"",IFERROR(IF(I451&lt;&gt;"",H451*I451,ROUND(((H451-(INT((WEEKDAY(B451-6)+H451-1)/7)+INT((WEEKDAY(B451-7)+H451-1)/7)))*INDEX(Properties!$E$5:$E$24,MATCH(D451,Properties!$A$5:$A$24,0))+(INT((WEEKDAY(B451-6)+H451-1)/7)+INT((WEEKDAY(B451-7)+H451-1)/7))*INDEX(Properties!$F$5:$F$24,MATCH(D451,Properties!$A$5:$A$24,0)))*(1-IF(H451&gt;=28,Settings!$B$10,IF(H451&gt;=7,Settings!$B$9,0))),2)),0))</f>
        <v/>
      </c>
      <c r="K451" s="41" t="str">
        <f aca="false">IF(J451="","",IFERROR(N(INDEX(Properties!$G$5:$G$24,MATCH(D451,Properties!$A$5:$A$24,0))),0))</f>
        <v/>
      </c>
      <c r="L451" s="41" t="str">
        <f aca="false">IF(J451="","",IFERROR(MAX(0,N(G451)-INDEX(Properties!$I$5:$I$24,MATCH(D451,Properties!$A$5:$A$24,0)))*N(INDEX(Properties!$J$5:$J$24,MATCH(D451,Properties!$A$5:$A$24,0)))*H451,0))</f>
        <v/>
      </c>
      <c r="M451" s="37"/>
      <c r="N451" s="41" t="str">
        <f aca="false">IF(J451="","",J451+K451+L451+N(M451))</f>
        <v/>
      </c>
      <c r="O451" s="41" t="str">
        <f aca="false">IF(N451="","",IF(P451&lt;&gt;"",N451-P451,ROUND(N451*IFERROR(INDEX(Settings!$E$5:$E$12,MATCH(F451,Settings!$D$5:$D$12,0)),0),2)))</f>
        <v/>
      </c>
      <c r="P451" s="37"/>
      <c r="Q451" s="41" t="str">
        <f aca="false">IF(N451="","",IF(P451&lt;&gt;"",P451,N451-O451))</f>
        <v/>
      </c>
      <c r="R451" s="41" t="str">
        <f aca="false">IF(J451="","",IFERROR(N(INDEX(Properties!$H$5:$H$24,MATCH(D451,Properties!$A$5:$A$24,0))),0))</f>
        <v/>
      </c>
      <c r="S451" s="41" t="str">
        <f aca="false">IF(Q451="","",Q451-R451)</f>
        <v/>
      </c>
      <c r="T451" s="6"/>
      <c r="U451" s="6"/>
      <c r="V451" s="6"/>
      <c r="W451" s="6"/>
      <c r="X451" s="6"/>
      <c r="Y451" s="8" t="str">
        <f aca="false">IF(OR(D451="",B451="",C451=""),"",IF(N(C451)&lt;=N(B451),"Check dates",IF(T451="Cancelled","",IF(COUNTIFS($D$5:$D$1004,D451,$B$5:$B$1004,"&lt;"&amp;C451,$C$5:$C$1004,"&gt;"&amp;B451,$T$5:$T$1004,"&lt;&gt;Cancelled")&gt;1,"Double-booked",""))))</f>
        <v/>
      </c>
      <c r="Z451" s="42" t="str">
        <f aca="false">IF(AND(AA451=1,ISNUMBER(C451)),C451+ROW()/100000,"")</f>
        <v/>
      </c>
      <c r="AA451" s="43" t="n">
        <f aca="false">IF(AND(D451&lt;&gt;"",ISNUMBER(B451),ISNUMBER(C451),N(H451)&gt;0,T451&lt;&gt;"Cancelled",J451&lt;&gt;""),1,0)</f>
        <v>0</v>
      </c>
      <c r="AB451" s="44" t="n">
        <f aca="false">IF(AA451=1,J451/H451,0)</f>
        <v>0</v>
      </c>
      <c r="AC451" s="44" t="n">
        <f aca="false">IF(AA451=1,Q451/H451,0)</f>
        <v>0</v>
      </c>
      <c r="AD451" s="44" t="n">
        <f aca="false">IF(AA451=1,R451/H451,0)</f>
        <v>0</v>
      </c>
      <c r="AE451" s="44" t="n">
        <f aca="false">IF(AA451=1,O451/H451,0)</f>
        <v>0</v>
      </c>
      <c r="AF451" s="44" t="n">
        <f aca="false">IF(AA451=1,K451/H451,0)</f>
        <v>0</v>
      </c>
      <c r="AG451" s="45" t="str">
        <f aca="false">IF(AA451=1,D451&amp;"|"&amp;TEXT(B451,"0"),"")</f>
        <v/>
      </c>
      <c r="AH451" s="43" t="n">
        <f aca="false">IF(AA451=1,H451,0)</f>
        <v>0</v>
      </c>
    </row>
    <row r="452" customFormat="false" ht="15" hidden="false" customHeight="false" outlineLevel="0" collapsed="false">
      <c r="A452" s="23" t="str">
        <f aca="false">IF(B452="","","B-"&amp;TEXT(ROW()-4,"0000"))</f>
        <v/>
      </c>
      <c r="B452" s="38"/>
      <c r="C452" s="38"/>
      <c r="D452" s="6"/>
      <c r="E452" s="6"/>
      <c r="F452" s="6"/>
      <c r="G452" s="11"/>
      <c r="H452" s="24" t="str">
        <f aca="false">IF(AND(ISNUMBER(B452),ISNUMBER(C452)),MAX(0,C452-B452),"")</f>
        <v/>
      </c>
      <c r="I452" s="37"/>
      <c r="J452" s="46" t="str">
        <f aca="false">IF(OR(D452="",N(H452)=0),"",IFERROR(IF(I452&lt;&gt;"",H452*I452,ROUND(((H452-(INT((WEEKDAY(B452-6)+H452-1)/7)+INT((WEEKDAY(B452-7)+H452-1)/7)))*INDEX(Properties!$E$5:$E$24,MATCH(D452,Properties!$A$5:$A$24,0))+(INT((WEEKDAY(B452-6)+H452-1)/7)+INT((WEEKDAY(B452-7)+H452-1)/7))*INDEX(Properties!$F$5:$F$24,MATCH(D452,Properties!$A$5:$A$24,0)))*(1-IF(H452&gt;=28,Settings!$B$10,IF(H452&gt;=7,Settings!$B$9,0))),2)),0))</f>
        <v/>
      </c>
      <c r="K452" s="46" t="str">
        <f aca="false">IF(J452="","",IFERROR(N(INDEX(Properties!$G$5:$G$24,MATCH(D452,Properties!$A$5:$A$24,0))),0))</f>
        <v/>
      </c>
      <c r="L452" s="46" t="str">
        <f aca="false">IF(J452="","",IFERROR(MAX(0,N(G452)-INDEX(Properties!$I$5:$I$24,MATCH(D452,Properties!$A$5:$A$24,0)))*N(INDEX(Properties!$J$5:$J$24,MATCH(D452,Properties!$A$5:$A$24,0)))*H452,0))</f>
        <v/>
      </c>
      <c r="M452" s="37"/>
      <c r="N452" s="46" t="str">
        <f aca="false">IF(J452="","",J452+K452+L452+N(M452))</f>
        <v/>
      </c>
      <c r="O452" s="46" t="str">
        <f aca="false">IF(N452="","",IF(P452&lt;&gt;"",N452-P452,ROUND(N452*IFERROR(INDEX(Settings!$E$5:$E$12,MATCH(F452,Settings!$D$5:$D$12,0)),0),2)))</f>
        <v/>
      </c>
      <c r="P452" s="37"/>
      <c r="Q452" s="46" t="str">
        <f aca="false">IF(N452="","",IF(P452&lt;&gt;"",P452,N452-O452))</f>
        <v/>
      </c>
      <c r="R452" s="46" t="str">
        <f aca="false">IF(J452="","",IFERROR(N(INDEX(Properties!$H$5:$H$24,MATCH(D452,Properties!$A$5:$A$24,0))),0))</f>
        <v/>
      </c>
      <c r="S452" s="46" t="str">
        <f aca="false">IF(Q452="","",Q452-R452)</f>
        <v/>
      </c>
      <c r="T452" s="6"/>
      <c r="U452" s="6"/>
      <c r="V452" s="6"/>
      <c r="W452" s="6"/>
      <c r="X452" s="6"/>
      <c r="Y452" s="8" t="str">
        <f aca="false">IF(OR(D452="",B452="",C452=""),"",IF(N(C452)&lt;=N(B452),"Check dates",IF(T452="Cancelled","",IF(COUNTIFS($D$5:$D$1004,D452,$B$5:$B$1004,"&lt;"&amp;C452,$C$5:$C$1004,"&gt;"&amp;B452,$T$5:$T$1004,"&lt;&gt;Cancelled")&gt;1,"Double-booked",""))))</f>
        <v/>
      </c>
      <c r="Z452" s="42" t="str">
        <f aca="false">IF(AND(AA452=1,ISNUMBER(C452)),C452+ROW()/100000,"")</f>
        <v/>
      </c>
      <c r="AA452" s="43" t="n">
        <f aca="false">IF(AND(D452&lt;&gt;"",ISNUMBER(B452),ISNUMBER(C452),N(H452)&gt;0,T452&lt;&gt;"Cancelled",J452&lt;&gt;""),1,0)</f>
        <v>0</v>
      </c>
      <c r="AB452" s="44" t="n">
        <f aca="false">IF(AA452=1,J452/H452,0)</f>
        <v>0</v>
      </c>
      <c r="AC452" s="44" t="n">
        <f aca="false">IF(AA452=1,Q452/H452,0)</f>
        <v>0</v>
      </c>
      <c r="AD452" s="44" t="n">
        <f aca="false">IF(AA452=1,R452/H452,0)</f>
        <v>0</v>
      </c>
      <c r="AE452" s="44" t="n">
        <f aca="false">IF(AA452=1,O452/H452,0)</f>
        <v>0</v>
      </c>
      <c r="AF452" s="44" t="n">
        <f aca="false">IF(AA452=1,K452/H452,0)</f>
        <v>0</v>
      </c>
      <c r="AG452" s="45" t="str">
        <f aca="false">IF(AA452=1,D452&amp;"|"&amp;TEXT(B452,"0"),"")</f>
        <v/>
      </c>
      <c r="AH452" s="43" t="n">
        <f aca="false">IF(AA452=1,H452,0)</f>
        <v>0</v>
      </c>
    </row>
    <row r="453" customFormat="false" ht="15" hidden="false" customHeight="false" outlineLevel="0" collapsed="false">
      <c r="A453" s="8" t="str">
        <f aca="false">IF(B453="","","B-"&amp;TEXT(ROW()-4,"0000"))</f>
        <v/>
      </c>
      <c r="B453" s="38"/>
      <c r="C453" s="38"/>
      <c r="D453" s="6"/>
      <c r="E453" s="6"/>
      <c r="F453" s="6"/>
      <c r="G453" s="11"/>
      <c r="H453" s="18" t="str">
        <f aca="false">IF(AND(ISNUMBER(B453),ISNUMBER(C453)),MAX(0,C453-B453),"")</f>
        <v/>
      </c>
      <c r="I453" s="37"/>
      <c r="J453" s="41" t="str">
        <f aca="false">IF(OR(D453="",N(H453)=0),"",IFERROR(IF(I453&lt;&gt;"",H453*I453,ROUND(((H453-(INT((WEEKDAY(B453-6)+H453-1)/7)+INT((WEEKDAY(B453-7)+H453-1)/7)))*INDEX(Properties!$E$5:$E$24,MATCH(D453,Properties!$A$5:$A$24,0))+(INT((WEEKDAY(B453-6)+H453-1)/7)+INT((WEEKDAY(B453-7)+H453-1)/7))*INDEX(Properties!$F$5:$F$24,MATCH(D453,Properties!$A$5:$A$24,0)))*(1-IF(H453&gt;=28,Settings!$B$10,IF(H453&gt;=7,Settings!$B$9,0))),2)),0))</f>
        <v/>
      </c>
      <c r="K453" s="41" t="str">
        <f aca="false">IF(J453="","",IFERROR(N(INDEX(Properties!$G$5:$G$24,MATCH(D453,Properties!$A$5:$A$24,0))),0))</f>
        <v/>
      </c>
      <c r="L453" s="41" t="str">
        <f aca="false">IF(J453="","",IFERROR(MAX(0,N(G453)-INDEX(Properties!$I$5:$I$24,MATCH(D453,Properties!$A$5:$A$24,0)))*N(INDEX(Properties!$J$5:$J$24,MATCH(D453,Properties!$A$5:$A$24,0)))*H453,0))</f>
        <v/>
      </c>
      <c r="M453" s="37"/>
      <c r="N453" s="41" t="str">
        <f aca="false">IF(J453="","",J453+K453+L453+N(M453))</f>
        <v/>
      </c>
      <c r="O453" s="41" t="str">
        <f aca="false">IF(N453="","",IF(P453&lt;&gt;"",N453-P453,ROUND(N453*IFERROR(INDEX(Settings!$E$5:$E$12,MATCH(F453,Settings!$D$5:$D$12,0)),0),2)))</f>
        <v/>
      </c>
      <c r="P453" s="37"/>
      <c r="Q453" s="41" t="str">
        <f aca="false">IF(N453="","",IF(P453&lt;&gt;"",P453,N453-O453))</f>
        <v/>
      </c>
      <c r="R453" s="41" t="str">
        <f aca="false">IF(J453="","",IFERROR(N(INDEX(Properties!$H$5:$H$24,MATCH(D453,Properties!$A$5:$A$24,0))),0))</f>
        <v/>
      </c>
      <c r="S453" s="41" t="str">
        <f aca="false">IF(Q453="","",Q453-R453)</f>
        <v/>
      </c>
      <c r="T453" s="6"/>
      <c r="U453" s="6"/>
      <c r="V453" s="6"/>
      <c r="W453" s="6"/>
      <c r="X453" s="6"/>
      <c r="Y453" s="8" t="str">
        <f aca="false">IF(OR(D453="",B453="",C453=""),"",IF(N(C453)&lt;=N(B453),"Check dates",IF(T453="Cancelled","",IF(COUNTIFS($D$5:$D$1004,D453,$B$5:$B$1004,"&lt;"&amp;C453,$C$5:$C$1004,"&gt;"&amp;B453,$T$5:$T$1004,"&lt;&gt;Cancelled")&gt;1,"Double-booked",""))))</f>
        <v/>
      </c>
      <c r="Z453" s="42" t="str">
        <f aca="false">IF(AND(AA453=1,ISNUMBER(C453)),C453+ROW()/100000,"")</f>
        <v/>
      </c>
      <c r="AA453" s="43" t="n">
        <f aca="false">IF(AND(D453&lt;&gt;"",ISNUMBER(B453),ISNUMBER(C453),N(H453)&gt;0,T453&lt;&gt;"Cancelled",J453&lt;&gt;""),1,0)</f>
        <v>0</v>
      </c>
      <c r="AB453" s="44" t="n">
        <f aca="false">IF(AA453=1,J453/H453,0)</f>
        <v>0</v>
      </c>
      <c r="AC453" s="44" t="n">
        <f aca="false">IF(AA453=1,Q453/H453,0)</f>
        <v>0</v>
      </c>
      <c r="AD453" s="44" t="n">
        <f aca="false">IF(AA453=1,R453/H453,0)</f>
        <v>0</v>
      </c>
      <c r="AE453" s="44" t="n">
        <f aca="false">IF(AA453=1,O453/H453,0)</f>
        <v>0</v>
      </c>
      <c r="AF453" s="44" t="n">
        <f aca="false">IF(AA453=1,K453/H453,0)</f>
        <v>0</v>
      </c>
      <c r="AG453" s="45" t="str">
        <f aca="false">IF(AA453=1,D453&amp;"|"&amp;TEXT(B453,"0"),"")</f>
        <v/>
      </c>
      <c r="AH453" s="43" t="n">
        <f aca="false">IF(AA453=1,H453,0)</f>
        <v>0</v>
      </c>
    </row>
    <row r="454" customFormat="false" ht="15" hidden="false" customHeight="false" outlineLevel="0" collapsed="false">
      <c r="A454" s="23" t="str">
        <f aca="false">IF(B454="","","B-"&amp;TEXT(ROW()-4,"0000"))</f>
        <v/>
      </c>
      <c r="B454" s="38"/>
      <c r="C454" s="38"/>
      <c r="D454" s="6"/>
      <c r="E454" s="6"/>
      <c r="F454" s="6"/>
      <c r="G454" s="11"/>
      <c r="H454" s="24" t="str">
        <f aca="false">IF(AND(ISNUMBER(B454),ISNUMBER(C454)),MAX(0,C454-B454),"")</f>
        <v/>
      </c>
      <c r="I454" s="37"/>
      <c r="J454" s="46" t="str">
        <f aca="false">IF(OR(D454="",N(H454)=0),"",IFERROR(IF(I454&lt;&gt;"",H454*I454,ROUND(((H454-(INT((WEEKDAY(B454-6)+H454-1)/7)+INT((WEEKDAY(B454-7)+H454-1)/7)))*INDEX(Properties!$E$5:$E$24,MATCH(D454,Properties!$A$5:$A$24,0))+(INT((WEEKDAY(B454-6)+H454-1)/7)+INT((WEEKDAY(B454-7)+H454-1)/7))*INDEX(Properties!$F$5:$F$24,MATCH(D454,Properties!$A$5:$A$24,0)))*(1-IF(H454&gt;=28,Settings!$B$10,IF(H454&gt;=7,Settings!$B$9,0))),2)),0))</f>
        <v/>
      </c>
      <c r="K454" s="46" t="str">
        <f aca="false">IF(J454="","",IFERROR(N(INDEX(Properties!$G$5:$G$24,MATCH(D454,Properties!$A$5:$A$24,0))),0))</f>
        <v/>
      </c>
      <c r="L454" s="46" t="str">
        <f aca="false">IF(J454="","",IFERROR(MAX(0,N(G454)-INDEX(Properties!$I$5:$I$24,MATCH(D454,Properties!$A$5:$A$24,0)))*N(INDEX(Properties!$J$5:$J$24,MATCH(D454,Properties!$A$5:$A$24,0)))*H454,0))</f>
        <v/>
      </c>
      <c r="M454" s="37"/>
      <c r="N454" s="46" t="str">
        <f aca="false">IF(J454="","",J454+K454+L454+N(M454))</f>
        <v/>
      </c>
      <c r="O454" s="46" t="str">
        <f aca="false">IF(N454="","",IF(P454&lt;&gt;"",N454-P454,ROUND(N454*IFERROR(INDEX(Settings!$E$5:$E$12,MATCH(F454,Settings!$D$5:$D$12,0)),0),2)))</f>
        <v/>
      </c>
      <c r="P454" s="37"/>
      <c r="Q454" s="46" t="str">
        <f aca="false">IF(N454="","",IF(P454&lt;&gt;"",P454,N454-O454))</f>
        <v/>
      </c>
      <c r="R454" s="46" t="str">
        <f aca="false">IF(J454="","",IFERROR(N(INDEX(Properties!$H$5:$H$24,MATCH(D454,Properties!$A$5:$A$24,0))),0))</f>
        <v/>
      </c>
      <c r="S454" s="46" t="str">
        <f aca="false">IF(Q454="","",Q454-R454)</f>
        <v/>
      </c>
      <c r="T454" s="6"/>
      <c r="U454" s="6"/>
      <c r="V454" s="6"/>
      <c r="W454" s="6"/>
      <c r="X454" s="6"/>
      <c r="Y454" s="8" t="str">
        <f aca="false">IF(OR(D454="",B454="",C454=""),"",IF(N(C454)&lt;=N(B454),"Check dates",IF(T454="Cancelled","",IF(COUNTIFS($D$5:$D$1004,D454,$B$5:$B$1004,"&lt;"&amp;C454,$C$5:$C$1004,"&gt;"&amp;B454,$T$5:$T$1004,"&lt;&gt;Cancelled")&gt;1,"Double-booked",""))))</f>
        <v/>
      </c>
      <c r="Z454" s="42" t="str">
        <f aca="false">IF(AND(AA454=1,ISNUMBER(C454)),C454+ROW()/100000,"")</f>
        <v/>
      </c>
      <c r="AA454" s="43" t="n">
        <f aca="false">IF(AND(D454&lt;&gt;"",ISNUMBER(B454),ISNUMBER(C454),N(H454)&gt;0,T454&lt;&gt;"Cancelled",J454&lt;&gt;""),1,0)</f>
        <v>0</v>
      </c>
      <c r="AB454" s="44" t="n">
        <f aca="false">IF(AA454=1,J454/H454,0)</f>
        <v>0</v>
      </c>
      <c r="AC454" s="44" t="n">
        <f aca="false">IF(AA454=1,Q454/H454,0)</f>
        <v>0</v>
      </c>
      <c r="AD454" s="44" t="n">
        <f aca="false">IF(AA454=1,R454/H454,0)</f>
        <v>0</v>
      </c>
      <c r="AE454" s="44" t="n">
        <f aca="false">IF(AA454=1,O454/H454,0)</f>
        <v>0</v>
      </c>
      <c r="AF454" s="44" t="n">
        <f aca="false">IF(AA454=1,K454/H454,0)</f>
        <v>0</v>
      </c>
      <c r="AG454" s="45" t="str">
        <f aca="false">IF(AA454=1,D454&amp;"|"&amp;TEXT(B454,"0"),"")</f>
        <v/>
      </c>
      <c r="AH454" s="43" t="n">
        <f aca="false">IF(AA454=1,H454,0)</f>
        <v>0</v>
      </c>
    </row>
    <row r="455" customFormat="false" ht="15" hidden="false" customHeight="false" outlineLevel="0" collapsed="false">
      <c r="A455" s="8" t="str">
        <f aca="false">IF(B455="","","B-"&amp;TEXT(ROW()-4,"0000"))</f>
        <v/>
      </c>
      <c r="B455" s="38"/>
      <c r="C455" s="38"/>
      <c r="D455" s="6"/>
      <c r="E455" s="6"/>
      <c r="F455" s="6"/>
      <c r="G455" s="11"/>
      <c r="H455" s="18" t="str">
        <f aca="false">IF(AND(ISNUMBER(B455),ISNUMBER(C455)),MAX(0,C455-B455),"")</f>
        <v/>
      </c>
      <c r="I455" s="37"/>
      <c r="J455" s="41" t="str">
        <f aca="false">IF(OR(D455="",N(H455)=0),"",IFERROR(IF(I455&lt;&gt;"",H455*I455,ROUND(((H455-(INT((WEEKDAY(B455-6)+H455-1)/7)+INT((WEEKDAY(B455-7)+H455-1)/7)))*INDEX(Properties!$E$5:$E$24,MATCH(D455,Properties!$A$5:$A$24,0))+(INT((WEEKDAY(B455-6)+H455-1)/7)+INT((WEEKDAY(B455-7)+H455-1)/7))*INDEX(Properties!$F$5:$F$24,MATCH(D455,Properties!$A$5:$A$24,0)))*(1-IF(H455&gt;=28,Settings!$B$10,IF(H455&gt;=7,Settings!$B$9,0))),2)),0))</f>
        <v/>
      </c>
      <c r="K455" s="41" t="str">
        <f aca="false">IF(J455="","",IFERROR(N(INDEX(Properties!$G$5:$G$24,MATCH(D455,Properties!$A$5:$A$24,0))),0))</f>
        <v/>
      </c>
      <c r="L455" s="41" t="str">
        <f aca="false">IF(J455="","",IFERROR(MAX(0,N(G455)-INDEX(Properties!$I$5:$I$24,MATCH(D455,Properties!$A$5:$A$24,0)))*N(INDEX(Properties!$J$5:$J$24,MATCH(D455,Properties!$A$5:$A$24,0)))*H455,0))</f>
        <v/>
      </c>
      <c r="M455" s="37"/>
      <c r="N455" s="41" t="str">
        <f aca="false">IF(J455="","",J455+K455+L455+N(M455))</f>
        <v/>
      </c>
      <c r="O455" s="41" t="str">
        <f aca="false">IF(N455="","",IF(P455&lt;&gt;"",N455-P455,ROUND(N455*IFERROR(INDEX(Settings!$E$5:$E$12,MATCH(F455,Settings!$D$5:$D$12,0)),0),2)))</f>
        <v/>
      </c>
      <c r="P455" s="37"/>
      <c r="Q455" s="41" t="str">
        <f aca="false">IF(N455="","",IF(P455&lt;&gt;"",P455,N455-O455))</f>
        <v/>
      </c>
      <c r="R455" s="41" t="str">
        <f aca="false">IF(J455="","",IFERROR(N(INDEX(Properties!$H$5:$H$24,MATCH(D455,Properties!$A$5:$A$24,0))),0))</f>
        <v/>
      </c>
      <c r="S455" s="41" t="str">
        <f aca="false">IF(Q455="","",Q455-R455)</f>
        <v/>
      </c>
      <c r="T455" s="6"/>
      <c r="U455" s="6"/>
      <c r="V455" s="6"/>
      <c r="W455" s="6"/>
      <c r="X455" s="6"/>
      <c r="Y455" s="8" t="str">
        <f aca="false">IF(OR(D455="",B455="",C455=""),"",IF(N(C455)&lt;=N(B455),"Check dates",IF(T455="Cancelled","",IF(COUNTIFS($D$5:$D$1004,D455,$B$5:$B$1004,"&lt;"&amp;C455,$C$5:$C$1004,"&gt;"&amp;B455,$T$5:$T$1004,"&lt;&gt;Cancelled")&gt;1,"Double-booked",""))))</f>
        <v/>
      </c>
      <c r="Z455" s="42" t="str">
        <f aca="false">IF(AND(AA455=1,ISNUMBER(C455)),C455+ROW()/100000,"")</f>
        <v/>
      </c>
      <c r="AA455" s="43" t="n">
        <f aca="false">IF(AND(D455&lt;&gt;"",ISNUMBER(B455),ISNUMBER(C455),N(H455)&gt;0,T455&lt;&gt;"Cancelled",J455&lt;&gt;""),1,0)</f>
        <v>0</v>
      </c>
      <c r="AB455" s="44" t="n">
        <f aca="false">IF(AA455=1,J455/H455,0)</f>
        <v>0</v>
      </c>
      <c r="AC455" s="44" t="n">
        <f aca="false">IF(AA455=1,Q455/H455,0)</f>
        <v>0</v>
      </c>
      <c r="AD455" s="44" t="n">
        <f aca="false">IF(AA455=1,R455/H455,0)</f>
        <v>0</v>
      </c>
      <c r="AE455" s="44" t="n">
        <f aca="false">IF(AA455=1,O455/H455,0)</f>
        <v>0</v>
      </c>
      <c r="AF455" s="44" t="n">
        <f aca="false">IF(AA455=1,K455/H455,0)</f>
        <v>0</v>
      </c>
      <c r="AG455" s="45" t="str">
        <f aca="false">IF(AA455=1,D455&amp;"|"&amp;TEXT(B455,"0"),"")</f>
        <v/>
      </c>
      <c r="AH455" s="43" t="n">
        <f aca="false">IF(AA455=1,H455,0)</f>
        <v>0</v>
      </c>
    </row>
    <row r="456" customFormat="false" ht="15" hidden="false" customHeight="false" outlineLevel="0" collapsed="false">
      <c r="A456" s="23" t="str">
        <f aca="false">IF(B456="","","B-"&amp;TEXT(ROW()-4,"0000"))</f>
        <v/>
      </c>
      <c r="B456" s="38"/>
      <c r="C456" s="38"/>
      <c r="D456" s="6"/>
      <c r="E456" s="6"/>
      <c r="F456" s="6"/>
      <c r="G456" s="11"/>
      <c r="H456" s="24" t="str">
        <f aca="false">IF(AND(ISNUMBER(B456),ISNUMBER(C456)),MAX(0,C456-B456),"")</f>
        <v/>
      </c>
      <c r="I456" s="37"/>
      <c r="J456" s="46" t="str">
        <f aca="false">IF(OR(D456="",N(H456)=0),"",IFERROR(IF(I456&lt;&gt;"",H456*I456,ROUND(((H456-(INT((WEEKDAY(B456-6)+H456-1)/7)+INT((WEEKDAY(B456-7)+H456-1)/7)))*INDEX(Properties!$E$5:$E$24,MATCH(D456,Properties!$A$5:$A$24,0))+(INT((WEEKDAY(B456-6)+H456-1)/7)+INT((WEEKDAY(B456-7)+H456-1)/7))*INDEX(Properties!$F$5:$F$24,MATCH(D456,Properties!$A$5:$A$24,0)))*(1-IF(H456&gt;=28,Settings!$B$10,IF(H456&gt;=7,Settings!$B$9,0))),2)),0))</f>
        <v/>
      </c>
      <c r="K456" s="46" t="str">
        <f aca="false">IF(J456="","",IFERROR(N(INDEX(Properties!$G$5:$G$24,MATCH(D456,Properties!$A$5:$A$24,0))),0))</f>
        <v/>
      </c>
      <c r="L456" s="46" t="str">
        <f aca="false">IF(J456="","",IFERROR(MAX(0,N(G456)-INDEX(Properties!$I$5:$I$24,MATCH(D456,Properties!$A$5:$A$24,0)))*N(INDEX(Properties!$J$5:$J$24,MATCH(D456,Properties!$A$5:$A$24,0)))*H456,0))</f>
        <v/>
      </c>
      <c r="M456" s="37"/>
      <c r="N456" s="46" t="str">
        <f aca="false">IF(J456="","",J456+K456+L456+N(M456))</f>
        <v/>
      </c>
      <c r="O456" s="46" t="str">
        <f aca="false">IF(N456="","",IF(P456&lt;&gt;"",N456-P456,ROUND(N456*IFERROR(INDEX(Settings!$E$5:$E$12,MATCH(F456,Settings!$D$5:$D$12,0)),0),2)))</f>
        <v/>
      </c>
      <c r="P456" s="37"/>
      <c r="Q456" s="46" t="str">
        <f aca="false">IF(N456="","",IF(P456&lt;&gt;"",P456,N456-O456))</f>
        <v/>
      </c>
      <c r="R456" s="46" t="str">
        <f aca="false">IF(J456="","",IFERROR(N(INDEX(Properties!$H$5:$H$24,MATCH(D456,Properties!$A$5:$A$24,0))),0))</f>
        <v/>
      </c>
      <c r="S456" s="46" t="str">
        <f aca="false">IF(Q456="","",Q456-R456)</f>
        <v/>
      </c>
      <c r="T456" s="6"/>
      <c r="U456" s="6"/>
      <c r="V456" s="6"/>
      <c r="W456" s="6"/>
      <c r="X456" s="6"/>
      <c r="Y456" s="8" t="str">
        <f aca="false">IF(OR(D456="",B456="",C456=""),"",IF(N(C456)&lt;=N(B456),"Check dates",IF(T456="Cancelled","",IF(COUNTIFS($D$5:$D$1004,D456,$B$5:$B$1004,"&lt;"&amp;C456,$C$5:$C$1004,"&gt;"&amp;B456,$T$5:$T$1004,"&lt;&gt;Cancelled")&gt;1,"Double-booked",""))))</f>
        <v/>
      </c>
      <c r="Z456" s="42" t="str">
        <f aca="false">IF(AND(AA456=1,ISNUMBER(C456)),C456+ROW()/100000,"")</f>
        <v/>
      </c>
      <c r="AA456" s="43" t="n">
        <f aca="false">IF(AND(D456&lt;&gt;"",ISNUMBER(B456),ISNUMBER(C456),N(H456)&gt;0,T456&lt;&gt;"Cancelled",J456&lt;&gt;""),1,0)</f>
        <v>0</v>
      </c>
      <c r="AB456" s="44" t="n">
        <f aca="false">IF(AA456=1,J456/H456,0)</f>
        <v>0</v>
      </c>
      <c r="AC456" s="44" t="n">
        <f aca="false">IF(AA456=1,Q456/H456,0)</f>
        <v>0</v>
      </c>
      <c r="AD456" s="44" t="n">
        <f aca="false">IF(AA456=1,R456/H456,0)</f>
        <v>0</v>
      </c>
      <c r="AE456" s="44" t="n">
        <f aca="false">IF(AA456=1,O456/H456,0)</f>
        <v>0</v>
      </c>
      <c r="AF456" s="44" t="n">
        <f aca="false">IF(AA456=1,K456/H456,0)</f>
        <v>0</v>
      </c>
      <c r="AG456" s="45" t="str">
        <f aca="false">IF(AA456=1,D456&amp;"|"&amp;TEXT(B456,"0"),"")</f>
        <v/>
      </c>
      <c r="AH456" s="43" t="n">
        <f aca="false">IF(AA456=1,H456,0)</f>
        <v>0</v>
      </c>
    </row>
    <row r="457" customFormat="false" ht="15" hidden="false" customHeight="false" outlineLevel="0" collapsed="false">
      <c r="A457" s="8" t="str">
        <f aca="false">IF(B457="","","B-"&amp;TEXT(ROW()-4,"0000"))</f>
        <v/>
      </c>
      <c r="B457" s="38"/>
      <c r="C457" s="38"/>
      <c r="D457" s="6"/>
      <c r="E457" s="6"/>
      <c r="F457" s="6"/>
      <c r="G457" s="11"/>
      <c r="H457" s="18" t="str">
        <f aca="false">IF(AND(ISNUMBER(B457),ISNUMBER(C457)),MAX(0,C457-B457),"")</f>
        <v/>
      </c>
      <c r="I457" s="37"/>
      <c r="J457" s="41" t="str">
        <f aca="false">IF(OR(D457="",N(H457)=0),"",IFERROR(IF(I457&lt;&gt;"",H457*I457,ROUND(((H457-(INT((WEEKDAY(B457-6)+H457-1)/7)+INT((WEEKDAY(B457-7)+H457-1)/7)))*INDEX(Properties!$E$5:$E$24,MATCH(D457,Properties!$A$5:$A$24,0))+(INT((WEEKDAY(B457-6)+H457-1)/7)+INT((WEEKDAY(B457-7)+H457-1)/7))*INDEX(Properties!$F$5:$F$24,MATCH(D457,Properties!$A$5:$A$24,0)))*(1-IF(H457&gt;=28,Settings!$B$10,IF(H457&gt;=7,Settings!$B$9,0))),2)),0))</f>
        <v/>
      </c>
      <c r="K457" s="41" t="str">
        <f aca="false">IF(J457="","",IFERROR(N(INDEX(Properties!$G$5:$G$24,MATCH(D457,Properties!$A$5:$A$24,0))),0))</f>
        <v/>
      </c>
      <c r="L457" s="41" t="str">
        <f aca="false">IF(J457="","",IFERROR(MAX(0,N(G457)-INDEX(Properties!$I$5:$I$24,MATCH(D457,Properties!$A$5:$A$24,0)))*N(INDEX(Properties!$J$5:$J$24,MATCH(D457,Properties!$A$5:$A$24,0)))*H457,0))</f>
        <v/>
      </c>
      <c r="M457" s="37"/>
      <c r="N457" s="41" t="str">
        <f aca="false">IF(J457="","",J457+K457+L457+N(M457))</f>
        <v/>
      </c>
      <c r="O457" s="41" t="str">
        <f aca="false">IF(N457="","",IF(P457&lt;&gt;"",N457-P457,ROUND(N457*IFERROR(INDEX(Settings!$E$5:$E$12,MATCH(F457,Settings!$D$5:$D$12,0)),0),2)))</f>
        <v/>
      </c>
      <c r="P457" s="37"/>
      <c r="Q457" s="41" t="str">
        <f aca="false">IF(N457="","",IF(P457&lt;&gt;"",P457,N457-O457))</f>
        <v/>
      </c>
      <c r="R457" s="41" t="str">
        <f aca="false">IF(J457="","",IFERROR(N(INDEX(Properties!$H$5:$H$24,MATCH(D457,Properties!$A$5:$A$24,0))),0))</f>
        <v/>
      </c>
      <c r="S457" s="41" t="str">
        <f aca="false">IF(Q457="","",Q457-R457)</f>
        <v/>
      </c>
      <c r="T457" s="6"/>
      <c r="U457" s="6"/>
      <c r="V457" s="6"/>
      <c r="W457" s="6"/>
      <c r="X457" s="6"/>
      <c r="Y457" s="8" t="str">
        <f aca="false">IF(OR(D457="",B457="",C457=""),"",IF(N(C457)&lt;=N(B457),"Check dates",IF(T457="Cancelled","",IF(COUNTIFS($D$5:$D$1004,D457,$B$5:$B$1004,"&lt;"&amp;C457,$C$5:$C$1004,"&gt;"&amp;B457,$T$5:$T$1004,"&lt;&gt;Cancelled")&gt;1,"Double-booked",""))))</f>
        <v/>
      </c>
      <c r="Z457" s="42" t="str">
        <f aca="false">IF(AND(AA457=1,ISNUMBER(C457)),C457+ROW()/100000,"")</f>
        <v/>
      </c>
      <c r="AA457" s="43" t="n">
        <f aca="false">IF(AND(D457&lt;&gt;"",ISNUMBER(B457),ISNUMBER(C457),N(H457)&gt;0,T457&lt;&gt;"Cancelled",J457&lt;&gt;""),1,0)</f>
        <v>0</v>
      </c>
      <c r="AB457" s="44" t="n">
        <f aca="false">IF(AA457=1,J457/H457,0)</f>
        <v>0</v>
      </c>
      <c r="AC457" s="44" t="n">
        <f aca="false">IF(AA457=1,Q457/H457,0)</f>
        <v>0</v>
      </c>
      <c r="AD457" s="44" t="n">
        <f aca="false">IF(AA457=1,R457/H457,0)</f>
        <v>0</v>
      </c>
      <c r="AE457" s="44" t="n">
        <f aca="false">IF(AA457=1,O457/H457,0)</f>
        <v>0</v>
      </c>
      <c r="AF457" s="44" t="n">
        <f aca="false">IF(AA457=1,K457/H457,0)</f>
        <v>0</v>
      </c>
      <c r="AG457" s="45" t="str">
        <f aca="false">IF(AA457=1,D457&amp;"|"&amp;TEXT(B457,"0"),"")</f>
        <v/>
      </c>
      <c r="AH457" s="43" t="n">
        <f aca="false">IF(AA457=1,H457,0)</f>
        <v>0</v>
      </c>
    </row>
    <row r="458" customFormat="false" ht="15" hidden="false" customHeight="false" outlineLevel="0" collapsed="false">
      <c r="A458" s="23" t="str">
        <f aca="false">IF(B458="","","B-"&amp;TEXT(ROW()-4,"0000"))</f>
        <v/>
      </c>
      <c r="B458" s="38"/>
      <c r="C458" s="38"/>
      <c r="D458" s="6"/>
      <c r="E458" s="6"/>
      <c r="F458" s="6"/>
      <c r="G458" s="11"/>
      <c r="H458" s="24" t="str">
        <f aca="false">IF(AND(ISNUMBER(B458),ISNUMBER(C458)),MAX(0,C458-B458),"")</f>
        <v/>
      </c>
      <c r="I458" s="37"/>
      <c r="J458" s="46" t="str">
        <f aca="false">IF(OR(D458="",N(H458)=0),"",IFERROR(IF(I458&lt;&gt;"",H458*I458,ROUND(((H458-(INT((WEEKDAY(B458-6)+H458-1)/7)+INT((WEEKDAY(B458-7)+H458-1)/7)))*INDEX(Properties!$E$5:$E$24,MATCH(D458,Properties!$A$5:$A$24,0))+(INT((WEEKDAY(B458-6)+H458-1)/7)+INT((WEEKDAY(B458-7)+H458-1)/7))*INDEX(Properties!$F$5:$F$24,MATCH(D458,Properties!$A$5:$A$24,0)))*(1-IF(H458&gt;=28,Settings!$B$10,IF(H458&gt;=7,Settings!$B$9,0))),2)),0))</f>
        <v/>
      </c>
      <c r="K458" s="46" t="str">
        <f aca="false">IF(J458="","",IFERROR(N(INDEX(Properties!$G$5:$G$24,MATCH(D458,Properties!$A$5:$A$24,0))),0))</f>
        <v/>
      </c>
      <c r="L458" s="46" t="str">
        <f aca="false">IF(J458="","",IFERROR(MAX(0,N(G458)-INDEX(Properties!$I$5:$I$24,MATCH(D458,Properties!$A$5:$A$24,0)))*N(INDEX(Properties!$J$5:$J$24,MATCH(D458,Properties!$A$5:$A$24,0)))*H458,0))</f>
        <v/>
      </c>
      <c r="M458" s="37"/>
      <c r="N458" s="46" t="str">
        <f aca="false">IF(J458="","",J458+K458+L458+N(M458))</f>
        <v/>
      </c>
      <c r="O458" s="46" t="str">
        <f aca="false">IF(N458="","",IF(P458&lt;&gt;"",N458-P458,ROUND(N458*IFERROR(INDEX(Settings!$E$5:$E$12,MATCH(F458,Settings!$D$5:$D$12,0)),0),2)))</f>
        <v/>
      </c>
      <c r="P458" s="37"/>
      <c r="Q458" s="46" t="str">
        <f aca="false">IF(N458="","",IF(P458&lt;&gt;"",P458,N458-O458))</f>
        <v/>
      </c>
      <c r="R458" s="46" t="str">
        <f aca="false">IF(J458="","",IFERROR(N(INDEX(Properties!$H$5:$H$24,MATCH(D458,Properties!$A$5:$A$24,0))),0))</f>
        <v/>
      </c>
      <c r="S458" s="46" t="str">
        <f aca="false">IF(Q458="","",Q458-R458)</f>
        <v/>
      </c>
      <c r="T458" s="6"/>
      <c r="U458" s="6"/>
      <c r="V458" s="6"/>
      <c r="W458" s="6"/>
      <c r="X458" s="6"/>
      <c r="Y458" s="8" t="str">
        <f aca="false">IF(OR(D458="",B458="",C458=""),"",IF(N(C458)&lt;=N(B458),"Check dates",IF(T458="Cancelled","",IF(COUNTIFS($D$5:$D$1004,D458,$B$5:$B$1004,"&lt;"&amp;C458,$C$5:$C$1004,"&gt;"&amp;B458,$T$5:$T$1004,"&lt;&gt;Cancelled")&gt;1,"Double-booked",""))))</f>
        <v/>
      </c>
      <c r="Z458" s="42" t="str">
        <f aca="false">IF(AND(AA458=1,ISNUMBER(C458)),C458+ROW()/100000,"")</f>
        <v/>
      </c>
      <c r="AA458" s="43" t="n">
        <f aca="false">IF(AND(D458&lt;&gt;"",ISNUMBER(B458),ISNUMBER(C458),N(H458)&gt;0,T458&lt;&gt;"Cancelled",J458&lt;&gt;""),1,0)</f>
        <v>0</v>
      </c>
      <c r="AB458" s="44" t="n">
        <f aca="false">IF(AA458=1,J458/H458,0)</f>
        <v>0</v>
      </c>
      <c r="AC458" s="44" t="n">
        <f aca="false">IF(AA458=1,Q458/H458,0)</f>
        <v>0</v>
      </c>
      <c r="AD458" s="44" t="n">
        <f aca="false">IF(AA458=1,R458/H458,0)</f>
        <v>0</v>
      </c>
      <c r="AE458" s="44" t="n">
        <f aca="false">IF(AA458=1,O458/H458,0)</f>
        <v>0</v>
      </c>
      <c r="AF458" s="44" t="n">
        <f aca="false">IF(AA458=1,K458/H458,0)</f>
        <v>0</v>
      </c>
      <c r="AG458" s="45" t="str">
        <f aca="false">IF(AA458=1,D458&amp;"|"&amp;TEXT(B458,"0"),"")</f>
        <v/>
      </c>
      <c r="AH458" s="43" t="n">
        <f aca="false">IF(AA458=1,H458,0)</f>
        <v>0</v>
      </c>
    </row>
    <row r="459" customFormat="false" ht="15" hidden="false" customHeight="false" outlineLevel="0" collapsed="false">
      <c r="A459" s="8" t="str">
        <f aca="false">IF(B459="","","B-"&amp;TEXT(ROW()-4,"0000"))</f>
        <v/>
      </c>
      <c r="B459" s="38"/>
      <c r="C459" s="38"/>
      <c r="D459" s="6"/>
      <c r="E459" s="6"/>
      <c r="F459" s="6"/>
      <c r="G459" s="11"/>
      <c r="H459" s="18" t="str">
        <f aca="false">IF(AND(ISNUMBER(B459),ISNUMBER(C459)),MAX(0,C459-B459),"")</f>
        <v/>
      </c>
      <c r="I459" s="37"/>
      <c r="J459" s="41" t="str">
        <f aca="false">IF(OR(D459="",N(H459)=0),"",IFERROR(IF(I459&lt;&gt;"",H459*I459,ROUND(((H459-(INT((WEEKDAY(B459-6)+H459-1)/7)+INT((WEEKDAY(B459-7)+H459-1)/7)))*INDEX(Properties!$E$5:$E$24,MATCH(D459,Properties!$A$5:$A$24,0))+(INT((WEEKDAY(B459-6)+H459-1)/7)+INT((WEEKDAY(B459-7)+H459-1)/7))*INDEX(Properties!$F$5:$F$24,MATCH(D459,Properties!$A$5:$A$24,0)))*(1-IF(H459&gt;=28,Settings!$B$10,IF(H459&gt;=7,Settings!$B$9,0))),2)),0))</f>
        <v/>
      </c>
      <c r="K459" s="41" t="str">
        <f aca="false">IF(J459="","",IFERROR(N(INDEX(Properties!$G$5:$G$24,MATCH(D459,Properties!$A$5:$A$24,0))),0))</f>
        <v/>
      </c>
      <c r="L459" s="41" t="str">
        <f aca="false">IF(J459="","",IFERROR(MAX(0,N(G459)-INDEX(Properties!$I$5:$I$24,MATCH(D459,Properties!$A$5:$A$24,0)))*N(INDEX(Properties!$J$5:$J$24,MATCH(D459,Properties!$A$5:$A$24,0)))*H459,0))</f>
        <v/>
      </c>
      <c r="M459" s="37"/>
      <c r="N459" s="41" t="str">
        <f aca="false">IF(J459="","",J459+K459+L459+N(M459))</f>
        <v/>
      </c>
      <c r="O459" s="41" t="str">
        <f aca="false">IF(N459="","",IF(P459&lt;&gt;"",N459-P459,ROUND(N459*IFERROR(INDEX(Settings!$E$5:$E$12,MATCH(F459,Settings!$D$5:$D$12,0)),0),2)))</f>
        <v/>
      </c>
      <c r="P459" s="37"/>
      <c r="Q459" s="41" t="str">
        <f aca="false">IF(N459="","",IF(P459&lt;&gt;"",P459,N459-O459))</f>
        <v/>
      </c>
      <c r="R459" s="41" t="str">
        <f aca="false">IF(J459="","",IFERROR(N(INDEX(Properties!$H$5:$H$24,MATCH(D459,Properties!$A$5:$A$24,0))),0))</f>
        <v/>
      </c>
      <c r="S459" s="41" t="str">
        <f aca="false">IF(Q459="","",Q459-R459)</f>
        <v/>
      </c>
      <c r="T459" s="6"/>
      <c r="U459" s="6"/>
      <c r="V459" s="6"/>
      <c r="W459" s="6"/>
      <c r="X459" s="6"/>
      <c r="Y459" s="8" t="str">
        <f aca="false">IF(OR(D459="",B459="",C459=""),"",IF(N(C459)&lt;=N(B459),"Check dates",IF(T459="Cancelled","",IF(COUNTIFS($D$5:$D$1004,D459,$B$5:$B$1004,"&lt;"&amp;C459,$C$5:$C$1004,"&gt;"&amp;B459,$T$5:$T$1004,"&lt;&gt;Cancelled")&gt;1,"Double-booked",""))))</f>
        <v/>
      </c>
      <c r="Z459" s="42" t="str">
        <f aca="false">IF(AND(AA459=1,ISNUMBER(C459)),C459+ROW()/100000,"")</f>
        <v/>
      </c>
      <c r="AA459" s="43" t="n">
        <f aca="false">IF(AND(D459&lt;&gt;"",ISNUMBER(B459),ISNUMBER(C459),N(H459)&gt;0,T459&lt;&gt;"Cancelled",J459&lt;&gt;""),1,0)</f>
        <v>0</v>
      </c>
      <c r="AB459" s="44" t="n">
        <f aca="false">IF(AA459=1,J459/H459,0)</f>
        <v>0</v>
      </c>
      <c r="AC459" s="44" t="n">
        <f aca="false">IF(AA459=1,Q459/H459,0)</f>
        <v>0</v>
      </c>
      <c r="AD459" s="44" t="n">
        <f aca="false">IF(AA459=1,R459/H459,0)</f>
        <v>0</v>
      </c>
      <c r="AE459" s="44" t="n">
        <f aca="false">IF(AA459=1,O459/H459,0)</f>
        <v>0</v>
      </c>
      <c r="AF459" s="44" t="n">
        <f aca="false">IF(AA459=1,K459/H459,0)</f>
        <v>0</v>
      </c>
      <c r="AG459" s="45" t="str">
        <f aca="false">IF(AA459=1,D459&amp;"|"&amp;TEXT(B459,"0"),"")</f>
        <v/>
      </c>
      <c r="AH459" s="43" t="n">
        <f aca="false">IF(AA459=1,H459,0)</f>
        <v>0</v>
      </c>
    </row>
    <row r="460" customFormat="false" ht="15" hidden="false" customHeight="false" outlineLevel="0" collapsed="false">
      <c r="A460" s="23" t="str">
        <f aca="false">IF(B460="","","B-"&amp;TEXT(ROW()-4,"0000"))</f>
        <v/>
      </c>
      <c r="B460" s="38"/>
      <c r="C460" s="38"/>
      <c r="D460" s="6"/>
      <c r="E460" s="6"/>
      <c r="F460" s="6"/>
      <c r="G460" s="11"/>
      <c r="H460" s="24" t="str">
        <f aca="false">IF(AND(ISNUMBER(B460),ISNUMBER(C460)),MAX(0,C460-B460),"")</f>
        <v/>
      </c>
      <c r="I460" s="37"/>
      <c r="J460" s="46" t="str">
        <f aca="false">IF(OR(D460="",N(H460)=0),"",IFERROR(IF(I460&lt;&gt;"",H460*I460,ROUND(((H460-(INT((WEEKDAY(B460-6)+H460-1)/7)+INT((WEEKDAY(B460-7)+H460-1)/7)))*INDEX(Properties!$E$5:$E$24,MATCH(D460,Properties!$A$5:$A$24,0))+(INT((WEEKDAY(B460-6)+H460-1)/7)+INT((WEEKDAY(B460-7)+H460-1)/7))*INDEX(Properties!$F$5:$F$24,MATCH(D460,Properties!$A$5:$A$24,0)))*(1-IF(H460&gt;=28,Settings!$B$10,IF(H460&gt;=7,Settings!$B$9,0))),2)),0))</f>
        <v/>
      </c>
      <c r="K460" s="46" t="str">
        <f aca="false">IF(J460="","",IFERROR(N(INDEX(Properties!$G$5:$G$24,MATCH(D460,Properties!$A$5:$A$24,0))),0))</f>
        <v/>
      </c>
      <c r="L460" s="46" t="str">
        <f aca="false">IF(J460="","",IFERROR(MAX(0,N(G460)-INDEX(Properties!$I$5:$I$24,MATCH(D460,Properties!$A$5:$A$24,0)))*N(INDEX(Properties!$J$5:$J$24,MATCH(D460,Properties!$A$5:$A$24,0)))*H460,0))</f>
        <v/>
      </c>
      <c r="M460" s="37"/>
      <c r="N460" s="46" t="str">
        <f aca="false">IF(J460="","",J460+K460+L460+N(M460))</f>
        <v/>
      </c>
      <c r="O460" s="46" t="str">
        <f aca="false">IF(N460="","",IF(P460&lt;&gt;"",N460-P460,ROUND(N460*IFERROR(INDEX(Settings!$E$5:$E$12,MATCH(F460,Settings!$D$5:$D$12,0)),0),2)))</f>
        <v/>
      </c>
      <c r="P460" s="37"/>
      <c r="Q460" s="46" t="str">
        <f aca="false">IF(N460="","",IF(P460&lt;&gt;"",P460,N460-O460))</f>
        <v/>
      </c>
      <c r="R460" s="46" t="str">
        <f aca="false">IF(J460="","",IFERROR(N(INDEX(Properties!$H$5:$H$24,MATCH(D460,Properties!$A$5:$A$24,0))),0))</f>
        <v/>
      </c>
      <c r="S460" s="46" t="str">
        <f aca="false">IF(Q460="","",Q460-R460)</f>
        <v/>
      </c>
      <c r="T460" s="6"/>
      <c r="U460" s="6"/>
      <c r="V460" s="6"/>
      <c r="W460" s="6"/>
      <c r="X460" s="6"/>
      <c r="Y460" s="8" t="str">
        <f aca="false">IF(OR(D460="",B460="",C460=""),"",IF(N(C460)&lt;=N(B460),"Check dates",IF(T460="Cancelled","",IF(COUNTIFS($D$5:$D$1004,D460,$B$5:$B$1004,"&lt;"&amp;C460,$C$5:$C$1004,"&gt;"&amp;B460,$T$5:$T$1004,"&lt;&gt;Cancelled")&gt;1,"Double-booked",""))))</f>
        <v/>
      </c>
      <c r="Z460" s="42" t="str">
        <f aca="false">IF(AND(AA460=1,ISNUMBER(C460)),C460+ROW()/100000,"")</f>
        <v/>
      </c>
      <c r="AA460" s="43" t="n">
        <f aca="false">IF(AND(D460&lt;&gt;"",ISNUMBER(B460),ISNUMBER(C460),N(H460)&gt;0,T460&lt;&gt;"Cancelled",J460&lt;&gt;""),1,0)</f>
        <v>0</v>
      </c>
      <c r="AB460" s="44" t="n">
        <f aca="false">IF(AA460=1,J460/H460,0)</f>
        <v>0</v>
      </c>
      <c r="AC460" s="44" t="n">
        <f aca="false">IF(AA460=1,Q460/H460,0)</f>
        <v>0</v>
      </c>
      <c r="AD460" s="44" t="n">
        <f aca="false">IF(AA460=1,R460/H460,0)</f>
        <v>0</v>
      </c>
      <c r="AE460" s="44" t="n">
        <f aca="false">IF(AA460=1,O460/H460,0)</f>
        <v>0</v>
      </c>
      <c r="AF460" s="44" t="n">
        <f aca="false">IF(AA460=1,K460/H460,0)</f>
        <v>0</v>
      </c>
      <c r="AG460" s="45" t="str">
        <f aca="false">IF(AA460=1,D460&amp;"|"&amp;TEXT(B460,"0"),"")</f>
        <v/>
      </c>
      <c r="AH460" s="43" t="n">
        <f aca="false">IF(AA460=1,H460,0)</f>
        <v>0</v>
      </c>
    </row>
    <row r="461" customFormat="false" ht="15" hidden="false" customHeight="false" outlineLevel="0" collapsed="false">
      <c r="A461" s="8" t="str">
        <f aca="false">IF(B461="","","B-"&amp;TEXT(ROW()-4,"0000"))</f>
        <v/>
      </c>
      <c r="B461" s="38"/>
      <c r="C461" s="38"/>
      <c r="D461" s="6"/>
      <c r="E461" s="6"/>
      <c r="F461" s="6"/>
      <c r="G461" s="11"/>
      <c r="H461" s="18" t="str">
        <f aca="false">IF(AND(ISNUMBER(B461),ISNUMBER(C461)),MAX(0,C461-B461),"")</f>
        <v/>
      </c>
      <c r="I461" s="37"/>
      <c r="J461" s="41" t="str">
        <f aca="false">IF(OR(D461="",N(H461)=0),"",IFERROR(IF(I461&lt;&gt;"",H461*I461,ROUND(((H461-(INT((WEEKDAY(B461-6)+H461-1)/7)+INT((WEEKDAY(B461-7)+H461-1)/7)))*INDEX(Properties!$E$5:$E$24,MATCH(D461,Properties!$A$5:$A$24,0))+(INT((WEEKDAY(B461-6)+H461-1)/7)+INT((WEEKDAY(B461-7)+H461-1)/7))*INDEX(Properties!$F$5:$F$24,MATCH(D461,Properties!$A$5:$A$24,0)))*(1-IF(H461&gt;=28,Settings!$B$10,IF(H461&gt;=7,Settings!$B$9,0))),2)),0))</f>
        <v/>
      </c>
      <c r="K461" s="41" t="str">
        <f aca="false">IF(J461="","",IFERROR(N(INDEX(Properties!$G$5:$G$24,MATCH(D461,Properties!$A$5:$A$24,0))),0))</f>
        <v/>
      </c>
      <c r="L461" s="41" t="str">
        <f aca="false">IF(J461="","",IFERROR(MAX(0,N(G461)-INDEX(Properties!$I$5:$I$24,MATCH(D461,Properties!$A$5:$A$24,0)))*N(INDEX(Properties!$J$5:$J$24,MATCH(D461,Properties!$A$5:$A$24,0)))*H461,0))</f>
        <v/>
      </c>
      <c r="M461" s="37"/>
      <c r="N461" s="41" t="str">
        <f aca="false">IF(J461="","",J461+K461+L461+N(M461))</f>
        <v/>
      </c>
      <c r="O461" s="41" t="str">
        <f aca="false">IF(N461="","",IF(P461&lt;&gt;"",N461-P461,ROUND(N461*IFERROR(INDEX(Settings!$E$5:$E$12,MATCH(F461,Settings!$D$5:$D$12,0)),0),2)))</f>
        <v/>
      </c>
      <c r="P461" s="37"/>
      <c r="Q461" s="41" t="str">
        <f aca="false">IF(N461="","",IF(P461&lt;&gt;"",P461,N461-O461))</f>
        <v/>
      </c>
      <c r="R461" s="41" t="str">
        <f aca="false">IF(J461="","",IFERROR(N(INDEX(Properties!$H$5:$H$24,MATCH(D461,Properties!$A$5:$A$24,0))),0))</f>
        <v/>
      </c>
      <c r="S461" s="41" t="str">
        <f aca="false">IF(Q461="","",Q461-R461)</f>
        <v/>
      </c>
      <c r="T461" s="6"/>
      <c r="U461" s="6"/>
      <c r="V461" s="6"/>
      <c r="W461" s="6"/>
      <c r="X461" s="6"/>
      <c r="Y461" s="8" t="str">
        <f aca="false">IF(OR(D461="",B461="",C461=""),"",IF(N(C461)&lt;=N(B461),"Check dates",IF(T461="Cancelled","",IF(COUNTIFS($D$5:$D$1004,D461,$B$5:$B$1004,"&lt;"&amp;C461,$C$5:$C$1004,"&gt;"&amp;B461,$T$5:$T$1004,"&lt;&gt;Cancelled")&gt;1,"Double-booked",""))))</f>
        <v/>
      </c>
      <c r="Z461" s="42" t="str">
        <f aca="false">IF(AND(AA461=1,ISNUMBER(C461)),C461+ROW()/100000,"")</f>
        <v/>
      </c>
      <c r="AA461" s="43" t="n">
        <f aca="false">IF(AND(D461&lt;&gt;"",ISNUMBER(B461),ISNUMBER(C461),N(H461)&gt;0,T461&lt;&gt;"Cancelled",J461&lt;&gt;""),1,0)</f>
        <v>0</v>
      </c>
      <c r="AB461" s="44" t="n">
        <f aca="false">IF(AA461=1,J461/H461,0)</f>
        <v>0</v>
      </c>
      <c r="AC461" s="44" t="n">
        <f aca="false">IF(AA461=1,Q461/H461,0)</f>
        <v>0</v>
      </c>
      <c r="AD461" s="44" t="n">
        <f aca="false">IF(AA461=1,R461/H461,0)</f>
        <v>0</v>
      </c>
      <c r="AE461" s="44" t="n">
        <f aca="false">IF(AA461=1,O461/H461,0)</f>
        <v>0</v>
      </c>
      <c r="AF461" s="44" t="n">
        <f aca="false">IF(AA461=1,K461/H461,0)</f>
        <v>0</v>
      </c>
      <c r="AG461" s="45" t="str">
        <f aca="false">IF(AA461=1,D461&amp;"|"&amp;TEXT(B461,"0"),"")</f>
        <v/>
      </c>
      <c r="AH461" s="43" t="n">
        <f aca="false">IF(AA461=1,H461,0)</f>
        <v>0</v>
      </c>
    </row>
    <row r="462" customFormat="false" ht="15" hidden="false" customHeight="false" outlineLevel="0" collapsed="false">
      <c r="A462" s="23" t="str">
        <f aca="false">IF(B462="","","B-"&amp;TEXT(ROW()-4,"0000"))</f>
        <v/>
      </c>
      <c r="B462" s="38"/>
      <c r="C462" s="38"/>
      <c r="D462" s="6"/>
      <c r="E462" s="6"/>
      <c r="F462" s="6"/>
      <c r="G462" s="11"/>
      <c r="H462" s="24" t="str">
        <f aca="false">IF(AND(ISNUMBER(B462),ISNUMBER(C462)),MAX(0,C462-B462),"")</f>
        <v/>
      </c>
      <c r="I462" s="37"/>
      <c r="J462" s="46" t="str">
        <f aca="false">IF(OR(D462="",N(H462)=0),"",IFERROR(IF(I462&lt;&gt;"",H462*I462,ROUND(((H462-(INT((WEEKDAY(B462-6)+H462-1)/7)+INT((WEEKDAY(B462-7)+H462-1)/7)))*INDEX(Properties!$E$5:$E$24,MATCH(D462,Properties!$A$5:$A$24,0))+(INT((WEEKDAY(B462-6)+H462-1)/7)+INT((WEEKDAY(B462-7)+H462-1)/7))*INDEX(Properties!$F$5:$F$24,MATCH(D462,Properties!$A$5:$A$24,0)))*(1-IF(H462&gt;=28,Settings!$B$10,IF(H462&gt;=7,Settings!$B$9,0))),2)),0))</f>
        <v/>
      </c>
      <c r="K462" s="46" t="str">
        <f aca="false">IF(J462="","",IFERROR(N(INDEX(Properties!$G$5:$G$24,MATCH(D462,Properties!$A$5:$A$24,0))),0))</f>
        <v/>
      </c>
      <c r="L462" s="46" t="str">
        <f aca="false">IF(J462="","",IFERROR(MAX(0,N(G462)-INDEX(Properties!$I$5:$I$24,MATCH(D462,Properties!$A$5:$A$24,0)))*N(INDEX(Properties!$J$5:$J$24,MATCH(D462,Properties!$A$5:$A$24,0)))*H462,0))</f>
        <v/>
      </c>
      <c r="M462" s="37"/>
      <c r="N462" s="46" t="str">
        <f aca="false">IF(J462="","",J462+K462+L462+N(M462))</f>
        <v/>
      </c>
      <c r="O462" s="46" t="str">
        <f aca="false">IF(N462="","",IF(P462&lt;&gt;"",N462-P462,ROUND(N462*IFERROR(INDEX(Settings!$E$5:$E$12,MATCH(F462,Settings!$D$5:$D$12,0)),0),2)))</f>
        <v/>
      </c>
      <c r="P462" s="37"/>
      <c r="Q462" s="46" t="str">
        <f aca="false">IF(N462="","",IF(P462&lt;&gt;"",P462,N462-O462))</f>
        <v/>
      </c>
      <c r="R462" s="46" t="str">
        <f aca="false">IF(J462="","",IFERROR(N(INDEX(Properties!$H$5:$H$24,MATCH(D462,Properties!$A$5:$A$24,0))),0))</f>
        <v/>
      </c>
      <c r="S462" s="46" t="str">
        <f aca="false">IF(Q462="","",Q462-R462)</f>
        <v/>
      </c>
      <c r="T462" s="6"/>
      <c r="U462" s="6"/>
      <c r="V462" s="6"/>
      <c r="W462" s="6"/>
      <c r="X462" s="6"/>
      <c r="Y462" s="8" t="str">
        <f aca="false">IF(OR(D462="",B462="",C462=""),"",IF(N(C462)&lt;=N(B462),"Check dates",IF(T462="Cancelled","",IF(COUNTIFS($D$5:$D$1004,D462,$B$5:$B$1004,"&lt;"&amp;C462,$C$5:$C$1004,"&gt;"&amp;B462,$T$5:$T$1004,"&lt;&gt;Cancelled")&gt;1,"Double-booked",""))))</f>
        <v/>
      </c>
      <c r="Z462" s="42" t="str">
        <f aca="false">IF(AND(AA462=1,ISNUMBER(C462)),C462+ROW()/100000,"")</f>
        <v/>
      </c>
      <c r="AA462" s="43" t="n">
        <f aca="false">IF(AND(D462&lt;&gt;"",ISNUMBER(B462),ISNUMBER(C462),N(H462)&gt;0,T462&lt;&gt;"Cancelled",J462&lt;&gt;""),1,0)</f>
        <v>0</v>
      </c>
      <c r="AB462" s="44" t="n">
        <f aca="false">IF(AA462=1,J462/H462,0)</f>
        <v>0</v>
      </c>
      <c r="AC462" s="44" t="n">
        <f aca="false">IF(AA462=1,Q462/H462,0)</f>
        <v>0</v>
      </c>
      <c r="AD462" s="44" t="n">
        <f aca="false">IF(AA462=1,R462/H462,0)</f>
        <v>0</v>
      </c>
      <c r="AE462" s="44" t="n">
        <f aca="false">IF(AA462=1,O462/H462,0)</f>
        <v>0</v>
      </c>
      <c r="AF462" s="44" t="n">
        <f aca="false">IF(AA462=1,K462/H462,0)</f>
        <v>0</v>
      </c>
      <c r="AG462" s="45" t="str">
        <f aca="false">IF(AA462=1,D462&amp;"|"&amp;TEXT(B462,"0"),"")</f>
        <v/>
      </c>
      <c r="AH462" s="43" t="n">
        <f aca="false">IF(AA462=1,H462,0)</f>
        <v>0</v>
      </c>
    </row>
    <row r="463" customFormat="false" ht="15" hidden="false" customHeight="false" outlineLevel="0" collapsed="false">
      <c r="A463" s="8" t="str">
        <f aca="false">IF(B463="","","B-"&amp;TEXT(ROW()-4,"0000"))</f>
        <v/>
      </c>
      <c r="B463" s="38"/>
      <c r="C463" s="38"/>
      <c r="D463" s="6"/>
      <c r="E463" s="6"/>
      <c r="F463" s="6"/>
      <c r="G463" s="11"/>
      <c r="H463" s="18" t="str">
        <f aca="false">IF(AND(ISNUMBER(B463),ISNUMBER(C463)),MAX(0,C463-B463),"")</f>
        <v/>
      </c>
      <c r="I463" s="37"/>
      <c r="J463" s="41" t="str">
        <f aca="false">IF(OR(D463="",N(H463)=0),"",IFERROR(IF(I463&lt;&gt;"",H463*I463,ROUND(((H463-(INT((WEEKDAY(B463-6)+H463-1)/7)+INT((WEEKDAY(B463-7)+H463-1)/7)))*INDEX(Properties!$E$5:$E$24,MATCH(D463,Properties!$A$5:$A$24,0))+(INT((WEEKDAY(B463-6)+H463-1)/7)+INT((WEEKDAY(B463-7)+H463-1)/7))*INDEX(Properties!$F$5:$F$24,MATCH(D463,Properties!$A$5:$A$24,0)))*(1-IF(H463&gt;=28,Settings!$B$10,IF(H463&gt;=7,Settings!$B$9,0))),2)),0))</f>
        <v/>
      </c>
      <c r="K463" s="41" t="str">
        <f aca="false">IF(J463="","",IFERROR(N(INDEX(Properties!$G$5:$G$24,MATCH(D463,Properties!$A$5:$A$24,0))),0))</f>
        <v/>
      </c>
      <c r="L463" s="41" t="str">
        <f aca="false">IF(J463="","",IFERROR(MAX(0,N(G463)-INDEX(Properties!$I$5:$I$24,MATCH(D463,Properties!$A$5:$A$24,0)))*N(INDEX(Properties!$J$5:$J$24,MATCH(D463,Properties!$A$5:$A$24,0)))*H463,0))</f>
        <v/>
      </c>
      <c r="M463" s="37"/>
      <c r="N463" s="41" t="str">
        <f aca="false">IF(J463="","",J463+K463+L463+N(M463))</f>
        <v/>
      </c>
      <c r="O463" s="41" t="str">
        <f aca="false">IF(N463="","",IF(P463&lt;&gt;"",N463-P463,ROUND(N463*IFERROR(INDEX(Settings!$E$5:$E$12,MATCH(F463,Settings!$D$5:$D$12,0)),0),2)))</f>
        <v/>
      </c>
      <c r="P463" s="37"/>
      <c r="Q463" s="41" t="str">
        <f aca="false">IF(N463="","",IF(P463&lt;&gt;"",P463,N463-O463))</f>
        <v/>
      </c>
      <c r="R463" s="41" t="str">
        <f aca="false">IF(J463="","",IFERROR(N(INDEX(Properties!$H$5:$H$24,MATCH(D463,Properties!$A$5:$A$24,0))),0))</f>
        <v/>
      </c>
      <c r="S463" s="41" t="str">
        <f aca="false">IF(Q463="","",Q463-R463)</f>
        <v/>
      </c>
      <c r="T463" s="6"/>
      <c r="U463" s="6"/>
      <c r="V463" s="6"/>
      <c r="W463" s="6"/>
      <c r="X463" s="6"/>
      <c r="Y463" s="8" t="str">
        <f aca="false">IF(OR(D463="",B463="",C463=""),"",IF(N(C463)&lt;=N(B463),"Check dates",IF(T463="Cancelled","",IF(COUNTIFS($D$5:$D$1004,D463,$B$5:$B$1004,"&lt;"&amp;C463,$C$5:$C$1004,"&gt;"&amp;B463,$T$5:$T$1004,"&lt;&gt;Cancelled")&gt;1,"Double-booked",""))))</f>
        <v/>
      </c>
      <c r="Z463" s="42" t="str">
        <f aca="false">IF(AND(AA463=1,ISNUMBER(C463)),C463+ROW()/100000,"")</f>
        <v/>
      </c>
      <c r="AA463" s="43" t="n">
        <f aca="false">IF(AND(D463&lt;&gt;"",ISNUMBER(B463),ISNUMBER(C463),N(H463)&gt;0,T463&lt;&gt;"Cancelled",J463&lt;&gt;""),1,0)</f>
        <v>0</v>
      </c>
      <c r="AB463" s="44" t="n">
        <f aca="false">IF(AA463=1,J463/H463,0)</f>
        <v>0</v>
      </c>
      <c r="AC463" s="44" t="n">
        <f aca="false">IF(AA463=1,Q463/H463,0)</f>
        <v>0</v>
      </c>
      <c r="AD463" s="44" t="n">
        <f aca="false">IF(AA463=1,R463/H463,0)</f>
        <v>0</v>
      </c>
      <c r="AE463" s="44" t="n">
        <f aca="false">IF(AA463=1,O463/H463,0)</f>
        <v>0</v>
      </c>
      <c r="AF463" s="44" t="n">
        <f aca="false">IF(AA463=1,K463/H463,0)</f>
        <v>0</v>
      </c>
      <c r="AG463" s="45" t="str">
        <f aca="false">IF(AA463=1,D463&amp;"|"&amp;TEXT(B463,"0"),"")</f>
        <v/>
      </c>
      <c r="AH463" s="43" t="n">
        <f aca="false">IF(AA463=1,H463,0)</f>
        <v>0</v>
      </c>
    </row>
    <row r="464" customFormat="false" ht="15" hidden="false" customHeight="false" outlineLevel="0" collapsed="false">
      <c r="A464" s="23" t="str">
        <f aca="false">IF(B464="","","B-"&amp;TEXT(ROW()-4,"0000"))</f>
        <v/>
      </c>
      <c r="B464" s="38"/>
      <c r="C464" s="38"/>
      <c r="D464" s="6"/>
      <c r="E464" s="6"/>
      <c r="F464" s="6"/>
      <c r="G464" s="11"/>
      <c r="H464" s="24" t="str">
        <f aca="false">IF(AND(ISNUMBER(B464),ISNUMBER(C464)),MAX(0,C464-B464),"")</f>
        <v/>
      </c>
      <c r="I464" s="37"/>
      <c r="J464" s="46" t="str">
        <f aca="false">IF(OR(D464="",N(H464)=0),"",IFERROR(IF(I464&lt;&gt;"",H464*I464,ROUND(((H464-(INT((WEEKDAY(B464-6)+H464-1)/7)+INT((WEEKDAY(B464-7)+H464-1)/7)))*INDEX(Properties!$E$5:$E$24,MATCH(D464,Properties!$A$5:$A$24,0))+(INT((WEEKDAY(B464-6)+H464-1)/7)+INT((WEEKDAY(B464-7)+H464-1)/7))*INDEX(Properties!$F$5:$F$24,MATCH(D464,Properties!$A$5:$A$24,0)))*(1-IF(H464&gt;=28,Settings!$B$10,IF(H464&gt;=7,Settings!$B$9,0))),2)),0))</f>
        <v/>
      </c>
      <c r="K464" s="46" t="str">
        <f aca="false">IF(J464="","",IFERROR(N(INDEX(Properties!$G$5:$G$24,MATCH(D464,Properties!$A$5:$A$24,0))),0))</f>
        <v/>
      </c>
      <c r="L464" s="46" t="str">
        <f aca="false">IF(J464="","",IFERROR(MAX(0,N(G464)-INDEX(Properties!$I$5:$I$24,MATCH(D464,Properties!$A$5:$A$24,0)))*N(INDEX(Properties!$J$5:$J$24,MATCH(D464,Properties!$A$5:$A$24,0)))*H464,0))</f>
        <v/>
      </c>
      <c r="M464" s="37"/>
      <c r="N464" s="46" t="str">
        <f aca="false">IF(J464="","",J464+K464+L464+N(M464))</f>
        <v/>
      </c>
      <c r="O464" s="46" t="str">
        <f aca="false">IF(N464="","",IF(P464&lt;&gt;"",N464-P464,ROUND(N464*IFERROR(INDEX(Settings!$E$5:$E$12,MATCH(F464,Settings!$D$5:$D$12,0)),0),2)))</f>
        <v/>
      </c>
      <c r="P464" s="37"/>
      <c r="Q464" s="46" t="str">
        <f aca="false">IF(N464="","",IF(P464&lt;&gt;"",P464,N464-O464))</f>
        <v/>
      </c>
      <c r="R464" s="46" t="str">
        <f aca="false">IF(J464="","",IFERROR(N(INDEX(Properties!$H$5:$H$24,MATCH(D464,Properties!$A$5:$A$24,0))),0))</f>
        <v/>
      </c>
      <c r="S464" s="46" t="str">
        <f aca="false">IF(Q464="","",Q464-R464)</f>
        <v/>
      </c>
      <c r="T464" s="6"/>
      <c r="U464" s="6"/>
      <c r="V464" s="6"/>
      <c r="W464" s="6"/>
      <c r="X464" s="6"/>
      <c r="Y464" s="8" t="str">
        <f aca="false">IF(OR(D464="",B464="",C464=""),"",IF(N(C464)&lt;=N(B464),"Check dates",IF(T464="Cancelled","",IF(COUNTIFS($D$5:$D$1004,D464,$B$5:$B$1004,"&lt;"&amp;C464,$C$5:$C$1004,"&gt;"&amp;B464,$T$5:$T$1004,"&lt;&gt;Cancelled")&gt;1,"Double-booked",""))))</f>
        <v/>
      </c>
      <c r="Z464" s="42" t="str">
        <f aca="false">IF(AND(AA464=1,ISNUMBER(C464)),C464+ROW()/100000,"")</f>
        <v/>
      </c>
      <c r="AA464" s="43" t="n">
        <f aca="false">IF(AND(D464&lt;&gt;"",ISNUMBER(B464),ISNUMBER(C464),N(H464)&gt;0,T464&lt;&gt;"Cancelled",J464&lt;&gt;""),1,0)</f>
        <v>0</v>
      </c>
      <c r="AB464" s="44" t="n">
        <f aca="false">IF(AA464=1,J464/H464,0)</f>
        <v>0</v>
      </c>
      <c r="AC464" s="44" t="n">
        <f aca="false">IF(AA464=1,Q464/H464,0)</f>
        <v>0</v>
      </c>
      <c r="AD464" s="44" t="n">
        <f aca="false">IF(AA464=1,R464/H464,0)</f>
        <v>0</v>
      </c>
      <c r="AE464" s="44" t="n">
        <f aca="false">IF(AA464=1,O464/H464,0)</f>
        <v>0</v>
      </c>
      <c r="AF464" s="44" t="n">
        <f aca="false">IF(AA464=1,K464/H464,0)</f>
        <v>0</v>
      </c>
      <c r="AG464" s="45" t="str">
        <f aca="false">IF(AA464=1,D464&amp;"|"&amp;TEXT(B464,"0"),"")</f>
        <v/>
      </c>
      <c r="AH464" s="43" t="n">
        <f aca="false">IF(AA464=1,H464,0)</f>
        <v>0</v>
      </c>
    </row>
    <row r="465" customFormat="false" ht="15" hidden="false" customHeight="false" outlineLevel="0" collapsed="false">
      <c r="A465" s="8" t="str">
        <f aca="false">IF(B465="","","B-"&amp;TEXT(ROW()-4,"0000"))</f>
        <v/>
      </c>
      <c r="B465" s="38"/>
      <c r="C465" s="38"/>
      <c r="D465" s="6"/>
      <c r="E465" s="6"/>
      <c r="F465" s="6"/>
      <c r="G465" s="11"/>
      <c r="H465" s="18" t="str">
        <f aca="false">IF(AND(ISNUMBER(B465),ISNUMBER(C465)),MAX(0,C465-B465),"")</f>
        <v/>
      </c>
      <c r="I465" s="37"/>
      <c r="J465" s="41" t="str">
        <f aca="false">IF(OR(D465="",N(H465)=0),"",IFERROR(IF(I465&lt;&gt;"",H465*I465,ROUND(((H465-(INT((WEEKDAY(B465-6)+H465-1)/7)+INT((WEEKDAY(B465-7)+H465-1)/7)))*INDEX(Properties!$E$5:$E$24,MATCH(D465,Properties!$A$5:$A$24,0))+(INT((WEEKDAY(B465-6)+H465-1)/7)+INT((WEEKDAY(B465-7)+H465-1)/7))*INDEX(Properties!$F$5:$F$24,MATCH(D465,Properties!$A$5:$A$24,0)))*(1-IF(H465&gt;=28,Settings!$B$10,IF(H465&gt;=7,Settings!$B$9,0))),2)),0))</f>
        <v/>
      </c>
      <c r="K465" s="41" t="str">
        <f aca="false">IF(J465="","",IFERROR(N(INDEX(Properties!$G$5:$G$24,MATCH(D465,Properties!$A$5:$A$24,0))),0))</f>
        <v/>
      </c>
      <c r="L465" s="41" t="str">
        <f aca="false">IF(J465="","",IFERROR(MAX(0,N(G465)-INDEX(Properties!$I$5:$I$24,MATCH(D465,Properties!$A$5:$A$24,0)))*N(INDEX(Properties!$J$5:$J$24,MATCH(D465,Properties!$A$5:$A$24,0)))*H465,0))</f>
        <v/>
      </c>
      <c r="M465" s="37"/>
      <c r="N465" s="41" t="str">
        <f aca="false">IF(J465="","",J465+K465+L465+N(M465))</f>
        <v/>
      </c>
      <c r="O465" s="41" t="str">
        <f aca="false">IF(N465="","",IF(P465&lt;&gt;"",N465-P465,ROUND(N465*IFERROR(INDEX(Settings!$E$5:$E$12,MATCH(F465,Settings!$D$5:$D$12,0)),0),2)))</f>
        <v/>
      </c>
      <c r="P465" s="37"/>
      <c r="Q465" s="41" t="str">
        <f aca="false">IF(N465="","",IF(P465&lt;&gt;"",P465,N465-O465))</f>
        <v/>
      </c>
      <c r="R465" s="41" t="str">
        <f aca="false">IF(J465="","",IFERROR(N(INDEX(Properties!$H$5:$H$24,MATCH(D465,Properties!$A$5:$A$24,0))),0))</f>
        <v/>
      </c>
      <c r="S465" s="41" t="str">
        <f aca="false">IF(Q465="","",Q465-R465)</f>
        <v/>
      </c>
      <c r="T465" s="6"/>
      <c r="U465" s="6"/>
      <c r="V465" s="6"/>
      <c r="W465" s="6"/>
      <c r="X465" s="6"/>
      <c r="Y465" s="8" t="str">
        <f aca="false">IF(OR(D465="",B465="",C465=""),"",IF(N(C465)&lt;=N(B465),"Check dates",IF(T465="Cancelled","",IF(COUNTIFS($D$5:$D$1004,D465,$B$5:$B$1004,"&lt;"&amp;C465,$C$5:$C$1004,"&gt;"&amp;B465,$T$5:$T$1004,"&lt;&gt;Cancelled")&gt;1,"Double-booked",""))))</f>
        <v/>
      </c>
      <c r="Z465" s="42" t="str">
        <f aca="false">IF(AND(AA465=1,ISNUMBER(C465)),C465+ROW()/100000,"")</f>
        <v/>
      </c>
      <c r="AA465" s="43" t="n">
        <f aca="false">IF(AND(D465&lt;&gt;"",ISNUMBER(B465),ISNUMBER(C465),N(H465)&gt;0,T465&lt;&gt;"Cancelled",J465&lt;&gt;""),1,0)</f>
        <v>0</v>
      </c>
      <c r="AB465" s="44" t="n">
        <f aca="false">IF(AA465=1,J465/H465,0)</f>
        <v>0</v>
      </c>
      <c r="AC465" s="44" t="n">
        <f aca="false">IF(AA465=1,Q465/H465,0)</f>
        <v>0</v>
      </c>
      <c r="AD465" s="44" t="n">
        <f aca="false">IF(AA465=1,R465/H465,0)</f>
        <v>0</v>
      </c>
      <c r="AE465" s="44" t="n">
        <f aca="false">IF(AA465=1,O465/H465,0)</f>
        <v>0</v>
      </c>
      <c r="AF465" s="44" t="n">
        <f aca="false">IF(AA465=1,K465/H465,0)</f>
        <v>0</v>
      </c>
      <c r="AG465" s="45" t="str">
        <f aca="false">IF(AA465=1,D465&amp;"|"&amp;TEXT(B465,"0"),"")</f>
        <v/>
      </c>
      <c r="AH465" s="43" t="n">
        <f aca="false">IF(AA465=1,H465,0)</f>
        <v>0</v>
      </c>
    </row>
    <row r="466" customFormat="false" ht="15" hidden="false" customHeight="false" outlineLevel="0" collapsed="false">
      <c r="A466" s="23" t="str">
        <f aca="false">IF(B466="","","B-"&amp;TEXT(ROW()-4,"0000"))</f>
        <v/>
      </c>
      <c r="B466" s="38"/>
      <c r="C466" s="38"/>
      <c r="D466" s="6"/>
      <c r="E466" s="6"/>
      <c r="F466" s="6"/>
      <c r="G466" s="11"/>
      <c r="H466" s="24" t="str">
        <f aca="false">IF(AND(ISNUMBER(B466),ISNUMBER(C466)),MAX(0,C466-B466),"")</f>
        <v/>
      </c>
      <c r="I466" s="37"/>
      <c r="J466" s="46" t="str">
        <f aca="false">IF(OR(D466="",N(H466)=0),"",IFERROR(IF(I466&lt;&gt;"",H466*I466,ROUND(((H466-(INT((WEEKDAY(B466-6)+H466-1)/7)+INT((WEEKDAY(B466-7)+H466-1)/7)))*INDEX(Properties!$E$5:$E$24,MATCH(D466,Properties!$A$5:$A$24,0))+(INT((WEEKDAY(B466-6)+H466-1)/7)+INT((WEEKDAY(B466-7)+H466-1)/7))*INDEX(Properties!$F$5:$F$24,MATCH(D466,Properties!$A$5:$A$24,0)))*(1-IF(H466&gt;=28,Settings!$B$10,IF(H466&gt;=7,Settings!$B$9,0))),2)),0))</f>
        <v/>
      </c>
      <c r="K466" s="46" t="str">
        <f aca="false">IF(J466="","",IFERROR(N(INDEX(Properties!$G$5:$G$24,MATCH(D466,Properties!$A$5:$A$24,0))),0))</f>
        <v/>
      </c>
      <c r="L466" s="46" t="str">
        <f aca="false">IF(J466="","",IFERROR(MAX(0,N(G466)-INDEX(Properties!$I$5:$I$24,MATCH(D466,Properties!$A$5:$A$24,0)))*N(INDEX(Properties!$J$5:$J$24,MATCH(D466,Properties!$A$5:$A$24,0)))*H466,0))</f>
        <v/>
      </c>
      <c r="M466" s="37"/>
      <c r="N466" s="46" t="str">
        <f aca="false">IF(J466="","",J466+K466+L466+N(M466))</f>
        <v/>
      </c>
      <c r="O466" s="46" t="str">
        <f aca="false">IF(N466="","",IF(P466&lt;&gt;"",N466-P466,ROUND(N466*IFERROR(INDEX(Settings!$E$5:$E$12,MATCH(F466,Settings!$D$5:$D$12,0)),0),2)))</f>
        <v/>
      </c>
      <c r="P466" s="37"/>
      <c r="Q466" s="46" t="str">
        <f aca="false">IF(N466="","",IF(P466&lt;&gt;"",P466,N466-O466))</f>
        <v/>
      </c>
      <c r="R466" s="46" t="str">
        <f aca="false">IF(J466="","",IFERROR(N(INDEX(Properties!$H$5:$H$24,MATCH(D466,Properties!$A$5:$A$24,0))),0))</f>
        <v/>
      </c>
      <c r="S466" s="46" t="str">
        <f aca="false">IF(Q466="","",Q466-R466)</f>
        <v/>
      </c>
      <c r="T466" s="6"/>
      <c r="U466" s="6"/>
      <c r="V466" s="6"/>
      <c r="W466" s="6"/>
      <c r="X466" s="6"/>
      <c r="Y466" s="8" t="str">
        <f aca="false">IF(OR(D466="",B466="",C466=""),"",IF(N(C466)&lt;=N(B466),"Check dates",IF(T466="Cancelled","",IF(COUNTIFS($D$5:$D$1004,D466,$B$5:$B$1004,"&lt;"&amp;C466,$C$5:$C$1004,"&gt;"&amp;B466,$T$5:$T$1004,"&lt;&gt;Cancelled")&gt;1,"Double-booked",""))))</f>
        <v/>
      </c>
      <c r="Z466" s="42" t="str">
        <f aca="false">IF(AND(AA466=1,ISNUMBER(C466)),C466+ROW()/100000,"")</f>
        <v/>
      </c>
      <c r="AA466" s="43" t="n">
        <f aca="false">IF(AND(D466&lt;&gt;"",ISNUMBER(B466),ISNUMBER(C466),N(H466)&gt;0,T466&lt;&gt;"Cancelled",J466&lt;&gt;""),1,0)</f>
        <v>0</v>
      </c>
      <c r="AB466" s="44" t="n">
        <f aca="false">IF(AA466=1,J466/H466,0)</f>
        <v>0</v>
      </c>
      <c r="AC466" s="44" t="n">
        <f aca="false">IF(AA466=1,Q466/H466,0)</f>
        <v>0</v>
      </c>
      <c r="AD466" s="44" t="n">
        <f aca="false">IF(AA466=1,R466/H466,0)</f>
        <v>0</v>
      </c>
      <c r="AE466" s="44" t="n">
        <f aca="false">IF(AA466=1,O466/H466,0)</f>
        <v>0</v>
      </c>
      <c r="AF466" s="44" t="n">
        <f aca="false">IF(AA466=1,K466/H466,0)</f>
        <v>0</v>
      </c>
      <c r="AG466" s="45" t="str">
        <f aca="false">IF(AA466=1,D466&amp;"|"&amp;TEXT(B466,"0"),"")</f>
        <v/>
      </c>
      <c r="AH466" s="43" t="n">
        <f aca="false">IF(AA466=1,H466,0)</f>
        <v>0</v>
      </c>
    </row>
    <row r="467" customFormat="false" ht="15" hidden="false" customHeight="false" outlineLevel="0" collapsed="false">
      <c r="A467" s="8" t="str">
        <f aca="false">IF(B467="","","B-"&amp;TEXT(ROW()-4,"0000"))</f>
        <v/>
      </c>
      <c r="B467" s="38"/>
      <c r="C467" s="38"/>
      <c r="D467" s="6"/>
      <c r="E467" s="6"/>
      <c r="F467" s="6"/>
      <c r="G467" s="11"/>
      <c r="H467" s="18" t="str">
        <f aca="false">IF(AND(ISNUMBER(B467),ISNUMBER(C467)),MAX(0,C467-B467),"")</f>
        <v/>
      </c>
      <c r="I467" s="37"/>
      <c r="J467" s="41" t="str">
        <f aca="false">IF(OR(D467="",N(H467)=0),"",IFERROR(IF(I467&lt;&gt;"",H467*I467,ROUND(((H467-(INT((WEEKDAY(B467-6)+H467-1)/7)+INT((WEEKDAY(B467-7)+H467-1)/7)))*INDEX(Properties!$E$5:$E$24,MATCH(D467,Properties!$A$5:$A$24,0))+(INT((WEEKDAY(B467-6)+H467-1)/7)+INT((WEEKDAY(B467-7)+H467-1)/7))*INDEX(Properties!$F$5:$F$24,MATCH(D467,Properties!$A$5:$A$24,0)))*(1-IF(H467&gt;=28,Settings!$B$10,IF(H467&gt;=7,Settings!$B$9,0))),2)),0))</f>
        <v/>
      </c>
      <c r="K467" s="41" t="str">
        <f aca="false">IF(J467="","",IFERROR(N(INDEX(Properties!$G$5:$G$24,MATCH(D467,Properties!$A$5:$A$24,0))),0))</f>
        <v/>
      </c>
      <c r="L467" s="41" t="str">
        <f aca="false">IF(J467="","",IFERROR(MAX(0,N(G467)-INDEX(Properties!$I$5:$I$24,MATCH(D467,Properties!$A$5:$A$24,0)))*N(INDEX(Properties!$J$5:$J$24,MATCH(D467,Properties!$A$5:$A$24,0)))*H467,0))</f>
        <v/>
      </c>
      <c r="M467" s="37"/>
      <c r="N467" s="41" t="str">
        <f aca="false">IF(J467="","",J467+K467+L467+N(M467))</f>
        <v/>
      </c>
      <c r="O467" s="41" t="str">
        <f aca="false">IF(N467="","",IF(P467&lt;&gt;"",N467-P467,ROUND(N467*IFERROR(INDEX(Settings!$E$5:$E$12,MATCH(F467,Settings!$D$5:$D$12,0)),0),2)))</f>
        <v/>
      </c>
      <c r="P467" s="37"/>
      <c r="Q467" s="41" t="str">
        <f aca="false">IF(N467="","",IF(P467&lt;&gt;"",P467,N467-O467))</f>
        <v/>
      </c>
      <c r="R467" s="41" t="str">
        <f aca="false">IF(J467="","",IFERROR(N(INDEX(Properties!$H$5:$H$24,MATCH(D467,Properties!$A$5:$A$24,0))),0))</f>
        <v/>
      </c>
      <c r="S467" s="41" t="str">
        <f aca="false">IF(Q467="","",Q467-R467)</f>
        <v/>
      </c>
      <c r="T467" s="6"/>
      <c r="U467" s="6"/>
      <c r="V467" s="6"/>
      <c r="W467" s="6"/>
      <c r="X467" s="6"/>
      <c r="Y467" s="8" t="str">
        <f aca="false">IF(OR(D467="",B467="",C467=""),"",IF(N(C467)&lt;=N(B467),"Check dates",IF(T467="Cancelled","",IF(COUNTIFS($D$5:$D$1004,D467,$B$5:$B$1004,"&lt;"&amp;C467,$C$5:$C$1004,"&gt;"&amp;B467,$T$5:$T$1004,"&lt;&gt;Cancelled")&gt;1,"Double-booked",""))))</f>
        <v/>
      </c>
      <c r="Z467" s="42" t="str">
        <f aca="false">IF(AND(AA467=1,ISNUMBER(C467)),C467+ROW()/100000,"")</f>
        <v/>
      </c>
      <c r="AA467" s="43" t="n">
        <f aca="false">IF(AND(D467&lt;&gt;"",ISNUMBER(B467),ISNUMBER(C467),N(H467)&gt;0,T467&lt;&gt;"Cancelled",J467&lt;&gt;""),1,0)</f>
        <v>0</v>
      </c>
      <c r="AB467" s="44" t="n">
        <f aca="false">IF(AA467=1,J467/H467,0)</f>
        <v>0</v>
      </c>
      <c r="AC467" s="44" t="n">
        <f aca="false">IF(AA467=1,Q467/H467,0)</f>
        <v>0</v>
      </c>
      <c r="AD467" s="44" t="n">
        <f aca="false">IF(AA467=1,R467/H467,0)</f>
        <v>0</v>
      </c>
      <c r="AE467" s="44" t="n">
        <f aca="false">IF(AA467=1,O467/H467,0)</f>
        <v>0</v>
      </c>
      <c r="AF467" s="44" t="n">
        <f aca="false">IF(AA467=1,K467/H467,0)</f>
        <v>0</v>
      </c>
      <c r="AG467" s="45" t="str">
        <f aca="false">IF(AA467=1,D467&amp;"|"&amp;TEXT(B467,"0"),"")</f>
        <v/>
      </c>
      <c r="AH467" s="43" t="n">
        <f aca="false">IF(AA467=1,H467,0)</f>
        <v>0</v>
      </c>
    </row>
    <row r="468" customFormat="false" ht="15" hidden="false" customHeight="false" outlineLevel="0" collapsed="false">
      <c r="A468" s="23" t="str">
        <f aca="false">IF(B468="","","B-"&amp;TEXT(ROW()-4,"0000"))</f>
        <v/>
      </c>
      <c r="B468" s="38"/>
      <c r="C468" s="38"/>
      <c r="D468" s="6"/>
      <c r="E468" s="6"/>
      <c r="F468" s="6"/>
      <c r="G468" s="11"/>
      <c r="H468" s="24" t="str">
        <f aca="false">IF(AND(ISNUMBER(B468),ISNUMBER(C468)),MAX(0,C468-B468),"")</f>
        <v/>
      </c>
      <c r="I468" s="37"/>
      <c r="J468" s="46" t="str">
        <f aca="false">IF(OR(D468="",N(H468)=0),"",IFERROR(IF(I468&lt;&gt;"",H468*I468,ROUND(((H468-(INT((WEEKDAY(B468-6)+H468-1)/7)+INT((WEEKDAY(B468-7)+H468-1)/7)))*INDEX(Properties!$E$5:$E$24,MATCH(D468,Properties!$A$5:$A$24,0))+(INT((WEEKDAY(B468-6)+H468-1)/7)+INT((WEEKDAY(B468-7)+H468-1)/7))*INDEX(Properties!$F$5:$F$24,MATCH(D468,Properties!$A$5:$A$24,0)))*(1-IF(H468&gt;=28,Settings!$B$10,IF(H468&gt;=7,Settings!$B$9,0))),2)),0))</f>
        <v/>
      </c>
      <c r="K468" s="46" t="str">
        <f aca="false">IF(J468="","",IFERROR(N(INDEX(Properties!$G$5:$G$24,MATCH(D468,Properties!$A$5:$A$24,0))),0))</f>
        <v/>
      </c>
      <c r="L468" s="46" t="str">
        <f aca="false">IF(J468="","",IFERROR(MAX(0,N(G468)-INDEX(Properties!$I$5:$I$24,MATCH(D468,Properties!$A$5:$A$24,0)))*N(INDEX(Properties!$J$5:$J$24,MATCH(D468,Properties!$A$5:$A$24,0)))*H468,0))</f>
        <v/>
      </c>
      <c r="M468" s="37"/>
      <c r="N468" s="46" t="str">
        <f aca="false">IF(J468="","",J468+K468+L468+N(M468))</f>
        <v/>
      </c>
      <c r="O468" s="46" t="str">
        <f aca="false">IF(N468="","",IF(P468&lt;&gt;"",N468-P468,ROUND(N468*IFERROR(INDEX(Settings!$E$5:$E$12,MATCH(F468,Settings!$D$5:$D$12,0)),0),2)))</f>
        <v/>
      </c>
      <c r="P468" s="37"/>
      <c r="Q468" s="46" t="str">
        <f aca="false">IF(N468="","",IF(P468&lt;&gt;"",P468,N468-O468))</f>
        <v/>
      </c>
      <c r="R468" s="46" t="str">
        <f aca="false">IF(J468="","",IFERROR(N(INDEX(Properties!$H$5:$H$24,MATCH(D468,Properties!$A$5:$A$24,0))),0))</f>
        <v/>
      </c>
      <c r="S468" s="46" t="str">
        <f aca="false">IF(Q468="","",Q468-R468)</f>
        <v/>
      </c>
      <c r="T468" s="6"/>
      <c r="U468" s="6"/>
      <c r="V468" s="6"/>
      <c r="W468" s="6"/>
      <c r="X468" s="6"/>
      <c r="Y468" s="8" t="str">
        <f aca="false">IF(OR(D468="",B468="",C468=""),"",IF(N(C468)&lt;=N(B468),"Check dates",IF(T468="Cancelled","",IF(COUNTIFS($D$5:$D$1004,D468,$B$5:$B$1004,"&lt;"&amp;C468,$C$5:$C$1004,"&gt;"&amp;B468,$T$5:$T$1004,"&lt;&gt;Cancelled")&gt;1,"Double-booked",""))))</f>
        <v/>
      </c>
      <c r="Z468" s="42" t="str">
        <f aca="false">IF(AND(AA468=1,ISNUMBER(C468)),C468+ROW()/100000,"")</f>
        <v/>
      </c>
      <c r="AA468" s="43" t="n">
        <f aca="false">IF(AND(D468&lt;&gt;"",ISNUMBER(B468),ISNUMBER(C468),N(H468)&gt;0,T468&lt;&gt;"Cancelled",J468&lt;&gt;""),1,0)</f>
        <v>0</v>
      </c>
      <c r="AB468" s="44" t="n">
        <f aca="false">IF(AA468=1,J468/H468,0)</f>
        <v>0</v>
      </c>
      <c r="AC468" s="44" t="n">
        <f aca="false">IF(AA468=1,Q468/H468,0)</f>
        <v>0</v>
      </c>
      <c r="AD468" s="44" t="n">
        <f aca="false">IF(AA468=1,R468/H468,0)</f>
        <v>0</v>
      </c>
      <c r="AE468" s="44" t="n">
        <f aca="false">IF(AA468=1,O468/H468,0)</f>
        <v>0</v>
      </c>
      <c r="AF468" s="44" t="n">
        <f aca="false">IF(AA468=1,K468/H468,0)</f>
        <v>0</v>
      </c>
      <c r="AG468" s="45" t="str">
        <f aca="false">IF(AA468=1,D468&amp;"|"&amp;TEXT(B468,"0"),"")</f>
        <v/>
      </c>
      <c r="AH468" s="43" t="n">
        <f aca="false">IF(AA468=1,H468,0)</f>
        <v>0</v>
      </c>
    </row>
    <row r="469" customFormat="false" ht="15" hidden="false" customHeight="false" outlineLevel="0" collapsed="false">
      <c r="A469" s="8" t="str">
        <f aca="false">IF(B469="","","B-"&amp;TEXT(ROW()-4,"0000"))</f>
        <v/>
      </c>
      <c r="B469" s="38"/>
      <c r="C469" s="38"/>
      <c r="D469" s="6"/>
      <c r="E469" s="6"/>
      <c r="F469" s="6"/>
      <c r="G469" s="11"/>
      <c r="H469" s="18" t="str">
        <f aca="false">IF(AND(ISNUMBER(B469),ISNUMBER(C469)),MAX(0,C469-B469),"")</f>
        <v/>
      </c>
      <c r="I469" s="37"/>
      <c r="J469" s="41" t="str">
        <f aca="false">IF(OR(D469="",N(H469)=0),"",IFERROR(IF(I469&lt;&gt;"",H469*I469,ROUND(((H469-(INT((WEEKDAY(B469-6)+H469-1)/7)+INT((WEEKDAY(B469-7)+H469-1)/7)))*INDEX(Properties!$E$5:$E$24,MATCH(D469,Properties!$A$5:$A$24,0))+(INT((WEEKDAY(B469-6)+H469-1)/7)+INT((WEEKDAY(B469-7)+H469-1)/7))*INDEX(Properties!$F$5:$F$24,MATCH(D469,Properties!$A$5:$A$24,0)))*(1-IF(H469&gt;=28,Settings!$B$10,IF(H469&gt;=7,Settings!$B$9,0))),2)),0))</f>
        <v/>
      </c>
      <c r="K469" s="41" t="str">
        <f aca="false">IF(J469="","",IFERROR(N(INDEX(Properties!$G$5:$G$24,MATCH(D469,Properties!$A$5:$A$24,0))),0))</f>
        <v/>
      </c>
      <c r="L469" s="41" t="str">
        <f aca="false">IF(J469="","",IFERROR(MAX(0,N(G469)-INDEX(Properties!$I$5:$I$24,MATCH(D469,Properties!$A$5:$A$24,0)))*N(INDEX(Properties!$J$5:$J$24,MATCH(D469,Properties!$A$5:$A$24,0)))*H469,0))</f>
        <v/>
      </c>
      <c r="M469" s="37"/>
      <c r="N469" s="41" t="str">
        <f aca="false">IF(J469="","",J469+K469+L469+N(M469))</f>
        <v/>
      </c>
      <c r="O469" s="41" t="str">
        <f aca="false">IF(N469="","",IF(P469&lt;&gt;"",N469-P469,ROUND(N469*IFERROR(INDEX(Settings!$E$5:$E$12,MATCH(F469,Settings!$D$5:$D$12,0)),0),2)))</f>
        <v/>
      </c>
      <c r="P469" s="37"/>
      <c r="Q469" s="41" t="str">
        <f aca="false">IF(N469="","",IF(P469&lt;&gt;"",P469,N469-O469))</f>
        <v/>
      </c>
      <c r="R469" s="41" t="str">
        <f aca="false">IF(J469="","",IFERROR(N(INDEX(Properties!$H$5:$H$24,MATCH(D469,Properties!$A$5:$A$24,0))),0))</f>
        <v/>
      </c>
      <c r="S469" s="41" t="str">
        <f aca="false">IF(Q469="","",Q469-R469)</f>
        <v/>
      </c>
      <c r="T469" s="6"/>
      <c r="U469" s="6"/>
      <c r="V469" s="6"/>
      <c r="W469" s="6"/>
      <c r="X469" s="6"/>
      <c r="Y469" s="8" t="str">
        <f aca="false">IF(OR(D469="",B469="",C469=""),"",IF(N(C469)&lt;=N(B469),"Check dates",IF(T469="Cancelled","",IF(COUNTIFS($D$5:$D$1004,D469,$B$5:$B$1004,"&lt;"&amp;C469,$C$5:$C$1004,"&gt;"&amp;B469,$T$5:$T$1004,"&lt;&gt;Cancelled")&gt;1,"Double-booked",""))))</f>
        <v/>
      </c>
      <c r="Z469" s="42" t="str">
        <f aca="false">IF(AND(AA469=1,ISNUMBER(C469)),C469+ROW()/100000,"")</f>
        <v/>
      </c>
      <c r="AA469" s="43" t="n">
        <f aca="false">IF(AND(D469&lt;&gt;"",ISNUMBER(B469),ISNUMBER(C469),N(H469)&gt;0,T469&lt;&gt;"Cancelled",J469&lt;&gt;""),1,0)</f>
        <v>0</v>
      </c>
      <c r="AB469" s="44" t="n">
        <f aca="false">IF(AA469=1,J469/H469,0)</f>
        <v>0</v>
      </c>
      <c r="AC469" s="44" t="n">
        <f aca="false">IF(AA469=1,Q469/H469,0)</f>
        <v>0</v>
      </c>
      <c r="AD469" s="44" t="n">
        <f aca="false">IF(AA469=1,R469/H469,0)</f>
        <v>0</v>
      </c>
      <c r="AE469" s="44" t="n">
        <f aca="false">IF(AA469=1,O469/H469,0)</f>
        <v>0</v>
      </c>
      <c r="AF469" s="44" t="n">
        <f aca="false">IF(AA469=1,K469/H469,0)</f>
        <v>0</v>
      </c>
      <c r="AG469" s="45" t="str">
        <f aca="false">IF(AA469=1,D469&amp;"|"&amp;TEXT(B469,"0"),"")</f>
        <v/>
      </c>
      <c r="AH469" s="43" t="n">
        <f aca="false">IF(AA469=1,H469,0)</f>
        <v>0</v>
      </c>
    </row>
    <row r="470" customFormat="false" ht="15" hidden="false" customHeight="false" outlineLevel="0" collapsed="false">
      <c r="A470" s="23" t="str">
        <f aca="false">IF(B470="","","B-"&amp;TEXT(ROW()-4,"0000"))</f>
        <v/>
      </c>
      <c r="B470" s="38"/>
      <c r="C470" s="38"/>
      <c r="D470" s="6"/>
      <c r="E470" s="6"/>
      <c r="F470" s="6"/>
      <c r="G470" s="11"/>
      <c r="H470" s="24" t="str">
        <f aca="false">IF(AND(ISNUMBER(B470),ISNUMBER(C470)),MAX(0,C470-B470),"")</f>
        <v/>
      </c>
      <c r="I470" s="37"/>
      <c r="J470" s="46" t="str">
        <f aca="false">IF(OR(D470="",N(H470)=0),"",IFERROR(IF(I470&lt;&gt;"",H470*I470,ROUND(((H470-(INT((WEEKDAY(B470-6)+H470-1)/7)+INT((WEEKDAY(B470-7)+H470-1)/7)))*INDEX(Properties!$E$5:$E$24,MATCH(D470,Properties!$A$5:$A$24,0))+(INT((WEEKDAY(B470-6)+H470-1)/7)+INT((WEEKDAY(B470-7)+H470-1)/7))*INDEX(Properties!$F$5:$F$24,MATCH(D470,Properties!$A$5:$A$24,0)))*(1-IF(H470&gt;=28,Settings!$B$10,IF(H470&gt;=7,Settings!$B$9,0))),2)),0))</f>
        <v/>
      </c>
      <c r="K470" s="46" t="str">
        <f aca="false">IF(J470="","",IFERROR(N(INDEX(Properties!$G$5:$G$24,MATCH(D470,Properties!$A$5:$A$24,0))),0))</f>
        <v/>
      </c>
      <c r="L470" s="46" t="str">
        <f aca="false">IF(J470="","",IFERROR(MAX(0,N(G470)-INDEX(Properties!$I$5:$I$24,MATCH(D470,Properties!$A$5:$A$24,0)))*N(INDEX(Properties!$J$5:$J$24,MATCH(D470,Properties!$A$5:$A$24,0)))*H470,0))</f>
        <v/>
      </c>
      <c r="M470" s="37"/>
      <c r="N470" s="46" t="str">
        <f aca="false">IF(J470="","",J470+K470+L470+N(M470))</f>
        <v/>
      </c>
      <c r="O470" s="46" t="str">
        <f aca="false">IF(N470="","",IF(P470&lt;&gt;"",N470-P470,ROUND(N470*IFERROR(INDEX(Settings!$E$5:$E$12,MATCH(F470,Settings!$D$5:$D$12,0)),0),2)))</f>
        <v/>
      </c>
      <c r="P470" s="37"/>
      <c r="Q470" s="46" t="str">
        <f aca="false">IF(N470="","",IF(P470&lt;&gt;"",P470,N470-O470))</f>
        <v/>
      </c>
      <c r="R470" s="46" t="str">
        <f aca="false">IF(J470="","",IFERROR(N(INDEX(Properties!$H$5:$H$24,MATCH(D470,Properties!$A$5:$A$24,0))),0))</f>
        <v/>
      </c>
      <c r="S470" s="46" t="str">
        <f aca="false">IF(Q470="","",Q470-R470)</f>
        <v/>
      </c>
      <c r="T470" s="6"/>
      <c r="U470" s="6"/>
      <c r="V470" s="6"/>
      <c r="W470" s="6"/>
      <c r="X470" s="6"/>
      <c r="Y470" s="8" t="str">
        <f aca="false">IF(OR(D470="",B470="",C470=""),"",IF(N(C470)&lt;=N(B470),"Check dates",IF(T470="Cancelled","",IF(COUNTIFS($D$5:$D$1004,D470,$B$5:$B$1004,"&lt;"&amp;C470,$C$5:$C$1004,"&gt;"&amp;B470,$T$5:$T$1004,"&lt;&gt;Cancelled")&gt;1,"Double-booked",""))))</f>
        <v/>
      </c>
      <c r="Z470" s="42" t="str">
        <f aca="false">IF(AND(AA470=1,ISNUMBER(C470)),C470+ROW()/100000,"")</f>
        <v/>
      </c>
      <c r="AA470" s="43" t="n">
        <f aca="false">IF(AND(D470&lt;&gt;"",ISNUMBER(B470),ISNUMBER(C470),N(H470)&gt;0,T470&lt;&gt;"Cancelled",J470&lt;&gt;""),1,0)</f>
        <v>0</v>
      </c>
      <c r="AB470" s="44" t="n">
        <f aca="false">IF(AA470=1,J470/H470,0)</f>
        <v>0</v>
      </c>
      <c r="AC470" s="44" t="n">
        <f aca="false">IF(AA470=1,Q470/H470,0)</f>
        <v>0</v>
      </c>
      <c r="AD470" s="44" t="n">
        <f aca="false">IF(AA470=1,R470/H470,0)</f>
        <v>0</v>
      </c>
      <c r="AE470" s="44" t="n">
        <f aca="false">IF(AA470=1,O470/H470,0)</f>
        <v>0</v>
      </c>
      <c r="AF470" s="44" t="n">
        <f aca="false">IF(AA470=1,K470/H470,0)</f>
        <v>0</v>
      </c>
      <c r="AG470" s="45" t="str">
        <f aca="false">IF(AA470=1,D470&amp;"|"&amp;TEXT(B470,"0"),"")</f>
        <v/>
      </c>
      <c r="AH470" s="43" t="n">
        <f aca="false">IF(AA470=1,H470,0)</f>
        <v>0</v>
      </c>
    </row>
    <row r="471" customFormat="false" ht="15" hidden="false" customHeight="false" outlineLevel="0" collapsed="false">
      <c r="A471" s="8" t="str">
        <f aca="false">IF(B471="","","B-"&amp;TEXT(ROW()-4,"0000"))</f>
        <v/>
      </c>
      <c r="B471" s="38"/>
      <c r="C471" s="38"/>
      <c r="D471" s="6"/>
      <c r="E471" s="6"/>
      <c r="F471" s="6"/>
      <c r="G471" s="11"/>
      <c r="H471" s="18" t="str">
        <f aca="false">IF(AND(ISNUMBER(B471),ISNUMBER(C471)),MAX(0,C471-B471),"")</f>
        <v/>
      </c>
      <c r="I471" s="37"/>
      <c r="J471" s="41" t="str">
        <f aca="false">IF(OR(D471="",N(H471)=0),"",IFERROR(IF(I471&lt;&gt;"",H471*I471,ROUND(((H471-(INT((WEEKDAY(B471-6)+H471-1)/7)+INT((WEEKDAY(B471-7)+H471-1)/7)))*INDEX(Properties!$E$5:$E$24,MATCH(D471,Properties!$A$5:$A$24,0))+(INT((WEEKDAY(B471-6)+H471-1)/7)+INT((WEEKDAY(B471-7)+H471-1)/7))*INDEX(Properties!$F$5:$F$24,MATCH(D471,Properties!$A$5:$A$24,0)))*(1-IF(H471&gt;=28,Settings!$B$10,IF(H471&gt;=7,Settings!$B$9,0))),2)),0))</f>
        <v/>
      </c>
      <c r="K471" s="41" t="str">
        <f aca="false">IF(J471="","",IFERROR(N(INDEX(Properties!$G$5:$G$24,MATCH(D471,Properties!$A$5:$A$24,0))),0))</f>
        <v/>
      </c>
      <c r="L471" s="41" t="str">
        <f aca="false">IF(J471="","",IFERROR(MAX(0,N(G471)-INDEX(Properties!$I$5:$I$24,MATCH(D471,Properties!$A$5:$A$24,0)))*N(INDEX(Properties!$J$5:$J$24,MATCH(D471,Properties!$A$5:$A$24,0)))*H471,0))</f>
        <v/>
      </c>
      <c r="M471" s="37"/>
      <c r="N471" s="41" t="str">
        <f aca="false">IF(J471="","",J471+K471+L471+N(M471))</f>
        <v/>
      </c>
      <c r="O471" s="41" t="str">
        <f aca="false">IF(N471="","",IF(P471&lt;&gt;"",N471-P471,ROUND(N471*IFERROR(INDEX(Settings!$E$5:$E$12,MATCH(F471,Settings!$D$5:$D$12,0)),0),2)))</f>
        <v/>
      </c>
      <c r="P471" s="37"/>
      <c r="Q471" s="41" t="str">
        <f aca="false">IF(N471="","",IF(P471&lt;&gt;"",P471,N471-O471))</f>
        <v/>
      </c>
      <c r="R471" s="41" t="str">
        <f aca="false">IF(J471="","",IFERROR(N(INDEX(Properties!$H$5:$H$24,MATCH(D471,Properties!$A$5:$A$24,0))),0))</f>
        <v/>
      </c>
      <c r="S471" s="41" t="str">
        <f aca="false">IF(Q471="","",Q471-R471)</f>
        <v/>
      </c>
      <c r="T471" s="6"/>
      <c r="U471" s="6"/>
      <c r="V471" s="6"/>
      <c r="W471" s="6"/>
      <c r="X471" s="6"/>
      <c r="Y471" s="8" t="str">
        <f aca="false">IF(OR(D471="",B471="",C471=""),"",IF(N(C471)&lt;=N(B471),"Check dates",IF(T471="Cancelled","",IF(COUNTIFS($D$5:$D$1004,D471,$B$5:$B$1004,"&lt;"&amp;C471,$C$5:$C$1004,"&gt;"&amp;B471,$T$5:$T$1004,"&lt;&gt;Cancelled")&gt;1,"Double-booked",""))))</f>
        <v/>
      </c>
      <c r="Z471" s="42" t="str">
        <f aca="false">IF(AND(AA471=1,ISNUMBER(C471)),C471+ROW()/100000,"")</f>
        <v/>
      </c>
      <c r="AA471" s="43" t="n">
        <f aca="false">IF(AND(D471&lt;&gt;"",ISNUMBER(B471),ISNUMBER(C471),N(H471)&gt;0,T471&lt;&gt;"Cancelled",J471&lt;&gt;""),1,0)</f>
        <v>0</v>
      </c>
      <c r="AB471" s="44" t="n">
        <f aca="false">IF(AA471=1,J471/H471,0)</f>
        <v>0</v>
      </c>
      <c r="AC471" s="44" t="n">
        <f aca="false">IF(AA471=1,Q471/H471,0)</f>
        <v>0</v>
      </c>
      <c r="AD471" s="44" t="n">
        <f aca="false">IF(AA471=1,R471/H471,0)</f>
        <v>0</v>
      </c>
      <c r="AE471" s="44" t="n">
        <f aca="false">IF(AA471=1,O471/H471,0)</f>
        <v>0</v>
      </c>
      <c r="AF471" s="44" t="n">
        <f aca="false">IF(AA471=1,K471/H471,0)</f>
        <v>0</v>
      </c>
      <c r="AG471" s="45" t="str">
        <f aca="false">IF(AA471=1,D471&amp;"|"&amp;TEXT(B471,"0"),"")</f>
        <v/>
      </c>
      <c r="AH471" s="43" t="n">
        <f aca="false">IF(AA471=1,H471,0)</f>
        <v>0</v>
      </c>
    </row>
    <row r="472" customFormat="false" ht="15" hidden="false" customHeight="false" outlineLevel="0" collapsed="false">
      <c r="A472" s="23" t="str">
        <f aca="false">IF(B472="","","B-"&amp;TEXT(ROW()-4,"0000"))</f>
        <v/>
      </c>
      <c r="B472" s="38"/>
      <c r="C472" s="38"/>
      <c r="D472" s="6"/>
      <c r="E472" s="6"/>
      <c r="F472" s="6"/>
      <c r="G472" s="11"/>
      <c r="H472" s="24" t="str">
        <f aca="false">IF(AND(ISNUMBER(B472),ISNUMBER(C472)),MAX(0,C472-B472),"")</f>
        <v/>
      </c>
      <c r="I472" s="37"/>
      <c r="J472" s="46" t="str">
        <f aca="false">IF(OR(D472="",N(H472)=0),"",IFERROR(IF(I472&lt;&gt;"",H472*I472,ROUND(((H472-(INT((WEEKDAY(B472-6)+H472-1)/7)+INT((WEEKDAY(B472-7)+H472-1)/7)))*INDEX(Properties!$E$5:$E$24,MATCH(D472,Properties!$A$5:$A$24,0))+(INT((WEEKDAY(B472-6)+H472-1)/7)+INT((WEEKDAY(B472-7)+H472-1)/7))*INDEX(Properties!$F$5:$F$24,MATCH(D472,Properties!$A$5:$A$24,0)))*(1-IF(H472&gt;=28,Settings!$B$10,IF(H472&gt;=7,Settings!$B$9,0))),2)),0))</f>
        <v/>
      </c>
      <c r="K472" s="46" t="str">
        <f aca="false">IF(J472="","",IFERROR(N(INDEX(Properties!$G$5:$G$24,MATCH(D472,Properties!$A$5:$A$24,0))),0))</f>
        <v/>
      </c>
      <c r="L472" s="46" t="str">
        <f aca="false">IF(J472="","",IFERROR(MAX(0,N(G472)-INDEX(Properties!$I$5:$I$24,MATCH(D472,Properties!$A$5:$A$24,0)))*N(INDEX(Properties!$J$5:$J$24,MATCH(D472,Properties!$A$5:$A$24,0)))*H472,0))</f>
        <v/>
      </c>
      <c r="M472" s="37"/>
      <c r="N472" s="46" t="str">
        <f aca="false">IF(J472="","",J472+K472+L472+N(M472))</f>
        <v/>
      </c>
      <c r="O472" s="46" t="str">
        <f aca="false">IF(N472="","",IF(P472&lt;&gt;"",N472-P472,ROUND(N472*IFERROR(INDEX(Settings!$E$5:$E$12,MATCH(F472,Settings!$D$5:$D$12,0)),0),2)))</f>
        <v/>
      </c>
      <c r="P472" s="37"/>
      <c r="Q472" s="46" t="str">
        <f aca="false">IF(N472="","",IF(P472&lt;&gt;"",P472,N472-O472))</f>
        <v/>
      </c>
      <c r="R472" s="46" t="str">
        <f aca="false">IF(J472="","",IFERROR(N(INDEX(Properties!$H$5:$H$24,MATCH(D472,Properties!$A$5:$A$24,0))),0))</f>
        <v/>
      </c>
      <c r="S472" s="46" t="str">
        <f aca="false">IF(Q472="","",Q472-R472)</f>
        <v/>
      </c>
      <c r="T472" s="6"/>
      <c r="U472" s="6"/>
      <c r="V472" s="6"/>
      <c r="W472" s="6"/>
      <c r="X472" s="6"/>
      <c r="Y472" s="8" t="str">
        <f aca="false">IF(OR(D472="",B472="",C472=""),"",IF(N(C472)&lt;=N(B472),"Check dates",IF(T472="Cancelled","",IF(COUNTIFS($D$5:$D$1004,D472,$B$5:$B$1004,"&lt;"&amp;C472,$C$5:$C$1004,"&gt;"&amp;B472,$T$5:$T$1004,"&lt;&gt;Cancelled")&gt;1,"Double-booked",""))))</f>
        <v/>
      </c>
      <c r="Z472" s="42" t="str">
        <f aca="false">IF(AND(AA472=1,ISNUMBER(C472)),C472+ROW()/100000,"")</f>
        <v/>
      </c>
      <c r="AA472" s="43" t="n">
        <f aca="false">IF(AND(D472&lt;&gt;"",ISNUMBER(B472),ISNUMBER(C472),N(H472)&gt;0,T472&lt;&gt;"Cancelled",J472&lt;&gt;""),1,0)</f>
        <v>0</v>
      </c>
      <c r="AB472" s="44" t="n">
        <f aca="false">IF(AA472=1,J472/H472,0)</f>
        <v>0</v>
      </c>
      <c r="AC472" s="44" t="n">
        <f aca="false">IF(AA472=1,Q472/H472,0)</f>
        <v>0</v>
      </c>
      <c r="AD472" s="44" t="n">
        <f aca="false">IF(AA472=1,R472/H472,0)</f>
        <v>0</v>
      </c>
      <c r="AE472" s="44" t="n">
        <f aca="false">IF(AA472=1,O472/H472,0)</f>
        <v>0</v>
      </c>
      <c r="AF472" s="44" t="n">
        <f aca="false">IF(AA472=1,K472/H472,0)</f>
        <v>0</v>
      </c>
      <c r="AG472" s="45" t="str">
        <f aca="false">IF(AA472=1,D472&amp;"|"&amp;TEXT(B472,"0"),"")</f>
        <v/>
      </c>
      <c r="AH472" s="43" t="n">
        <f aca="false">IF(AA472=1,H472,0)</f>
        <v>0</v>
      </c>
    </row>
    <row r="473" customFormat="false" ht="15" hidden="false" customHeight="false" outlineLevel="0" collapsed="false">
      <c r="A473" s="8" t="str">
        <f aca="false">IF(B473="","","B-"&amp;TEXT(ROW()-4,"0000"))</f>
        <v/>
      </c>
      <c r="B473" s="38"/>
      <c r="C473" s="38"/>
      <c r="D473" s="6"/>
      <c r="E473" s="6"/>
      <c r="F473" s="6"/>
      <c r="G473" s="11"/>
      <c r="H473" s="18" t="str">
        <f aca="false">IF(AND(ISNUMBER(B473),ISNUMBER(C473)),MAX(0,C473-B473),"")</f>
        <v/>
      </c>
      <c r="I473" s="37"/>
      <c r="J473" s="41" t="str">
        <f aca="false">IF(OR(D473="",N(H473)=0),"",IFERROR(IF(I473&lt;&gt;"",H473*I473,ROUND(((H473-(INT((WEEKDAY(B473-6)+H473-1)/7)+INT((WEEKDAY(B473-7)+H473-1)/7)))*INDEX(Properties!$E$5:$E$24,MATCH(D473,Properties!$A$5:$A$24,0))+(INT((WEEKDAY(B473-6)+H473-1)/7)+INT((WEEKDAY(B473-7)+H473-1)/7))*INDEX(Properties!$F$5:$F$24,MATCH(D473,Properties!$A$5:$A$24,0)))*(1-IF(H473&gt;=28,Settings!$B$10,IF(H473&gt;=7,Settings!$B$9,0))),2)),0))</f>
        <v/>
      </c>
      <c r="K473" s="41" t="str">
        <f aca="false">IF(J473="","",IFERROR(N(INDEX(Properties!$G$5:$G$24,MATCH(D473,Properties!$A$5:$A$24,0))),0))</f>
        <v/>
      </c>
      <c r="L473" s="41" t="str">
        <f aca="false">IF(J473="","",IFERROR(MAX(0,N(G473)-INDEX(Properties!$I$5:$I$24,MATCH(D473,Properties!$A$5:$A$24,0)))*N(INDEX(Properties!$J$5:$J$24,MATCH(D473,Properties!$A$5:$A$24,0)))*H473,0))</f>
        <v/>
      </c>
      <c r="M473" s="37"/>
      <c r="N473" s="41" t="str">
        <f aca="false">IF(J473="","",J473+K473+L473+N(M473))</f>
        <v/>
      </c>
      <c r="O473" s="41" t="str">
        <f aca="false">IF(N473="","",IF(P473&lt;&gt;"",N473-P473,ROUND(N473*IFERROR(INDEX(Settings!$E$5:$E$12,MATCH(F473,Settings!$D$5:$D$12,0)),0),2)))</f>
        <v/>
      </c>
      <c r="P473" s="37"/>
      <c r="Q473" s="41" t="str">
        <f aca="false">IF(N473="","",IF(P473&lt;&gt;"",P473,N473-O473))</f>
        <v/>
      </c>
      <c r="R473" s="41" t="str">
        <f aca="false">IF(J473="","",IFERROR(N(INDEX(Properties!$H$5:$H$24,MATCH(D473,Properties!$A$5:$A$24,0))),0))</f>
        <v/>
      </c>
      <c r="S473" s="41" t="str">
        <f aca="false">IF(Q473="","",Q473-R473)</f>
        <v/>
      </c>
      <c r="T473" s="6"/>
      <c r="U473" s="6"/>
      <c r="V473" s="6"/>
      <c r="W473" s="6"/>
      <c r="X473" s="6"/>
      <c r="Y473" s="8" t="str">
        <f aca="false">IF(OR(D473="",B473="",C473=""),"",IF(N(C473)&lt;=N(B473),"Check dates",IF(T473="Cancelled","",IF(COUNTIFS($D$5:$D$1004,D473,$B$5:$B$1004,"&lt;"&amp;C473,$C$5:$C$1004,"&gt;"&amp;B473,$T$5:$T$1004,"&lt;&gt;Cancelled")&gt;1,"Double-booked",""))))</f>
        <v/>
      </c>
      <c r="Z473" s="42" t="str">
        <f aca="false">IF(AND(AA473=1,ISNUMBER(C473)),C473+ROW()/100000,"")</f>
        <v/>
      </c>
      <c r="AA473" s="43" t="n">
        <f aca="false">IF(AND(D473&lt;&gt;"",ISNUMBER(B473),ISNUMBER(C473),N(H473)&gt;0,T473&lt;&gt;"Cancelled",J473&lt;&gt;""),1,0)</f>
        <v>0</v>
      </c>
      <c r="AB473" s="44" t="n">
        <f aca="false">IF(AA473=1,J473/H473,0)</f>
        <v>0</v>
      </c>
      <c r="AC473" s="44" t="n">
        <f aca="false">IF(AA473=1,Q473/H473,0)</f>
        <v>0</v>
      </c>
      <c r="AD473" s="44" t="n">
        <f aca="false">IF(AA473=1,R473/H473,0)</f>
        <v>0</v>
      </c>
      <c r="AE473" s="44" t="n">
        <f aca="false">IF(AA473=1,O473/H473,0)</f>
        <v>0</v>
      </c>
      <c r="AF473" s="44" t="n">
        <f aca="false">IF(AA473=1,K473/H473,0)</f>
        <v>0</v>
      </c>
      <c r="AG473" s="45" t="str">
        <f aca="false">IF(AA473=1,D473&amp;"|"&amp;TEXT(B473,"0"),"")</f>
        <v/>
      </c>
      <c r="AH473" s="43" t="n">
        <f aca="false">IF(AA473=1,H473,0)</f>
        <v>0</v>
      </c>
    </row>
    <row r="474" customFormat="false" ht="15" hidden="false" customHeight="false" outlineLevel="0" collapsed="false">
      <c r="A474" s="23" t="str">
        <f aca="false">IF(B474="","","B-"&amp;TEXT(ROW()-4,"0000"))</f>
        <v/>
      </c>
      <c r="B474" s="38"/>
      <c r="C474" s="38"/>
      <c r="D474" s="6"/>
      <c r="E474" s="6"/>
      <c r="F474" s="6"/>
      <c r="G474" s="11"/>
      <c r="H474" s="24" t="str">
        <f aca="false">IF(AND(ISNUMBER(B474),ISNUMBER(C474)),MAX(0,C474-B474),"")</f>
        <v/>
      </c>
      <c r="I474" s="37"/>
      <c r="J474" s="46" t="str">
        <f aca="false">IF(OR(D474="",N(H474)=0),"",IFERROR(IF(I474&lt;&gt;"",H474*I474,ROUND(((H474-(INT((WEEKDAY(B474-6)+H474-1)/7)+INT((WEEKDAY(B474-7)+H474-1)/7)))*INDEX(Properties!$E$5:$E$24,MATCH(D474,Properties!$A$5:$A$24,0))+(INT((WEEKDAY(B474-6)+H474-1)/7)+INT((WEEKDAY(B474-7)+H474-1)/7))*INDEX(Properties!$F$5:$F$24,MATCH(D474,Properties!$A$5:$A$24,0)))*(1-IF(H474&gt;=28,Settings!$B$10,IF(H474&gt;=7,Settings!$B$9,0))),2)),0))</f>
        <v/>
      </c>
      <c r="K474" s="46" t="str">
        <f aca="false">IF(J474="","",IFERROR(N(INDEX(Properties!$G$5:$G$24,MATCH(D474,Properties!$A$5:$A$24,0))),0))</f>
        <v/>
      </c>
      <c r="L474" s="46" t="str">
        <f aca="false">IF(J474="","",IFERROR(MAX(0,N(G474)-INDEX(Properties!$I$5:$I$24,MATCH(D474,Properties!$A$5:$A$24,0)))*N(INDEX(Properties!$J$5:$J$24,MATCH(D474,Properties!$A$5:$A$24,0)))*H474,0))</f>
        <v/>
      </c>
      <c r="M474" s="37"/>
      <c r="N474" s="46" t="str">
        <f aca="false">IF(J474="","",J474+K474+L474+N(M474))</f>
        <v/>
      </c>
      <c r="O474" s="46" t="str">
        <f aca="false">IF(N474="","",IF(P474&lt;&gt;"",N474-P474,ROUND(N474*IFERROR(INDEX(Settings!$E$5:$E$12,MATCH(F474,Settings!$D$5:$D$12,0)),0),2)))</f>
        <v/>
      </c>
      <c r="P474" s="37"/>
      <c r="Q474" s="46" t="str">
        <f aca="false">IF(N474="","",IF(P474&lt;&gt;"",P474,N474-O474))</f>
        <v/>
      </c>
      <c r="R474" s="46" t="str">
        <f aca="false">IF(J474="","",IFERROR(N(INDEX(Properties!$H$5:$H$24,MATCH(D474,Properties!$A$5:$A$24,0))),0))</f>
        <v/>
      </c>
      <c r="S474" s="46" t="str">
        <f aca="false">IF(Q474="","",Q474-R474)</f>
        <v/>
      </c>
      <c r="T474" s="6"/>
      <c r="U474" s="6"/>
      <c r="V474" s="6"/>
      <c r="W474" s="6"/>
      <c r="X474" s="6"/>
      <c r="Y474" s="8" t="str">
        <f aca="false">IF(OR(D474="",B474="",C474=""),"",IF(N(C474)&lt;=N(B474),"Check dates",IF(T474="Cancelled","",IF(COUNTIFS($D$5:$D$1004,D474,$B$5:$B$1004,"&lt;"&amp;C474,$C$5:$C$1004,"&gt;"&amp;B474,$T$5:$T$1004,"&lt;&gt;Cancelled")&gt;1,"Double-booked",""))))</f>
        <v/>
      </c>
      <c r="Z474" s="42" t="str">
        <f aca="false">IF(AND(AA474=1,ISNUMBER(C474)),C474+ROW()/100000,"")</f>
        <v/>
      </c>
      <c r="AA474" s="43" t="n">
        <f aca="false">IF(AND(D474&lt;&gt;"",ISNUMBER(B474),ISNUMBER(C474),N(H474)&gt;0,T474&lt;&gt;"Cancelled",J474&lt;&gt;""),1,0)</f>
        <v>0</v>
      </c>
      <c r="AB474" s="44" t="n">
        <f aca="false">IF(AA474=1,J474/H474,0)</f>
        <v>0</v>
      </c>
      <c r="AC474" s="44" t="n">
        <f aca="false">IF(AA474=1,Q474/H474,0)</f>
        <v>0</v>
      </c>
      <c r="AD474" s="44" t="n">
        <f aca="false">IF(AA474=1,R474/H474,0)</f>
        <v>0</v>
      </c>
      <c r="AE474" s="44" t="n">
        <f aca="false">IF(AA474=1,O474/H474,0)</f>
        <v>0</v>
      </c>
      <c r="AF474" s="44" t="n">
        <f aca="false">IF(AA474=1,K474/H474,0)</f>
        <v>0</v>
      </c>
      <c r="AG474" s="45" t="str">
        <f aca="false">IF(AA474=1,D474&amp;"|"&amp;TEXT(B474,"0"),"")</f>
        <v/>
      </c>
      <c r="AH474" s="43" t="n">
        <f aca="false">IF(AA474=1,H474,0)</f>
        <v>0</v>
      </c>
    </row>
    <row r="475" customFormat="false" ht="15" hidden="false" customHeight="false" outlineLevel="0" collapsed="false">
      <c r="A475" s="8" t="str">
        <f aca="false">IF(B475="","","B-"&amp;TEXT(ROW()-4,"0000"))</f>
        <v/>
      </c>
      <c r="B475" s="38"/>
      <c r="C475" s="38"/>
      <c r="D475" s="6"/>
      <c r="E475" s="6"/>
      <c r="F475" s="6"/>
      <c r="G475" s="11"/>
      <c r="H475" s="18" t="str">
        <f aca="false">IF(AND(ISNUMBER(B475),ISNUMBER(C475)),MAX(0,C475-B475),"")</f>
        <v/>
      </c>
      <c r="I475" s="37"/>
      <c r="J475" s="41" t="str">
        <f aca="false">IF(OR(D475="",N(H475)=0),"",IFERROR(IF(I475&lt;&gt;"",H475*I475,ROUND(((H475-(INT((WEEKDAY(B475-6)+H475-1)/7)+INT((WEEKDAY(B475-7)+H475-1)/7)))*INDEX(Properties!$E$5:$E$24,MATCH(D475,Properties!$A$5:$A$24,0))+(INT((WEEKDAY(B475-6)+H475-1)/7)+INT((WEEKDAY(B475-7)+H475-1)/7))*INDEX(Properties!$F$5:$F$24,MATCH(D475,Properties!$A$5:$A$24,0)))*(1-IF(H475&gt;=28,Settings!$B$10,IF(H475&gt;=7,Settings!$B$9,0))),2)),0))</f>
        <v/>
      </c>
      <c r="K475" s="41" t="str">
        <f aca="false">IF(J475="","",IFERROR(N(INDEX(Properties!$G$5:$G$24,MATCH(D475,Properties!$A$5:$A$24,0))),0))</f>
        <v/>
      </c>
      <c r="L475" s="41" t="str">
        <f aca="false">IF(J475="","",IFERROR(MAX(0,N(G475)-INDEX(Properties!$I$5:$I$24,MATCH(D475,Properties!$A$5:$A$24,0)))*N(INDEX(Properties!$J$5:$J$24,MATCH(D475,Properties!$A$5:$A$24,0)))*H475,0))</f>
        <v/>
      </c>
      <c r="M475" s="37"/>
      <c r="N475" s="41" t="str">
        <f aca="false">IF(J475="","",J475+K475+L475+N(M475))</f>
        <v/>
      </c>
      <c r="O475" s="41" t="str">
        <f aca="false">IF(N475="","",IF(P475&lt;&gt;"",N475-P475,ROUND(N475*IFERROR(INDEX(Settings!$E$5:$E$12,MATCH(F475,Settings!$D$5:$D$12,0)),0),2)))</f>
        <v/>
      </c>
      <c r="P475" s="37"/>
      <c r="Q475" s="41" t="str">
        <f aca="false">IF(N475="","",IF(P475&lt;&gt;"",P475,N475-O475))</f>
        <v/>
      </c>
      <c r="R475" s="41" t="str">
        <f aca="false">IF(J475="","",IFERROR(N(INDEX(Properties!$H$5:$H$24,MATCH(D475,Properties!$A$5:$A$24,0))),0))</f>
        <v/>
      </c>
      <c r="S475" s="41" t="str">
        <f aca="false">IF(Q475="","",Q475-R475)</f>
        <v/>
      </c>
      <c r="T475" s="6"/>
      <c r="U475" s="6"/>
      <c r="V475" s="6"/>
      <c r="W475" s="6"/>
      <c r="X475" s="6"/>
      <c r="Y475" s="8" t="str">
        <f aca="false">IF(OR(D475="",B475="",C475=""),"",IF(N(C475)&lt;=N(B475),"Check dates",IF(T475="Cancelled","",IF(COUNTIFS($D$5:$D$1004,D475,$B$5:$B$1004,"&lt;"&amp;C475,$C$5:$C$1004,"&gt;"&amp;B475,$T$5:$T$1004,"&lt;&gt;Cancelled")&gt;1,"Double-booked",""))))</f>
        <v/>
      </c>
      <c r="Z475" s="42" t="str">
        <f aca="false">IF(AND(AA475=1,ISNUMBER(C475)),C475+ROW()/100000,"")</f>
        <v/>
      </c>
      <c r="AA475" s="43" t="n">
        <f aca="false">IF(AND(D475&lt;&gt;"",ISNUMBER(B475),ISNUMBER(C475),N(H475)&gt;0,T475&lt;&gt;"Cancelled",J475&lt;&gt;""),1,0)</f>
        <v>0</v>
      </c>
      <c r="AB475" s="44" t="n">
        <f aca="false">IF(AA475=1,J475/H475,0)</f>
        <v>0</v>
      </c>
      <c r="AC475" s="44" t="n">
        <f aca="false">IF(AA475=1,Q475/H475,0)</f>
        <v>0</v>
      </c>
      <c r="AD475" s="44" t="n">
        <f aca="false">IF(AA475=1,R475/H475,0)</f>
        <v>0</v>
      </c>
      <c r="AE475" s="44" t="n">
        <f aca="false">IF(AA475=1,O475/H475,0)</f>
        <v>0</v>
      </c>
      <c r="AF475" s="44" t="n">
        <f aca="false">IF(AA475=1,K475/H475,0)</f>
        <v>0</v>
      </c>
      <c r="AG475" s="45" t="str">
        <f aca="false">IF(AA475=1,D475&amp;"|"&amp;TEXT(B475,"0"),"")</f>
        <v/>
      </c>
      <c r="AH475" s="43" t="n">
        <f aca="false">IF(AA475=1,H475,0)</f>
        <v>0</v>
      </c>
    </row>
    <row r="476" customFormat="false" ht="15" hidden="false" customHeight="false" outlineLevel="0" collapsed="false">
      <c r="A476" s="23" t="str">
        <f aca="false">IF(B476="","","B-"&amp;TEXT(ROW()-4,"0000"))</f>
        <v/>
      </c>
      <c r="B476" s="38"/>
      <c r="C476" s="38"/>
      <c r="D476" s="6"/>
      <c r="E476" s="6"/>
      <c r="F476" s="6"/>
      <c r="G476" s="11"/>
      <c r="H476" s="24" t="str">
        <f aca="false">IF(AND(ISNUMBER(B476),ISNUMBER(C476)),MAX(0,C476-B476),"")</f>
        <v/>
      </c>
      <c r="I476" s="37"/>
      <c r="J476" s="46" t="str">
        <f aca="false">IF(OR(D476="",N(H476)=0),"",IFERROR(IF(I476&lt;&gt;"",H476*I476,ROUND(((H476-(INT((WEEKDAY(B476-6)+H476-1)/7)+INT((WEEKDAY(B476-7)+H476-1)/7)))*INDEX(Properties!$E$5:$E$24,MATCH(D476,Properties!$A$5:$A$24,0))+(INT((WEEKDAY(B476-6)+H476-1)/7)+INT((WEEKDAY(B476-7)+H476-1)/7))*INDEX(Properties!$F$5:$F$24,MATCH(D476,Properties!$A$5:$A$24,0)))*(1-IF(H476&gt;=28,Settings!$B$10,IF(H476&gt;=7,Settings!$B$9,0))),2)),0))</f>
        <v/>
      </c>
      <c r="K476" s="46" t="str">
        <f aca="false">IF(J476="","",IFERROR(N(INDEX(Properties!$G$5:$G$24,MATCH(D476,Properties!$A$5:$A$24,0))),0))</f>
        <v/>
      </c>
      <c r="L476" s="46" t="str">
        <f aca="false">IF(J476="","",IFERROR(MAX(0,N(G476)-INDEX(Properties!$I$5:$I$24,MATCH(D476,Properties!$A$5:$A$24,0)))*N(INDEX(Properties!$J$5:$J$24,MATCH(D476,Properties!$A$5:$A$24,0)))*H476,0))</f>
        <v/>
      </c>
      <c r="M476" s="37"/>
      <c r="N476" s="46" t="str">
        <f aca="false">IF(J476="","",J476+K476+L476+N(M476))</f>
        <v/>
      </c>
      <c r="O476" s="46" t="str">
        <f aca="false">IF(N476="","",IF(P476&lt;&gt;"",N476-P476,ROUND(N476*IFERROR(INDEX(Settings!$E$5:$E$12,MATCH(F476,Settings!$D$5:$D$12,0)),0),2)))</f>
        <v/>
      </c>
      <c r="P476" s="37"/>
      <c r="Q476" s="46" t="str">
        <f aca="false">IF(N476="","",IF(P476&lt;&gt;"",P476,N476-O476))</f>
        <v/>
      </c>
      <c r="R476" s="46" t="str">
        <f aca="false">IF(J476="","",IFERROR(N(INDEX(Properties!$H$5:$H$24,MATCH(D476,Properties!$A$5:$A$24,0))),0))</f>
        <v/>
      </c>
      <c r="S476" s="46" t="str">
        <f aca="false">IF(Q476="","",Q476-R476)</f>
        <v/>
      </c>
      <c r="T476" s="6"/>
      <c r="U476" s="6"/>
      <c r="V476" s="6"/>
      <c r="W476" s="6"/>
      <c r="X476" s="6"/>
      <c r="Y476" s="8" t="str">
        <f aca="false">IF(OR(D476="",B476="",C476=""),"",IF(N(C476)&lt;=N(B476),"Check dates",IF(T476="Cancelled","",IF(COUNTIFS($D$5:$D$1004,D476,$B$5:$B$1004,"&lt;"&amp;C476,$C$5:$C$1004,"&gt;"&amp;B476,$T$5:$T$1004,"&lt;&gt;Cancelled")&gt;1,"Double-booked",""))))</f>
        <v/>
      </c>
      <c r="Z476" s="42" t="str">
        <f aca="false">IF(AND(AA476=1,ISNUMBER(C476)),C476+ROW()/100000,"")</f>
        <v/>
      </c>
      <c r="AA476" s="43" t="n">
        <f aca="false">IF(AND(D476&lt;&gt;"",ISNUMBER(B476),ISNUMBER(C476),N(H476)&gt;0,T476&lt;&gt;"Cancelled",J476&lt;&gt;""),1,0)</f>
        <v>0</v>
      </c>
      <c r="AB476" s="44" t="n">
        <f aca="false">IF(AA476=1,J476/H476,0)</f>
        <v>0</v>
      </c>
      <c r="AC476" s="44" t="n">
        <f aca="false">IF(AA476=1,Q476/H476,0)</f>
        <v>0</v>
      </c>
      <c r="AD476" s="44" t="n">
        <f aca="false">IF(AA476=1,R476/H476,0)</f>
        <v>0</v>
      </c>
      <c r="AE476" s="44" t="n">
        <f aca="false">IF(AA476=1,O476/H476,0)</f>
        <v>0</v>
      </c>
      <c r="AF476" s="44" t="n">
        <f aca="false">IF(AA476=1,K476/H476,0)</f>
        <v>0</v>
      </c>
      <c r="AG476" s="45" t="str">
        <f aca="false">IF(AA476=1,D476&amp;"|"&amp;TEXT(B476,"0"),"")</f>
        <v/>
      </c>
      <c r="AH476" s="43" t="n">
        <f aca="false">IF(AA476=1,H476,0)</f>
        <v>0</v>
      </c>
    </row>
    <row r="477" customFormat="false" ht="15" hidden="false" customHeight="false" outlineLevel="0" collapsed="false">
      <c r="A477" s="8" t="str">
        <f aca="false">IF(B477="","","B-"&amp;TEXT(ROW()-4,"0000"))</f>
        <v/>
      </c>
      <c r="B477" s="38"/>
      <c r="C477" s="38"/>
      <c r="D477" s="6"/>
      <c r="E477" s="6"/>
      <c r="F477" s="6"/>
      <c r="G477" s="11"/>
      <c r="H477" s="18" t="str">
        <f aca="false">IF(AND(ISNUMBER(B477),ISNUMBER(C477)),MAX(0,C477-B477),"")</f>
        <v/>
      </c>
      <c r="I477" s="37"/>
      <c r="J477" s="41" t="str">
        <f aca="false">IF(OR(D477="",N(H477)=0),"",IFERROR(IF(I477&lt;&gt;"",H477*I477,ROUND(((H477-(INT((WEEKDAY(B477-6)+H477-1)/7)+INT((WEEKDAY(B477-7)+H477-1)/7)))*INDEX(Properties!$E$5:$E$24,MATCH(D477,Properties!$A$5:$A$24,0))+(INT((WEEKDAY(B477-6)+H477-1)/7)+INT((WEEKDAY(B477-7)+H477-1)/7))*INDEX(Properties!$F$5:$F$24,MATCH(D477,Properties!$A$5:$A$24,0)))*(1-IF(H477&gt;=28,Settings!$B$10,IF(H477&gt;=7,Settings!$B$9,0))),2)),0))</f>
        <v/>
      </c>
      <c r="K477" s="41" t="str">
        <f aca="false">IF(J477="","",IFERROR(N(INDEX(Properties!$G$5:$G$24,MATCH(D477,Properties!$A$5:$A$24,0))),0))</f>
        <v/>
      </c>
      <c r="L477" s="41" t="str">
        <f aca="false">IF(J477="","",IFERROR(MAX(0,N(G477)-INDEX(Properties!$I$5:$I$24,MATCH(D477,Properties!$A$5:$A$24,0)))*N(INDEX(Properties!$J$5:$J$24,MATCH(D477,Properties!$A$5:$A$24,0)))*H477,0))</f>
        <v/>
      </c>
      <c r="M477" s="37"/>
      <c r="N477" s="41" t="str">
        <f aca="false">IF(J477="","",J477+K477+L477+N(M477))</f>
        <v/>
      </c>
      <c r="O477" s="41" t="str">
        <f aca="false">IF(N477="","",IF(P477&lt;&gt;"",N477-P477,ROUND(N477*IFERROR(INDEX(Settings!$E$5:$E$12,MATCH(F477,Settings!$D$5:$D$12,0)),0),2)))</f>
        <v/>
      </c>
      <c r="P477" s="37"/>
      <c r="Q477" s="41" t="str">
        <f aca="false">IF(N477="","",IF(P477&lt;&gt;"",P477,N477-O477))</f>
        <v/>
      </c>
      <c r="R477" s="41" t="str">
        <f aca="false">IF(J477="","",IFERROR(N(INDEX(Properties!$H$5:$H$24,MATCH(D477,Properties!$A$5:$A$24,0))),0))</f>
        <v/>
      </c>
      <c r="S477" s="41" t="str">
        <f aca="false">IF(Q477="","",Q477-R477)</f>
        <v/>
      </c>
      <c r="T477" s="6"/>
      <c r="U477" s="6"/>
      <c r="V477" s="6"/>
      <c r="W477" s="6"/>
      <c r="X477" s="6"/>
      <c r="Y477" s="8" t="str">
        <f aca="false">IF(OR(D477="",B477="",C477=""),"",IF(N(C477)&lt;=N(B477),"Check dates",IF(T477="Cancelled","",IF(COUNTIFS($D$5:$D$1004,D477,$B$5:$B$1004,"&lt;"&amp;C477,$C$5:$C$1004,"&gt;"&amp;B477,$T$5:$T$1004,"&lt;&gt;Cancelled")&gt;1,"Double-booked",""))))</f>
        <v/>
      </c>
      <c r="Z477" s="42" t="str">
        <f aca="false">IF(AND(AA477=1,ISNUMBER(C477)),C477+ROW()/100000,"")</f>
        <v/>
      </c>
      <c r="AA477" s="43" t="n">
        <f aca="false">IF(AND(D477&lt;&gt;"",ISNUMBER(B477),ISNUMBER(C477),N(H477)&gt;0,T477&lt;&gt;"Cancelled",J477&lt;&gt;""),1,0)</f>
        <v>0</v>
      </c>
      <c r="AB477" s="44" t="n">
        <f aca="false">IF(AA477=1,J477/H477,0)</f>
        <v>0</v>
      </c>
      <c r="AC477" s="44" t="n">
        <f aca="false">IF(AA477=1,Q477/H477,0)</f>
        <v>0</v>
      </c>
      <c r="AD477" s="44" t="n">
        <f aca="false">IF(AA477=1,R477/H477,0)</f>
        <v>0</v>
      </c>
      <c r="AE477" s="44" t="n">
        <f aca="false">IF(AA477=1,O477/H477,0)</f>
        <v>0</v>
      </c>
      <c r="AF477" s="44" t="n">
        <f aca="false">IF(AA477=1,K477/H477,0)</f>
        <v>0</v>
      </c>
      <c r="AG477" s="45" t="str">
        <f aca="false">IF(AA477=1,D477&amp;"|"&amp;TEXT(B477,"0"),"")</f>
        <v/>
      </c>
      <c r="AH477" s="43" t="n">
        <f aca="false">IF(AA477=1,H477,0)</f>
        <v>0</v>
      </c>
    </row>
    <row r="478" customFormat="false" ht="15" hidden="false" customHeight="false" outlineLevel="0" collapsed="false">
      <c r="A478" s="23" t="str">
        <f aca="false">IF(B478="","","B-"&amp;TEXT(ROW()-4,"0000"))</f>
        <v/>
      </c>
      <c r="B478" s="38"/>
      <c r="C478" s="38"/>
      <c r="D478" s="6"/>
      <c r="E478" s="6"/>
      <c r="F478" s="6"/>
      <c r="G478" s="11"/>
      <c r="H478" s="24" t="str">
        <f aca="false">IF(AND(ISNUMBER(B478),ISNUMBER(C478)),MAX(0,C478-B478),"")</f>
        <v/>
      </c>
      <c r="I478" s="37"/>
      <c r="J478" s="46" t="str">
        <f aca="false">IF(OR(D478="",N(H478)=0),"",IFERROR(IF(I478&lt;&gt;"",H478*I478,ROUND(((H478-(INT((WEEKDAY(B478-6)+H478-1)/7)+INT((WEEKDAY(B478-7)+H478-1)/7)))*INDEX(Properties!$E$5:$E$24,MATCH(D478,Properties!$A$5:$A$24,0))+(INT((WEEKDAY(B478-6)+H478-1)/7)+INT((WEEKDAY(B478-7)+H478-1)/7))*INDEX(Properties!$F$5:$F$24,MATCH(D478,Properties!$A$5:$A$24,0)))*(1-IF(H478&gt;=28,Settings!$B$10,IF(H478&gt;=7,Settings!$B$9,0))),2)),0))</f>
        <v/>
      </c>
      <c r="K478" s="46" t="str">
        <f aca="false">IF(J478="","",IFERROR(N(INDEX(Properties!$G$5:$G$24,MATCH(D478,Properties!$A$5:$A$24,0))),0))</f>
        <v/>
      </c>
      <c r="L478" s="46" t="str">
        <f aca="false">IF(J478="","",IFERROR(MAX(0,N(G478)-INDEX(Properties!$I$5:$I$24,MATCH(D478,Properties!$A$5:$A$24,0)))*N(INDEX(Properties!$J$5:$J$24,MATCH(D478,Properties!$A$5:$A$24,0)))*H478,0))</f>
        <v/>
      </c>
      <c r="M478" s="37"/>
      <c r="N478" s="46" t="str">
        <f aca="false">IF(J478="","",J478+K478+L478+N(M478))</f>
        <v/>
      </c>
      <c r="O478" s="46" t="str">
        <f aca="false">IF(N478="","",IF(P478&lt;&gt;"",N478-P478,ROUND(N478*IFERROR(INDEX(Settings!$E$5:$E$12,MATCH(F478,Settings!$D$5:$D$12,0)),0),2)))</f>
        <v/>
      </c>
      <c r="P478" s="37"/>
      <c r="Q478" s="46" t="str">
        <f aca="false">IF(N478="","",IF(P478&lt;&gt;"",P478,N478-O478))</f>
        <v/>
      </c>
      <c r="R478" s="46" t="str">
        <f aca="false">IF(J478="","",IFERROR(N(INDEX(Properties!$H$5:$H$24,MATCH(D478,Properties!$A$5:$A$24,0))),0))</f>
        <v/>
      </c>
      <c r="S478" s="46" t="str">
        <f aca="false">IF(Q478="","",Q478-R478)</f>
        <v/>
      </c>
      <c r="T478" s="6"/>
      <c r="U478" s="6"/>
      <c r="V478" s="6"/>
      <c r="W478" s="6"/>
      <c r="X478" s="6"/>
      <c r="Y478" s="8" t="str">
        <f aca="false">IF(OR(D478="",B478="",C478=""),"",IF(N(C478)&lt;=N(B478),"Check dates",IF(T478="Cancelled","",IF(COUNTIFS($D$5:$D$1004,D478,$B$5:$B$1004,"&lt;"&amp;C478,$C$5:$C$1004,"&gt;"&amp;B478,$T$5:$T$1004,"&lt;&gt;Cancelled")&gt;1,"Double-booked",""))))</f>
        <v/>
      </c>
      <c r="Z478" s="42" t="str">
        <f aca="false">IF(AND(AA478=1,ISNUMBER(C478)),C478+ROW()/100000,"")</f>
        <v/>
      </c>
      <c r="AA478" s="43" t="n">
        <f aca="false">IF(AND(D478&lt;&gt;"",ISNUMBER(B478),ISNUMBER(C478),N(H478)&gt;0,T478&lt;&gt;"Cancelled",J478&lt;&gt;""),1,0)</f>
        <v>0</v>
      </c>
      <c r="AB478" s="44" t="n">
        <f aca="false">IF(AA478=1,J478/H478,0)</f>
        <v>0</v>
      </c>
      <c r="AC478" s="44" t="n">
        <f aca="false">IF(AA478=1,Q478/H478,0)</f>
        <v>0</v>
      </c>
      <c r="AD478" s="44" t="n">
        <f aca="false">IF(AA478=1,R478/H478,0)</f>
        <v>0</v>
      </c>
      <c r="AE478" s="44" t="n">
        <f aca="false">IF(AA478=1,O478/H478,0)</f>
        <v>0</v>
      </c>
      <c r="AF478" s="44" t="n">
        <f aca="false">IF(AA478=1,K478/H478,0)</f>
        <v>0</v>
      </c>
      <c r="AG478" s="45" t="str">
        <f aca="false">IF(AA478=1,D478&amp;"|"&amp;TEXT(B478,"0"),"")</f>
        <v/>
      </c>
      <c r="AH478" s="43" t="n">
        <f aca="false">IF(AA478=1,H478,0)</f>
        <v>0</v>
      </c>
    </row>
    <row r="479" customFormat="false" ht="15" hidden="false" customHeight="false" outlineLevel="0" collapsed="false">
      <c r="A479" s="8" t="str">
        <f aca="false">IF(B479="","","B-"&amp;TEXT(ROW()-4,"0000"))</f>
        <v/>
      </c>
      <c r="B479" s="38"/>
      <c r="C479" s="38"/>
      <c r="D479" s="6"/>
      <c r="E479" s="6"/>
      <c r="F479" s="6"/>
      <c r="G479" s="11"/>
      <c r="H479" s="18" t="str">
        <f aca="false">IF(AND(ISNUMBER(B479),ISNUMBER(C479)),MAX(0,C479-B479),"")</f>
        <v/>
      </c>
      <c r="I479" s="37"/>
      <c r="J479" s="41" t="str">
        <f aca="false">IF(OR(D479="",N(H479)=0),"",IFERROR(IF(I479&lt;&gt;"",H479*I479,ROUND(((H479-(INT((WEEKDAY(B479-6)+H479-1)/7)+INT((WEEKDAY(B479-7)+H479-1)/7)))*INDEX(Properties!$E$5:$E$24,MATCH(D479,Properties!$A$5:$A$24,0))+(INT((WEEKDAY(B479-6)+H479-1)/7)+INT((WEEKDAY(B479-7)+H479-1)/7))*INDEX(Properties!$F$5:$F$24,MATCH(D479,Properties!$A$5:$A$24,0)))*(1-IF(H479&gt;=28,Settings!$B$10,IF(H479&gt;=7,Settings!$B$9,0))),2)),0))</f>
        <v/>
      </c>
      <c r="K479" s="41" t="str">
        <f aca="false">IF(J479="","",IFERROR(N(INDEX(Properties!$G$5:$G$24,MATCH(D479,Properties!$A$5:$A$24,0))),0))</f>
        <v/>
      </c>
      <c r="L479" s="41" t="str">
        <f aca="false">IF(J479="","",IFERROR(MAX(0,N(G479)-INDEX(Properties!$I$5:$I$24,MATCH(D479,Properties!$A$5:$A$24,0)))*N(INDEX(Properties!$J$5:$J$24,MATCH(D479,Properties!$A$5:$A$24,0)))*H479,0))</f>
        <v/>
      </c>
      <c r="M479" s="37"/>
      <c r="N479" s="41" t="str">
        <f aca="false">IF(J479="","",J479+K479+L479+N(M479))</f>
        <v/>
      </c>
      <c r="O479" s="41" t="str">
        <f aca="false">IF(N479="","",IF(P479&lt;&gt;"",N479-P479,ROUND(N479*IFERROR(INDEX(Settings!$E$5:$E$12,MATCH(F479,Settings!$D$5:$D$12,0)),0),2)))</f>
        <v/>
      </c>
      <c r="P479" s="37"/>
      <c r="Q479" s="41" t="str">
        <f aca="false">IF(N479="","",IF(P479&lt;&gt;"",P479,N479-O479))</f>
        <v/>
      </c>
      <c r="R479" s="41" t="str">
        <f aca="false">IF(J479="","",IFERROR(N(INDEX(Properties!$H$5:$H$24,MATCH(D479,Properties!$A$5:$A$24,0))),0))</f>
        <v/>
      </c>
      <c r="S479" s="41" t="str">
        <f aca="false">IF(Q479="","",Q479-R479)</f>
        <v/>
      </c>
      <c r="T479" s="6"/>
      <c r="U479" s="6"/>
      <c r="V479" s="6"/>
      <c r="W479" s="6"/>
      <c r="X479" s="6"/>
      <c r="Y479" s="8" t="str">
        <f aca="false">IF(OR(D479="",B479="",C479=""),"",IF(N(C479)&lt;=N(B479),"Check dates",IF(T479="Cancelled","",IF(COUNTIFS($D$5:$D$1004,D479,$B$5:$B$1004,"&lt;"&amp;C479,$C$5:$C$1004,"&gt;"&amp;B479,$T$5:$T$1004,"&lt;&gt;Cancelled")&gt;1,"Double-booked",""))))</f>
        <v/>
      </c>
      <c r="Z479" s="42" t="str">
        <f aca="false">IF(AND(AA479=1,ISNUMBER(C479)),C479+ROW()/100000,"")</f>
        <v/>
      </c>
      <c r="AA479" s="43" t="n">
        <f aca="false">IF(AND(D479&lt;&gt;"",ISNUMBER(B479),ISNUMBER(C479),N(H479)&gt;0,T479&lt;&gt;"Cancelled",J479&lt;&gt;""),1,0)</f>
        <v>0</v>
      </c>
      <c r="AB479" s="44" t="n">
        <f aca="false">IF(AA479=1,J479/H479,0)</f>
        <v>0</v>
      </c>
      <c r="AC479" s="44" t="n">
        <f aca="false">IF(AA479=1,Q479/H479,0)</f>
        <v>0</v>
      </c>
      <c r="AD479" s="44" t="n">
        <f aca="false">IF(AA479=1,R479/H479,0)</f>
        <v>0</v>
      </c>
      <c r="AE479" s="44" t="n">
        <f aca="false">IF(AA479=1,O479/H479,0)</f>
        <v>0</v>
      </c>
      <c r="AF479" s="44" t="n">
        <f aca="false">IF(AA479=1,K479/H479,0)</f>
        <v>0</v>
      </c>
      <c r="AG479" s="45" t="str">
        <f aca="false">IF(AA479=1,D479&amp;"|"&amp;TEXT(B479,"0"),"")</f>
        <v/>
      </c>
      <c r="AH479" s="43" t="n">
        <f aca="false">IF(AA479=1,H479,0)</f>
        <v>0</v>
      </c>
    </row>
    <row r="480" customFormat="false" ht="15" hidden="false" customHeight="false" outlineLevel="0" collapsed="false">
      <c r="A480" s="23" t="str">
        <f aca="false">IF(B480="","","B-"&amp;TEXT(ROW()-4,"0000"))</f>
        <v/>
      </c>
      <c r="B480" s="38"/>
      <c r="C480" s="38"/>
      <c r="D480" s="6"/>
      <c r="E480" s="6"/>
      <c r="F480" s="6"/>
      <c r="G480" s="11"/>
      <c r="H480" s="24" t="str">
        <f aca="false">IF(AND(ISNUMBER(B480),ISNUMBER(C480)),MAX(0,C480-B480),"")</f>
        <v/>
      </c>
      <c r="I480" s="37"/>
      <c r="J480" s="46" t="str">
        <f aca="false">IF(OR(D480="",N(H480)=0),"",IFERROR(IF(I480&lt;&gt;"",H480*I480,ROUND(((H480-(INT((WEEKDAY(B480-6)+H480-1)/7)+INT((WEEKDAY(B480-7)+H480-1)/7)))*INDEX(Properties!$E$5:$E$24,MATCH(D480,Properties!$A$5:$A$24,0))+(INT((WEEKDAY(B480-6)+H480-1)/7)+INT((WEEKDAY(B480-7)+H480-1)/7))*INDEX(Properties!$F$5:$F$24,MATCH(D480,Properties!$A$5:$A$24,0)))*(1-IF(H480&gt;=28,Settings!$B$10,IF(H480&gt;=7,Settings!$B$9,0))),2)),0))</f>
        <v/>
      </c>
      <c r="K480" s="46" t="str">
        <f aca="false">IF(J480="","",IFERROR(N(INDEX(Properties!$G$5:$G$24,MATCH(D480,Properties!$A$5:$A$24,0))),0))</f>
        <v/>
      </c>
      <c r="L480" s="46" t="str">
        <f aca="false">IF(J480="","",IFERROR(MAX(0,N(G480)-INDEX(Properties!$I$5:$I$24,MATCH(D480,Properties!$A$5:$A$24,0)))*N(INDEX(Properties!$J$5:$J$24,MATCH(D480,Properties!$A$5:$A$24,0)))*H480,0))</f>
        <v/>
      </c>
      <c r="M480" s="37"/>
      <c r="N480" s="46" t="str">
        <f aca="false">IF(J480="","",J480+K480+L480+N(M480))</f>
        <v/>
      </c>
      <c r="O480" s="46" t="str">
        <f aca="false">IF(N480="","",IF(P480&lt;&gt;"",N480-P480,ROUND(N480*IFERROR(INDEX(Settings!$E$5:$E$12,MATCH(F480,Settings!$D$5:$D$12,0)),0),2)))</f>
        <v/>
      </c>
      <c r="P480" s="37"/>
      <c r="Q480" s="46" t="str">
        <f aca="false">IF(N480="","",IF(P480&lt;&gt;"",P480,N480-O480))</f>
        <v/>
      </c>
      <c r="R480" s="46" t="str">
        <f aca="false">IF(J480="","",IFERROR(N(INDEX(Properties!$H$5:$H$24,MATCH(D480,Properties!$A$5:$A$24,0))),0))</f>
        <v/>
      </c>
      <c r="S480" s="46" t="str">
        <f aca="false">IF(Q480="","",Q480-R480)</f>
        <v/>
      </c>
      <c r="T480" s="6"/>
      <c r="U480" s="6"/>
      <c r="V480" s="6"/>
      <c r="W480" s="6"/>
      <c r="X480" s="6"/>
      <c r="Y480" s="8" t="str">
        <f aca="false">IF(OR(D480="",B480="",C480=""),"",IF(N(C480)&lt;=N(B480),"Check dates",IF(T480="Cancelled","",IF(COUNTIFS($D$5:$D$1004,D480,$B$5:$B$1004,"&lt;"&amp;C480,$C$5:$C$1004,"&gt;"&amp;B480,$T$5:$T$1004,"&lt;&gt;Cancelled")&gt;1,"Double-booked",""))))</f>
        <v/>
      </c>
      <c r="Z480" s="42" t="str">
        <f aca="false">IF(AND(AA480=1,ISNUMBER(C480)),C480+ROW()/100000,"")</f>
        <v/>
      </c>
      <c r="AA480" s="43" t="n">
        <f aca="false">IF(AND(D480&lt;&gt;"",ISNUMBER(B480),ISNUMBER(C480),N(H480)&gt;0,T480&lt;&gt;"Cancelled",J480&lt;&gt;""),1,0)</f>
        <v>0</v>
      </c>
      <c r="AB480" s="44" t="n">
        <f aca="false">IF(AA480=1,J480/H480,0)</f>
        <v>0</v>
      </c>
      <c r="AC480" s="44" t="n">
        <f aca="false">IF(AA480=1,Q480/H480,0)</f>
        <v>0</v>
      </c>
      <c r="AD480" s="44" t="n">
        <f aca="false">IF(AA480=1,R480/H480,0)</f>
        <v>0</v>
      </c>
      <c r="AE480" s="44" t="n">
        <f aca="false">IF(AA480=1,O480/H480,0)</f>
        <v>0</v>
      </c>
      <c r="AF480" s="44" t="n">
        <f aca="false">IF(AA480=1,K480/H480,0)</f>
        <v>0</v>
      </c>
      <c r="AG480" s="45" t="str">
        <f aca="false">IF(AA480=1,D480&amp;"|"&amp;TEXT(B480,"0"),"")</f>
        <v/>
      </c>
      <c r="AH480" s="43" t="n">
        <f aca="false">IF(AA480=1,H480,0)</f>
        <v>0</v>
      </c>
    </row>
    <row r="481" customFormat="false" ht="15" hidden="false" customHeight="false" outlineLevel="0" collapsed="false">
      <c r="A481" s="8" t="str">
        <f aca="false">IF(B481="","","B-"&amp;TEXT(ROW()-4,"0000"))</f>
        <v/>
      </c>
      <c r="B481" s="38"/>
      <c r="C481" s="38"/>
      <c r="D481" s="6"/>
      <c r="E481" s="6"/>
      <c r="F481" s="6"/>
      <c r="G481" s="11"/>
      <c r="H481" s="18" t="str">
        <f aca="false">IF(AND(ISNUMBER(B481),ISNUMBER(C481)),MAX(0,C481-B481),"")</f>
        <v/>
      </c>
      <c r="I481" s="37"/>
      <c r="J481" s="41" t="str">
        <f aca="false">IF(OR(D481="",N(H481)=0),"",IFERROR(IF(I481&lt;&gt;"",H481*I481,ROUND(((H481-(INT((WEEKDAY(B481-6)+H481-1)/7)+INT((WEEKDAY(B481-7)+H481-1)/7)))*INDEX(Properties!$E$5:$E$24,MATCH(D481,Properties!$A$5:$A$24,0))+(INT((WEEKDAY(B481-6)+H481-1)/7)+INT((WEEKDAY(B481-7)+H481-1)/7))*INDEX(Properties!$F$5:$F$24,MATCH(D481,Properties!$A$5:$A$24,0)))*(1-IF(H481&gt;=28,Settings!$B$10,IF(H481&gt;=7,Settings!$B$9,0))),2)),0))</f>
        <v/>
      </c>
      <c r="K481" s="41" t="str">
        <f aca="false">IF(J481="","",IFERROR(N(INDEX(Properties!$G$5:$G$24,MATCH(D481,Properties!$A$5:$A$24,0))),0))</f>
        <v/>
      </c>
      <c r="L481" s="41" t="str">
        <f aca="false">IF(J481="","",IFERROR(MAX(0,N(G481)-INDEX(Properties!$I$5:$I$24,MATCH(D481,Properties!$A$5:$A$24,0)))*N(INDEX(Properties!$J$5:$J$24,MATCH(D481,Properties!$A$5:$A$24,0)))*H481,0))</f>
        <v/>
      </c>
      <c r="M481" s="37"/>
      <c r="N481" s="41" t="str">
        <f aca="false">IF(J481="","",J481+K481+L481+N(M481))</f>
        <v/>
      </c>
      <c r="O481" s="41" t="str">
        <f aca="false">IF(N481="","",IF(P481&lt;&gt;"",N481-P481,ROUND(N481*IFERROR(INDEX(Settings!$E$5:$E$12,MATCH(F481,Settings!$D$5:$D$12,0)),0),2)))</f>
        <v/>
      </c>
      <c r="P481" s="37"/>
      <c r="Q481" s="41" t="str">
        <f aca="false">IF(N481="","",IF(P481&lt;&gt;"",P481,N481-O481))</f>
        <v/>
      </c>
      <c r="R481" s="41" t="str">
        <f aca="false">IF(J481="","",IFERROR(N(INDEX(Properties!$H$5:$H$24,MATCH(D481,Properties!$A$5:$A$24,0))),0))</f>
        <v/>
      </c>
      <c r="S481" s="41" t="str">
        <f aca="false">IF(Q481="","",Q481-R481)</f>
        <v/>
      </c>
      <c r="T481" s="6"/>
      <c r="U481" s="6"/>
      <c r="V481" s="6"/>
      <c r="W481" s="6"/>
      <c r="X481" s="6"/>
      <c r="Y481" s="8" t="str">
        <f aca="false">IF(OR(D481="",B481="",C481=""),"",IF(N(C481)&lt;=N(B481),"Check dates",IF(T481="Cancelled","",IF(COUNTIFS($D$5:$D$1004,D481,$B$5:$B$1004,"&lt;"&amp;C481,$C$5:$C$1004,"&gt;"&amp;B481,$T$5:$T$1004,"&lt;&gt;Cancelled")&gt;1,"Double-booked",""))))</f>
        <v/>
      </c>
      <c r="Z481" s="42" t="str">
        <f aca="false">IF(AND(AA481=1,ISNUMBER(C481)),C481+ROW()/100000,"")</f>
        <v/>
      </c>
      <c r="AA481" s="43" t="n">
        <f aca="false">IF(AND(D481&lt;&gt;"",ISNUMBER(B481),ISNUMBER(C481),N(H481)&gt;0,T481&lt;&gt;"Cancelled",J481&lt;&gt;""),1,0)</f>
        <v>0</v>
      </c>
      <c r="AB481" s="44" t="n">
        <f aca="false">IF(AA481=1,J481/H481,0)</f>
        <v>0</v>
      </c>
      <c r="AC481" s="44" t="n">
        <f aca="false">IF(AA481=1,Q481/H481,0)</f>
        <v>0</v>
      </c>
      <c r="AD481" s="44" t="n">
        <f aca="false">IF(AA481=1,R481/H481,0)</f>
        <v>0</v>
      </c>
      <c r="AE481" s="44" t="n">
        <f aca="false">IF(AA481=1,O481/H481,0)</f>
        <v>0</v>
      </c>
      <c r="AF481" s="44" t="n">
        <f aca="false">IF(AA481=1,K481/H481,0)</f>
        <v>0</v>
      </c>
      <c r="AG481" s="45" t="str">
        <f aca="false">IF(AA481=1,D481&amp;"|"&amp;TEXT(B481,"0"),"")</f>
        <v/>
      </c>
      <c r="AH481" s="43" t="n">
        <f aca="false">IF(AA481=1,H481,0)</f>
        <v>0</v>
      </c>
    </row>
    <row r="482" customFormat="false" ht="15" hidden="false" customHeight="false" outlineLevel="0" collapsed="false">
      <c r="A482" s="23" t="str">
        <f aca="false">IF(B482="","","B-"&amp;TEXT(ROW()-4,"0000"))</f>
        <v/>
      </c>
      <c r="B482" s="38"/>
      <c r="C482" s="38"/>
      <c r="D482" s="6"/>
      <c r="E482" s="6"/>
      <c r="F482" s="6"/>
      <c r="G482" s="11"/>
      <c r="H482" s="24" t="str">
        <f aca="false">IF(AND(ISNUMBER(B482),ISNUMBER(C482)),MAX(0,C482-B482),"")</f>
        <v/>
      </c>
      <c r="I482" s="37"/>
      <c r="J482" s="46" t="str">
        <f aca="false">IF(OR(D482="",N(H482)=0),"",IFERROR(IF(I482&lt;&gt;"",H482*I482,ROUND(((H482-(INT((WEEKDAY(B482-6)+H482-1)/7)+INT((WEEKDAY(B482-7)+H482-1)/7)))*INDEX(Properties!$E$5:$E$24,MATCH(D482,Properties!$A$5:$A$24,0))+(INT((WEEKDAY(B482-6)+H482-1)/7)+INT((WEEKDAY(B482-7)+H482-1)/7))*INDEX(Properties!$F$5:$F$24,MATCH(D482,Properties!$A$5:$A$24,0)))*(1-IF(H482&gt;=28,Settings!$B$10,IF(H482&gt;=7,Settings!$B$9,0))),2)),0))</f>
        <v/>
      </c>
      <c r="K482" s="46" t="str">
        <f aca="false">IF(J482="","",IFERROR(N(INDEX(Properties!$G$5:$G$24,MATCH(D482,Properties!$A$5:$A$24,0))),0))</f>
        <v/>
      </c>
      <c r="L482" s="46" t="str">
        <f aca="false">IF(J482="","",IFERROR(MAX(0,N(G482)-INDEX(Properties!$I$5:$I$24,MATCH(D482,Properties!$A$5:$A$24,0)))*N(INDEX(Properties!$J$5:$J$24,MATCH(D482,Properties!$A$5:$A$24,0)))*H482,0))</f>
        <v/>
      </c>
      <c r="M482" s="37"/>
      <c r="N482" s="46" t="str">
        <f aca="false">IF(J482="","",J482+K482+L482+N(M482))</f>
        <v/>
      </c>
      <c r="O482" s="46" t="str">
        <f aca="false">IF(N482="","",IF(P482&lt;&gt;"",N482-P482,ROUND(N482*IFERROR(INDEX(Settings!$E$5:$E$12,MATCH(F482,Settings!$D$5:$D$12,0)),0),2)))</f>
        <v/>
      </c>
      <c r="P482" s="37"/>
      <c r="Q482" s="46" t="str">
        <f aca="false">IF(N482="","",IF(P482&lt;&gt;"",P482,N482-O482))</f>
        <v/>
      </c>
      <c r="R482" s="46" t="str">
        <f aca="false">IF(J482="","",IFERROR(N(INDEX(Properties!$H$5:$H$24,MATCH(D482,Properties!$A$5:$A$24,0))),0))</f>
        <v/>
      </c>
      <c r="S482" s="46" t="str">
        <f aca="false">IF(Q482="","",Q482-R482)</f>
        <v/>
      </c>
      <c r="T482" s="6"/>
      <c r="U482" s="6"/>
      <c r="V482" s="6"/>
      <c r="W482" s="6"/>
      <c r="X482" s="6"/>
      <c r="Y482" s="8" t="str">
        <f aca="false">IF(OR(D482="",B482="",C482=""),"",IF(N(C482)&lt;=N(B482),"Check dates",IF(T482="Cancelled","",IF(COUNTIFS($D$5:$D$1004,D482,$B$5:$B$1004,"&lt;"&amp;C482,$C$5:$C$1004,"&gt;"&amp;B482,$T$5:$T$1004,"&lt;&gt;Cancelled")&gt;1,"Double-booked",""))))</f>
        <v/>
      </c>
      <c r="Z482" s="42" t="str">
        <f aca="false">IF(AND(AA482=1,ISNUMBER(C482)),C482+ROW()/100000,"")</f>
        <v/>
      </c>
      <c r="AA482" s="43" t="n">
        <f aca="false">IF(AND(D482&lt;&gt;"",ISNUMBER(B482),ISNUMBER(C482),N(H482)&gt;0,T482&lt;&gt;"Cancelled",J482&lt;&gt;""),1,0)</f>
        <v>0</v>
      </c>
      <c r="AB482" s="44" t="n">
        <f aca="false">IF(AA482=1,J482/H482,0)</f>
        <v>0</v>
      </c>
      <c r="AC482" s="44" t="n">
        <f aca="false">IF(AA482=1,Q482/H482,0)</f>
        <v>0</v>
      </c>
      <c r="AD482" s="44" t="n">
        <f aca="false">IF(AA482=1,R482/H482,0)</f>
        <v>0</v>
      </c>
      <c r="AE482" s="44" t="n">
        <f aca="false">IF(AA482=1,O482/H482,0)</f>
        <v>0</v>
      </c>
      <c r="AF482" s="44" t="n">
        <f aca="false">IF(AA482=1,K482/H482,0)</f>
        <v>0</v>
      </c>
      <c r="AG482" s="45" t="str">
        <f aca="false">IF(AA482=1,D482&amp;"|"&amp;TEXT(B482,"0"),"")</f>
        <v/>
      </c>
      <c r="AH482" s="43" t="n">
        <f aca="false">IF(AA482=1,H482,0)</f>
        <v>0</v>
      </c>
    </row>
    <row r="483" customFormat="false" ht="15" hidden="false" customHeight="false" outlineLevel="0" collapsed="false">
      <c r="A483" s="8" t="str">
        <f aca="false">IF(B483="","","B-"&amp;TEXT(ROW()-4,"0000"))</f>
        <v/>
      </c>
      <c r="B483" s="38"/>
      <c r="C483" s="38"/>
      <c r="D483" s="6"/>
      <c r="E483" s="6"/>
      <c r="F483" s="6"/>
      <c r="G483" s="11"/>
      <c r="H483" s="18" t="str">
        <f aca="false">IF(AND(ISNUMBER(B483),ISNUMBER(C483)),MAX(0,C483-B483),"")</f>
        <v/>
      </c>
      <c r="I483" s="37"/>
      <c r="J483" s="41" t="str">
        <f aca="false">IF(OR(D483="",N(H483)=0),"",IFERROR(IF(I483&lt;&gt;"",H483*I483,ROUND(((H483-(INT((WEEKDAY(B483-6)+H483-1)/7)+INT((WEEKDAY(B483-7)+H483-1)/7)))*INDEX(Properties!$E$5:$E$24,MATCH(D483,Properties!$A$5:$A$24,0))+(INT((WEEKDAY(B483-6)+H483-1)/7)+INT((WEEKDAY(B483-7)+H483-1)/7))*INDEX(Properties!$F$5:$F$24,MATCH(D483,Properties!$A$5:$A$24,0)))*(1-IF(H483&gt;=28,Settings!$B$10,IF(H483&gt;=7,Settings!$B$9,0))),2)),0))</f>
        <v/>
      </c>
      <c r="K483" s="41" t="str">
        <f aca="false">IF(J483="","",IFERROR(N(INDEX(Properties!$G$5:$G$24,MATCH(D483,Properties!$A$5:$A$24,0))),0))</f>
        <v/>
      </c>
      <c r="L483" s="41" t="str">
        <f aca="false">IF(J483="","",IFERROR(MAX(0,N(G483)-INDEX(Properties!$I$5:$I$24,MATCH(D483,Properties!$A$5:$A$24,0)))*N(INDEX(Properties!$J$5:$J$24,MATCH(D483,Properties!$A$5:$A$24,0)))*H483,0))</f>
        <v/>
      </c>
      <c r="M483" s="37"/>
      <c r="N483" s="41" t="str">
        <f aca="false">IF(J483="","",J483+K483+L483+N(M483))</f>
        <v/>
      </c>
      <c r="O483" s="41" t="str">
        <f aca="false">IF(N483="","",IF(P483&lt;&gt;"",N483-P483,ROUND(N483*IFERROR(INDEX(Settings!$E$5:$E$12,MATCH(F483,Settings!$D$5:$D$12,0)),0),2)))</f>
        <v/>
      </c>
      <c r="P483" s="37"/>
      <c r="Q483" s="41" t="str">
        <f aca="false">IF(N483="","",IF(P483&lt;&gt;"",P483,N483-O483))</f>
        <v/>
      </c>
      <c r="R483" s="41" t="str">
        <f aca="false">IF(J483="","",IFERROR(N(INDEX(Properties!$H$5:$H$24,MATCH(D483,Properties!$A$5:$A$24,0))),0))</f>
        <v/>
      </c>
      <c r="S483" s="41" t="str">
        <f aca="false">IF(Q483="","",Q483-R483)</f>
        <v/>
      </c>
      <c r="T483" s="6"/>
      <c r="U483" s="6"/>
      <c r="V483" s="6"/>
      <c r="W483" s="6"/>
      <c r="X483" s="6"/>
      <c r="Y483" s="8" t="str">
        <f aca="false">IF(OR(D483="",B483="",C483=""),"",IF(N(C483)&lt;=N(B483),"Check dates",IF(T483="Cancelled","",IF(COUNTIFS($D$5:$D$1004,D483,$B$5:$B$1004,"&lt;"&amp;C483,$C$5:$C$1004,"&gt;"&amp;B483,$T$5:$T$1004,"&lt;&gt;Cancelled")&gt;1,"Double-booked",""))))</f>
        <v/>
      </c>
      <c r="Z483" s="42" t="str">
        <f aca="false">IF(AND(AA483=1,ISNUMBER(C483)),C483+ROW()/100000,"")</f>
        <v/>
      </c>
      <c r="AA483" s="43" t="n">
        <f aca="false">IF(AND(D483&lt;&gt;"",ISNUMBER(B483),ISNUMBER(C483),N(H483)&gt;0,T483&lt;&gt;"Cancelled",J483&lt;&gt;""),1,0)</f>
        <v>0</v>
      </c>
      <c r="AB483" s="44" t="n">
        <f aca="false">IF(AA483=1,J483/H483,0)</f>
        <v>0</v>
      </c>
      <c r="AC483" s="44" t="n">
        <f aca="false">IF(AA483=1,Q483/H483,0)</f>
        <v>0</v>
      </c>
      <c r="AD483" s="44" t="n">
        <f aca="false">IF(AA483=1,R483/H483,0)</f>
        <v>0</v>
      </c>
      <c r="AE483" s="44" t="n">
        <f aca="false">IF(AA483=1,O483/H483,0)</f>
        <v>0</v>
      </c>
      <c r="AF483" s="44" t="n">
        <f aca="false">IF(AA483=1,K483/H483,0)</f>
        <v>0</v>
      </c>
      <c r="AG483" s="45" t="str">
        <f aca="false">IF(AA483=1,D483&amp;"|"&amp;TEXT(B483,"0"),"")</f>
        <v/>
      </c>
      <c r="AH483" s="43" t="n">
        <f aca="false">IF(AA483=1,H483,0)</f>
        <v>0</v>
      </c>
    </row>
    <row r="484" customFormat="false" ht="15" hidden="false" customHeight="false" outlineLevel="0" collapsed="false">
      <c r="A484" s="23" t="str">
        <f aca="false">IF(B484="","","B-"&amp;TEXT(ROW()-4,"0000"))</f>
        <v/>
      </c>
      <c r="B484" s="38"/>
      <c r="C484" s="38"/>
      <c r="D484" s="6"/>
      <c r="E484" s="6"/>
      <c r="F484" s="6"/>
      <c r="G484" s="11"/>
      <c r="H484" s="24" t="str">
        <f aca="false">IF(AND(ISNUMBER(B484),ISNUMBER(C484)),MAX(0,C484-B484),"")</f>
        <v/>
      </c>
      <c r="I484" s="37"/>
      <c r="J484" s="46" t="str">
        <f aca="false">IF(OR(D484="",N(H484)=0),"",IFERROR(IF(I484&lt;&gt;"",H484*I484,ROUND(((H484-(INT((WEEKDAY(B484-6)+H484-1)/7)+INT((WEEKDAY(B484-7)+H484-1)/7)))*INDEX(Properties!$E$5:$E$24,MATCH(D484,Properties!$A$5:$A$24,0))+(INT((WEEKDAY(B484-6)+H484-1)/7)+INT((WEEKDAY(B484-7)+H484-1)/7))*INDEX(Properties!$F$5:$F$24,MATCH(D484,Properties!$A$5:$A$24,0)))*(1-IF(H484&gt;=28,Settings!$B$10,IF(H484&gt;=7,Settings!$B$9,0))),2)),0))</f>
        <v/>
      </c>
      <c r="K484" s="46" t="str">
        <f aca="false">IF(J484="","",IFERROR(N(INDEX(Properties!$G$5:$G$24,MATCH(D484,Properties!$A$5:$A$24,0))),0))</f>
        <v/>
      </c>
      <c r="L484" s="46" t="str">
        <f aca="false">IF(J484="","",IFERROR(MAX(0,N(G484)-INDEX(Properties!$I$5:$I$24,MATCH(D484,Properties!$A$5:$A$24,0)))*N(INDEX(Properties!$J$5:$J$24,MATCH(D484,Properties!$A$5:$A$24,0)))*H484,0))</f>
        <v/>
      </c>
      <c r="M484" s="37"/>
      <c r="N484" s="46" t="str">
        <f aca="false">IF(J484="","",J484+K484+L484+N(M484))</f>
        <v/>
      </c>
      <c r="O484" s="46" t="str">
        <f aca="false">IF(N484="","",IF(P484&lt;&gt;"",N484-P484,ROUND(N484*IFERROR(INDEX(Settings!$E$5:$E$12,MATCH(F484,Settings!$D$5:$D$12,0)),0),2)))</f>
        <v/>
      </c>
      <c r="P484" s="37"/>
      <c r="Q484" s="46" t="str">
        <f aca="false">IF(N484="","",IF(P484&lt;&gt;"",P484,N484-O484))</f>
        <v/>
      </c>
      <c r="R484" s="46" t="str">
        <f aca="false">IF(J484="","",IFERROR(N(INDEX(Properties!$H$5:$H$24,MATCH(D484,Properties!$A$5:$A$24,0))),0))</f>
        <v/>
      </c>
      <c r="S484" s="46" t="str">
        <f aca="false">IF(Q484="","",Q484-R484)</f>
        <v/>
      </c>
      <c r="T484" s="6"/>
      <c r="U484" s="6"/>
      <c r="V484" s="6"/>
      <c r="W484" s="6"/>
      <c r="X484" s="6"/>
      <c r="Y484" s="8" t="str">
        <f aca="false">IF(OR(D484="",B484="",C484=""),"",IF(N(C484)&lt;=N(B484),"Check dates",IF(T484="Cancelled","",IF(COUNTIFS($D$5:$D$1004,D484,$B$5:$B$1004,"&lt;"&amp;C484,$C$5:$C$1004,"&gt;"&amp;B484,$T$5:$T$1004,"&lt;&gt;Cancelled")&gt;1,"Double-booked",""))))</f>
        <v/>
      </c>
      <c r="Z484" s="42" t="str">
        <f aca="false">IF(AND(AA484=1,ISNUMBER(C484)),C484+ROW()/100000,"")</f>
        <v/>
      </c>
      <c r="AA484" s="43" t="n">
        <f aca="false">IF(AND(D484&lt;&gt;"",ISNUMBER(B484),ISNUMBER(C484),N(H484)&gt;0,T484&lt;&gt;"Cancelled",J484&lt;&gt;""),1,0)</f>
        <v>0</v>
      </c>
      <c r="AB484" s="44" t="n">
        <f aca="false">IF(AA484=1,J484/H484,0)</f>
        <v>0</v>
      </c>
      <c r="AC484" s="44" t="n">
        <f aca="false">IF(AA484=1,Q484/H484,0)</f>
        <v>0</v>
      </c>
      <c r="AD484" s="44" t="n">
        <f aca="false">IF(AA484=1,R484/H484,0)</f>
        <v>0</v>
      </c>
      <c r="AE484" s="44" t="n">
        <f aca="false">IF(AA484=1,O484/H484,0)</f>
        <v>0</v>
      </c>
      <c r="AF484" s="44" t="n">
        <f aca="false">IF(AA484=1,K484/H484,0)</f>
        <v>0</v>
      </c>
      <c r="AG484" s="45" t="str">
        <f aca="false">IF(AA484=1,D484&amp;"|"&amp;TEXT(B484,"0"),"")</f>
        <v/>
      </c>
      <c r="AH484" s="43" t="n">
        <f aca="false">IF(AA484=1,H484,0)</f>
        <v>0</v>
      </c>
    </row>
    <row r="485" customFormat="false" ht="15" hidden="false" customHeight="false" outlineLevel="0" collapsed="false">
      <c r="A485" s="8" t="str">
        <f aca="false">IF(B485="","","B-"&amp;TEXT(ROW()-4,"0000"))</f>
        <v/>
      </c>
      <c r="B485" s="38"/>
      <c r="C485" s="38"/>
      <c r="D485" s="6"/>
      <c r="E485" s="6"/>
      <c r="F485" s="6"/>
      <c r="G485" s="11"/>
      <c r="H485" s="18" t="str">
        <f aca="false">IF(AND(ISNUMBER(B485),ISNUMBER(C485)),MAX(0,C485-B485),"")</f>
        <v/>
      </c>
      <c r="I485" s="37"/>
      <c r="J485" s="41" t="str">
        <f aca="false">IF(OR(D485="",N(H485)=0),"",IFERROR(IF(I485&lt;&gt;"",H485*I485,ROUND(((H485-(INT((WEEKDAY(B485-6)+H485-1)/7)+INT((WEEKDAY(B485-7)+H485-1)/7)))*INDEX(Properties!$E$5:$E$24,MATCH(D485,Properties!$A$5:$A$24,0))+(INT((WEEKDAY(B485-6)+H485-1)/7)+INT((WEEKDAY(B485-7)+H485-1)/7))*INDEX(Properties!$F$5:$F$24,MATCH(D485,Properties!$A$5:$A$24,0)))*(1-IF(H485&gt;=28,Settings!$B$10,IF(H485&gt;=7,Settings!$B$9,0))),2)),0))</f>
        <v/>
      </c>
      <c r="K485" s="41" t="str">
        <f aca="false">IF(J485="","",IFERROR(N(INDEX(Properties!$G$5:$G$24,MATCH(D485,Properties!$A$5:$A$24,0))),0))</f>
        <v/>
      </c>
      <c r="L485" s="41" t="str">
        <f aca="false">IF(J485="","",IFERROR(MAX(0,N(G485)-INDEX(Properties!$I$5:$I$24,MATCH(D485,Properties!$A$5:$A$24,0)))*N(INDEX(Properties!$J$5:$J$24,MATCH(D485,Properties!$A$5:$A$24,0)))*H485,0))</f>
        <v/>
      </c>
      <c r="M485" s="37"/>
      <c r="N485" s="41" t="str">
        <f aca="false">IF(J485="","",J485+K485+L485+N(M485))</f>
        <v/>
      </c>
      <c r="O485" s="41" t="str">
        <f aca="false">IF(N485="","",IF(P485&lt;&gt;"",N485-P485,ROUND(N485*IFERROR(INDEX(Settings!$E$5:$E$12,MATCH(F485,Settings!$D$5:$D$12,0)),0),2)))</f>
        <v/>
      </c>
      <c r="P485" s="37"/>
      <c r="Q485" s="41" t="str">
        <f aca="false">IF(N485="","",IF(P485&lt;&gt;"",P485,N485-O485))</f>
        <v/>
      </c>
      <c r="R485" s="41" t="str">
        <f aca="false">IF(J485="","",IFERROR(N(INDEX(Properties!$H$5:$H$24,MATCH(D485,Properties!$A$5:$A$24,0))),0))</f>
        <v/>
      </c>
      <c r="S485" s="41" t="str">
        <f aca="false">IF(Q485="","",Q485-R485)</f>
        <v/>
      </c>
      <c r="T485" s="6"/>
      <c r="U485" s="6"/>
      <c r="V485" s="6"/>
      <c r="W485" s="6"/>
      <c r="X485" s="6"/>
      <c r="Y485" s="8" t="str">
        <f aca="false">IF(OR(D485="",B485="",C485=""),"",IF(N(C485)&lt;=N(B485),"Check dates",IF(T485="Cancelled","",IF(COUNTIFS($D$5:$D$1004,D485,$B$5:$B$1004,"&lt;"&amp;C485,$C$5:$C$1004,"&gt;"&amp;B485,$T$5:$T$1004,"&lt;&gt;Cancelled")&gt;1,"Double-booked",""))))</f>
        <v/>
      </c>
      <c r="Z485" s="42" t="str">
        <f aca="false">IF(AND(AA485=1,ISNUMBER(C485)),C485+ROW()/100000,"")</f>
        <v/>
      </c>
      <c r="AA485" s="43" t="n">
        <f aca="false">IF(AND(D485&lt;&gt;"",ISNUMBER(B485),ISNUMBER(C485),N(H485)&gt;0,T485&lt;&gt;"Cancelled",J485&lt;&gt;""),1,0)</f>
        <v>0</v>
      </c>
      <c r="AB485" s="44" t="n">
        <f aca="false">IF(AA485=1,J485/H485,0)</f>
        <v>0</v>
      </c>
      <c r="AC485" s="44" t="n">
        <f aca="false">IF(AA485=1,Q485/H485,0)</f>
        <v>0</v>
      </c>
      <c r="AD485" s="44" t="n">
        <f aca="false">IF(AA485=1,R485/H485,0)</f>
        <v>0</v>
      </c>
      <c r="AE485" s="44" t="n">
        <f aca="false">IF(AA485=1,O485/H485,0)</f>
        <v>0</v>
      </c>
      <c r="AF485" s="44" t="n">
        <f aca="false">IF(AA485=1,K485/H485,0)</f>
        <v>0</v>
      </c>
      <c r="AG485" s="45" t="str">
        <f aca="false">IF(AA485=1,D485&amp;"|"&amp;TEXT(B485,"0"),"")</f>
        <v/>
      </c>
      <c r="AH485" s="43" t="n">
        <f aca="false">IF(AA485=1,H485,0)</f>
        <v>0</v>
      </c>
    </row>
    <row r="486" customFormat="false" ht="15" hidden="false" customHeight="false" outlineLevel="0" collapsed="false">
      <c r="A486" s="23" t="str">
        <f aca="false">IF(B486="","","B-"&amp;TEXT(ROW()-4,"0000"))</f>
        <v/>
      </c>
      <c r="B486" s="38"/>
      <c r="C486" s="38"/>
      <c r="D486" s="6"/>
      <c r="E486" s="6"/>
      <c r="F486" s="6"/>
      <c r="G486" s="11"/>
      <c r="H486" s="24" t="str">
        <f aca="false">IF(AND(ISNUMBER(B486),ISNUMBER(C486)),MAX(0,C486-B486),"")</f>
        <v/>
      </c>
      <c r="I486" s="37"/>
      <c r="J486" s="46" t="str">
        <f aca="false">IF(OR(D486="",N(H486)=0),"",IFERROR(IF(I486&lt;&gt;"",H486*I486,ROUND(((H486-(INT((WEEKDAY(B486-6)+H486-1)/7)+INT((WEEKDAY(B486-7)+H486-1)/7)))*INDEX(Properties!$E$5:$E$24,MATCH(D486,Properties!$A$5:$A$24,0))+(INT((WEEKDAY(B486-6)+H486-1)/7)+INT((WEEKDAY(B486-7)+H486-1)/7))*INDEX(Properties!$F$5:$F$24,MATCH(D486,Properties!$A$5:$A$24,0)))*(1-IF(H486&gt;=28,Settings!$B$10,IF(H486&gt;=7,Settings!$B$9,0))),2)),0))</f>
        <v/>
      </c>
      <c r="K486" s="46" t="str">
        <f aca="false">IF(J486="","",IFERROR(N(INDEX(Properties!$G$5:$G$24,MATCH(D486,Properties!$A$5:$A$24,0))),0))</f>
        <v/>
      </c>
      <c r="L486" s="46" t="str">
        <f aca="false">IF(J486="","",IFERROR(MAX(0,N(G486)-INDEX(Properties!$I$5:$I$24,MATCH(D486,Properties!$A$5:$A$24,0)))*N(INDEX(Properties!$J$5:$J$24,MATCH(D486,Properties!$A$5:$A$24,0)))*H486,0))</f>
        <v/>
      </c>
      <c r="M486" s="37"/>
      <c r="N486" s="46" t="str">
        <f aca="false">IF(J486="","",J486+K486+L486+N(M486))</f>
        <v/>
      </c>
      <c r="O486" s="46" t="str">
        <f aca="false">IF(N486="","",IF(P486&lt;&gt;"",N486-P486,ROUND(N486*IFERROR(INDEX(Settings!$E$5:$E$12,MATCH(F486,Settings!$D$5:$D$12,0)),0),2)))</f>
        <v/>
      </c>
      <c r="P486" s="37"/>
      <c r="Q486" s="46" t="str">
        <f aca="false">IF(N486="","",IF(P486&lt;&gt;"",P486,N486-O486))</f>
        <v/>
      </c>
      <c r="R486" s="46" t="str">
        <f aca="false">IF(J486="","",IFERROR(N(INDEX(Properties!$H$5:$H$24,MATCH(D486,Properties!$A$5:$A$24,0))),0))</f>
        <v/>
      </c>
      <c r="S486" s="46" t="str">
        <f aca="false">IF(Q486="","",Q486-R486)</f>
        <v/>
      </c>
      <c r="T486" s="6"/>
      <c r="U486" s="6"/>
      <c r="V486" s="6"/>
      <c r="W486" s="6"/>
      <c r="X486" s="6"/>
      <c r="Y486" s="8" t="str">
        <f aca="false">IF(OR(D486="",B486="",C486=""),"",IF(N(C486)&lt;=N(B486),"Check dates",IF(T486="Cancelled","",IF(COUNTIFS($D$5:$D$1004,D486,$B$5:$B$1004,"&lt;"&amp;C486,$C$5:$C$1004,"&gt;"&amp;B486,$T$5:$T$1004,"&lt;&gt;Cancelled")&gt;1,"Double-booked",""))))</f>
        <v/>
      </c>
      <c r="Z486" s="42" t="str">
        <f aca="false">IF(AND(AA486=1,ISNUMBER(C486)),C486+ROW()/100000,"")</f>
        <v/>
      </c>
      <c r="AA486" s="43" t="n">
        <f aca="false">IF(AND(D486&lt;&gt;"",ISNUMBER(B486),ISNUMBER(C486),N(H486)&gt;0,T486&lt;&gt;"Cancelled",J486&lt;&gt;""),1,0)</f>
        <v>0</v>
      </c>
      <c r="AB486" s="44" t="n">
        <f aca="false">IF(AA486=1,J486/H486,0)</f>
        <v>0</v>
      </c>
      <c r="AC486" s="44" t="n">
        <f aca="false">IF(AA486=1,Q486/H486,0)</f>
        <v>0</v>
      </c>
      <c r="AD486" s="44" t="n">
        <f aca="false">IF(AA486=1,R486/H486,0)</f>
        <v>0</v>
      </c>
      <c r="AE486" s="44" t="n">
        <f aca="false">IF(AA486=1,O486/H486,0)</f>
        <v>0</v>
      </c>
      <c r="AF486" s="44" t="n">
        <f aca="false">IF(AA486=1,K486/H486,0)</f>
        <v>0</v>
      </c>
      <c r="AG486" s="45" t="str">
        <f aca="false">IF(AA486=1,D486&amp;"|"&amp;TEXT(B486,"0"),"")</f>
        <v/>
      </c>
      <c r="AH486" s="43" t="n">
        <f aca="false">IF(AA486=1,H486,0)</f>
        <v>0</v>
      </c>
    </row>
    <row r="487" customFormat="false" ht="15" hidden="false" customHeight="false" outlineLevel="0" collapsed="false">
      <c r="A487" s="8" t="str">
        <f aca="false">IF(B487="","","B-"&amp;TEXT(ROW()-4,"0000"))</f>
        <v/>
      </c>
      <c r="B487" s="38"/>
      <c r="C487" s="38"/>
      <c r="D487" s="6"/>
      <c r="E487" s="6"/>
      <c r="F487" s="6"/>
      <c r="G487" s="11"/>
      <c r="H487" s="18" t="str">
        <f aca="false">IF(AND(ISNUMBER(B487),ISNUMBER(C487)),MAX(0,C487-B487),"")</f>
        <v/>
      </c>
      <c r="I487" s="37"/>
      <c r="J487" s="41" t="str">
        <f aca="false">IF(OR(D487="",N(H487)=0),"",IFERROR(IF(I487&lt;&gt;"",H487*I487,ROUND(((H487-(INT((WEEKDAY(B487-6)+H487-1)/7)+INT((WEEKDAY(B487-7)+H487-1)/7)))*INDEX(Properties!$E$5:$E$24,MATCH(D487,Properties!$A$5:$A$24,0))+(INT((WEEKDAY(B487-6)+H487-1)/7)+INT((WEEKDAY(B487-7)+H487-1)/7))*INDEX(Properties!$F$5:$F$24,MATCH(D487,Properties!$A$5:$A$24,0)))*(1-IF(H487&gt;=28,Settings!$B$10,IF(H487&gt;=7,Settings!$B$9,0))),2)),0))</f>
        <v/>
      </c>
      <c r="K487" s="41" t="str">
        <f aca="false">IF(J487="","",IFERROR(N(INDEX(Properties!$G$5:$G$24,MATCH(D487,Properties!$A$5:$A$24,0))),0))</f>
        <v/>
      </c>
      <c r="L487" s="41" t="str">
        <f aca="false">IF(J487="","",IFERROR(MAX(0,N(G487)-INDEX(Properties!$I$5:$I$24,MATCH(D487,Properties!$A$5:$A$24,0)))*N(INDEX(Properties!$J$5:$J$24,MATCH(D487,Properties!$A$5:$A$24,0)))*H487,0))</f>
        <v/>
      </c>
      <c r="M487" s="37"/>
      <c r="N487" s="41" t="str">
        <f aca="false">IF(J487="","",J487+K487+L487+N(M487))</f>
        <v/>
      </c>
      <c r="O487" s="41" t="str">
        <f aca="false">IF(N487="","",IF(P487&lt;&gt;"",N487-P487,ROUND(N487*IFERROR(INDEX(Settings!$E$5:$E$12,MATCH(F487,Settings!$D$5:$D$12,0)),0),2)))</f>
        <v/>
      </c>
      <c r="P487" s="37"/>
      <c r="Q487" s="41" t="str">
        <f aca="false">IF(N487="","",IF(P487&lt;&gt;"",P487,N487-O487))</f>
        <v/>
      </c>
      <c r="R487" s="41" t="str">
        <f aca="false">IF(J487="","",IFERROR(N(INDEX(Properties!$H$5:$H$24,MATCH(D487,Properties!$A$5:$A$24,0))),0))</f>
        <v/>
      </c>
      <c r="S487" s="41" t="str">
        <f aca="false">IF(Q487="","",Q487-R487)</f>
        <v/>
      </c>
      <c r="T487" s="6"/>
      <c r="U487" s="6"/>
      <c r="V487" s="6"/>
      <c r="W487" s="6"/>
      <c r="X487" s="6"/>
      <c r="Y487" s="8" t="str">
        <f aca="false">IF(OR(D487="",B487="",C487=""),"",IF(N(C487)&lt;=N(B487),"Check dates",IF(T487="Cancelled","",IF(COUNTIFS($D$5:$D$1004,D487,$B$5:$B$1004,"&lt;"&amp;C487,$C$5:$C$1004,"&gt;"&amp;B487,$T$5:$T$1004,"&lt;&gt;Cancelled")&gt;1,"Double-booked",""))))</f>
        <v/>
      </c>
      <c r="Z487" s="42" t="str">
        <f aca="false">IF(AND(AA487=1,ISNUMBER(C487)),C487+ROW()/100000,"")</f>
        <v/>
      </c>
      <c r="AA487" s="43" t="n">
        <f aca="false">IF(AND(D487&lt;&gt;"",ISNUMBER(B487),ISNUMBER(C487),N(H487)&gt;0,T487&lt;&gt;"Cancelled",J487&lt;&gt;""),1,0)</f>
        <v>0</v>
      </c>
      <c r="AB487" s="44" t="n">
        <f aca="false">IF(AA487=1,J487/H487,0)</f>
        <v>0</v>
      </c>
      <c r="AC487" s="44" t="n">
        <f aca="false">IF(AA487=1,Q487/H487,0)</f>
        <v>0</v>
      </c>
      <c r="AD487" s="44" t="n">
        <f aca="false">IF(AA487=1,R487/H487,0)</f>
        <v>0</v>
      </c>
      <c r="AE487" s="44" t="n">
        <f aca="false">IF(AA487=1,O487/H487,0)</f>
        <v>0</v>
      </c>
      <c r="AF487" s="44" t="n">
        <f aca="false">IF(AA487=1,K487/H487,0)</f>
        <v>0</v>
      </c>
      <c r="AG487" s="45" t="str">
        <f aca="false">IF(AA487=1,D487&amp;"|"&amp;TEXT(B487,"0"),"")</f>
        <v/>
      </c>
      <c r="AH487" s="43" t="n">
        <f aca="false">IF(AA487=1,H487,0)</f>
        <v>0</v>
      </c>
    </row>
    <row r="488" customFormat="false" ht="15" hidden="false" customHeight="false" outlineLevel="0" collapsed="false">
      <c r="A488" s="23" t="str">
        <f aca="false">IF(B488="","","B-"&amp;TEXT(ROW()-4,"0000"))</f>
        <v/>
      </c>
      <c r="B488" s="38"/>
      <c r="C488" s="38"/>
      <c r="D488" s="6"/>
      <c r="E488" s="6"/>
      <c r="F488" s="6"/>
      <c r="G488" s="11"/>
      <c r="H488" s="24" t="str">
        <f aca="false">IF(AND(ISNUMBER(B488),ISNUMBER(C488)),MAX(0,C488-B488),"")</f>
        <v/>
      </c>
      <c r="I488" s="37"/>
      <c r="J488" s="46" t="str">
        <f aca="false">IF(OR(D488="",N(H488)=0),"",IFERROR(IF(I488&lt;&gt;"",H488*I488,ROUND(((H488-(INT((WEEKDAY(B488-6)+H488-1)/7)+INT((WEEKDAY(B488-7)+H488-1)/7)))*INDEX(Properties!$E$5:$E$24,MATCH(D488,Properties!$A$5:$A$24,0))+(INT((WEEKDAY(B488-6)+H488-1)/7)+INT((WEEKDAY(B488-7)+H488-1)/7))*INDEX(Properties!$F$5:$F$24,MATCH(D488,Properties!$A$5:$A$24,0)))*(1-IF(H488&gt;=28,Settings!$B$10,IF(H488&gt;=7,Settings!$B$9,0))),2)),0))</f>
        <v/>
      </c>
      <c r="K488" s="46" t="str">
        <f aca="false">IF(J488="","",IFERROR(N(INDEX(Properties!$G$5:$G$24,MATCH(D488,Properties!$A$5:$A$24,0))),0))</f>
        <v/>
      </c>
      <c r="L488" s="46" t="str">
        <f aca="false">IF(J488="","",IFERROR(MAX(0,N(G488)-INDEX(Properties!$I$5:$I$24,MATCH(D488,Properties!$A$5:$A$24,0)))*N(INDEX(Properties!$J$5:$J$24,MATCH(D488,Properties!$A$5:$A$24,0)))*H488,0))</f>
        <v/>
      </c>
      <c r="M488" s="37"/>
      <c r="N488" s="46" t="str">
        <f aca="false">IF(J488="","",J488+K488+L488+N(M488))</f>
        <v/>
      </c>
      <c r="O488" s="46" t="str">
        <f aca="false">IF(N488="","",IF(P488&lt;&gt;"",N488-P488,ROUND(N488*IFERROR(INDEX(Settings!$E$5:$E$12,MATCH(F488,Settings!$D$5:$D$12,0)),0),2)))</f>
        <v/>
      </c>
      <c r="P488" s="37"/>
      <c r="Q488" s="46" t="str">
        <f aca="false">IF(N488="","",IF(P488&lt;&gt;"",P488,N488-O488))</f>
        <v/>
      </c>
      <c r="R488" s="46" t="str">
        <f aca="false">IF(J488="","",IFERROR(N(INDEX(Properties!$H$5:$H$24,MATCH(D488,Properties!$A$5:$A$24,0))),0))</f>
        <v/>
      </c>
      <c r="S488" s="46" t="str">
        <f aca="false">IF(Q488="","",Q488-R488)</f>
        <v/>
      </c>
      <c r="T488" s="6"/>
      <c r="U488" s="6"/>
      <c r="V488" s="6"/>
      <c r="W488" s="6"/>
      <c r="X488" s="6"/>
      <c r="Y488" s="8" t="str">
        <f aca="false">IF(OR(D488="",B488="",C488=""),"",IF(N(C488)&lt;=N(B488),"Check dates",IF(T488="Cancelled","",IF(COUNTIFS($D$5:$D$1004,D488,$B$5:$B$1004,"&lt;"&amp;C488,$C$5:$C$1004,"&gt;"&amp;B488,$T$5:$T$1004,"&lt;&gt;Cancelled")&gt;1,"Double-booked",""))))</f>
        <v/>
      </c>
      <c r="Z488" s="42" t="str">
        <f aca="false">IF(AND(AA488=1,ISNUMBER(C488)),C488+ROW()/100000,"")</f>
        <v/>
      </c>
      <c r="AA488" s="43" t="n">
        <f aca="false">IF(AND(D488&lt;&gt;"",ISNUMBER(B488),ISNUMBER(C488),N(H488)&gt;0,T488&lt;&gt;"Cancelled",J488&lt;&gt;""),1,0)</f>
        <v>0</v>
      </c>
      <c r="AB488" s="44" t="n">
        <f aca="false">IF(AA488=1,J488/H488,0)</f>
        <v>0</v>
      </c>
      <c r="AC488" s="44" t="n">
        <f aca="false">IF(AA488=1,Q488/H488,0)</f>
        <v>0</v>
      </c>
      <c r="AD488" s="44" t="n">
        <f aca="false">IF(AA488=1,R488/H488,0)</f>
        <v>0</v>
      </c>
      <c r="AE488" s="44" t="n">
        <f aca="false">IF(AA488=1,O488/H488,0)</f>
        <v>0</v>
      </c>
      <c r="AF488" s="44" t="n">
        <f aca="false">IF(AA488=1,K488/H488,0)</f>
        <v>0</v>
      </c>
      <c r="AG488" s="45" t="str">
        <f aca="false">IF(AA488=1,D488&amp;"|"&amp;TEXT(B488,"0"),"")</f>
        <v/>
      </c>
      <c r="AH488" s="43" t="n">
        <f aca="false">IF(AA488=1,H488,0)</f>
        <v>0</v>
      </c>
    </row>
    <row r="489" customFormat="false" ht="15" hidden="false" customHeight="false" outlineLevel="0" collapsed="false">
      <c r="A489" s="8" t="str">
        <f aca="false">IF(B489="","","B-"&amp;TEXT(ROW()-4,"0000"))</f>
        <v/>
      </c>
      <c r="B489" s="38"/>
      <c r="C489" s="38"/>
      <c r="D489" s="6"/>
      <c r="E489" s="6"/>
      <c r="F489" s="6"/>
      <c r="G489" s="11"/>
      <c r="H489" s="18" t="str">
        <f aca="false">IF(AND(ISNUMBER(B489),ISNUMBER(C489)),MAX(0,C489-B489),"")</f>
        <v/>
      </c>
      <c r="I489" s="37"/>
      <c r="J489" s="41" t="str">
        <f aca="false">IF(OR(D489="",N(H489)=0),"",IFERROR(IF(I489&lt;&gt;"",H489*I489,ROUND(((H489-(INT((WEEKDAY(B489-6)+H489-1)/7)+INT((WEEKDAY(B489-7)+H489-1)/7)))*INDEX(Properties!$E$5:$E$24,MATCH(D489,Properties!$A$5:$A$24,0))+(INT((WEEKDAY(B489-6)+H489-1)/7)+INT((WEEKDAY(B489-7)+H489-1)/7))*INDEX(Properties!$F$5:$F$24,MATCH(D489,Properties!$A$5:$A$24,0)))*(1-IF(H489&gt;=28,Settings!$B$10,IF(H489&gt;=7,Settings!$B$9,0))),2)),0))</f>
        <v/>
      </c>
      <c r="K489" s="41" t="str">
        <f aca="false">IF(J489="","",IFERROR(N(INDEX(Properties!$G$5:$G$24,MATCH(D489,Properties!$A$5:$A$24,0))),0))</f>
        <v/>
      </c>
      <c r="L489" s="41" t="str">
        <f aca="false">IF(J489="","",IFERROR(MAX(0,N(G489)-INDEX(Properties!$I$5:$I$24,MATCH(D489,Properties!$A$5:$A$24,0)))*N(INDEX(Properties!$J$5:$J$24,MATCH(D489,Properties!$A$5:$A$24,0)))*H489,0))</f>
        <v/>
      </c>
      <c r="M489" s="37"/>
      <c r="N489" s="41" t="str">
        <f aca="false">IF(J489="","",J489+K489+L489+N(M489))</f>
        <v/>
      </c>
      <c r="O489" s="41" t="str">
        <f aca="false">IF(N489="","",IF(P489&lt;&gt;"",N489-P489,ROUND(N489*IFERROR(INDEX(Settings!$E$5:$E$12,MATCH(F489,Settings!$D$5:$D$12,0)),0),2)))</f>
        <v/>
      </c>
      <c r="P489" s="37"/>
      <c r="Q489" s="41" t="str">
        <f aca="false">IF(N489="","",IF(P489&lt;&gt;"",P489,N489-O489))</f>
        <v/>
      </c>
      <c r="R489" s="41" t="str">
        <f aca="false">IF(J489="","",IFERROR(N(INDEX(Properties!$H$5:$H$24,MATCH(D489,Properties!$A$5:$A$24,0))),0))</f>
        <v/>
      </c>
      <c r="S489" s="41" t="str">
        <f aca="false">IF(Q489="","",Q489-R489)</f>
        <v/>
      </c>
      <c r="T489" s="6"/>
      <c r="U489" s="6"/>
      <c r="V489" s="6"/>
      <c r="W489" s="6"/>
      <c r="X489" s="6"/>
      <c r="Y489" s="8" t="str">
        <f aca="false">IF(OR(D489="",B489="",C489=""),"",IF(N(C489)&lt;=N(B489),"Check dates",IF(T489="Cancelled","",IF(COUNTIFS($D$5:$D$1004,D489,$B$5:$B$1004,"&lt;"&amp;C489,$C$5:$C$1004,"&gt;"&amp;B489,$T$5:$T$1004,"&lt;&gt;Cancelled")&gt;1,"Double-booked",""))))</f>
        <v/>
      </c>
      <c r="Z489" s="42" t="str">
        <f aca="false">IF(AND(AA489=1,ISNUMBER(C489)),C489+ROW()/100000,"")</f>
        <v/>
      </c>
      <c r="AA489" s="43" t="n">
        <f aca="false">IF(AND(D489&lt;&gt;"",ISNUMBER(B489),ISNUMBER(C489),N(H489)&gt;0,T489&lt;&gt;"Cancelled",J489&lt;&gt;""),1,0)</f>
        <v>0</v>
      </c>
      <c r="AB489" s="44" t="n">
        <f aca="false">IF(AA489=1,J489/H489,0)</f>
        <v>0</v>
      </c>
      <c r="AC489" s="44" t="n">
        <f aca="false">IF(AA489=1,Q489/H489,0)</f>
        <v>0</v>
      </c>
      <c r="AD489" s="44" t="n">
        <f aca="false">IF(AA489=1,R489/H489,0)</f>
        <v>0</v>
      </c>
      <c r="AE489" s="44" t="n">
        <f aca="false">IF(AA489=1,O489/H489,0)</f>
        <v>0</v>
      </c>
      <c r="AF489" s="44" t="n">
        <f aca="false">IF(AA489=1,K489/H489,0)</f>
        <v>0</v>
      </c>
      <c r="AG489" s="45" t="str">
        <f aca="false">IF(AA489=1,D489&amp;"|"&amp;TEXT(B489,"0"),"")</f>
        <v/>
      </c>
      <c r="AH489" s="43" t="n">
        <f aca="false">IF(AA489=1,H489,0)</f>
        <v>0</v>
      </c>
    </row>
    <row r="490" customFormat="false" ht="15" hidden="false" customHeight="false" outlineLevel="0" collapsed="false">
      <c r="A490" s="23" t="str">
        <f aca="false">IF(B490="","","B-"&amp;TEXT(ROW()-4,"0000"))</f>
        <v/>
      </c>
      <c r="B490" s="38"/>
      <c r="C490" s="38"/>
      <c r="D490" s="6"/>
      <c r="E490" s="6"/>
      <c r="F490" s="6"/>
      <c r="G490" s="11"/>
      <c r="H490" s="24" t="str">
        <f aca="false">IF(AND(ISNUMBER(B490),ISNUMBER(C490)),MAX(0,C490-B490),"")</f>
        <v/>
      </c>
      <c r="I490" s="37"/>
      <c r="J490" s="46" t="str">
        <f aca="false">IF(OR(D490="",N(H490)=0),"",IFERROR(IF(I490&lt;&gt;"",H490*I490,ROUND(((H490-(INT((WEEKDAY(B490-6)+H490-1)/7)+INT((WEEKDAY(B490-7)+H490-1)/7)))*INDEX(Properties!$E$5:$E$24,MATCH(D490,Properties!$A$5:$A$24,0))+(INT((WEEKDAY(B490-6)+H490-1)/7)+INT((WEEKDAY(B490-7)+H490-1)/7))*INDEX(Properties!$F$5:$F$24,MATCH(D490,Properties!$A$5:$A$24,0)))*(1-IF(H490&gt;=28,Settings!$B$10,IF(H490&gt;=7,Settings!$B$9,0))),2)),0))</f>
        <v/>
      </c>
      <c r="K490" s="46" t="str">
        <f aca="false">IF(J490="","",IFERROR(N(INDEX(Properties!$G$5:$G$24,MATCH(D490,Properties!$A$5:$A$24,0))),0))</f>
        <v/>
      </c>
      <c r="L490" s="46" t="str">
        <f aca="false">IF(J490="","",IFERROR(MAX(0,N(G490)-INDEX(Properties!$I$5:$I$24,MATCH(D490,Properties!$A$5:$A$24,0)))*N(INDEX(Properties!$J$5:$J$24,MATCH(D490,Properties!$A$5:$A$24,0)))*H490,0))</f>
        <v/>
      </c>
      <c r="M490" s="37"/>
      <c r="N490" s="46" t="str">
        <f aca="false">IF(J490="","",J490+K490+L490+N(M490))</f>
        <v/>
      </c>
      <c r="O490" s="46" t="str">
        <f aca="false">IF(N490="","",IF(P490&lt;&gt;"",N490-P490,ROUND(N490*IFERROR(INDEX(Settings!$E$5:$E$12,MATCH(F490,Settings!$D$5:$D$12,0)),0),2)))</f>
        <v/>
      </c>
      <c r="P490" s="37"/>
      <c r="Q490" s="46" t="str">
        <f aca="false">IF(N490="","",IF(P490&lt;&gt;"",P490,N490-O490))</f>
        <v/>
      </c>
      <c r="R490" s="46" t="str">
        <f aca="false">IF(J490="","",IFERROR(N(INDEX(Properties!$H$5:$H$24,MATCH(D490,Properties!$A$5:$A$24,0))),0))</f>
        <v/>
      </c>
      <c r="S490" s="46" t="str">
        <f aca="false">IF(Q490="","",Q490-R490)</f>
        <v/>
      </c>
      <c r="T490" s="6"/>
      <c r="U490" s="6"/>
      <c r="V490" s="6"/>
      <c r="W490" s="6"/>
      <c r="X490" s="6"/>
      <c r="Y490" s="8" t="str">
        <f aca="false">IF(OR(D490="",B490="",C490=""),"",IF(N(C490)&lt;=N(B490),"Check dates",IF(T490="Cancelled","",IF(COUNTIFS($D$5:$D$1004,D490,$B$5:$B$1004,"&lt;"&amp;C490,$C$5:$C$1004,"&gt;"&amp;B490,$T$5:$T$1004,"&lt;&gt;Cancelled")&gt;1,"Double-booked",""))))</f>
        <v/>
      </c>
      <c r="Z490" s="42" t="str">
        <f aca="false">IF(AND(AA490=1,ISNUMBER(C490)),C490+ROW()/100000,"")</f>
        <v/>
      </c>
      <c r="AA490" s="43" t="n">
        <f aca="false">IF(AND(D490&lt;&gt;"",ISNUMBER(B490),ISNUMBER(C490),N(H490)&gt;0,T490&lt;&gt;"Cancelled",J490&lt;&gt;""),1,0)</f>
        <v>0</v>
      </c>
      <c r="AB490" s="44" t="n">
        <f aca="false">IF(AA490=1,J490/H490,0)</f>
        <v>0</v>
      </c>
      <c r="AC490" s="44" t="n">
        <f aca="false">IF(AA490=1,Q490/H490,0)</f>
        <v>0</v>
      </c>
      <c r="AD490" s="44" t="n">
        <f aca="false">IF(AA490=1,R490/H490,0)</f>
        <v>0</v>
      </c>
      <c r="AE490" s="44" t="n">
        <f aca="false">IF(AA490=1,O490/H490,0)</f>
        <v>0</v>
      </c>
      <c r="AF490" s="44" t="n">
        <f aca="false">IF(AA490=1,K490/H490,0)</f>
        <v>0</v>
      </c>
      <c r="AG490" s="45" t="str">
        <f aca="false">IF(AA490=1,D490&amp;"|"&amp;TEXT(B490,"0"),"")</f>
        <v/>
      </c>
      <c r="AH490" s="43" t="n">
        <f aca="false">IF(AA490=1,H490,0)</f>
        <v>0</v>
      </c>
    </row>
    <row r="491" customFormat="false" ht="15" hidden="false" customHeight="false" outlineLevel="0" collapsed="false">
      <c r="A491" s="8" t="str">
        <f aca="false">IF(B491="","","B-"&amp;TEXT(ROW()-4,"0000"))</f>
        <v/>
      </c>
      <c r="B491" s="38"/>
      <c r="C491" s="38"/>
      <c r="D491" s="6"/>
      <c r="E491" s="6"/>
      <c r="F491" s="6"/>
      <c r="G491" s="11"/>
      <c r="H491" s="18" t="str">
        <f aca="false">IF(AND(ISNUMBER(B491),ISNUMBER(C491)),MAX(0,C491-B491),"")</f>
        <v/>
      </c>
      <c r="I491" s="37"/>
      <c r="J491" s="41" t="str">
        <f aca="false">IF(OR(D491="",N(H491)=0),"",IFERROR(IF(I491&lt;&gt;"",H491*I491,ROUND(((H491-(INT((WEEKDAY(B491-6)+H491-1)/7)+INT((WEEKDAY(B491-7)+H491-1)/7)))*INDEX(Properties!$E$5:$E$24,MATCH(D491,Properties!$A$5:$A$24,0))+(INT((WEEKDAY(B491-6)+H491-1)/7)+INT((WEEKDAY(B491-7)+H491-1)/7))*INDEX(Properties!$F$5:$F$24,MATCH(D491,Properties!$A$5:$A$24,0)))*(1-IF(H491&gt;=28,Settings!$B$10,IF(H491&gt;=7,Settings!$B$9,0))),2)),0))</f>
        <v/>
      </c>
      <c r="K491" s="41" t="str">
        <f aca="false">IF(J491="","",IFERROR(N(INDEX(Properties!$G$5:$G$24,MATCH(D491,Properties!$A$5:$A$24,0))),0))</f>
        <v/>
      </c>
      <c r="L491" s="41" t="str">
        <f aca="false">IF(J491="","",IFERROR(MAX(0,N(G491)-INDEX(Properties!$I$5:$I$24,MATCH(D491,Properties!$A$5:$A$24,0)))*N(INDEX(Properties!$J$5:$J$24,MATCH(D491,Properties!$A$5:$A$24,0)))*H491,0))</f>
        <v/>
      </c>
      <c r="M491" s="37"/>
      <c r="N491" s="41" t="str">
        <f aca="false">IF(J491="","",J491+K491+L491+N(M491))</f>
        <v/>
      </c>
      <c r="O491" s="41" t="str">
        <f aca="false">IF(N491="","",IF(P491&lt;&gt;"",N491-P491,ROUND(N491*IFERROR(INDEX(Settings!$E$5:$E$12,MATCH(F491,Settings!$D$5:$D$12,0)),0),2)))</f>
        <v/>
      </c>
      <c r="P491" s="37"/>
      <c r="Q491" s="41" t="str">
        <f aca="false">IF(N491="","",IF(P491&lt;&gt;"",P491,N491-O491))</f>
        <v/>
      </c>
      <c r="R491" s="41" t="str">
        <f aca="false">IF(J491="","",IFERROR(N(INDEX(Properties!$H$5:$H$24,MATCH(D491,Properties!$A$5:$A$24,0))),0))</f>
        <v/>
      </c>
      <c r="S491" s="41" t="str">
        <f aca="false">IF(Q491="","",Q491-R491)</f>
        <v/>
      </c>
      <c r="T491" s="6"/>
      <c r="U491" s="6"/>
      <c r="V491" s="6"/>
      <c r="W491" s="6"/>
      <c r="X491" s="6"/>
      <c r="Y491" s="8" t="str">
        <f aca="false">IF(OR(D491="",B491="",C491=""),"",IF(N(C491)&lt;=N(B491),"Check dates",IF(T491="Cancelled","",IF(COUNTIFS($D$5:$D$1004,D491,$B$5:$B$1004,"&lt;"&amp;C491,$C$5:$C$1004,"&gt;"&amp;B491,$T$5:$T$1004,"&lt;&gt;Cancelled")&gt;1,"Double-booked",""))))</f>
        <v/>
      </c>
      <c r="Z491" s="42" t="str">
        <f aca="false">IF(AND(AA491=1,ISNUMBER(C491)),C491+ROW()/100000,"")</f>
        <v/>
      </c>
      <c r="AA491" s="43" t="n">
        <f aca="false">IF(AND(D491&lt;&gt;"",ISNUMBER(B491),ISNUMBER(C491),N(H491)&gt;0,T491&lt;&gt;"Cancelled",J491&lt;&gt;""),1,0)</f>
        <v>0</v>
      </c>
      <c r="AB491" s="44" t="n">
        <f aca="false">IF(AA491=1,J491/H491,0)</f>
        <v>0</v>
      </c>
      <c r="AC491" s="44" t="n">
        <f aca="false">IF(AA491=1,Q491/H491,0)</f>
        <v>0</v>
      </c>
      <c r="AD491" s="44" t="n">
        <f aca="false">IF(AA491=1,R491/H491,0)</f>
        <v>0</v>
      </c>
      <c r="AE491" s="44" t="n">
        <f aca="false">IF(AA491=1,O491/H491,0)</f>
        <v>0</v>
      </c>
      <c r="AF491" s="44" t="n">
        <f aca="false">IF(AA491=1,K491/H491,0)</f>
        <v>0</v>
      </c>
      <c r="AG491" s="45" t="str">
        <f aca="false">IF(AA491=1,D491&amp;"|"&amp;TEXT(B491,"0"),"")</f>
        <v/>
      </c>
      <c r="AH491" s="43" t="n">
        <f aca="false">IF(AA491=1,H491,0)</f>
        <v>0</v>
      </c>
    </row>
    <row r="492" customFormat="false" ht="15" hidden="false" customHeight="false" outlineLevel="0" collapsed="false">
      <c r="A492" s="23" t="str">
        <f aca="false">IF(B492="","","B-"&amp;TEXT(ROW()-4,"0000"))</f>
        <v/>
      </c>
      <c r="B492" s="38"/>
      <c r="C492" s="38"/>
      <c r="D492" s="6"/>
      <c r="E492" s="6"/>
      <c r="F492" s="6"/>
      <c r="G492" s="11"/>
      <c r="H492" s="24" t="str">
        <f aca="false">IF(AND(ISNUMBER(B492),ISNUMBER(C492)),MAX(0,C492-B492),"")</f>
        <v/>
      </c>
      <c r="I492" s="37"/>
      <c r="J492" s="46" t="str">
        <f aca="false">IF(OR(D492="",N(H492)=0),"",IFERROR(IF(I492&lt;&gt;"",H492*I492,ROUND(((H492-(INT((WEEKDAY(B492-6)+H492-1)/7)+INT((WEEKDAY(B492-7)+H492-1)/7)))*INDEX(Properties!$E$5:$E$24,MATCH(D492,Properties!$A$5:$A$24,0))+(INT((WEEKDAY(B492-6)+H492-1)/7)+INT((WEEKDAY(B492-7)+H492-1)/7))*INDEX(Properties!$F$5:$F$24,MATCH(D492,Properties!$A$5:$A$24,0)))*(1-IF(H492&gt;=28,Settings!$B$10,IF(H492&gt;=7,Settings!$B$9,0))),2)),0))</f>
        <v/>
      </c>
      <c r="K492" s="46" t="str">
        <f aca="false">IF(J492="","",IFERROR(N(INDEX(Properties!$G$5:$G$24,MATCH(D492,Properties!$A$5:$A$24,0))),0))</f>
        <v/>
      </c>
      <c r="L492" s="46" t="str">
        <f aca="false">IF(J492="","",IFERROR(MAX(0,N(G492)-INDEX(Properties!$I$5:$I$24,MATCH(D492,Properties!$A$5:$A$24,0)))*N(INDEX(Properties!$J$5:$J$24,MATCH(D492,Properties!$A$5:$A$24,0)))*H492,0))</f>
        <v/>
      </c>
      <c r="M492" s="37"/>
      <c r="N492" s="46" t="str">
        <f aca="false">IF(J492="","",J492+K492+L492+N(M492))</f>
        <v/>
      </c>
      <c r="O492" s="46" t="str">
        <f aca="false">IF(N492="","",IF(P492&lt;&gt;"",N492-P492,ROUND(N492*IFERROR(INDEX(Settings!$E$5:$E$12,MATCH(F492,Settings!$D$5:$D$12,0)),0),2)))</f>
        <v/>
      </c>
      <c r="P492" s="37"/>
      <c r="Q492" s="46" t="str">
        <f aca="false">IF(N492="","",IF(P492&lt;&gt;"",P492,N492-O492))</f>
        <v/>
      </c>
      <c r="R492" s="46" t="str">
        <f aca="false">IF(J492="","",IFERROR(N(INDEX(Properties!$H$5:$H$24,MATCH(D492,Properties!$A$5:$A$24,0))),0))</f>
        <v/>
      </c>
      <c r="S492" s="46" t="str">
        <f aca="false">IF(Q492="","",Q492-R492)</f>
        <v/>
      </c>
      <c r="T492" s="6"/>
      <c r="U492" s="6"/>
      <c r="V492" s="6"/>
      <c r="W492" s="6"/>
      <c r="X492" s="6"/>
      <c r="Y492" s="8" t="str">
        <f aca="false">IF(OR(D492="",B492="",C492=""),"",IF(N(C492)&lt;=N(B492),"Check dates",IF(T492="Cancelled","",IF(COUNTIFS($D$5:$D$1004,D492,$B$5:$B$1004,"&lt;"&amp;C492,$C$5:$C$1004,"&gt;"&amp;B492,$T$5:$T$1004,"&lt;&gt;Cancelled")&gt;1,"Double-booked",""))))</f>
        <v/>
      </c>
      <c r="Z492" s="42" t="str">
        <f aca="false">IF(AND(AA492=1,ISNUMBER(C492)),C492+ROW()/100000,"")</f>
        <v/>
      </c>
      <c r="AA492" s="43" t="n">
        <f aca="false">IF(AND(D492&lt;&gt;"",ISNUMBER(B492),ISNUMBER(C492),N(H492)&gt;0,T492&lt;&gt;"Cancelled",J492&lt;&gt;""),1,0)</f>
        <v>0</v>
      </c>
      <c r="AB492" s="44" t="n">
        <f aca="false">IF(AA492=1,J492/H492,0)</f>
        <v>0</v>
      </c>
      <c r="AC492" s="44" t="n">
        <f aca="false">IF(AA492=1,Q492/H492,0)</f>
        <v>0</v>
      </c>
      <c r="AD492" s="44" t="n">
        <f aca="false">IF(AA492=1,R492/H492,0)</f>
        <v>0</v>
      </c>
      <c r="AE492" s="44" t="n">
        <f aca="false">IF(AA492=1,O492/H492,0)</f>
        <v>0</v>
      </c>
      <c r="AF492" s="44" t="n">
        <f aca="false">IF(AA492=1,K492/H492,0)</f>
        <v>0</v>
      </c>
      <c r="AG492" s="45" t="str">
        <f aca="false">IF(AA492=1,D492&amp;"|"&amp;TEXT(B492,"0"),"")</f>
        <v/>
      </c>
      <c r="AH492" s="43" t="n">
        <f aca="false">IF(AA492=1,H492,0)</f>
        <v>0</v>
      </c>
    </row>
    <row r="493" customFormat="false" ht="15" hidden="false" customHeight="false" outlineLevel="0" collapsed="false">
      <c r="A493" s="8" t="str">
        <f aca="false">IF(B493="","","B-"&amp;TEXT(ROW()-4,"0000"))</f>
        <v/>
      </c>
      <c r="B493" s="38"/>
      <c r="C493" s="38"/>
      <c r="D493" s="6"/>
      <c r="E493" s="6"/>
      <c r="F493" s="6"/>
      <c r="G493" s="11"/>
      <c r="H493" s="18" t="str">
        <f aca="false">IF(AND(ISNUMBER(B493),ISNUMBER(C493)),MAX(0,C493-B493),"")</f>
        <v/>
      </c>
      <c r="I493" s="37"/>
      <c r="J493" s="41" t="str">
        <f aca="false">IF(OR(D493="",N(H493)=0),"",IFERROR(IF(I493&lt;&gt;"",H493*I493,ROUND(((H493-(INT((WEEKDAY(B493-6)+H493-1)/7)+INT((WEEKDAY(B493-7)+H493-1)/7)))*INDEX(Properties!$E$5:$E$24,MATCH(D493,Properties!$A$5:$A$24,0))+(INT((WEEKDAY(B493-6)+H493-1)/7)+INT((WEEKDAY(B493-7)+H493-1)/7))*INDEX(Properties!$F$5:$F$24,MATCH(D493,Properties!$A$5:$A$24,0)))*(1-IF(H493&gt;=28,Settings!$B$10,IF(H493&gt;=7,Settings!$B$9,0))),2)),0))</f>
        <v/>
      </c>
      <c r="K493" s="41" t="str">
        <f aca="false">IF(J493="","",IFERROR(N(INDEX(Properties!$G$5:$G$24,MATCH(D493,Properties!$A$5:$A$24,0))),0))</f>
        <v/>
      </c>
      <c r="L493" s="41" t="str">
        <f aca="false">IF(J493="","",IFERROR(MAX(0,N(G493)-INDEX(Properties!$I$5:$I$24,MATCH(D493,Properties!$A$5:$A$24,0)))*N(INDEX(Properties!$J$5:$J$24,MATCH(D493,Properties!$A$5:$A$24,0)))*H493,0))</f>
        <v/>
      </c>
      <c r="M493" s="37"/>
      <c r="N493" s="41" t="str">
        <f aca="false">IF(J493="","",J493+K493+L493+N(M493))</f>
        <v/>
      </c>
      <c r="O493" s="41" t="str">
        <f aca="false">IF(N493="","",IF(P493&lt;&gt;"",N493-P493,ROUND(N493*IFERROR(INDEX(Settings!$E$5:$E$12,MATCH(F493,Settings!$D$5:$D$12,0)),0),2)))</f>
        <v/>
      </c>
      <c r="P493" s="37"/>
      <c r="Q493" s="41" t="str">
        <f aca="false">IF(N493="","",IF(P493&lt;&gt;"",P493,N493-O493))</f>
        <v/>
      </c>
      <c r="R493" s="41" t="str">
        <f aca="false">IF(J493="","",IFERROR(N(INDEX(Properties!$H$5:$H$24,MATCH(D493,Properties!$A$5:$A$24,0))),0))</f>
        <v/>
      </c>
      <c r="S493" s="41" t="str">
        <f aca="false">IF(Q493="","",Q493-R493)</f>
        <v/>
      </c>
      <c r="T493" s="6"/>
      <c r="U493" s="6"/>
      <c r="V493" s="6"/>
      <c r="W493" s="6"/>
      <c r="X493" s="6"/>
      <c r="Y493" s="8" t="str">
        <f aca="false">IF(OR(D493="",B493="",C493=""),"",IF(N(C493)&lt;=N(B493),"Check dates",IF(T493="Cancelled","",IF(COUNTIFS($D$5:$D$1004,D493,$B$5:$B$1004,"&lt;"&amp;C493,$C$5:$C$1004,"&gt;"&amp;B493,$T$5:$T$1004,"&lt;&gt;Cancelled")&gt;1,"Double-booked",""))))</f>
        <v/>
      </c>
      <c r="Z493" s="42" t="str">
        <f aca="false">IF(AND(AA493=1,ISNUMBER(C493)),C493+ROW()/100000,"")</f>
        <v/>
      </c>
      <c r="AA493" s="43" t="n">
        <f aca="false">IF(AND(D493&lt;&gt;"",ISNUMBER(B493),ISNUMBER(C493),N(H493)&gt;0,T493&lt;&gt;"Cancelled",J493&lt;&gt;""),1,0)</f>
        <v>0</v>
      </c>
      <c r="AB493" s="44" t="n">
        <f aca="false">IF(AA493=1,J493/H493,0)</f>
        <v>0</v>
      </c>
      <c r="AC493" s="44" t="n">
        <f aca="false">IF(AA493=1,Q493/H493,0)</f>
        <v>0</v>
      </c>
      <c r="AD493" s="44" t="n">
        <f aca="false">IF(AA493=1,R493/H493,0)</f>
        <v>0</v>
      </c>
      <c r="AE493" s="44" t="n">
        <f aca="false">IF(AA493=1,O493/H493,0)</f>
        <v>0</v>
      </c>
      <c r="AF493" s="44" t="n">
        <f aca="false">IF(AA493=1,K493/H493,0)</f>
        <v>0</v>
      </c>
      <c r="AG493" s="45" t="str">
        <f aca="false">IF(AA493=1,D493&amp;"|"&amp;TEXT(B493,"0"),"")</f>
        <v/>
      </c>
      <c r="AH493" s="43" t="n">
        <f aca="false">IF(AA493=1,H493,0)</f>
        <v>0</v>
      </c>
    </row>
    <row r="494" customFormat="false" ht="15" hidden="false" customHeight="false" outlineLevel="0" collapsed="false">
      <c r="A494" s="23" t="str">
        <f aca="false">IF(B494="","","B-"&amp;TEXT(ROW()-4,"0000"))</f>
        <v/>
      </c>
      <c r="B494" s="38"/>
      <c r="C494" s="38"/>
      <c r="D494" s="6"/>
      <c r="E494" s="6"/>
      <c r="F494" s="6"/>
      <c r="G494" s="11"/>
      <c r="H494" s="24" t="str">
        <f aca="false">IF(AND(ISNUMBER(B494),ISNUMBER(C494)),MAX(0,C494-B494),"")</f>
        <v/>
      </c>
      <c r="I494" s="37"/>
      <c r="J494" s="46" t="str">
        <f aca="false">IF(OR(D494="",N(H494)=0),"",IFERROR(IF(I494&lt;&gt;"",H494*I494,ROUND(((H494-(INT((WEEKDAY(B494-6)+H494-1)/7)+INT((WEEKDAY(B494-7)+H494-1)/7)))*INDEX(Properties!$E$5:$E$24,MATCH(D494,Properties!$A$5:$A$24,0))+(INT((WEEKDAY(B494-6)+H494-1)/7)+INT((WEEKDAY(B494-7)+H494-1)/7))*INDEX(Properties!$F$5:$F$24,MATCH(D494,Properties!$A$5:$A$24,0)))*(1-IF(H494&gt;=28,Settings!$B$10,IF(H494&gt;=7,Settings!$B$9,0))),2)),0))</f>
        <v/>
      </c>
      <c r="K494" s="46" t="str">
        <f aca="false">IF(J494="","",IFERROR(N(INDEX(Properties!$G$5:$G$24,MATCH(D494,Properties!$A$5:$A$24,0))),0))</f>
        <v/>
      </c>
      <c r="L494" s="46" t="str">
        <f aca="false">IF(J494="","",IFERROR(MAX(0,N(G494)-INDEX(Properties!$I$5:$I$24,MATCH(D494,Properties!$A$5:$A$24,0)))*N(INDEX(Properties!$J$5:$J$24,MATCH(D494,Properties!$A$5:$A$24,0)))*H494,0))</f>
        <v/>
      </c>
      <c r="M494" s="37"/>
      <c r="N494" s="46" t="str">
        <f aca="false">IF(J494="","",J494+K494+L494+N(M494))</f>
        <v/>
      </c>
      <c r="O494" s="46" t="str">
        <f aca="false">IF(N494="","",IF(P494&lt;&gt;"",N494-P494,ROUND(N494*IFERROR(INDEX(Settings!$E$5:$E$12,MATCH(F494,Settings!$D$5:$D$12,0)),0),2)))</f>
        <v/>
      </c>
      <c r="P494" s="37"/>
      <c r="Q494" s="46" t="str">
        <f aca="false">IF(N494="","",IF(P494&lt;&gt;"",P494,N494-O494))</f>
        <v/>
      </c>
      <c r="R494" s="46" t="str">
        <f aca="false">IF(J494="","",IFERROR(N(INDEX(Properties!$H$5:$H$24,MATCH(D494,Properties!$A$5:$A$24,0))),0))</f>
        <v/>
      </c>
      <c r="S494" s="46" t="str">
        <f aca="false">IF(Q494="","",Q494-R494)</f>
        <v/>
      </c>
      <c r="T494" s="6"/>
      <c r="U494" s="6"/>
      <c r="V494" s="6"/>
      <c r="W494" s="6"/>
      <c r="X494" s="6"/>
      <c r="Y494" s="8" t="str">
        <f aca="false">IF(OR(D494="",B494="",C494=""),"",IF(N(C494)&lt;=N(B494),"Check dates",IF(T494="Cancelled","",IF(COUNTIFS($D$5:$D$1004,D494,$B$5:$B$1004,"&lt;"&amp;C494,$C$5:$C$1004,"&gt;"&amp;B494,$T$5:$T$1004,"&lt;&gt;Cancelled")&gt;1,"Double-booked",""))))</f>
        <v/>
      </c>
      <c r="Z494" s="42" t="str">
        <f aca="false">IF(AND(AA494=1,ISNUMBER(C494)),C494+ROW()/100000,"")</f>
        <v/>
      </c>
      <c r="AA494" s="43" t="n">
        <f aca="false">IF(AND(D494&lt;&gt;"",ISNUMBER(B494),ISNUMBER(C494),N(H494)&gt;0,T494&lt;&gt;"Cancelled",J494&lt;&gt;""),1,0)</f>
        <v>0</v>
      </c>
      <c r="AB494" s="44" t="n">
        <f aca="false">IF(AA494=1,J494/H494,0)</f>
        <v>0</v>
      </c>
      <c r="AC494" s="44" t="n">
        <f aca="false">IF(AA494=1,Q494/H494,0)</f>
        <v>0</v>
      </c>
      <c r="AD494" s="44" t="n">
        <f aca="false">IF(AA494=1,R494/H494,0)</f>
        <v>0</v>
      </c>
      <c r="AE494" s="44" t="n">
        <f aca="false">IF(AA494=1,O494/H494,0)</f>
        <v>0</v>
      </c>
      <c r="AF494" s="44" t="n">
        <f aca="false">IF(AA494=1,K494/H494,0)</f>
        <v>0</v>
      </c>
      <c r="AG494" s="45" t="str">
        <f aca="false">IF(AA494=1,D494&amp;"|"&amp;TEXT(B494,"0"),"")</f>
        <v/>
      </c>
      <c r="AH494" s="43" t="n">
        <f aca="false">IF(AA494=1,H494,0)</f>
        <v>0</v>
      </c>
    </row>
    <row r="495" customFormat="false" ht="15" hidden="false" customHeight="false" outlineLevel="0" collapsed="false">
      <c r="A495" s="8" t="str">
        <f aca="false">IF(B495="","","B-"&amp;TEXT(ROW()-4,"0000"))</f>
        <v/>
      </c>
      <c r="B495" s="38"/>
      <c r="C495" s="38"/>
      <c r="D495" s="6"/>
      <c r="E495" s="6"/>
      <c r="F495" s="6"/>
      <c r="G495" s="11"/>
      <c r="H495" s="18" t="str">
        <f aca="false">IF(AND(ISNUMBER(B495),ISNUMBER(C495)),MAX(0,C495-B495),"")</f>
        <v/>
      </c>
      <c r="I495" s="37"/>
      <c r="J495" s="41" t="str">
        <f aca="false">IF(OR(D495="",N(H495)=0),"",IFERROR(IF(I495&lt;&gt;"",H495*I495,ROUND(((H495-(INT((WEEKDAY(B495-6)+H495-1)/7)+INT((WEEKDAY(B495-7)+H495-1)/7)))*INDEX(Properties!$E$5:$E$24,MATCH(D495,Properties!$A$5:$A$24,0))+(INT((WEEKDAY(B495-6)+H495-1)/7)+INT((WEEKDAY(B495-7)+H495-1)/7))*INDEX(Properties!$F$5:$F$24,MATCH(D495,Properties!$A$5:$A$24,0)))*(1-IF(H495&gt;=28,Settings!$B$10,IF(H495&gt;=7,Settings!$B$9,0))),2)),0))</f>
        <v/>
      </c>
      <c r="K495" s="41" t="str">
        <f aca="false">IF(J495="","",IFERROR(N(INDEX(Properties!$G$5:$G$24,MATCH(D495,Properties!$A$5:$A$24,0))),0))</f>
        <v/>
      </c>
      <c r="L495" s="41" t="str">
        <f aca="false">IF(J495="","",IFERROR(MAX(0,N(G495)-INDEX(Properties!$I$5:$I$24,MATCH(D495,Properties!$A$5:$A$24,0)))*N(INDEX(Properties!$J$5:$J$24,MATCH(D495,Properties!$A$5:$A$24,0)))*H495,0))</f>
        <v/>
      </c>
      <c r="M495" s="37"/>
      <c r="N495" s="41" t="str">
        <f aca="false">IF(J495="","",J495+K495+L495+N(M495))</f>
        <v/>
      </c>
      <c r="O495" s="41" t="str">
        <f aca="false">IF(N495="","",IF(P495&lt;&gt;"",N495-P495,ROUND(N495*IFERROR(INDEX(Settings!$E$5:$E$12,MATCH(F495,Settings!$D$5:$D$12,0)),0),2)))</f>
        <v/>
      </c>
      <c r="P495" s="37"/>
      <c r="Q495" s="41" t="str">
        <f aca="false">IF(N495="","",IF(P495&lt;&gt;"",P495,N495-O495))</f>
        <v/>
      </c>
      <c r="R495" s="41" t="str">
        <f aca="false">IF(J495="","",IFERROR(N(INDEX(Properties!$H$5:$H$24,MATCH(D495,Properties!$A$5:$A$24,0))),0))</f>
        <v/>
      </c>
      <c r="S495" s="41" t="str">
        <f aca="false">IF(Q495="","",Q495-R495)</f>
        <v/>
      </c>
      <c r="T495" s="6"/>
      <c r="U495" s="6"/>
      <c r="V495" s="6"/>
      <c r="W495" s="6"/>
      <c r="X495" s="6"/>
      <c r="Y495" s="8" t="str">
        <f aca="false">IF(OR(D495="",B495="",C495=""),"",IF(N(C495)&lt;=N(B495),"Check dates",IF(T495="Cancelled","",IF(COUNTIFS($D$5:$D$1004,D495,$B$5:$B$1004,"&lt;"&amp;C495,$C$5:$C$1004,"&gt;"&amp;B495,$T$5:$T$1004,"&lt;&gt;Cancelled")&gt;1,"Double-booked",""))))</f>
        <v/>
      </c>
      <c r="Z495" s="42" t="str">
        <f aca="false">IF(AND(AA495=1,ISNUMBER(C495)),C495+ROW()/100000,"")</f>
        <v/>
      </c>
      <c r="AA495" s="43" t="n">
        <f aca="false">IF(AND(D495&lt;&gt;"",ISNUMBER(B495),ISNUMBER(C495),N(H495)&gt;0,T495&lt;&gt;"Cancelled",J495&lt;&gt;""),1,0)</f>
        <v>0</v>
      </c>
      <c r="AB495" s="44" t="n">
        <f aca="false">IF(AA495=1,J495/H495,0)</f>
        <v>0</v>
      </c>
      <c r="AC495" s="44" t="n">
        <f aca="false">IF(AA495=1,Q495/H495,0)</f>
        <v>0</v>
      </c>
      <c r="AD495" s="44" t="n">
        <f aca="false">IF(AA495=1,R495/H495,0)</f>
        <v>0</v>
      </c>
      <c r="AE495" s="44" t="n">
        <f aca="false">IF(AA495=1,O495/H495,0)</f>
        <v>0</v>
      </c>
      <c r="AF495" s="44" t="n">
        <f aca="false">IF(AA495=1,K495/H495,0)</f>
        <v>0</v>
      </c>
      <c r="AG495" s="45" t="str">
        <f aca="false">IF(AA495=1,D495&amp;"|"&amp;TEXT(B495,"0"),"")</f>
        <v/>
      </c>
      <c r="AH495" s="43" t="n">
        <f aca="false">IF(AA495=1,H495,0)</f>
        <v>0</v>
      </c>
    </row>
    <row r="496" customFormat="false" ht="15" hidden="false" customHeight="false" outlineLevel="0" collapsed="false">
      <c r="A496" s="23" t="str">
        <f aca="false">IF(B496="","","B-"&amp;TEXT(ROW()-4,"0000"))</f>
        <v/>
      </c>
      <c r="B496" s="38"/>
      <c r="C496" s="38"/>
      <c r="D496" s="6"/>
      <c r="E496" s="6"/>
      <c r="F496" s="6"/>
      <c r="G496" s="11"/>
      <c r="H496" s="24" t="str">
        <f aca="false">IF(AND(ISNUMBER(B496),ISNUMBER(C496)),MAX(0,C496-B496),"")</f>
        <v/>
      </c>
      <c r="I496" s="37"/>
      <c r="J496" s="46" t="str">
        <f aca="false">IF(OR(D496="",N(H496)=0),"",IFERROR(IF(I496&lt;&gt;"",H496*I496,ROUND(((H496-(INT((WEEKDAY(B496-6)+H496-1)/7)+INT((WEEKDAY(B496-7)+H496-1)/7)))*INDEX(Properties!$E$5:$E$24,MATCH(D496,Properties!$A$5:$A$24,0))+(INT((WEEKDAY(B496-6)+H496-1)/7)+INT((WEEKDAY(B496-7)+H496-1)/7))*INDEX(Properties!$F$5:$F$24,MATCH(D496,Properties!$A$5:$A$24,0)))*(1-IF(H496&gt;=28,Settings!$B$10,IF(H496&gt;=7,Settings!$B$9,0))),2)),0))</f>
        <v/>
      </c>
      <c r="K496" s="46" t="str">
        <f aca="false">IF(J496="","",IFERROR(N(INDEX(Properties!$G$5:$G$24,MATCH(D496,Properties!$A$5:$A$24,0))),0))</f>
        <v/>
      </c>
      <c r="L496" s="46" t="str">
        <f aca="false">IF(J496="","",IFERROR(MAX(0,N(G496)-INDEX(Properties!$I$5:$I$24,MATCH(D496,Properties!$A$5:$A$24,0)))*N(INDEX(Properties!$J$5:$J$24,MATCH(D496,Properties!$A$5:$A$24,0)))*H496,0))</f>
        <v/>
      </c>
      <c r="M496" s="37"/>
      <c r="N496" s="46" t="str">
        <f aca="false">IF(J496="","",J496+K496+L496+N(M496))</f>
        <v/>
      </c>
      <c r="O496" s="46" t="str">
        <f aca="false">IF(N496="","",IF(P496&lt;&gt;"",N496-P496,ROUND(N496*IFERROR(INDEX(Settings!$E$5:$E$12,MATCH(F496,Settings!$D$5:$D$12,0)),0),2)))</f>
        <v/>
      </c>
      <c r="P496" s="37"/>
      <c r="Q496" s="46" t="str">
        <f aca="false">IF(N496="","",IF(P496&lt;&gt;"",P496,N496-O496))</f>
        <v/>
      </c>
      <c r="R496" s="46" t="str">
        <f aca="false">IF(J496="","",IFERROR(N(INDEX(Properties!$H$5:$H$24,MATCH(D496,Properties!$A$5:$A$24,0))),0))</f>
        <v/>
      </c>
      <c r="S496" s="46" t="str">
        <f aca="false">IF(Q496="","",Q496-R496)</f>
        <v/>
      </c>
      <c r="T496" s="6"/>
      <c r="U496" s="6"/>
      <c r="V496" s="6"/>
      <c r="W496" s="6"/>
      <c r="X496" s="6"/>
      <c r="Y496" s="8" t="str">
        <f aca="false">IF(OR(D496="",B496="",C496=""),"",IF(N(C496)&lt;=N(B496),"Check dates",IF(T496="Cancelled","",IF(COUNTIFS($D$5:$D$1004,D496,$B$5:$B$1004,"&lt;"&amp;C496,$C$5:$C$1004,"&gt;"&amp;B496,$T$5:$T$1004,"&lt;&gt;Cancelled")&gt;1,"Double-booked",""))))</f>
        <v/>
      </c>
      <c r="Z496" s="42" t="str">
        <f aca="false">IF(AND(AA496=1,ISNUMBER(C496)),C496+ROW()/100000,"")</f>
        <v/>
      </c>
      <c r="AA496" s="43" t="n">
        <f aca="false">IF(AND(D496&lt;&gt;"",ISNUMBER(B496),ISNUMBER(C496),N(H496)&gt;0,T496&lt;&gt;"Cancelled",J496&lt;&gt;""),1,0)</f>
        <v>0</v>
      </c>
      <c r="AB496" s="44" t="n">
        <f aca="false">IF(AA496=1,J496/H496,0)</f>
        <v>0</v>
      </c>
      <c r="AC496" s="44" t="n">
        <f aca="false">IF(AA496=1,Q496/H496,0)</f>
        <v>0</v>
      </c>
      <c r="AD496" s="44" t="n">
        <f aca="false">IF(AA496=1,R496/H496,0)</f>
        <v>0</v>
      </c>
      <c r="AE496" s="44" t="n">
        <f aca="false">IF(AA496=1,O496/H496,0)</f>
        <v>0</v>
      </c>
      <c r="AF496" s="44" t="n">
        <f aca="false">IF(AA496=1,K496/H496,0)</f>
        <v>0</v>
      </c>
      <c r="AG496" s="45" t="str">
        <f aca="false">IF(AA496=1,D496&amp;"|"&amp;TEXT(B496,"0"),"")</f>
        <v/>
      </c>
      <c r="AH496" s="43" t="n">
        <f aca="false">IF(AA496=1,H496,0)</f>
        <v>0</v>
      </c>
    </row>
    <row r="497" customFormat="false" ht="15" hidden="false" customHeight="false" outlineLevel="0" collapsed="false">
      <c r="A497" s="8" t="str">
        <f aca="false">IF(B497="","","B-"&amp;TEXT(ROW()-4,"0000"))</f>
        <v/>
      </c>
      <c r="B497" s="38"/>
      <c r="C497" s="38"/>
      <c r="D497" s="6"/>
      <c r="E497" s="6"/>
      <c r="F497" s="6"/>
      <c r="G497" s="11"/>
      <c r="H497" s="18" t="str">
        <f aca="false">IF(AND(ISNUMBER(B497),ISNUMBER(C497)),MAX(0,C497-B497),"")</f>
        <v/>
      </c>
      <c r="I497" s="37"/>
      <c r="J497" s="41" t="str">
        <f aca="false">IF(OR(D497="",N(H497)=0),"",IFERROR(IF(I497&lt;&gt;"",H497*I497,ROUND(((H497-(INT((WEEKDAY(B497-6)+H497-1)/7)+INT((WEEKDAY(B497-7)+H497-1)/7)))*INDEX(Properties!$E$5:$E$24,MATCH(D497,Properties!$A$5:$A$24,0))+(INT((WEEKDAY(B497-6)+H497-1)/7)+INT((WEEKDAY(B497-7)+H497-1)/7))*INDEX(Properties!$F$5:$F$24,MATCH(D497,Properties!$A$5:$A$24,0)))*(1-IF(H497&gt;=28,Settings!$B$10,IF(H497&gt;=7,Settings!$B$9,0))),2)),0))</f>
        <v/>
      </c>
      <c r="K497" s="41" t="str">
        <f aca="false">IF(J497="","",IFERROR(N(INDEX(Properties!$G$5:$G$24,MATCH(D497,Properties!$A$5:$A$24,0))),0))</f>
        <v/>
      </c>
      <c r="L497" s="41" t="str">
        <f aca="false">IF(J497="","",IFERROR(MAX(0,N(G497)-INDEX(Properties!$I$5:$I$24,MATCH(D497,Properties!$A$5:$A$24,0)))*N(INDEX(Properties!$J$5:$J$24,MATCH(D497,Properties!$A$5:$A$24,0)))*H497,0))</f>
        <v/>
      </c>
      <c r="M497" s="37"/>
      <c r="N497" s="41" t="str">
        <f aca="false">IF(J497="","",J497+K497+L497+N(M497))</f>
        <v/>
      </c>
      <c r="O497" s="41" t="str">
        <f aca="false">IF(N497="","",IF(P497&lt;&gt;"",N497-P497,ROUND(N497*IFERROR(INDEX(Settings!$E$5:$E$12,MATCH(F497,Settings!$D$5:$D$12,0)),0),2)))</f>
        <v/>
      </c>
      <c r="P497" s="37"/>
      <c r="Q497" s="41" t="str">
        <f aca="false">IF(N497="","",IF(P497&lt;&gt;"",P497,N497-O497))</f>
        <v/>
      </c>
      <c r="R497" s="41" t="str">
        <f aca="false">IF(J497="","",IFERROR(N(INDEX(Properties!$H$5:$H$24,MATCH(D497,Properties!$A$5:$A$24,0))),0))</f>
        <v/>
      </c>
      <c r="S497" s="41" t="str">
        <f aca="false">IF(Q497="","",Q497-R497)</f>
        <v/>
      </c>
      <c r="T497" s="6"/>
      <c r="U497" s="6"/>
      <c r="V497" s="6"/>
      <c r="W497" s="6"/>
      <c r="X497" s="6"/>
      <c r="Y497" s="8" t="str">
        <f aca="false">IF(OR(D497="",B497="",C497=""),"",IF(N(C497)&lt;=N(B497),"Check dates",IF(T497="Cancelled","",IF(COUNTIFS($D$5:$D$1004,D497,$B$5:$B$1004,"&lt;"&amp;C497,$C$5:$C$1004,"&gt;"&amp;B497,$T$5:$T$1004,"&lt;&gt;Cancelled")&gt;1,"Double-booked",""))))</f>
        <v/>
      </c>
      <c r="Z497" s="42" t="str">
        <f aca="false">IF(AND(AA497=1,ISNUMBER(C497)),C497+ROW()/100000,"")</f>
        <v/>
      </c>
      <c r="AA497" s="43" t="n">
        <f aca="false">IF(AND(D497&lt;&gt;"",ISNUMBER(B497),ISNUMBER(C497),N(H497)&gt;0,T497&lt;&gt;"Cancelled",J497&lt;&gt;""),1,0)</f>
        <v>0</v>
      </c>
      <c r="AB497" s="44" t="n">
        <f aca="false">IF(AA497=1,J497/H497,0)</f>
        <v>0</v>
      </c>
      <c r="AC497" s="44" t="n">
        <f aca="false">IF(AA497=1,Q497/H497,0)</f>
        <v>0</v>
      </c>
      <c r="AD497" s="44" t="n">
        <f aca="false">IF(AA497=1,R497/H497,0)</f>
        <v>0</v>
      </c>
      <c r="AE497" s="44" t="n">
        <f aca="false">IF(AA497=1,O497/H497,0)</f>
        <v>0</v>
      </c>
      <c r="AF497" s="44" t="n">
        <f aca="false">IF(AA497=1,K497/H497,0)</f>
        <v>0</v>
      </c>
      <c r="AG497" s="45" t="str">
        <f aca="false">IF(AA497=1,D497&amp;"|"&amp;TEXT(B497,"0"),"")</f>
        <v/>
      </c>
      <c r="AH497" s="43" t="n">
        <f aca="false">IF(AA497=1,H497,0)</f>
        <v>0</v>
      </c>
    </row>
    <row r="498" customFormat="false" ht="15" hidden="false" customHeight="false" outlineLevel="0" collapsed="false">
      <c r="A498" s="23" t="str">
        <f aca="false">IF(B498="","","B-"&amp;TEXT(ROW()-4,"0000"))</f>
        <v/>
      </c>
      <c r="B498" s="38"/>
      <c r="C498" s="38"/>
      <c r="D498" s="6"/>
      <c r="E498" s="6"/>
      <c r="F498" s="6"/>
      <c r="G498" s="11"/>
      <c r="H498" s="24" t="str">
        <f aca="false">IF(AND(ISNUMBER(B498),ISNUMBER(C498)),MAX(0,C498-B498),"")</f>
        <v/>
      </c>
      <c r="I498" s="37"/>
      <c r="J498" s="46" t="str">
        <f aca="false">IF(OR(D498="",N(H498)=0),"",IFERROR(IF(I498&lt;&gt;"",H498*I498,ROUND(((H498-(INT((WEEKDAY(B498-6)+H498-1)/7)+INT((WEEKDAY(B498-7)+H498-1)/7)))*INDEX(Properties!$E$5:$E$24,MATCH(D498,Properties!$A$5:$A$24,0))+(INT((WEEKDAY(B498-6)+H498-1)/7)+INT((WEEKDAY(B498-7)+H498-1)/7))*INDEX(Properties!$F$5:$F$24,MATCH(D498,Properties!$A$5:$A$24,0)))*(1-IF(H498&gt;=28,Settings!$B$10,IF(H498&gt;=7,Settings!$B$9,0))),2)),0))</f>
        <v/>
      </c>
      <c r="K498" s="46" t="str">
        <f aca="false">IF(J498="","",IFERROR(N(INDEX(Properties!$G$5:$G$24,MATCH(D498,Properties!$A$5:$A$24,0))),0))</f>
        <v/>
      </c>
      <c r="L498" s="46" t="str">
        <f aca="false">IF(J498="","",IFERROR(MAX(0,N(G498)-INDEX(Properties!$I$5:$I$24,MATCH(D498,Properties!$A$5:$A$24,0)))*N(INDEX(Properties!$J$5:$J$24,MATCH(D498,Properties!$A$5:$A$24,0)))*H498,0))</f>
        <v/>
      </c>
      <c r="M498" s="37"/>
      <c r="N498" s="46" t="str">
        <f aca="false">IF(J498="","",J498+K498+L498+N(M498))</f>
        <v/>
      </c>
      <c r="O498" s="46" t="str">
        <f aca="false">IF(N498="","",IF(P498&lt;&gt;"",N498-P498,ROUND(N498*IFERROR(INDEX(Settings!$E$5:$E$12,MATCH(F498,Settings!$D$5:$D$12,0)),0),2)))</f>
        <v/>
      </c>
      <c r="P498" s="37"/>
      <c r="Q498" s="46" t="str">
        <f aca="false">IF(N498="","",IF(P498&lt;&gt;"",P498,N498-O498))</f>
        <v/>
      </c>
      <c r="R498" s="46" t="str">
        <f aca="false">IF(J498="","",IFERROR(N(INDEX(Properties!$H$5:$H$24,MATCH(D498,Properties!$A$5:$A$24,0))),0))</f>
        <v/>
      </c>
      <c r="S498" s="46" t="str">
        <f aca="false">IF(Q498="","",Q498-R498)</f>
        <v/>
      </c>
      <c r="T498" s="6"/>
      <c r="U498" s="6"/>
      <c r="V498" s="6"/>
      <c r="W498" s="6"/>
      <c r="X498" s="6"/>
      <c r="Y498" s="8" t="str">
        <f aca="false">IF(OR(D498="",B498="",C498=""),"",IF(N(C498)&lt;=N(B498),"Check dates",IF(T498="Cancelled","",IF(COUNTIFS($D$5:$D$1004,D498,$B$5:$B$1004,"&lt;"&amp;C498,$C$5:$C$1004,"&gt;"&amp;B498,$T$5:$T$1004,"&lt;&gt;Cancelled")&gt;1,"Double-booked",""))))</f>
        <v/>
      </c>
      <c r="Z498" s="42" t="str">
        <f aca="false">IF(AND(AA498=1,ISNUMBER(C498)),C498+ROW()/100000,"")</f>
        <v/>
      </c>
      <c r="AA498" s="43" t="n">
        <f aca="false">IF(AND(D498&lt;&gt;"",ISNUMBER(B498),ISNUMBER(C498),N(H498)&gt;0,T498&lt;&gt;"Cancelled",J498&lt;&gt;""),1,0)</f>
        <v>0</v>
      </c>
      <c r="AB498" s="44" t="n">
        <f aca="false">IF(AA498=1,J498/H498,0)</f>
        <v>0</v>
      </c>
      <c r="AC498" s="44" t="n">
        <f aca="false">IF(AA498=1,Q498/H498,0)</f>
        <v>0</v>
      </c>
      <c r="AD498" s="44" t="n">
        <f aca="false">IF(AA498=1,R498/H498,0)</f>
        <v>0</v>
      </c>
      <c r="AE498" s="44" t="n">
        <f aca="false">IF(AA498=1,O498/H498,0)</f>
        <v>0</v>
      </c>
      <c r="AF498" s="44" t="n">
        <f aca="false">IF(AA498=1,K498/H498,0)</f>
        <v>0</v>
      </c>
      <c r="AG498" s="45" t="str">
        <f aca="false">IF(AA498=1,D498&amp;"|"&amp;TEXT(B498,"0"),"")</f>
        <v/>
      </c>
      <c r="AH498" s="43" t="n">
        <f aca="false">IF(AA498=1,H498,0)</f>
        <v>0</v>
      </c>
    </row>
    <row r="499" customFormat="false" ht="15" hidden="false" customHeight="false" outlineLevel="0" collapsed="false">
      <c r="A499" s="8" t="str">
        <f aca="false">IF(B499="","","B-"&amp;TEXT(ROW()-4,"0000"))</f>
        <v/>
      </c>
      <c r="B499" s="38"/>
      <c r="C499" s="38"/>
      <c r="D499" s="6"/>
      <c r="E499" s="6"/>
      <c r="F499" s="6"/>
      <c r="G499" s="11"/>
      <c r="H499" s="18" t="str">
        <f aca="false">IF(AND(ISNUMBER(B499),ISNUMBER(C499)),MAX(0,C499-B499),"")</f>
        <v/>
      </c>
      <c r="I499" s="37"/>
      <c r="J499" s="41" t="str">
        <f aca="false">IF(OR(D499="",N(H499)=0),"",IFERROR(IF(I499&lt;&gt;"",H499*I499,ROUND(((H499-(INT((WEEKDAY(B499-6)+H499-1)/7)+INT((WEEKDAY(B499-7)+H499-1)/7)))*INDEX(Properties!$E$5:$E$24,MATCH(D499,Properties!$A$5:$A$24,0))+(INT((WEEKDAY(B499-6)+H499-1)/7)+INT((WEEKDAY(B499-7)+H499-1)/7))*INDEX(Properties!$F$5:$F$24,MATCH(D499,Properties!$A$5:$A$24,0)))*(1-IF(H499&gt;=28,Settings!$B$10,IF(H499&gt;=7,Settings!$B$9,0))),2)),0))</f>
        <v/>
      </c>
      <c r="K499" s="41" t="str">
        <f aca="false">IF(J499="","",IFERROR(N(INDEX(Properties!$G$5:$G$24,MATCH(D499,Properties!$A$5:$A$24,0))),0))</f>
        <v/>
      </c>
      <c r="L499" s="41" t="str">
        <f aca="false">IF(J499="","",IFERROR(MAX(0,N(G499)-INDEX(Properties!$I$5:$I$24,MATCH(D499,Properties!$A$5:$A$24,0)))*N(INDEX(Properties!$J$5:$J$24,MATCH(D499,Properties!$A$5:$A$24,0)))*H499,0))</f>
        <v/>
      </c>
      <c r="M499" s="37"/>
      <c r="N499" s="41" t="str">
        <f aca="false">IF(J499="","",J499+K499+L499+N(M499))</f>
        <v/>
      </c>
      <c r="O499" s="41" t="str">
        <f aca="false">IF(N499="","",IF(P499&lt;&gt;"",N499-P499,ROUND(N499*IFERROR(INDEX(Settings!$E$5:$E$12,MATCH(F499,Settings!$D$5:$D$12,0)),0),2)))</f>
        <v/>
      </c>
      <c r="P499" s="37"/>
      <c r="Q499" s="41" t="str">
        <f aca="false">IF(N499="","",IF(P499&lt;&gt;"",P499,N499-O499))</f>
        <v/>
      </c>
      <c r="R499" s="41" t="str">
        <f aca="false">IF(J499="","",IFERROR(N(INDEX(Properties!$H$5:$H$24,MATCH(D499,Properties!$A$5:$A$24,0))),0))</f>
        <v/>
      </c>
      <c r="S499" s="41" t="str">
        <f aca="false">IF(Q499="","",Q499-R499)</f>
        <v/>
      </c>
      <c r="T499" s="6"/>
      <c r="U499" s="6"/>
      <c r="V499" s="6"/>
      <c r="W499" s="6"/>
      <c r="X499" s="6"/>
      <c r="Y499" s="8" t="str">
        <f aca="false">IF(OR(D499="",B499="",C499=""),"",IF(N(C499)&lt;=N(B499),"Check dates",IF(T499="Cancelled","",IF(COUNTIFS($D$5:$D$1004,D499,$B$5:$B$1004,"&lt;"&amp;C499,$C$5:$C$1004,"&gt;"&amp;B499,$T$5:$T$1004,"&lt;&gt;Cancelled")&gt;1,"Double-booked",""))))</f>
        <v/>
      </c>
      <c r="Z499" s="42" t="str">
        <f aca="false">IF(AND(AA499=1,ISNUMBER(C499)),C499+ROW()/100000,"")</f>
        <v/>
      </c>
      <c r="AA499" s="43" t="n">
        <f aca="false">IF(AND(D499&lt;&gt;"",ISNUMBER(B499),ISNUMBER(C499),N(H499)&gt;0,T499&lt;&gt;"Cancelled",J499&lt;&gt;""),1,0)</f>
        <v>0</v>
      </c>
      <c r="AB499" s="44" t="n">
        <f aca="false">IF(AA499=1,J499/H499,0)</f>
        <v>0</v>
      </c>
      <c r="AC499" s="44" t="n">
        <f aca="false">IF(AA499=1,Q499/H499,0)</f>
        <v>0</v>
      </c>
      <c r="AD499" s="44" t="n">
        <f aca="false">IF(AA499=1,R499/H499,0)</f>
        <v>0</v>
      </c>
      <c r="AE499" s="44" t="n">
        <f aca="false">IF(AA499=1,O499/H499,0)</f>
        <v>0</v>
      </c>
      <c r="AF499" s="44" t="n">
        <f aca="false">IF(AA499=1,K499/H499,0)</f>
        <v>0</v>
      </c>
      <c r="AG499" s="45" t="str">
        <f aca="false">IF(AA499=1,D499&amp;"|"&amp;TEXT(B499,"0"),"")</f>
        <v/>
      </c>
      <c r="AH499" s="43" t="n">
        <f aca="false">IF(AA499=1,H499,0)</f>
        <v>0</v>
      </c>
    </row>
    <row r="500" customFormat="false" ht="15" hidden="false" customHeight="false" outlineLevel="0" collapsed="false">
      <c r="A500" s="23" t="str">
        <f aca="false">IF(B500="","","B-"&amp;TEXT(ROW()-4,"0000"))</f>
        <v/>
      </c>
      <c r="B500" s="38"/>
      <c r="C500" s="38"/>
      <c r="D500" s="6"/>
      <c r="E500" s="6"/>
      <c r="F500" s="6"/>
      <c r="G500" s="11"/>
      <c r="H500" s="24" t="str">
        <f aca="false">IF(AND(ISNUMBER(B500),ISNUMBER(C500)),MAX(0,C500-B500),"")</f>
        <v/>
      </c>
      <c r="I500" s="37"/>
      <c r="J500" s="46" t="str">
        <f aca="false">IF(OR(D500="",N(H500)=0),"",IFERROR(IF(I500&lt;&gt;"",H500*I500,ROUND(((H500-(INT((WEEKDAY(B500-6)+H500-1)/7)+INT((WEEKDAY(B500-7)+H500-1)/7)))*INDEX(Properties!$E$5:$E$24,MATCH(D500,Properties!$A$5:$A$24,0))+(INT((WEEKDAY(B500-6)+H500-1)/7)+INT((WEEKDAY(B500-7)+H500-1)/7))*INDEX(Properties!$F$5:$F$24,MATCH(D500,Properties!$A$5:$A$24,0)))*(1-IF(H500&gt;=28,Settings!$B$10,IF(H500&gt;=7,Settings!$B$9,0))),2)),0))</f>
        <v/>
      </c>
      <c r="K500" s="46" t="str">
        <f aca="false">IF(J500="","",IFERROR(N(INDEX(Properties!$G$5:$G$24,MATCH(D500,Properties!$A$5:$A$24,0))),0))</f>
        <v/>
      </c>
      <c r="L500" s="46" t="str">
        <f aca="false">IF(J500="","",IFERROR(MAX(0,N(G500)-INDEX(Properties!$I$5:$I$24,MATCH(D500,Properties!$A$5:$A$24,0)))*N(INDEX(Properties!$J$5:$J$24,MATCH(D500,Properties!$A$5:$A$24,0)))*H500,0))</f>
        <v/>
      </c>
      <c r="M500" s="37"/>
      <c r="N500" s="46" t="str">
        <f aca="false">IF(J500="","",J500+K500+L500+N(M500))</f>
        <v/>
      </c>
      <c r="O500" s="46" t="str">
        <f aca="false">IF(N500="","",IF(P500&lt;&gt;"",N500-P500,ROUND(N500*IFERROR(INDEX(Settings!$E$5:$E$12,MATCH(F500,Settings!$D$5:$D$12,0)),0),2)))</f>
        <v/>
      </c>
      <c r="P500" s="37"/>
      <c r="Q500" s="46" t="str">
        <f aca="false">IF(N500="","",IF(P500&lt;&gt;"",P500,N500-O500))</f>
        <v/>
      </c>
      <c r="R500" s="46" t="str">
        <f aca="false">IF(J500="","",IFERROR(N(INDEX(Properties!$H$5:$H$24,MATCH(D500,Properties!$A$5:$A$24,0))),0))</f>
        <v/>
      </c>
      <c r="S500" s="46" t="str">
        <f aca="false">IF(Q500="","",Q500-R500)</f>
        <v/>
      </c>
      <c r="T500" s="6"/>
      <c r="U500" s="6"/>
      <c r="V500" s="6"/>
      <c r="W500" s="6"/>
      <c r="X500" s="6"/>
      <c r="Y500" s="8" t="str">
        <f aca="false">IF(OR(D500="",B500="",C500=""),"",IF(N(C500)&lt;=N(B500),"Check dates",IF(T500="Cancelled","",IF(COUNTIFS($D$5:$D$1004,D500,$B$5:$B$1004,"&lt;"&amp;C500,$C$5:$C$1004,"&gt;"&amp;B500,$T$5:$T$1004,"&lt;&gt;Cancelled")&gt;1,"Double-booked",""))))</f>
        <v/>
      </c>
      <c r="Z500" s="42" t="str">
        <f aca="false">IF(AND(AA500=1,ISNUMBER(C500)),C500+ROW()/100000,"")</f>
        <v/>
      </c>
      <c r="AA500" s="43" t="n">
        <f aca="false">IF(AND(D500&lt;&gt;"",ISNUMBER(B500),ISNUMBER(C500),N(H500)&gt;0,T500&lt;&gt;"Cancelled",J500&lt;&gt;""),1,0)</f>
        <v>0</v>
      </c>
      <c r="AB500" s="44" t="n">
        <f aca="false">IF(AA500=1,J500/H500,0)</f>
        <v>0</v>
      </c>
      <c r="AC500" s="44" t="n">
        <f aca="false">IF(AA500=1,Q500/H500,0)</f>
        <v>0</v>
      </c>
      <c r="AD500" s="44" t="n">
        <f aca="false">IF(AA500=1,R500/H500,0)</f>
        <v>0</v>
      </c>
      <c r="AE500" s="44" t="n">
        <f aca="false">IF(AA500=1,O500/H500,0)</f>
        <v>0</v>
      </c>
      <c r="AF500" s="44" t="n">
        <f aca="false">IF(AA500=1,K500/H500,0)</f>
        <v>0</v>
      </c>
      <c r="AG500" s="45" t="str">
        <f aca="false">IF(AA500=1,D500&amp;"|"&amp;TEXT(B500,"0"),"")</f>
        <v/>
      </c>
      <c r="AH500" s="43" t="n">
        <f aca="false">IF(AA500=1,H500,0)</f>
        <v>0</v>
      </c>
    </row>
    <row r="501" customFormat="false" ht="15" hidden="false" customHeight="false" outlineLevel="0" collapsed="false">
      <c r="A501" s="8" t="str">
        <f aca="false">IF(B501="","","B-"&amp;TEXT(ROW()-4,"0000"))</f>
        <v/>
      </c>
      <c r="B501" s="38"/>
      <c r="C501" s="38"/>
      <c r="D501" s="6"/>
      <c r="E501" s="6"/>
      <c r="F501" s="6"/>
      <c r="G501" s="11"/>
      <c r="H501" s="18" t="str">
        <f aca="false">IF(AND(ISNUMBER(B501),ISNUMBER(C501)),MAX(0,C501-B501),"")</f>
        <v/>
      </c>
      <c r="I501" s="37"/>
      <c r="J501" s="41" t="str">
        <f aca="false">IF(OR(D501="",N(H501)=0),"",IFERROR(IF(I501&lt;&gt;"",H501*I501,ROUND(((H501-(INT((WEEKDAY(B501-6)+H501-1)/7)+INT((WEEKDAY(B501-7)+H501-1)/7)))*INDEX(Properties!$E$5:$E$24,MATCH(D501,Properties!$A$5:$A$24,0))+(INT((WEEKDAY(B501-6)+H501-1)/7)+INT((WEEKDAY(B501-7)+H501-1)/7))*INDEX(Properties!$F$5:$F$24,MATCH(D501,Properties!$A$5:$A$24,0)))*(1-IF(H501&gt;=28,Settings!$B$10,IF(H501&gt;=7,Settings!$B$9,0))),2)),0))</f>
        <v/>
      </c>
      <c r="K501" s="41" t="str">
        <f aca="false">IF(J501="","",IFERROR(N(INDEX(Properties!$G$5:$G$24,MATCH(D501,Properties!$A$5:$A$24,0))),0))</f>
        <v/>
      </c>
      <c r="L501" s="41" t="str">
        <f aca="false">IF(J501="","",IFERROR(MAX(0,N(G501)-INDEX(Properties!$I$5:$I$24,MATCH(D501,Properties!$A$5:$A$24,0)))*N(INDEX(Properties!$J$5:$J$24,MATCH(D501,Properties!$A$5:$A$24,0)))*H501,0))</f>
        <v/>
      </c>
      <c r="M501" s="37"/>
      <c r="N501" s="41" t="str">
        <f aca="false">IF(J501="","",J501+K501+L501+N(M501))</f>
        <v/>
      </c>
      <c r="O501" s="41" t="str">
        <f aca="false">IF(N501="","",IF(P501&lt;&gt;"",N501-P501,ROUND(N501*IFERROR(INDEX(Settings!$E$5:$E$12,MATCH(F501,Settings!$D$5:$D$12,0)),0),2)))</f>
        <v/>
      </c>
      <c r="P501" s="37"/>
      <c r="Q501" s="41" t="str">
        <f aca="false">IF(N501="","",IF(P501&lt;&gt;"",P501,N501-O501))</f>
        <v/>
      </c>
      <c r="R501" s="41" t="str">
        <f aca="false">IF(J501="","",IFERROR(N(INDEX(Properties!$H$5:$H$24,MATCH(D501,Properties!$A$5:$A$24,0))),0))</f>
        <v/>
      </c>
      <c r="S501" s="41" t="str">
        <f aca="false">IF(Q501="","",Q501-R501)</f>
        <v/>
      </c>
      <c r="T501" s="6"/>
      <c r="U501" s="6"/>
      <c r="V501" s="6"/>
      <c r="W501" s="6"/>
      <c r="X501" s="6"/>
      <c r="Y501" s="8" t="str">
        <f aca="false">IF(OR(D501="",B501="",C501=""),"",IF(N(C501)&lt;=N(B501),"Check dates",IF(T501="Cancelled","",IF(COUNTIFS($D$5:$D$1004,D501,$B$5:$B$1004,"&lt;"&amp;C501,$C$5:$C$1004,"&gt;"&amp;B501,$T$5:$T$1004,"&lt;&gt;Cancelled")&gt;1,"Double-booked",""))))</f>
        <v/>
      </c>
      <c r="Z501" s="42" t="str">
        <f aca="false">IF(AND(AA501=1,ISNUMBER(C501)),C501+ROW()/100000,"")</f>
        <v/>
      </c>
      <c r="AA501" s="43" t="n">
        <f aca="false">IF(AND(D501&lt;&gt;"",ISNUMBER(B501),ISNUMBER(C501),N(H501)&gt;0,T501&lt;&gt;"Cancelled",J501&lt;&gt;""),1,0)</f>
        <v>0</v>
      </c>
      <c r="AB501" s="44" t="n">
        <f aca="false">IF(AA501=1,J501/H501,0)</f>
        <v>0</v>
      </c>
      <c r="AC501" s="44" t="n">
        <f aca="false">IF(AA501=1,Q501/H501,0)</f>
        <v>0</v>
      </c>
      <c r="AD501" s="44" t="n">
        <f aca="false">IF(AA501=1,R501/H501,0)</f>
        <v>0</v>
      </c>
      <c r="AE501" s="44" t="n">
        <f aca="false">IF(AA501=1,O501/H501,0)</f>
        <v>0</v>
      </c>
      <c r="AF501" s="44" t="n">
        <f aca="false">IF(AA501=1,K501/H501,0)</f>
        <v>0</v>
      </c>
      <c r="AG501" s="45" t="str">
        <f aca="false">IF(AA501=1,D501&amp;"|"&amp;TEXT(B501,"0"),"")</f>
        <v/>
      </c>
      <c r="AH501" s="43" t="n">
        <f aca="false">IF(AA501=1,H501,0)</f>
        <v>0</v>
      </c>
    </row>
    <row r="502" customFormat="false" ht="15" hidden="false" customHeight="false" outlineLevel="0" collapsed="false">
      <c r="A502" s="23" t="str">
        <f aca="false">IF(B502="","","B-"&amp;TEXT(ROW()-4,"0000"))</f>
        <v/>
      </c>
      <c r="B502" s="38"/>
      <c r="C502" s="38"/>
      <c r="D502" s="6"/>
      <c r="E502" s="6"/>
      <c r="F502" s="6"/>
      <c r="G502" s="11"/>
      <c r="H502" s="24" t="str">
        <f aca="false">IF(AND(ISNUMBER(B502),ISNUMBER(C502)),MAX(0,C502-B502),"")</f>
        <v/>
      </c>
      <c r="I502" s="37"/>
      <c r="J502" s="46" t="str">
        <f aca="false">IF(OR(D502="",N(H502)=0),"",IFERROR(IF(I502&lt;&gt;"",H502*I502,ROUND(((H502-(INT((WEEKDAY(B502-6)+H502-1)/7)+INT((WEEKDAY(B502-7)+H502-1)/7)))*INDEX(Properties!$E$5:$E$24,MATCH(D502,Properties!$A$5:$A$24,0))+(INT((WEEKDAY(B502-6)+H502-1)/7)+INT((WEEKDAY(B502-7)+H502-1)/7))*INDEX(Properties!$F$5:$F$24,MATCH(D502,Properties!$A$5:$A$24,0)))*(1-IF(H502&gt;=28,Settings!$B$10,IF(H502&gt;=7,Settings!$B$9,0))),2)),0))</f>
        <v/>
      </c>
      <c r="K502" s="46" t="str">
        <f aca="false">IF(J502="","",IFERROR(N(INDEX(Properties!$G$5:$G$24,MATCH(D502,Properties!$A$5:$A$24,0))),0))</f>
        <v/>
      </c>
      <c r="L502" s="46" t="str">
        <f aca="false">IF(J502="","",IFERROR(MAX(0,N(G502)-INDEX(Properties!$I$5:$I$24,MATCH(D502,Properties!$A$5:$A$24,0)))*N(INDEX(Properties!$J$5:$J$24,MATCH(D502,Properties!$A$5:$A$24,0)))*H502,0))</f>
        <v/>
      </c>
      <c r="M502" s="37"/>
      <c r="N502" s="46" t="str">
        <f aca="false">IF(J502="","",J502+K502+L502+N(M502))</f>
        <v/>
      </c>
      <c r="O502" s="46" t="str">
        <f aca="false">IF(N502="","",IF(P502&lt;&gt;"",N502-P502,ROUND(N502*IFERROR(INDEX(Settings!$E$5:$E$12,MATCH(F502,Settings!$D$5:$D$12,0)),0),2)))</f>
        <v/>
      </c>
      <c r="P502" s="37"/>
      <c r="Q502" s="46" t="str">
        <f aca="false">IF(N502="","",IF(P502&lt;&gt;"",P502,N502-O502))</f>
        <v/>
      </c>
      <c r="R502" s="46" t="str">
        <f aca="false">IF(J502="","",IFERROR(N(INDEX(Properties!$H$5:$H$24,MATCH(D502,Properties!$A$5:$A$24,0))),0))</f>
        <v/>
      </c>
      <c r="S502" s="46" t="str">
        <f aca="false">IF(Q502="","",Q502-R502)</f>
        <v/>
      </c>
      <c r="T502" s="6"/>
      <c r="U502" s="6"/>
      <c r="V502" s="6"/>
      <c r="W502" s="6"/>
      <c r="X502" s="6"/>
      <c r="Y502" s="8" t="str">
        <f aca="false">IF(OR(D502="",B502="",C502=""),"",IF(N(C502)&lt;=N(B502),"Check dates",IF(T502="Cancelled","",IF(COUNTIFS($D$5:$D$1004,D502,$B$5:$B$1004,"&lt;"&amp;C502,$C$5:$C$1004,"&gt;"&amp;B502,$T$5:$T$1004,"&lt;&gt;Cancelled")&gt;1,"Double-booked",""))))</f>
        <v/>
      </c>
      <c r="Z502" s="42" t="str">
        <f aca="false">IF(AND(AA502=1,ISNUMBER(C502)),C502+ROW()/100000,"")</f>
        <v/>
      </c>
      <c r="AA502" s="43" t="n">
        <f aca="false">IF(AND(D502&lt;&gt;"",ISNUMBER(B502),ISNUMBER(C502),N(H502)&gt;0,T502&lt;&gt;"Cancelled",J502&lt;&gt;""),1,0)</f>
        <v>0</v>
      </c>
      <c r="AB502" s="44" t="n">
        <f aca="false">IF(AA502=1,J502/H502,0)</f>
        <v>0</v>
      </c>
      <c r="AC502" s="44" t="n">
        <f aca="false">IF(AA502=1,Q502/H502,0)</f>
        <v>0</v>
      </c>
      <c r="AD502" s="44" t="n">
        <f aca="false">IF(AA502=1,R502/H502,0)</f>
        <v>0</v>
      </c>
      <c r="AE502" s="44" t="n">
        <f aca="false">IF(AA502=1,O502/H502,0)</f>
        <v>0</v>
      </c>
      <c r="AF502" s="44" t="n">
        <f aca="false">IF(AA502=1,K502/H502,0)</f>
        <v>0</v>
      </c>
      <c r="AG502" s="45" t="str">
        <f aca="false">IF(AA502=1,D502&amp;"|"&amp;TEXT(B502,"0"),"")</f>
        <v/>
      </c>
      <c r="AH502" s="43" t="n">
        <f aca="false">IF(AA502=1,H502,0)</f>
        <v>0</v>
      </c>
    </row>
    <row r="503" customFormat="false" ht="15" hidden="false" customHeight="false" outlineLevel="0" collapsed="false">
      <c r="A503" s="8" t="str">
        <f aca="false">IF(B503="","","B-"&amp;TEXT(ROW()-4,"0000"))</f>
        <v/>
      </c>
      <c r="B503" s="38"/>
      <c r="C503" s="38"/>
      <c r="D503" s="6"/>
      <c r="E503" s="6"/>
      <c r="F503" s="6"/>
      <c r="G503" s="11"/>
      <c r="H503" s="18" t="str">
        <f aca="false">IF(AND(ISNUMBER(B503),ISNUMBER(C503)),MAX(0,C503-B503),"")</f>
        <v/>
      </c>
      <c r="I503" s="37"/>
      <c r="J503" s="41" t="str">
        <f aca="false">IF(OR(D503="",N(H503)=0),"",IFERROR(IF(I503&lt;&gt;"",H503*I503,ROUND(((H503-(INT((WEEKDAY(B503-6)+H503-1)/7)+INT((WEEKDAY(B503-7)+H503-1)/7)))*INDEX(Properties!$E$5:$E$24,MATCH(D503,Properties!$A$5:$A$24,0))+(INT((WEEKDAY(B503-6)+H503-1)/7)+INT((WEEKDAY(B503-7)+H503-1)/7))*INDEX(Properties!$F$5:$F$24,MATCH(D503,Properties!$A$5:$A$24,0)))*(1-IF(H503&gt;=28,Settings!$B$10,IF(H503&gt;=7,Settings!$B$9,0))),2)),0))</f>
        <v/>
      </c>
      <c r="K503" s="41" t="str">
        <f aca="false">IF(J503="","",IFERROR(N(INDEX(Properties!$G$5:$G$24,MATCH(D503,Properties!$A$5:$A$24,0))),0))</f>
        <v/>
      </c>
      <c r="L503" s="41" t="str">
        <f aca="false">IF(J503="","",IFERROR(MAX(0,N(G503)-INDEX(Properties!$I$5:$I$24,MATCH(D503,Properties!$A$5:$A$24,0)))*N(INDEX(Properties!$J$5:$J$24,MATCH(D503,Properties!$A$5:$A$24,0)))*H503,0))</f>
        <v/>
      </c>
      <c r="M503" s="37"/>
      <c r="N503" s="41" t="str">
        <f aca="false">IF(J503="","",J503+K503+L503+N(M503))</f>
        <v/>
      </c>
      <c r="O503" s="41" t="str">
        <f aca="false">IF(N503="","",IF(P503&lt;&gt;"",N503-P503,ROUND(N503*IFERROR(INDEX(Settings!$E$5:$E$12,MATCH(F503,Settings!$D$5:$D$12,0)),0),2)))</f>
        <v/>
      </c>
      <c r="P503" s="37"/>
      <c r="Q503" s="41" t="str">
        <f aca="false">IF(N503="","",IF(P503&lt;&gt;"",P503,N503-O503))</f>
        <v/>
      </c>
      <c r="R503" s="41" t="str">
        <f aca="false">IF(J503="","",IFERROR(N(INDEX(Properties!$H$5:$H$24,MATCH(D503,Properties!$A$5:$A$24,0))),0))</f>
        <v/>
      </c>
      <c r="S503" s="41" t="str">
        <f aca="false">IF(Q503="","",Q503-R503)</f>
        <v/>
      </c>
      <c r="T503" s="6"/>
      <c r="U503" s="6"/>
      <c r="V503" s="6"/>
      <c r="W503" s="6"/>
      <c r="X503" s="6"/>
      <c r="Y503" s="8" t="str">
        <f aca="false">IF(OR(D503="",B503="",C503=""),"",IF(N(C503)&lt;=N(B503),"Check dates",IF(T503="Cancelled","",IF(COUNTIFS($D$5:$D$1004,D503,$B$5:$B$1004,"&lt;"&amp;C503,$C$5:$C$1004,"&gt;"&amp;B503,$T$5:$T$1004,"&lt;&gt;Cancelled")&gt;1,"Double-booked",""))))</f>
        <v/>
      </c>
      <c r="Z503" s="42" t="str">
        <f aca="false">IF(AND(AA503=1,ISNUMBER(C503)),C503+ROW()/100000,"")</f>
        <v/>
      </c>
      <c r="AA503" s="43" t="n">
        <f aca="false">IF(AND(D503&lt;&gt;"",ISNUMBER(B503),ISNUMBER(C503),N(H503)&gt;0,T503&lt;&gt;"Cancelled",J503&lt;&gt;""),1,0)</f>
        <v>0</v>
      </c>
      <c r="AB503" s="44" t="n">
        <f aca="false">IF(AA503=1,J503/H503,0)</f>
        <v>0</v>
      </c>
      <c r="AC503" s="44" t="n">
        <f aca="false">IF(AA503=1,Q503/H503,0)</f>
        <v>0</v>
      </c>
      <c r="AD503" s="44" t="n">
        <f aca="false">IF(AA503=1,R503/H503,0)</f>
        <v>0</v>
      </c>
      <c r="AE503" s="44" t="n">
        <f aca="false">IF(AA503=1,O503/H503,0)</f>
        <v>0</v>
      </c>
      <c r="AF503" s="44" t="n">
        <f aca="false">IF(AA503=1,K503/H503,0)</f>
        <v>0</v>
      </c>
      <c r="AG503" s="45" t="str">
        <f aca="false">IF(AA503=1,D503&amp;"|"&amp;TEXT(B503,"0"),"")</f>
        <v/>
      </c>
      <c r="AH503" s="43" t="n">
        <f aca="false">IF(AA503=1,H503,0)</f>
        <v>0</v>
      </c>
    </row>
    <row r="504" customFormat="false" ht="15" hidden="false" customHeight="false" outlineLevel="0" collapsed="false">
      <c r="A504" s="23" t="str">
        <f aca="false">IF(B504="","","B-"&amp;TEXT(ROW()-4,"0000"))</f>
        <v/>
      </c>
      <c r="B504" s="38"/>
      <c r="C504" s="38"/>
      <c r="D504" s="6"/>
      <c r="E504" s="6"/>
      <c r="F504" s="6"/>
      <c r="G504" s="11"/>
      <c r="H504" s="24" t="str">
        <f aca="false">IF(AND(ISNUMBER(B504),ISNUMBER(C504)),MAX(0,C504-B504),"")</f>
        <v/>
      </c>
      <c r="I504" s="37"/>
      <c r="J504" s="46" t="str">
        <f aca="false">IF(OR(D504="",N(H504)=0),"",IFERROR(IF(I504&lt;&gt;"",H504*I504,ROUND(((H504-(INT((WEEKDAY(B504-6)+H504-1)/7)+INT((WEEKDAY(B504-7)+H504-1)/7)))*INDEX(Properties!$E$5:$E$24,MATCH(D504,Properties!$A$5:$A$24,0))+(INT((WEEKDAY(B504-6)+H504-1)/7)+INT((WEEKDAY(B504-7)+H504-1)/7))*INDEX(Properties!$F$5:$F$24,MATCH(D504,Properties!$A$5:$A$24,0)))*(1-IF(H504&gt;=28,Settings!$B$10,IF(H504&gt;=7,Settings!$B$9,0))),2)),0))</f>
        <v/>
      </c>
      <c r="K504" s="46" t="str">
        <f aca="false">IF(J504="","",IFERROR(N(INDEX(Properties!$G$5:$G$24,MATCH(D504,Properties!$A$5:$A$24,0))),0))</f>
        <v/>
      </c>
      <c r="L504" s="46" t="str">
        <f aca="false">IF(J504="","",IFERROR(MAX(0,N(G504)-INDEX(Properties!$I$5:$I$24,MATCH(D504,Properties!$A$5:$A$24,0)))*N(INDEX(Properties!$J$5:$J$24,MATCH(D504,Properties!$A$5:$A$24,0)))*H504,0))</f>
        <v/>
      </c>
      <c r="M504" s="37"/>
      <c r="N504" s="46" t="str">
        <f aca="false">IF(J504="","",J504+K504+L504+N(M504))</f>
        <v/>
      </c>
      <c r="O504" s="46" t="str">
        <f aca="false">IF(N504="","",IF(P504&lt;&gt;"",N504-P504,ROUND(N504*IFERROR(INDEX(Settings!$E$5:$E$12,MATCH(F504,Settings!$D$5:$D$12,0)),0),2)))</f>
        <v/>
      </c>
      <c r="P504" s="37"/>
      <c r="Q504" s="46" t="str">
        <f aca="false">IF(N504="","",IF(P504&lt;&gt;"",P504,N504-O504))</f>
        <v/>
      </c>
      <c r="R504" s="46" t="str">
        <f aca="false">IF(J504="","",IFERROR(N(INDEX(Properties!$H$5:$H$24,MATCH(D504,Properties!$A$5:$A$24,0))),0))</f>
        <v/>
      </c>
      <c r="S504" s="46" t="str">
        <f aca="false">IF(Q504="","",Q504-R504)</f>
        <v/>
      </c>
      <c r="T504" s="6"/>
      <c r="U504" s="6"/>
      <c r="V504" s="6"/>
      <c r="W504" s="6"/>
      <c r="X504" s="6"/>
      <c r="Y504" s="8" t="str">
        <f aca="false">IF(OR(D504="",B504="",C504=""),"",IF(N(C504)&lt;=N(B504),"Check dates",IF(T504="Cancelled","",IF(COUNTIFS($D$5:$D$1004,D504,$B$5:$B$1004,"&lt;"&amp;C504,$C$5:$C$1004,"&gt;"&amp;B504,$T$5:$T$1004,"&lt;&gt;Cancelled")&gt;1,"Double-booked",""))))</f>
        <v/>
      </c>
      <c r="Z504" s="42" t="str">
        <f aca="false">IF(AND(AA504=1,ISNUMBER(C504)),C504+ROW()/100000,"")</f>
        <v/>
      </c>
      <c r="AA504" s="43" t="n">
        <f aca="false">IF(AND(D504&lt;&gt;"",ISNUMBER(B504),ISNUMBER(C504),N(H504)&gt;0,T504&lt;&gt;"Cancelled",J504&lt;&gt;""),1,0)</f>
        <v>0</v>
      </c>
      <c r="AB504" s="44" t="n">
        <f aca="false">IF(AA504=1,J504/H504,0)</f>
        <v>0</v>
      </c>
      <c r="AC504" s="44" t="n">
        <f aca="false">IF(AA504=1,Q504/H504,0)</f>
        <v>0</v>
      </c>
      <c r="AD504" s="44" t="n">
        <f aca="false">IF(AA504=1,R504/H504,0)</f>
        <v>0</v>
      </c>
      <c r="AE504" s="44" t="n">
        <f aca="false">IF(AA504=1,O504/H504,0)</f>
        <v>0</v>
      </c>
      <c r="AF504" s="44" t="n">
        <f aca="false">IF(AA504=1,K504/H504,0)</f>
        <v>0</v>
      </c>
      <c r="AG504" s="45" t="str">
        <f aca="false">IF(AA504=1,D504&amp;"|"&amp;TEXT(B504,"0"),"")</f>
        <v/>
      </c>
      <c r="AH504" s="43" t="n">
        <f aca="false">IF(AA504=1,H504,0)</f>
        <v>0</v>
      </c>
    </row>
    <row r="505" customFormat="false" ht="15" hidden="false" customHeight="false" outlineLevel="0" collapsed="false">
      <c r="A505" s="8" t="str">
        <f aca="false">IF(B505="","","B-"&amp;TEXT(ROW()-4,"0000"))</f>
        <v/>
      </c>
      <c r="B505" s="38"/>
      <c r="C505" s="38"/>
      <c r="D505" s="6"/>
      <c r="E505" s="6"/>
      <c r="F505" s="6"/>
      <c r="G505" s="11"/>
      <c r="H505" s="18" t="str">
        <f aca="false">IF(AND(ISNUMBER(B505),ISNUMBER(C505)),MAX(0,C505-B505),"")</f>
        <v/>
      </c>
      <c r="I505" s="37"/>
      <c r="J505" s="41" t="str">
        <f aca="false">IF(OR(D505="",N(H505)=0),"",IFERROR(IF(I505&lt;&gt;"",H505*I505,ROUND(((H505-(INT((WEEKDAY(B505-6)+H505-1)/7)+INT((WEEKDAY(B505-7)+H505-1)/7)))*INDEX(Properties!$E$5:$E$24,MATCH(D505,Properties!$A$5:$A$24,0))+(INT((WEEKDAY(B505-6)+H505-1)/7)+INT((WEEKDAY(B505-7)+H505-1)/7))*INDEX(Properties!$F$5:$F$24,MATCH(D505,Properties!$A$5:$A$24,0)))*(1-IF(H505&gt;=28,Settings!$B$10,IF(H505&gt;=7,Settings!$B$9,0))),2)),0))</f>
        <v/>
      </c>
      <c r="K505" s="41" t="str">
        <f aca="false">IF(J505="","",IFERROR(N(INDEX(Properties!$G$5:$G$24,MATCH(D505,Properties!$A$5:$A$24,0))),0))</f>
        <v/>
      </c>
      <c r="L505" s="41" t="str">
        <f aca="false">IF(J505="","",IFERROR(MAX(0,N(G505)-INDEX(Properties!$I$5:$I$24,MATCH(D505,Properties!$A$5:$A$24,0)))*N(INDEX(Properties!$J$5:$J$24,MATCH(D505,Properties!$A$5:$A$24,0)))*H505,0))</f>
        <v/>
      </c>
      <c r="M505" s="37"/>
      <c r="N505" s="41" t="str">
        <f aca="false">IF(J505="","",J505+K505+L505+N(M505))</f>
        <v/>
      </c>
      <c r="O505" s="41" t="str">
        <f aca="false">IF(N505="","",IF(P505&lt;&gt;"",N505-P505,ROUND(N505*IFERROR(INDEX(Settings!$E$5:$E$12,MATCH(F505,Settings!$D$5:$D$12,0)),0),2)))</f>
        <v/>
      </c>
      <c r="P505" s="37"/>
      <c r="Q505" s="41" t="str">
        <f aca="false">IF(N505="","",IF(P505&lt;&gt;"",P505,N505-O505))</f>
        <v/>
      </c>
      <c r="R505" s="41" t="str">
        <f aca="false">IF(J505="","",IFERROR(N(INDEX(Properties!$H$5:$H$24,MATCH(D505,Properties!$A$5:$A$24,0))),0))</f>
        <v/>
      </c>
      <c r="S505" s="41" t="str">
        <f aca="false">IF(Q505="","",Q505-R505)</f>
        <v/>
      </c>
      <c r="T505" s="6"/>
      <c r="U505" s="6"/>
      <c r="V505" s="6"/>
      <c r="W505" s="6"/>
      <c r="X505" s="6"/>
      <c r="Y505" s="8" t="str">
        <f aca="false">IF(OR(D505="",B505="",C505=""),"",IF(N(C505)&lt;=N(B505),"Check dates",IF(T505="Cancelled","",IF(COUNTIFS($D$5:$D$1004,D505,$B$5:$B$1004,"&lt;"&amp;C505,$C$5:$C$1004,"&gt;"&amp;B505,$T$5:$T$1004,"&lt;&gt;Cancelled")&gt;1,"Double-booked",""))))</f>
        <v/>
      </c>
      <c r="Z505" s="42" t="str">
        <f aca="false">IF(AND(AA505=1,ISNUMBER(C505)),C505+ROW()/100000,"")</f>
        <v/>
      </c>
      <c r="AA505" s="43" t="n">
        <f aca="false">IF(AND(D505&lt;&gt;"",ISNUMBER(B505),ISNUMBER(C505),N(H505)&gt;0,T505&lt;&gt;"Cancelled",J505&lt;&gt;""),1,0)</f>
        <v>0</v>
      </c>
      <c r="AB505" s="44" t="n">
        <f aca="false">IF(AA505=1,J505/H505,0)</f>
        <v>0</v>
      </c>
      <c r="AC505" s="44" t="n">
        <f aca="false">IF(AA505=1,Q505/H505,0)</f>
        <v>0</v>
      </c>
      <c r="AD505" s="44" t="n">
        <f aca="false">IF(AA505=1,R505/H505,0)</f>
        <v>0</v>
      </c>
      <c r="AE505" s="44" t="n">
        <f aca="false">IF(AA505=1,O505/H505,0)</f>
        <v>0</v>
      </c>
      <c r="AF505" s="44" t="n">
        <f aca="false">IF(AA505=1,K505/H505,0)</f>
        <v>0</v>
      </c>
      <c r="AG505" s="45" t="str">
        <f aca="false">IF(AA505=1,D505&amp;"|"&amp;TEXT(B505,"0"),"")</f>
        <v/>
      </c>
      <c r="AH505" s="43" t="n">
        <f aca="false">IF(AA505=1,H505,0)</f>
        <v>0</v>
      </c>
    </row>
    <row r="506" customFormat="false" ht="15" hidden="false" customHeight="false" outlineLevel="0" collapsed="false">
      <c r="A506" s="23" t="str">
        <f aca="false">IF(B506="","","B-"&amp;TEXT(ROW()-4,"0000"))</f>
        <v/>
      </c>
      <c r="B506" s="38"/>
      <c r="C506" s="38"/>
      <c r="D506" s="6"/>
      <c r="E506" s="6"/>
      <c r="F506" s="6"/>
      <c r="G506" s="11"/>
      <c r="H506" s="24" t="str">
        <f aca="false">IF(AND(ISNUMBER(B506),ISNUMBER(C506)),MAX(0,C506-B506),"")</f>
        <v/>
      </c>
      <c r="I506" s="37"/>
      <c r="J506" s="46" t="str">
        <f aca="false">IF(OR(D506="",N(H506)=0),"",IFERROR(IF(I506&lt;&gt;"",H506*I506,ROUND(((H506-(INT((WEEKDAY(B506-6)+H506-1)/7)+INT((WEEKDAY(B506-7)+H506-1)/7)))*INDEX(Properties!$E$5:$E$24,MATCH(D506,Properties!$A$5:$A$24,0))+(INT((WEEKDAY(B506-6)+H506-1)/7)+INT((WEEKDAY(B506-7)+H506-1)/7))*INDEX(Properties!$F$5:$F$24,MATCH(D506,Properties!$A$5:$A$24,0)))*(1-IF(H506&gt;=28,Settings!$B$10,IF(H506&gt;=7,Settings!$B$9,0))),2)),0))</f>
        <v/>
      </c>
      <c r="K506" s="46" t="str">
        <f aca="false">IF(J506="","",IFERROR(N(INDEX(Properties!$G$5:$G$24,MATCH(D506,Properties!$A$5:$A$24,0))),0))</f>
        <v/>
      </c>
      <c r="L506" s="46" t="str">
        <f aca="false">IF(J506="","",IFERROR(MAX(0,N(G506)-INDEX(Properties!$I$5:$I$24,MATCH(D506,Properties!$A$5:$A$24,0)))*N(INDEX(Properties!$J$5:$J$24,MATCH(D506,Properties!$A$5:$A$24,0)))*H506,0))</f>
        <v/>
      </c>
      <c r="M506" s="37"/>
      <c r="N506" s="46" t="str">
        <f aca="false">IF(J506="","",J506+K506+L506+N(M506))</f>
        <v/>
      </c>
      <c r="O506" s="46" t="str">
        <f aca="false">IF(N506="","",IF(P506&lt;&gt;"",N506-P506,ROUND(N506*IFERROR(INDEX(Settings!$E$5:$E$12,MATCH(F506,Settings!$D$5:$D$12,0)),0),2)))</f>
        <v/>
      </c>
      <c r="P506" s="37"/>
      <c r="Q506" s="46" t="str">
        <f aca="false">IF(N506="","",IF(P506&lt;&gt;"",P506,N506-O506))</f>
        <v/>
      </c>
      <c r="R506" s="46" t="str">
        <f aca="false">IF(J506="","",IFERROR(N(INDEX(Properties!$H$5:$H$24,MATCH(D506,Properties!$A$5:$A$24,0))),0))</f>
        <v/>
      </c>
      <c r="S506" s="46" t="str">
        <f aca="false">IF(Q506="","",Q506-R506)</f>
        <v/>
      </c>
      <c r="T506" s="6"/>
      <c r="U506" s="6"/>
      <c r="V506" s="6"/>
      <c r="W506" s="6"/>
      <c r="X506" s="6"/>
      <c r="Y506" s="8" t="str">
        <f aca="false">IF(OR(D506="",B506="",C506=""),"",IF(N(C506)&lt;=N(B506),"Check dates",IF(T506="Cancelled","",IF(COUNTIFS($D$5:$D$1004,D506,$B$5:$B$1004,"&lt;"&amp;C506,$C$5:$C$1004,"&gt;"&amp;B506,$T$5:$T$1004,"&lt;&gt;Cancelled")&gt;1,"Double-booked",""))))</f>
        <v/>
      </c>
      <c r="Z506" s="42" t="str">
        <f aca="false">IF(AND(AA506=1,ISNUMBER(C506)),C506+ROW()/100000,"")</f>
        <v/>
      </c>
      <c r="AA506" s="43" t="n">
        <f aca="false">IF(AND(D506&lt;&gt;"",ISNUMBER(B506),ISNUMBER(C506),N(H506)&gt;0,T506&lt;&gt;"Cancelled",J506&lt;&gt;""),1,0)</f>
        <v>0</v>
      </c>
      <c r="AB506" s="44" t="n">
        <f aca="false">IF(AA506=1,J506/H506,0)</f>
        <v>0</v>
      </c>
      <c r="AC506" s="44" t="n">
        <f aca="false">IF(AA506=1,Q506/H506,0)</f>
        <v>0</v>
      </c>
      <c r="AD506" s="44" t="n">
        <f aca="false">IF(AA506=1,R506/H506,0)</f>
        <v>0</v>
      </c>
      <c r="AE506" s="44" t="n">
        <f aca="false">IF(AA506=1,O506/H506,0)</f>
        <v>0</v>
      </c>
      <c r="AF506" s="44" t="n">
        <f aca="false">IF(AA506=1,K506/H506,0)</f>
        <v>0</v>
      </c>
      <c r="AG506" s="45" t="str">
        <f aca="false">IF(AA506=1,D506&amp;"|"&amp;TEXT(B506,"0"),"")</f>
        <v/>
      </c>
      <c r="AH506" s="43" t="n">
        <f aca="false">IF(AA506=1,H506,0)</f>
        <v>0</v>
      </c>
    </row>
    <row r="507" customFormat="false" ht="15" hidden="false" customHeight="false" outlineLevel="0" collapsed="false">
      <c r="A507" s="8" t="str">
        <f aca="false">IF(B507="","","B-"&amp;TEXT(ROW()-4,"0000"))</f>
        <v/>
      </c>
      <c r="B507" s="38"/>
      <c r="C507" s="38"/>
      <c r="D507" s="6"/>
      <c r="E507" s="6"/>
      <c r="F507" s="6"/>
      <c r="G507" s="11"/>
      <c r="H507" s="18" t="str">
        <f aca="false">IF(AND(ISNUMBER(B507),ISNUMBER(C507)),MAX(0,C507-B507),"")</f>
        <v/>
      </c>
      <c r="I507" s="37"/>
      <c r="J507" s="41" t="str">
        <f aca="false">IF(OR(D507="",N(H507)=0),"",IFERROR(IF(I507&lt;&gt;"",H507*I507,ROUND(((H507-(INT((WEEKDAY(B507-6)+H507-1)/7)+INT((WEEKDAY(B507-7)+H507-1)/7)))*INDEX(Properties!$E$5:$E$24,MATCH(D507,Properties!$A$5:$A$24,0))+(INT((WEEKDAY(B507-6)+H507-1)/7)+INT((WEEKDAY(B507-7)+H507-1)/7))*INDEX(Properties!$F$5:$F$24,MATCH(D507,Properties!$A$5:$A$24,0)))*(1-IF(H507&gt;=28,Settings!$B$10,IF(H507&gt;=7,Settings!$B$9,0))),2)),0))</f>
        <v/>
      </c>
      <c r="K507" s="41" t="str">
        <f aca="false">IF(J507="","",IFERROR(N(INDEX(Properties!$G$5:$G$24,MATCH(D507,Properties!$A$5:$A$24,0))),0))</f>
        <v/>
      </c>
      <c r="L507" s="41" t="str">
        <f aca="false">IF(J507="","",IFERROR(MAX(0,N(G507)-INDEX(Properties!$I$5:$I$24,MATCH(D507,Properties!$A$5:$A$24,0)))*N(INDEX(Properties!$J$5:$J$24,MATCH(D507,Properties!$A$5:$A$24,0)))*H507,0))</f>
        <v/>
      </c>
      <c r="M507" s="37"/>
      <c r="N507" s="41" t="str">
        <f aca="false">IF(J507="","",J507+K507+L507+N(M507))</f>
        <v/>
      </c>
      <c r="O507" s="41" t="str">
        <f aca="false">IF(N507="","",IF(P507&lt;&gt;"",N507-P507,ROUND(N507*IFERROR(INDEX(Settings!$E$5:$E$12,MATCH(F507,Settings!$D$5:$D$12,0)),0),2)))</f>
        <v/>
      </c>
      <c r="P507" s="37"/>
      <c r="Q507" s="41" t="str">
        <f aca="false">IF(N507="","",IF(P507&lt;&gt;"",P507,N507-O507))</f>
        <v/>
      </c>
      <c r="R507" s="41" t="str">
        <f aca="false">IF(J507="","",IFERROR(N(INDEX(Properties!$H$5:$H$24,MATCH(D507,Properties!$A$5:$A$24,0))),0))</f>
        <v/>
      </c>
      <c r="S507" s="41" t="str">
        <f aca="false">IF(Q507="","",Q507-R507)</f>
        <v/>
      </c>
      <c r="T507" s="6"/>
      <c r="U507" s="6"/>
      <c r="V507" s="6"/>
      <c r="W507" s="6"/>
      <c r="X507" s="6"/>
      <c r="Y507" s="8" t="str">
        <f aca="false">IF(OR(D507="",B507="",C507=""),"",IF(N(C507)&lt;=N(B507),"Check dates",IF(T507="Cancelled","",IF(COUNTIFS($D$5:$D$1004,D507,$B$5:$B$1004,"&lt;"&amp;C507,$C$5:$C$1004,"&gt;"&amp;B507,$T$5:$T$1004,"&lt;&gt;Cancelled")&gt;1,"Double-booked",""))))</f>
        <v/>
      </c>
      <c r="Z507" s="42" t="str">
        <f aca="false">IF(AND(AA507=1,ISNUMBER(C507)),C507+ROW()/100000,"")</f>
        <v/>
      </c>
      <c r="AA507" s="43" t="n">
        <f aca="false">IF(AND(D507&lt;&gt;"",ISNUMBER(B507),ISNUMBER(C507),N(H507)&gt;0,T507&lt;&gt;"Cancelled",J507&lt;&gt;""),1,0)</f>
        <v>0</v>
      </c>
      <c r="AB507" s="44" t="n">
        <f aca="false">IF(AA507=1,J507/H507,0)</f>
        <v>0</v>
      </c>
      <c r="AC507" s="44" t="n">
        <f aca="false">IF(AA507=1,Q507/H507,0)</f>
        <v>0</v>
      </c>
      <c r="AD507" s="44" t="n">
        <f aca="false">IF(AA507=1,R507/H507,0)</f>
        <v>0</v>
      </c>
      <c r="AE507" s="44" t="n">
        <f aca="false">IF(AA507=1,O507/H507,0)</f>
        <v>0</v>
      </c>
      <c r="AF507" s="44" t="n">
        <f aca="false">IF(AA507=1,K507/H507,0)</f>
        <v>0</v>
      </c>
      <c r="AG507" s="45" t="str">
        <f aca="false">IF(AA507=1,D507&amp;"|"&amp;TEXT(B507,"0"),"")</f>
        <v/>
      </c>
      <c r="AH507" s="43" t="n">
        <f aca="false">IF(AA507=1,H507,0)</f>
        <v>0</v>
      </c>
    </row>
    <row r="508" customFormat="false" ht="15" hidden="false" customHeight="false" outlineLevel="0" collapsed="false">
      <c r="A508" s="23" t="str">
        <f aca="false">IF(B508="","","B-"&amp;TEXT(ROW()-4,"0000"))</f>
        <v/>
      </c>
      <c r="B508" s="38"/>
      <c r="C508" s="38"/>
      <c r="D508" s="6"/>
      <c r="E508" s="6"/>
      <c r="F508" s="6"/>
      <c r="G508" s="11"/>
      <c r="H508" s="24" t="str">
        <f aca="false">IF(AND(ISNUMBER(B508),ISNUMBER(C508)),MAX(0,C508-B508),"")</f>
        <v/>
      </c>
      <c r="I508" s="37"/>
      <c r="J508" s="46" t="str">
        <f aca="false">IF(OR(D508="",N(H508)=0),"",IFERROR(IF(I508&lt;&gt;"",H508*I508,ROUND(((H508-(INT((WEEKDAY(B508-6)+H508-1)/7)+INT((WEEKDAY(B508-7)+H508-1)/7)))*INDEX(Properties!$E$5:$E$24,MATCH(D508,Properties!$A$5:$A$24,0))+(INT((WEEKDAY(B508-6)+H508-1)/7)+INT((WEEKDAY(B508-7)+H508-1)/7))*INDEX(Properties!$F$5:$F$24,MATCH(D508,Properties!$A$5:$A$24,0)))*(1-IF(H508&gt;=28,Settings!$B$10,IF(H508&gt;=7,Settings!$B$9,0))),2)),0))</f>
        <v/>
      </c>
      <c r="K508" s="46" t="str">
        <f aca="false">IF(J508="","",IFERROR(N(INDEX(Properties!$G$5:$G$24,MATCH(D508,Properties!$A$5:$A$24,0))),0))</f>
        <v/>
      </c>
      <c r="L508" s="46" t="str">
        <f aca="false">IF(J508="","",IFERROR(MAX(0,N(G508)-INDEX(Properties!$I$5:$I$24,MATCH(D508,Properties!$A$5:$A$24,0)))*N(INDEX(Properties!$J$5:$J$24,MATCH(D508,Properties!$A$5:$A$24,0)))*H508,0))</f>
        <v/>
      </c>
      <c r="M508" s="37"/>
      <c r="N508" s="46" t="str">
        <f aca="false">IF(J508="","",J508+K508+L508+N(M508))</f>
        <v/>
      </c>
      <c r="O508" s="46" t="str">
        <f aca="false">IF(N508="","",IF(P508&lt;&gt;"",N508-P508,ROUND(N508*IFERROR(INDEX(Settings!$E$5:$E$12,MATCH(F508,Settings!$D$5:$D$12,0)),0),2)))</f>
        <v/>
      </c>
      <c r="P508" s="37"/>
      <c r="Q508" s="46" t="str">
        <f aca="false">IF(N508="","",IF(P508&lt;&gt;"",P508,N508-O508))</f>
        <v/>
      </c>
      <c r="R508" s="46" t="str">
        <f aca="false">IF(J508="","",IFERROR(N(INDEX(Properties!$H$5:$H$24,MATCH(D508,Properties!$A$5:$A$24,0))),0))</f>
        <v/>
      </c>
      <c r="S508" s="46" t="str">
        <f aca="false">IF(Q508="","",Q508-R508)</f>
        <v/>
      </c>
      <c r="T508" s="6"/>
      <c r="U508" s="6"/>
      <c r="V508" s="6"/>
      <c r="W508" s="6"/>
      <c r="X508" s="6"/>
      <c r="Y508" s="8" t="str">
        <f aca="false">IF(OR(D508="",B508="",C508=""),"",IF(N(C508)&lt;=N(B508),"Check dates",IF(T508="Cancelled","",IF(COUNTIFS($D$5:$D$1004,D508,$B$5:$B$1004,"&lt;"&amp;C508,$C$5:$C$1004,"&gt;"&amp;B508,$T$5:$T$1004,"&lt;&gt;Cancelled")&gt;1,"Double-booked",""))))</f>
        <v/>
      </c>
      <c r="Z508" s="42" t="str">
        <f aca="false">IF(AND(AA508=1,ISNUMBER(C508)),C508+ROW()/100000,"")</f>
        <v/>
      </c>
      <c r="AA508" s="43" t="n">
        <f aca="false">IF(AND(D508&lt;&gt;"",ISNUMBER(B508),ISNUMBER(C508),N(H508)&gt;0,T508&lt;&gt;"Cancelled",J508&lt;&gt;""),1,0)</f>
        <v>0</v>
      </c>
      <c r="AB508" s="44" t="n">
        <f aca="false">IF(AA508=1,J508/H508,0)</f>
        <v>0</v>
      </c>
      <c r="AC508" s="44" t="n">
        <f aca="false">IF(AA508=1,Q508/H508,0)</f>
        <v>0</v>
      </c>
      <c r="AD508" s="44" t="n">
        <f aca="false">IF(AA508=1,R508/H508,0)</f>
        <v>0</v>
      </c>
      <c r="AE508" s="44" t="n">
        <f aca="false">IF(AA508=1,O508/H508,0)</f>
        <v>0</v>
      </c>
      <c r="AF508" s="44" t="n">
        <f aca="false">IF(AA508=1,K508/H508,0)</f>
        <v>0</v>
      </c>
      <c r="AG508" s="45" t="str">
        <f aca="false">IF(AA508=1,D508&amp;"|"&amp;TEXT(B508,"0"),"")</f>
        <v/>
      </c>
      <c r="AH508" s="43" t="n">
        <f aca="false">IF(AA508=1,H508,0)</f>
        <v>0</v>
      </c>
    </row>
    <row r="509" customFormat="false" ht="15" hidden="false" customHeight="false" outlineLevel="0" collapsed="false">
      <c r="A509" s="8" t="str">
        <f aca="false">IF(B509="","","B-"&amp;TEXT(ROW()-4,"0000"))</f>
        <v/>
      </c>
      <c r="B509" s="38"/>
      <c r="C509" s="38"/>
      <c r="D509" s="6"/>
      <c r="E509" s="6"/>
      <c r="F509" s="6"/>
      <c r="G509" s="11"/>
      <c r="H509" s="18" t="str">
        <f aca="false">IF(AND(ISNUMBER(B509),ISNUMBER(C509)),MAX(0,C509-B509),"")</f>
        <v/>
      </c>
      <c r="I509" s="37"/>
      <c r="J509" s="41" t="str">
        <f aca="false">IF(OR(D509="",N(H509)=0),"",IFERROR(IF(I509&lt;&gt;"",H509*I509,ROUND(((H509-(INT((WEEKDAY(B509-6)+H509-1)/7)+INT((WEEKDAY(B509-7)+H509-1)/7)))*INDEX(Properties!$E$5:$E$24,MATCH(D509,Properties!$A$5:$A$24,0))+(INT((WEEKDAY(B509-6)+H509-1)/7)+INT((WEEKDAY(B509-7)+H509-1)/7))*INDEX(Properties!$F$5:$F$24,MATCH(D509,Properties!$A$5:$A$24,0)))*(1-IF(H509&gt;=28,Settings!$B$10,IF(H509&gt;=7,Settings!$B$9,0))),2)),0))</f>
        <v/>
      </c>
      <c r="K509" s="41" t="str">
        <f aca="false">IF(J509="","",IFERROR(N(INDEX(Properties!$G$5:$G$24,MATCH(D509,Properties!$A$5:$A$24,0))),0))</f>
        <v/>
      </c>
      <c r="L509" s="41" t="str">
        <f aca="false">IF(J509="","",IFERROR(MAX(0,N(G509)-INDEX(Properties!$I$5:$I$24,MATCH(D509,Properties!$A$5:$A$24,0)))*N(INDEX(Properties!$J$5:$J$24,MATCH(D509,Properties!$A$5:$A$24,0)))*H509,0))</f>
        <v/>
      </c>
      <c r="M509" s="37"/>
      <c r="N509" s="41" t="str">
        <f aca="false">IF(J509="","",J509+K509+L509+N(M509))</f>
        <v/>
      </c>
      <c r="O509" s="41" t="str">
        <f aca="false">IF(N509="","",IF(P509&lt;&gt;"",N509-P509,ROUND(N509*IFERROR(INDEX(Settings!$E$5:$E$12,MATCH(F509,Settings!$D$5:$D$12,0)),0),2)))</f>
        <v/>
      </c>
      <c r="P509" s="37"/>
      <c r="Q509" s="41" t="str">
        <f aca="false">IF(N509="","",IF(P509&lt;&gt;"",P509,N509-O509))</f>
        <v/>
      </c>
      <c r="R509" s="41" t="str">
        <f aca="false">IF(J509="","",IFERROR(N(INDEX(Properties!$H$5:$H$24,MATCH(D509,Properties!$A$5:$A$24,0))),0))</f>
        <v/>
      </c>
      <c r="S509" s="41" t="str">
        <f aca="false">IF(Q509="","",Q509-R509)</f>
        <v/>
      </c>
      <c r="T509" s="6"/>
      <c r="U509" s="6"/>
      <c r="V509" s="6"/>
      <c r="W509" s="6"/>
      <c r="X509" s="6"/>
      <c r="Y509" s="8" t="str">
        <f aca="false">IF(OR(D509="",B509="",C509=""),"",IF(N(C509)&lt;=N(B509),"Check dates",IF(T509="Cancelled","",IF(COUNTIFS($D$5:$D$1004,D509,$B$5:$B$1004,"&lt;"&amp;C509,$C$5:$C$1004,"&gt;"&amp;B509,$T$5:$T$1004,"&lt;&gt;Cancelled")&gt;1,"Double-booked",""))))</f>
        <v/>
      </c>
      <c r="Z509" s="42" t="str">
        <f aca="false">IF(AND(AA509=1,ISNUMBER(C509)),C509+ROW()/100000,"")</f>
        <v/>
      </c>
      <c r="AA509" s="43" t="n">
        <f aca="false">IF(AND(D509&lt;&gt;"",ISNUMBER(B509),ISNUMBER(C509),N(H509)&gt;0,T509&lt;&gt;"Cancelled",J509&lt;&gt;""),1,0)</f>
        <v>0</v>
      </c>
      <c r="AB509" s="44" t="n">
        <f aca="false">IF(AA509=1,J509/H509,0)</f>
        <v>0</v>
      </c>
      <c r="AC509" s="44" t="n">
        <f aca="false">IF(AA509=1,Q509/H509,0)</f>
        <v>0</v>
      </c>
      <c r="AD509" s="44" t="n">
        <f aca="false">IF(AA509=1,R509/H509,0)</f>
        <v>0</v>
      </c>
      <c r="AE509" s="44" t="n">
        <f aca="false">IF(AA509=1,O509/H509,0)</f>
        <v>0</v>
      </c>
      <c r="AF509" s="44" t="n">
        <f aca="false">IF(AA509=1,K509/H509,0)</f>
        <v>0</v>
      </c>
      <c r="AG509" s="45" t="str">
        <f aca="false">IF(AA509=1,D509&amp;"|"&amp;TEXT(B509,"0"),"")</f>
        <v/>
      </c>
      <c r="AH509" s="43" t="n">
        <f aca="false">IF(AA509=1,H509,0)</f>
        <v>0</v>
      </c>
    </row>
    <row r="510" customFormat="false" ht="15" hidden="false" customHeight="false" outlineLevel="0" collapsed="false">
      <c r="A510" s="23" t="str">
        <f aca="false">IF(B510="","","B-"&amp;TEXT(ROW()-4,"0000"))</f>
        <v/>
      </c>
      <c r="B510" s="38"/>
      <c r="C510" s="38"/>
      <c r="D510" s="6"/>
      <c r="E510" s="6"/>
      <c r="F510" s="6"/>
      <c r="G510" s="11"/>
      <c r="H510" s="24" t="str">
        <f aca="false">IF(AND(ISNUMBER(B510),ISNUMBER(C510)),MAX(0,C510-B510),"")</f>
        <v/>
      </c>
      <c r="I510" s="37"/>
      <c r="J510" s="46" t="str">
        <f aca="false">IF(OR(D510="",N(H510)=0),"",IFERROR(IF(I510&lt;&gt;"",H510*I510,ROUND(((H510-(INT((WEEKDAY(B510-6)+H510-1)/7)+INT((WEEKDAY(B510-7)+H510-1)/7)))*INDEX(Properties!$E$5:$E$24,MATCH(D510,Properties!$A$5:$A$24,0))+(INT((WEEKDAY(B510-6)+H510-1)/7)+INT((WEEKDAY(B510-7)+H510-1)/7))*INDEX(Properties!$F$5:$F$24,MATCH(D510,Properties!$A$5:$A$24,0)))*(1-IF(H510&gt;=28,Settings!$B$10,IF(H510&gt;=7,Settings!$B$9,0))),2)),0))</f>
        <v/>
      </c>
      <c r="K510" s="46" t="str">
        <f aca="false">IF(J510="","",IFERROR(N(INDEX(Properties!$G$5:$G$24,MATCH(D510,Properties!$A$5:$A$24,0))),0))</f>
        <v/>
      </c>
      <c r="L510" s="46" t="str">
        <f aca="false">IF(J510="","",IFERROR(MAX(0,N(G510)-INDEX(Properties!$I$5:$I$24,MATCH(D510,Properties!$A$5:$A$24,0)))*N(INDEX(Properties!$J$5:$J$24,MATCH(D510,Properties!$A$5:$A$24,0)))*H510,0))</f>
        <v/>
      </c>
      <c r="M510" s="37"/>
      <c r="N510" s="46" t="str">
        <f aca="false">IF(J510="","",J510+K510+L510+N(M510))</f>
        <v/>
      </c>
      <c r="O510" s="46" t="str">
        <f aca="false">IF(N510="","",IF(P510&lt;&gt;"",N510-P510,ROUND(N510*IFERROR(INDEX(Settings!$E$5:$E$12,MATCH(F510,Settings!$D$5:$D$12,0)),0),2)))</f>
        <v/>
      </c>
      <c r="P510" s="37"/>
      <c r="Q510" s="46" t="str">
        <f aca="false">IF(N510="","",IF(P510&lt;&gt;"",P510,N510-O510))</f>
        <v/>
      </c>
      <c r="R510" s="46" t="str">
        <f aca="false">IF(J510="","",IFERROR(N(INDEX(Properties!$H$5:$H$24,MATCH(D510,Properties!$A$5:$A$24,0))),0))</f>
        <v/>
      </c>
      <c r="S510" s="46" t="str">
        <f aca="false">IF(Q510="","",Q510-R510)</f>
        <v/>
      </c>
      <c r="T510" s="6"/>
      <c r="U510" s="6"/>
      <c r="V510" s="6"/>
      <c r="W510" s="6"/>
      <c r="X510" s="6"/>
      <c r="Y510" s="8" t="str">
        <f aca="false">IF(OR(D510="",B510="",C510=""),"",IF(N(C510)&lt;=N(B510),"Check dates",IF(T510="Cancelled","",IF(COUNTIFS($D$5:$D$1004,D510,$B$5:$B$1004,"&lt;"&amp;C510,$C$5:$C$1004,"&gt;"&amp;B510,$T$5:$T$1004,"&lt;&gt;Cancelled")&gt;1,"Double-booked",""))))</f>
        <v/>
      </c>
      <c r="Z510" s="42" t="str">
        <f aca="false">IF(AND(AA510=1,ISNUMBER(C510)),C510+ROW()/100000,"")</f>
        <v/>
      </c>
      <c r="AA510" s="43" t="n">
        <f aca="false">IF(AND(D510&lt;&gt;"",ISNUMBER(B510),ISNUMBER(C510),N(H510)&gt;0,T510&lt;&gt;"Cancelled",J510&lt;&gt;""),1,0)</f>
        <v>0</v>
      </c>
      <c r="AB510" s="44" t="n">
        <f aca="false">IF(AA510=1,J510/H510,0)</f>
        <v>0</v>
      </c>
      <c r="AC510" s="44" t="n">
        <f aca="false">IF(AA510=1,Q510/H510,0)</f>
        <v>0</v>
      </c>
      <c r="AD510" s="44" t="n">
        <f aca="false">IF(AA510=1,R510/H510,0)</f>
        <v>0</v>
      </c>
      <c r="AE510" s="44" t="n">
        <f aca="false">IF(AA510=1,O510/H510,0)</f>
        <v>0</v>
      </c>
      <c r="AF510" s="44" t="n">
        <f aca="false">IF(AA510=1,K510/H510,0)</f>
        <v>0</v>
      </c>
      <c r="AG510" s="45" t="str">
        <f aca="false">IF(AA510=1,D510&amp;"|"&amp;TEXT(B510,"0"),"")</f>
        <v/>
      </c>
      <c r="AH510" s="43" t="n">
        <f aca="false">IF(AA510=1,H510,0)</f>
        <v>0</v>
      </c>
    </row>
    <row r="511" customFormat="false" ht="15" hidden="false" customHeight="false" outlineLevel="0" collapsed="false">
      <c r="A511" s="8" t="str">
        <f aca="false">IF(B511="","","B-"&amp;TEXT(ROW()-4,"0000"))</f>
        <v/>
      </c>
      <c r="B511" s="38"/>
      <c r="C511" s="38"/>
      <c r="D511" s="6"/>
      <c r="E511" s="6"/>
      <c r="F511" s="6"/>
      <c r="G511" s="11"/>
      <c r="H511" s="18" t="str">
        <f aca="false">IF(AND(ISNUMBER(B511),ISNUMBER(C511)),MAX(0,C511-B511),"")</f>
        <v/>
      </c>
      <c r="I511" s="37"/>
      <c r="J511" s="41" t="str">
        <f aca="false">IF(OR(D511="",N(H511)=0),"",IFERROR(IF(I511&lt;&gt;"",H511*I511,ROUND(((H511-(INT((WEEKDAY(B511-6)+H511-1)/7)+INT((WEEKDAY(B511-7)+H511-1)/7)))*INDEX(Properties!$E$5:$E$24,MATCH(D511,Properties!$A$5:$A$24,0))+(INT((WEEKDAY(B511-6)+H511-1)/7)+INT((WEEKDAY(B511-7)+H511-1)/7))*INDEX(Properties!$F$5:$F$24,MATCH(D511,Properties!$A$5:$A$24,0)))*(1-IF(H511&gt;=28,Settings!$B$10,IF(H511&gt;=7,Settings!$B$9,0))),2)),0))</f>
        <v/>
      </c>
      <c r="K511" s="41" t="str">
        <f aca="false">IF(J511="","",IFERROR(N(INDEX(Properties!$G$5:$G$24,MATCH(D511,Properties!$A$5:$A$24,0))),0))</f>
        <v/>
      </c>
      <c r="L511" s="41" t="str">
        <f aca="false">IF(J511="","",IFERROR(MAX(0,N(G511)-INDEX(Properties!$I$5:$I$24,MATCH(D511,Properties!$A$5:$A$24,0)))*N(INDEX(Properties!$J$5:$J$24,MATCH(D511,Properties!$A$5:$A$24,0)))*H511,0))</f>
        <v/>
      </c>
      <c r="M511" s="37"/>
      <c r="N511" s="41" t="str">
        <f aca="false">IF(J511="","",J511+K511+L511+N(M511))</f>
        <v/>
      </c>
      <c r="O511" s="41" t="str">
        <f aca="false">IF(N511="","",IF(P511&lt;&gt;"",N511-P511,ROUND(N511*IFERROR(INDEX(Settings!$E$5:$E$12,MATCH(F511,Settings!$D$5:$D$12,0)),0),2)))</f>
        <v/>
      </c>
      <c r="P511" s="37"/>
      <c r="Q511" s="41" t="str">
        <f aca="false">IF(N511="","",IF(P511&lt;&gt;"",P511,N511-O511))</f>
        <v/>
      </c>
      <c r="R511" s="41" t="str">
        <f aca="false">IF(J511="","",IFERROR(N(INDEX(Properties!$H$5:$H$24,MATCH(D511,Properties!$A$5:$A$24,0))),0))</f>
        <v/>
      </c>
      <c r="S511" s="41" t="str">
        <f aca="false">IF(Q511="","",Q511-R511)</f>
        <v/>
      </c>
      <c r="T511" s="6"/>
      <c r="U511" s="6"/>
      <c r="V511" s="6"/>
      <c r="W511" s="6"/>
      <c r="X511" s="6"/>
      <c r="Y511" s="8" t="str">
        <f aca="false">IF(OR(D511="",B511="",C511=""),"",IF(N(C511)&lt;=N(B511),"Check dates",IF(T511="Cancelled","",IF(COUNTIFS($D$5:$D$1004,D511,$B$5:$B$1004,"&lt;"&amp;C511,$C$5:$C$1004,"&gt;"&amp;B511,$T$5:$T$1004,"&lt;&gt;Cancelled")&gt;1,"Double-booked",""))))</f>
        <v/>
      </c>
      <c r="Z511" s="42" t="str">
        <f aca="false">IF(AND(AA511=1,ISNUMBER(C511)),C511+ROW()/100000,"")</f>
        <v/>
      </c>
      <c r="AA511" s="43" t="n">
        <f aca="false">IF(AND(D511&lt;&gt;"",ISNUMBER(B511),ISNUMBER(C511),N(H511)&gt;0,T511&lt;&gt;"Cancelled",J511&lt;&gt;""),1,0)</f>
        <v>0</v>
      </c>
      <c r="AB511" s="44" t="n">
        <f aca="false">IF(AA511=1,J511/H511,0)</f>
        <v>0</v>
      </c>
      <c r="AC511" s="44" t="n">
        <f aca="false">IF(AA511=1,Q511/H511,0)</f>
        <v>0</v>
      </c>
      <c r="AD511" s="44" t="n">
        <f aca="false">IF(AA511=1,R511/H511,0)</f>
        <v>0</v>
      </c>
      <c r="AE511" s="44" t="n">
        <f aca="false">IF(AA511=1,O511/H511,0)</f>
        <v>0</v>
      </c>
      <c r="AF511" s="44" t="n">
        <f aca="false">IF(AA511=1,K511/H511,0)</f>
        <v>0</v>
      </c>
      <c r="AG511" s="45" t="str">
        <f aca="false">IF(AA511=1,D511&amp;"|"&amp;TEXT(B511,"0"),"")</f>
        <v/>
      </c>
      <c r="AH511" s="43" t="n">
        <f aca="false">IF(AA511=1,H511,0)</f>
        <v>0</v>
      </c>
    </row>
    <row r="512" customFormat="false" ht="15" hidden="false" customHeight="false" outlineLevel="0" collapsed="false">
      <c r="A512" s="23" t="str">
        <f aca="false">IF(B512="","","B-"&amp;TEXT(ROW()-4,"0000"))</f>
        <v/>
      </c>
      <c r="B512" s="38"/>
      <c r="C512" s="38"/>
      <c r="D512" s="6"/>
      <c r="E512" s="6"/>
      <c r="F512" s="6"/>
      <c r="G512" s="11"/>
      <c r="H512" s="24" t="str">
        <f aca="false">IF(AND(ISNUMBER(B512),ISNUMBER(C512)),MAX(0,C512-B512),"")</f>
        <v/>
      </c>
      <c r="I512" s="37"/>
      <c r="J512" s="46" t="str">
        <f aca="false">IF(OR(D512="",N(H512)=0),"",IFERROR(IF(I512&lt;&gt;"",H512*I512,ROUND(((H512-(INT((WEEKDAY(B512-6)+H512-1)/7)+INT((WEEKDAY(B512-7)+H512-1)/7)))*INDEX(Properties!$E$5:$E$24,MATCH(D512,Properties!$A$5:$A$24,0))+(INT((WEEKDAY(B512-6)+H512-1)/7)+INT((WEEKDAY(B512-7)+H512-1)/7))*INDEX(Properties!$F$5:$F$24,MATCH(D512,Properties!$A$5:$A$24,0)))*(1-IF(H512&gt;=28,Settings!$B$10,IF(H512&gt;=7,Settings!$B$9,0))),2)),0))</f>
        <v/>
      </c>
      <c r="K512" s="46" t="str">
        <f aca="false">IF(J512="","",IFERROR(N(INDEX(Properties!$G$5:$G$24,MATCH(D512,Properties!$A$5:$A$24,0))),0))</f>
        <v/>
      </c>
      <c r="L512" s="46" t="str">
        <f aca="false">IF(J512="","",IFERROR(MAX(0,N(G512)-INDEX(Properties!$I$5:$I$24,MATCH(D512,Properties!$A$5:$A$24,0)))*N(INDEX(Properties!$J$5:$J$24,MATCH(D512,Properties!$A$5:$A$24,0)))*H512,0))</f>
        <v/>
      </c>
      <c r="M512" s="37"/>
      <c r="N512" s="46" t="str">
        <f aca="false">IF(J512="","",J512+K512+L512+N(M512))</f>
        <v/>
      </c>
      <c r="O512" s="46" t="str">
        <f aca="false">IF(N512="","",IF(P512&lt;&gt;"",N512-P512,ROUND(N512*IFERROR(INDEX(Settings!$E$5:$E$12,MATCH(F512,Settings!$D$5:$D$12,0)),0),2)))</f>
        <v/>
      </c>
      <c r="P512" s="37"/>
      <c r="Q512" s="46" t="str">
        <f aca="false">IF(N512="","",IF(P512&lt;&gt;"",P512,N512-O512))</f>
        <v/>
      </c>
      <c r="R512" s="46" t="str">
        <f aca="false">IF(J512="","",IFERROR(N(INDEX(Properties!$H$5:$H$24,MATCH(D512,Properties!$A$5:$A$24,0))),0))</f>
        <v/>
      </c>
      <c r="S512" s="46" t="str">
        <f aca="false">IF(Q512="","",Q512-R512)</f>
        <v/>
      </c>
      <c r="T512" s="6"/>
      <c r="U512" s="6"/>
      <c r="V512" s="6"/>
      <c r="W512" s="6"/>
      <c r="X512" s="6"/>
      <c r="Y512" s="8" t="str">
        <f aca="false">IF(OR(D512="",B512="",C512=""),"",IF(N(C512)&lt;=N(B512),"Check dates",IF(T512="Cancelled","",IF(COUNTIFS($D$5:$D$1004,D512,$B$5:$B$1004,"&lt;"&amp;C512,$C$5:$C$1004,"&gt;"&amp;B512,$T$5:$T$1004,"&lt;&gt;Cancelled")&gt;1,"Double-booked",""))))</f>
        <v/>
      </c>
      <c r="Z512" s="42" t="str">
        <f aca="false">IF(AND(AA512=1,ISNUMBER(C512)),C512+ROW()/100000,"")</f>
        <v/>
      </c>
      <c r="AA512" s="43" t="n">
        <f aca="false">IF(AND(D512&lt;&gt;"",ISNUMBER(B512),ISNUMBER(C512),N(H512)&gt;0,T512&lt;&gt;"Cancelled",J512&lt;&gt;""),1,0)</f>
        <v>0</v>
      </c>
      <c r="AB512" s="44" t="n">
        <f aca="false">IF(AA512=1,J512/H512,0)</f>
        <v>0</v>
      </c>
      <c r="AC512" s="44" t="n">
        <f aca="false">IF(AA512=1,Q512/H512,0)</f>
        <v>0</v>
      </c>
      <c r="AD512" s="44" t="n">
        <f aca="false">IF(AA512=1,R512/H512,0)</f>
        <v>0</v>
      </c>
      <c r="AE512" s="44" t="n">
        <f aca="false">IF(AA512=1,O512/H512,0)</f>
        <v>0</v>
      </c>
      <c r="AF512" s="44" t="n">
        <f aca="false">IF(AA512=1,K512/H512,0)</f>
        <v>0</v>
      </c>
      <c r="AG512" s="45" t="str">
        <f aca="false">IF(AA512=1,D512&amp;"|"&amp;TEXT(B512,"0"),"")</f>
        <v/>
      </c>
      <c r="AH512" s="43" t="n">
        <f aca="false">IF(AA512=1,H512,0)</f>
        <v>0</v>
      </c>
    </row>
    <row r="513" customFormat="false" ht="15" hidden="false" customHeight="false" outlineLevel="0" collapsed="false">
      <c r="A513" s="8" t="str">
        <f aca="false">IF(B513="","","B-"&amp;TEXT(ROW()-4,"0000"))</f>
        <v/>
      </c>
      <c r="B513" s="38"/>
      <c r="C513" s="38"/>
      <c r="D513" s="6"/>
      <c r="E513" s="6"/>
      <c r="F513" s="6"/>
      <c r="G513" s="11"/>
      <c r="H513" s="18" t="str">
        <f aca="false">IF(AND(ISNUMBER(B513),ISNUMBER(C513)),MAX(0,C513-B513),"")</f>
        <v/>
      </c>
      <c r="I513" s="37"/>
      <c r="J513" s="41" t="str">
        <f aca="false">IF(OR(D513="",N(H513)=0),"",IFERROR(IF(I513&lt;&gt;"",H513*I513,ROUND(((H513-(INT((WEEKDAY(B513-6)+H513-1)/7)+INT((WEEKDAY(B513-7)+H513-1)/7)))*INDEX(Properties!$E$5:$E$24,MATCH(D513,Properties!$A$5:$A$24,0))+(INT((WEEKDAY(B513-6)+H513-1)/7)+INT((WEEKDAY(B513-7)+H513-1)/7))*INDEX(Properties!$F$5:$F$24,MATCH(D513,Properties!$A$5:$A$24,0)))*(1-IF(H513&gt;=28,Settings!$B$10,IF(H513&gt;=7,Settings!$B$9,0))),2)),0))</f>
        <v/>
      </c>
      <c r="K513" s="41" t="str">
        <f aca="false">IF(J513="","",IFERROR(N(INDEX(Properties!$G$5:$G$24,MATCH(D513,Properties!$A$5:$A$24,0))),0))</f>
        <v/>
      </c>
      <c r="L513" s="41" t="str">
        <f aca="false">IF(J513="","",IFERROR(MAX(0,N(G513)-INDEX(Properties!$I$5:$I$24,MATCH(D513,Properties!$A$5:$A$24,0)))*N(INDEX(Properties!$J$5:$J$24,MATCH(D513,Properties!$A$5:$A$24,0)))*H513,0))</f>
        <v/>
      </c>
      <c r="M513" s="37"/>
      <c r="N513" s="41" t="str">
        <f aca="false">IF(J513="","",J513+K513+L513+N(M513))</f>
        <v/>
      </c>
      <c r="O513" s="41" t="str">
        <f aca="false">IF(N513="","",IF(P513&lt;&gt;"",N513-P513,ROUND(N513*IFERROR(INDEX(Settings!$E$5:$E$12,MATCH(F513,Settings!$D$5:$D$12,0)),0),2)))</f>
        <v/>
      </c>
      <c r="P513" s="37"/>
      <c r="Q513" s="41" t="str">
        <f aca="false">IF(N513="","",IF(P513&lt;&gt;"",P513,N513-O513))</f>
        <v/>
      </c>
      <c r="R513" s="41" t="str">
        <f aca="false">IF(J513="","",IFERROR(N(INDEX(Properties!$H$5:$H$24,MATCH(D513,Properties!$A$5:$A$24,0))),0))</f>
        <v/>
      </c>
      <c r="S513" s="41" t="str">
        <f aca="false">IF(Q513="","",Q513-R513)</f>
        <v/>
      </c>
      <c r="T513" s="6"/>
      <c r="U513" s="6"/>
      <c r="V513" s="6"/>
      <c r="W513" s="6"/>
      <c r="X513" s="6"/>
      <c r="Y513" s="8" t="str">
        <f aca="false">IF(OR(D513="",B513="",C513=""),"",IF(N(C513)&lt;=N(B513),"Check dates",IF(T513="Cancelled","",IF(COUNTIFS($D$5:$D$1004,D513,$B$5:$B$1004,"&lt;"&amp;C513,$C$5:$C$1004,"&gt;"&amp;B513,$T$5:$T$1004,"&lt;&gt;Cancelled")&gt;1,"Double-booked",""))))</f>
        <v/>
      </c>
      <c r="Z513" s="42" t="str">
        <f aca="false">IF(AND(AA513=1,ISNUMBER(C513)),C513+ROW()/100000,"")</f>
        <v/>
      </c>
      <c r="AA513" s="43" t="n">
        <f aca="false">IF(AND(D513&lt;&gt;"",ISNUMBER(B513),ISNUMBER(C513),N(H513)&gt;0,T513&lt;&gt;"Cancelled",J513&lt;&gt;""),1,0)</f>
        <v>0</v>
      </c>
      <c r="AB513" s="44" t="n">
        <f aca="false">IF(AA513=1,J513/H513,0)</f>
        <v>0</v>
      </c>
      <c r="AC513" s="44" t="n">
        <f aca="false">IF(AA513=1,Q513/H513,0)</f>
        <v>0</v>
      </c>
      <c r="AD513" s="44" t="n">
        <f aca="false">IF(AA513=1,R513/H513,0)</f>
        <v>0</v>
      </c>
      <c r="AE513" s="44" t="n">
        <f aca="false">IF(AA513=1,O513/H513,0)</f>
        <v>0</v>
      </c>
      <c r="AF513" s="44" t="n">
        <f aca="false">IF(AA513=1,K513/H513,0)</f>
        <v>0</v>
      </c>
      <c r="AG513" s="45" t="str">
        <f aca="false">IF(AA513=1,D513&amp;"|"&amp;TEXT(B513,"0"),"")</f>
        <v/>
      </c>
      <c r="AH513" s="43" t="n">
        <f aca="false">IF(AA513=1,H513,0)</f>
        <v>0</v>
      </c>
    </row>
    <row r="514" customFormat="false" ht="15" hidden="false" customHeight="false" outlineLevel="0" collapsed="false">
      <c r="A514" s="23" t="str">
        <f aca="false">IF(B514="","","B-"&amp;TEXT(ROW()-4,"0000"))</f>
        <v/>
      </c>
      <c r="B514" s="38"/>
      <c r="C514" s="38"/>
      <c r="D514" s="6"/>
      <c r="E514" s="6"/>
      <c r="F514" s="6"/>
      <c r="G514" s="11"/>
      <c r="H514" s="24" t="str">
        <f aca="false">IF(AND(ISNUMBER(B514),ISNUMBER(C514)),MAX(0,C514-B514),"")</f>
        <v/>
      </c>
      <c r="I514" s="37"/>
      <c r="J514" s="46" t="str">
        <f aca="false">IF(OR(D514="",N(H514)=0),"",IFERROR(IF(I514&lt;&gt;"",H514*I514,ROUND(((H514-(INT((WEEKDAY(B514-6)+H514-1)/7)+INT((WEEKDAY(B514-7)+H514-1)/7)))*INDEX(Properties!$E$5:$E$24,MATCH(D514,Properties!$A$5:$A$24,0))+(INT((WEEKDAY(B514-6)+H514-1)/7)+INT((WEEKDAY(B514-7)+H514-1)/7))*INDEX(Properties!$F$5:$F$24,MATCH(D514,Properties!$A$5:$A$24,0)))*(1-IF(H514&gt;=28,Settings!$B$10,IF(H514&gt;=7,Settings!$B$9,0))),2)),0))</f>
        <v/>
      </c>
      <c r="K514" s="46" t="str">
        <f aca="false">IF(J514="","",IFERROR(N(INDEX(Properties!$G$5:$G$24,MATCH(D514,Properties!$A$5:$A$24,0))),0))</f>
        <v/>
      </c>
      <c r="L514" s="46" t="str">
        <f aca="false">IF(J514="","",IFERROR(MAX(0,N(G514)-INDEX(Properties!$I$5:$I$24,MATCH(D514,Properties!$A$5:$A$24,0)))*N(INDEX(Properties!$J$5:$J$24,MATCH(D514,Properties!$A$5:$A$24,0)))*H514,0))</f>
        <v/>
      </c>
      <c r="M514" s="37"/>
      <c r="N514" s="46" t="str">
        <f aca="false">IF(J514="","",J514+K514+L514+N(M514))</f>
        <v/>
      </c>
      <c r="O514" s="46" t="str">
        <f aca="false">IF(N514="","",IF(P514&lt;&gt;"",N514-P514,ROUND(N514*IFERROR(INDEX(Settings!$E$5:$E$12,MATCH(F514,Settings!$D$5:$D$12,0)),0),2)))</f>
        <v/>
      </c>
      <c r="P514" s="37"/>
      <c r="Q514" s="46" t="str">
        <f aca="false">IF(N514="","",IF(P514&lt;&gt;"",P514,N514-O514))</f>
        <v/>
      </c>
      <c r="R514" s="46" t="str">
        <f aca="false">IF(J514="","",IFERROR(N(INDEX(Properties!$H$5:$H$24,MATCH(D514,Properties!$A$5:$A$24,0))),0))</f>
        <v/>
      </c>
      <c r="S514" s="46" t="str">
        <f aca="false">IF(Q514="","",Q514-R514)</f>
        <v/>
      </c>
      <c r="T514" s="6"/>
      <c r="U514" s="6"/>
      <c r="V514" s="6"/>
      <c r="W514" s="6"/>
      <c r="X514" s="6"/>
      <c r="Y514" s="8" t="str">
        <f aca="false">IF(OR(D514="",B514="",C514=""),"",IF(N(C514)&lt;=N(B514),"Check dates",IF(T514="Cancelled","",IF(COUNTIFS($D$5:$D$1004,D514,$B$5:$B$1004,"&lt;"&amp;C514,$C$5:$C$1004,"&gt;"&amp;B514,$T$5:$T$1004,"&lt;&gt;Cancelled")&gt;1,"Double-booked",""))))</f>
        <v/>
      </c>
      <c r="Z514" s="42" t="str">
        <f aca="false">IF(AND(AA514=1,ISNUMBER(C514)),C514+ROW()/100000,"")</f>
        <v/>
      </c>
      <c r="AA514" s="43" t="n">
        <f aca="false">IF(AND(D514&lt;&gt;"",ISNUMBER(B514),ISNUMBER(C514),N(H514)&gt;0,T514&lt;&gt;"Cancelled",J514&lt;&gt;""),1,0)</f>
        <v>0</v>
      </c>
      <c r="AB514" s="44" t="n">
        <f aca="false">IF(AA514=1,J514/H514,0)</f>
        <v>0</v>
      </c>
      <c r="AC514" s="44" t="n">
        <f aca="false">IF(AA514=1,Q514/H514,0)</f>
        <v>0</v>
      </c>
      <c r="AD514" s="44" t="n">
        <f aca="false">IF(AA514=1,R514/H514,0)</f>
        <v>0</v>
      </c>
      <c r="AE514" s="44" t="n">
        <f aca="false">IF(AA514=1,O514/H514,0)</f>
        <v>0</v>
      </c>
      <c r="AF514" s="44" t="n">
        <f aca="false">IF(AA514=1,K514/H514,0)</f>
        <v>0</v>
      </c>
      <c r="AG514" s="45" t="str">
        <f aca="false">IF(AA514=1,D514&amp;"|"&amp;TEXT(B514,"0"),"")</f>
        <v/>
      </c>
      <c r="AH514" s="43" t="n">
        <f aca="false">IF(AA514=1,H514,0)</f>
        <v>0</v>
      </c>
    </row>
    <row r="515" customFormat="false" ht="15" hidden="false" customHeight="false" outlineLevel="0" collapsed="false">
      <c r="A515" s="8" t="str">
        <f aca="false">IF(B515="","","B-"&amp;TEXT(ROW()-4,"0000"))</f>
        <v/>
      </c>
      <c r="B515" s="38"/>
      <c r="C515" s="38"/>
      <c r="D515" s="6"/>
      <c r="E515" s="6"/>
      <c r="F515" s="6"/>
      <c r="G515" s="11"/>
      <c r="H515" s="18" t="str">
        <f aca="false">IF(AND(ISNUMBER(B515),ISNUMBER(C515)),MAX(0,C515-B515),"")</f>
        <v/>
      </c>
      <c r="I515" s="37"/>
      <c r="J515" s="41" t="str">
        <f aca="false">IF(OR(D515="",N(H515)=0),"",IFERROR(IF(I515&lt;&gt;"",H515*I515,ROUND(((H515-(INT((WEEKDAY(B515-6)+H515-1)/7)+INT((WEEKDAY(B515-7)+H515-1)/7)))*INDEX(Properties!$E$5:$E$24,MATCH(D515,Properties!$A$5:$A$24,0))+(INT((WEEKDAY(B515-6)+H515-1)/7)+INT((WEEKDAY(B515-7)+H515-1)/7))*INDEX(Properties!$F$5:$F$24,MATCH(D515,Properties!$A$5:$A$24,0)))*(1-IF(H515&gt;=28,Settings!$B$10,IF(H515&gt;=7,Settings!$B$9,0))),2)),0))</f>
        <v/>
      </c>
      <c r="K515" s="41" t="str">
        <f aca="false">IF(J515="","",IFERROR(N(INDEX(Properties!$G$5:$G$24,MATCH(D515,Properties!$A$5:$A$24,0))),0))</f>
        <v/>
      </c>
      <c r="L515" s="41" t="str">
        <f aca="false">IF(J515="","",IFERROR(MAX(0,N(G515)-INDEX(Properties!$I$5:$I$24,MATCH(D515,Properties!$A$5:$A$24,0)))*N(INDEX(Properties!$J$5:$J$24,MATCH(D515,Properties!$A$5:$A$24,0)))*H515,0))</f>
        <v/>
      </c>
      <c r="M515" s="37"/>
      <c r="N515" s="41" t="str">
        <f aca="false">IF(J515="","",J515+K515+L515+N(M515))</f>
        <v/>
      </c>
      <c r="O515" s="41" t="str">
        <f aca="false">IF(N515="","",IF(P515&lt;&gt;"",N515-P515,ROUND(N515*IFERROR(INDEX(Settings!$E$5:$E$12,MATCH(F515,Settings!$D$5:$D$12,0)),0),2)))</f>
        <v/>
      </c>
      <c r="P515" s="37"/>
      <c r="Q515" s="41" t="str">
        <f aca="false">IF(N515="","",IF(P515&lt;&gt;"",P515,N515-O515))</f>
        <v/>
      </c>
      <c r="R515" s="41" t="str">
        <f aca="false">IF(J515="","",IFERROR(N(INDEX(Properties!$H$5:$H$24,MATCH(D515,Properties!$A$5:$A$24,0))),0))</f>
        <v/>
      </c>
      <c r="S515" s="41" t="str">
        <f aca="false">IF(Q515="","",Q515-R515)</f>
        <v/>
      </c>
      <c r="T515" s="6"/>
      <c r="U515" s="6"/>
      <c r="V515" s="6"/>
      <c r="W515" s="6"/>
      <c r="X515" s="6"/>
      <c r="Y515" s="8" t="str">
        <f aca="false">IF(OR(D515="",B515="",C515=""),"",IF(N(C515)&lt;=N(B515),"Check dates",IF(T515="Cancelled","",IF(COUNTIFS($D$5:$D$1004,D515,$B$5:$B$1004,"&lt;"&amp;C515,$C$5:$C$1004,"&gt;"&amp;B515,$T$5:$T$1004,"&lt;&gt;Cancelled")&gt;1,"Double-booked",""))))</f>
        <v/>
      </c>
      <c r="Z515" s="42" t="str">
        <f aca="false">IF(AND(AA515=1,ISNUMBER(C515)),C515+ROW()/100000,"")</f>
        <v/>
      </c>
      <c r="AA515" s="43" t="n">
        <f aca="false">IF(AND(D515&lt;&gt;"",ISNUMBER(B515),ISNUMBER(C515),N(H515)&gt;0,T515&lt;&gt;"Cancelled",J515&lt;&gt;""),1,0)</f>
        <v>0</v>
      </c>
      <c r="AB515" s="44" t="n">
        <f aca="false">IF(AA515=1,J515/H515,0)</f>
        <v>0</v>
      </c>
      <c r="AC515" s="44" t="n">
        <f aca="false">IF(AA515=1,Q515/H515,0)</f>
        <v>0</v>
      </c>
      <c r="AD515" s="44" t="n">
        <f aca="false">IF(AA515=1,R515/H515,0)</f>
        <v>0</v>
      </c>
      <c r="AE515" s="44" t="n">
        <f aca="false">IF(AA515=1,O515/H515,0)</f>
        <v>0</v>
      </c>
      <c r="AF515" s="44" t="n">
        <f aca="false">IF(AA515=1,K515/H515,0)</f>
        <v>0</v>
      </c>
      <c r="AG515" s="45" t="str">
        <f aca="false">IF(AA515=1,D515&amp;"|"&amp;TEXT(B515,"0"),"")</f>
        <v/>
      </c>
      <c r="AH515" s="43" t="n">
        <f aca="false">IF(AA515=1,H515,0)</f>
        <v>0</v>
      </c>
    </row>
    <row r="516" customFormat="false" ht="15" hidden="false" customHeight="false" outlineLevel="0" collapsed="false">
      <c r="A516" s="23" t="str">
        <f aca="false">IF(B516="","","B-"&amp;TEXT(ROW()-4,"0000"))</f>
        <v/>
      </c>
      <c r="B516" s="38"/>
      <c r="C516" s="38"/>
      <c r="D516" s="6"/>
      <c r="E516" s="6"/>
      <c r="F516" s="6"/>
      <c r="G516" s="11"/>
      <c r="H516" s="24" t="str">
        <f aca="false">IF(AND(ISNUMBER(B516),ISNUMBER(C516)),MAX(0,C516-B516),"")</f>
        <v/>
      </c>
      <c r="I516" s="37"/>
      <c r="J516" s="46" t="str">
        <f aca="false">IF(OR(D516="",N(H516)=0),"",IFERROR(IF(I516&lt;&gt;"",H516*I516,ROUND(((H516-(INT((WEEKDAY(B516-6)+H516-1)/7)+INT((WEEKDAY(B516-7)+H516-1)/7)))*INDEX(Properties!$E$5:$E$24,MATCH(D516,Properties!$A$5:$A$24,0))+(INT((WEEKDAY(B516-6)+H516-1)/7)+INT((WEEKDAY(B516-7)+H516-1)/7))*INDEX(Properties!$F$5:$F$24,MATCH(D516,Properties!$A$5:$A$24,0)))*(1-IF(H516&gt;=28,Settings!$B$10,IF(H516&gt;=7,Settings!$B$9,0))),2)),0))</f>
        <v/>
      </c>
      <c r="K516" s="46" t="str">
        <f aca="false">IF(J516="","",IFERROR(N(INDEX(Properties!$G$5:$G$24,MATCH(D516,Properties!$A$5:$A$24,0))),0))</f>
        <v/>
      </c>
      <c r="L516" s="46" t="str">
        <f aca="false">IF(J516="","",IFERROR(MAX(0,N(G516)-INDEX(Properties!$I$5:$I$24,MATCH(D516,Properties!$A$5:$A$24,0)))*N(INDEX(Properties!$J$5:$J$24,MATCH(D516,Properties!$A$5:$A$24,0)))*H516,0))</f>
        <v/>
      </c>
      <c r="M516" s="37"/>
      <c r="N516" s="46" t="str">
        <f aca="false">IF(J516="","",J516+K516+L516+N(M516))</f>
        <v/>
      </c>
      <c r="O516" s="46" t="str">
        <f aca="false">IF(N516="","",IF(P516&lt;&gt;"",N516-P516,ROUND(N516*IFERROR(INDEX(Settings!$E$5:$E$12,MATCH(F516,Settings!$D$5:$D$12,0)),0),2)))</f>
        <v/>
      </c>
      <c r="P516" s="37"/>
      <c r="Q516" s="46" t="str">
        <f aca="false">IF(N516="","",IF(P516&lt;&gt;"",P516,N516-O516))</f>
        <v/>
      </c>
      <c r="R516" s="46" t="str">
        <f aca="false">IF(J516="","",IFERROR(N(INDEX(Properties!$H$5:$H$24,MATCH(D516,Properties!$A$5:$A$24,0))),0))</f>
        <v/>
      </c>
      <c r="S516" s="46" t="str">
        <f aca="false">IF(Q516="","",Q516-R516)</f>
        <v/>
      </c>
      <c r="T516" s="6"/>
      <c r="U516" s="6"/>
      <c r="V516" s="6"/>
      <c r="W516" s="6"/>
      <c r="X516" s="6"/>
      <c r="Y516" s="8" t="str">
        <f aca="false">IF(OR(D516="",B516="",C516=""),"",IF(N(C516)&lt;=N(B516),"Check dates",IF(T516="Cancelled","",IF(COUNTIFS($D$5:$D$1004,D516,$B$5:$B$1004,"&lt;"&amp;C516,$C$5:$C$1004,"&gt;"&amp;B516,$T$5:$T$1004,"&lt;&gt;Cancelled")&gt;1,"Double-booked",""))))</f>
        <v/>
      </c>
      <c r="Z516" s="42" t="str">
        <f aca="false">IF(AND(AA516=1,ISNUMBER(C516)),C516+ROW()/100000,"")</f>
        <v/>
      </c>
      <c r="AA516" s="43" t="n">
        <f aca="false">IF(AND(D516&lt;&gt;"",ISNUMBER(B516),ISNUMBER(C516),N(H516)&gt;0,T516&lt;&gt;"Cancelled",J516&lt;&gt;""),1,0)</f>
        <v>0</v>
      </c>
      <c r="AB516" s="44" t="n">
        <f aca="false">IF(AA516=1,J516/H516,0)</f>
        <v>0</v>
      </c>
      <c r="AC516" s="44" t="n">
        <f aca="false">IF(AA516=1,Q516/H516,0)</f>
        <v>0</v>
      </c>
      <c r="AD516" s="44" t="n">
        <f aca="false">IF(AA516=1,R516/H516,0)</f>
        <v>0</v>
      </c>
      <c r="AE516" s="44" t="n">
        <f aca="false">IF(AA516=1,O516/H516,0)</f>
        <v>0</v>
      </c>
      <c r="AF516" s="44" t="n">
        <f aca="false">IF(AA516=1,K516/H516,0)</f>
        <v>0</v>
      </c>
      <c r="AG516" s="45" t="str">
        <f aca="false">IF(AA516=1,D516&amp;"|"&amp;TEXT(B516,"0"),"")</f>
        <v/>
      </c>
      <c r="AH516" s="43" t="n">
        <f aca="false">IF(AA516=1,H516,0)</f>
        <v>0</v>
      </c>
    </row>
    <row r="517" customFormat="false" ht="15" hidden="false" customHeight="false" outlineLevel="0" collapsed="false">
      <c r="A517" s="8" t="str">
        <f aca="false">IF(B517="","","B-"&amp;TEXT(ROW()-4,"0000"))</f>
        <v/>
      </c>
      <c r="B517" s="38"/>
      <c r="C517" s="38"/>
      <c r="D517" s="6"/>
      <c r="E517" s="6"/>
      <c r="F517" s="6"/>
      <c r="G517" s="11"/>
      <c r="H517" s="18" t="str">
        <f aca="false">IF(AND(ISNUMBER(B517),ISNUMBER(C517)),MAX(0,C517-B517),"")</f>
        <v/>
      </c>
      <c r="I517" s="37"/>
      <c r="J517" s="41" t="str">
        <f aca="false">IF(OR(D517="",N(H517)=0),"",IFERROR(IF(I517&lt;&gt;"",H517*I517,ROUND(((H517-(INT((WEEKDAY(B517-6)+H517-1)/7)+INT((WEEKDAY(B517-7)+H517-1)/7)))*INDEX(Properties!$E$5:$E$24,MATCH(D517,Properties!$A$5:$A$24,0))+(INT((WEEKDAY(B517-6)+H517-1)/7)+INT((WEEKDAY(B517-7)+H517-1)/7))*INDEX(Properties!$F$5:$F$24,MATCH(D517,Properties!$A$5:$A$24,0)))*(1-IF(H517&gt;=28,Settings!$B$10,IF(H517&gt;=7,Settings!$B$9,0))),2)),0))</f>
        <v/>
      </c>
      <c r="K517" s="41" t="str">
        <f aca="false">IF(J517="","",IFERROR(N(INDEX(Properties!$G$5:$G$24,MATCH(D517,Properties!$A$5:$A$24,0))),0))</f>
        <v/>
      </c>
      <c r="L517" s="41" t="str">
        <f aca="false">IF(J517="","",IFERROR(MAX(0,N(G517)-INDEX(Properties!$I$5:$I$24,MATCH(D517,Properties!$A$5:$A$24,0)))*N(INDEX(Properties!$J$5:$J$24,MATCH(D517,Properties!$A$5:$A$24,0)))*H517,0))</f>
        <v/>
      </c>
      <c r="M517" s="37"/>
      <c r="N517" s="41" t="str">
        <f aca="false">IF(J517="","",J517+K517+L517+N(M517))</f>
        <v/>
      </c>
      <c r="O517" s="41" t="str">
        <f aca="false">IF(N517="","",IF(P517&lt;&gt;"",N517-P517,ROUND(N517*IFERROR(INDEX(Settings!$E$5:$E$12,MATCH(F517,Settings!$D$5:$D$12,0)),0),2)))</f>
        <v/>
      </c>
      <c r="P517" s="37"/>
      <c r="Q517" s="41" t="str">
        <f aca="false">IF(N517="","",IF(P517&lt;&gt;"",P517,N517-O517))</f>
        <v/>
      </c>
      <c r="R517" s="41" t="str">
        <f aca="false">IF(J517="","",IFERROR(N(INDEX(Properties!$H$5:$H$24,MATCH(D517,Properties!$A$5:$A$24,0))),0))</f>
        <v/>
      </c>
      <c r="S517" s="41" t="str">
        <f aca="false">IF(Q517="","",Q517-R517)</f>
        <v/>
      </c>
      <c r="T517" s="6"/>
      <c r="U517" s="6"/>
      <c r="V517" s="6"/>
      <c r="W517" s="6"/>
      <c r="X517" s="6"/>
      <c r="Y517" s="8" t="str">
        <f aca="false">IF(OR(D517="",B517="",C517=""),"",IF(N(C517)&lt;=N(B517),"Check dates",IF(T517="Cancelled","",IF(COUNTIFS($D$5:$D$1004,D517,$B$5:$B$1004,"&lt;"&amp;C517,$C$5:$C$1004,"&gt;"&amp;B517,$T$5:$T$1004,"&lt;&gt;Cancelled")&gt;1,"Double-booked",""))))</f>
        <v/>
      </c>
      <c r="Z517" s="42" t="str">
        <f aca="false">IF(AND(AA517=1,ISNUMBER(C517)),C517+ROW()/100000,"")</f>
        <v/>
      </c>
      <c r="AA517" s="43" t="n">
        <f aca="false">IF(AND(D517&lt;&gt;"",ISNUMBER(B517),ISNUMBER(C517),N(H517)&gt;0,T517&lt;&gt;"Cancelled",J517&lt;&gt;""),1,0)</f>
        <v>0</v>
      </c>
      <c r="AB517" s="44" t="n">
        <f aca="false">IF(AA517=1,J517/H517,0)</f>
        <v>0</v>
      </c>
      <c r="AC517" s="44" t="n">
        <f aca="false">IF(AA517=1,Q517/H517,0)</f>
        <v>0</v>
      </c>
      <c r="AD517" s="44" t="n">
        <f aca="false">IF(AA517=1,R517/H517,0)</f>
        <v>0</v>
      </c>
      <c r="AE517" s="44" t="n">
        <f aca="false">IF(AA517=1,O517/H517,0)</f>
        <v>0</v>
      </c>
      <c r="AF517" s="44" t="n">
        <f aca="false">IF(AA517=1,K517/H517,0)</f>
        <v>0</v>
      </c>
      <c r="AG517" s="45" t="str">
        <f aca="false">IF(AA517=1,D517&amp;"|"&amp;TEXT(B517,"0"),"")</f>
        <v/>
      </c>
      <c r="AH517" s="43" t="n">
        <f aca="false">IF(AA517=1,H517,0)</f>
        <v>0</v>
      </c>
    </row>
    <row r="518" customFormat="false" ht="15" hidden="false" customHeight="false" outlineLevel="0" collapsed="false">
      <c r="A518" s="23" t="str">
        <f aca="false">IF(B518="","","B-"&amp;TEXT(ROW()-4,"0000"))</f>
        <v/>
      </c>
      <c r="B518" s="38"/>
      <c r="C518" s="38"/>
      <c r="D518" s="6"/>
      <c r="E518" s="6"/>
      <c r="F518" s="6"/>
      <c r="G518" s="11"/>
      <c r="H518" s="24" t="str">
        <f aca="false">IF(AND(ISNUMBER(B518),ISNUMBER(C518)),MAX(0,C518-B518),"")</f>
        <v/>
      </c>
      <c r="I518" s="37"/>
      <c r="J518" s="46" t="str">
        <f aca="false">IF(OR(D518="",N(H518)=0),"",IFERROR(IF(I518&lt;&gt;"",H518*I518,ROUND(((H518-(INT((WEEKDAY(B518-6)+H518-1)/7)+INT((WEEKDAY(B518-7)+H518-1)/7)))*INDEX(Properties!$E$5:$E$24,MATCH(D518,Properties!$A$5:$A$24,0))+(INT((WEEKDAY(B518-6)+H518-1)/7)+INT((WEEKDAY(B518-7)+H518-1)/7))*INDEX(Properties!$F$5:$F$24,MATCH(D518,Properties!$A$5:$A$24,0)))*(1-IF(H518&gt;=28,Settings!$B$10,IF(H518&gt;=7,Settings!$B$9,0))),2)),0))</f>
        <v/>
      </c>
      <c r="K518" s="46" t="str">
        <f aca="false">IF(J518="","",IFERROR(N(INDEX(Properties!$G$5:$G$24,MATCH(D518,Properties!$A$5:$A$24,0))),0))</f>
        <v/>
      </c>
      <c r="L518" s="46" t="str">
        <f aca="false">IF(J518="","",IFERROR(MAX(0,N(G518)-INDEX(Properties!$I$5:$I$24,MATCH(D518,Properties!$A$5:$A$24,0)))*N(INDEX(Properties!$J$5:$J$24,MATCH(D518,Properties!$A$5:$A$24,0)))*H518,0))</f>
        <v/>
      </c>
      <c r="M518" s="37"/>
      <c r="N518" s="46" t="str">
        <f aca="false">IF(J518="","",J518+K518+L518+N(M518))</f>
        <v/>
      </c>
      <c r="O518" s="46" t="str">
        <f aca="false">IF(N518="","",IF(P518&lt;&gt;"",N518-P518,ROUND(N518*IFERROR(INDEX(Settings!$E$5:$E$12,MATCH(F518,Settings!$D$5:$D$12,0)),0),2)))</f>
        <v/>
      </c>
      <c r="P518" s="37"/>
      <c r="Q518" s="46" t="str">
        <f aca="false">IF(N518="","",IF(P518&lt;&gt;"",P518,N518-O518))</f>
        <v/>
      </c>
      <c r="R518" s="46" t="str">
        <f aca="false">IF(J518="","",IFERROR(N(INDEX(Properties!$H$5:$H$24,MATCH(D518,Properties!$A$5:$A$24,0))),0))</f>
        <v/>
      </c>
      <c r="S518" s="46" t="str">
        <f aca="false">IF(Q518="","",Q518-R518)</f>
        <v/>
      </c>
      <c r="T518" s="6"/>
      <c r="U518" s="6"/>
      <c r="V518" s="6"/>
      <c r="W518" s="6"/>
      <c r="X518" s="6"/>
      <c r="Y518" s="8" t="str">
        <f aca="false">IF(OR(D518="",B518="",C518=""),"",IF(N(C518)&lt;=N(B518),"Check dates",IF(T518="Cancelled","",IF(COUNTIFS($D$5:$D$1004,D518,$B$5:$B$1004,"&lt;"&amp;C518,$C$5:$C$1004,"&gt;"&amp;B518,$T$5:$T$1004,"&lt;&gt;Cancelled")&gt;1,"Double-booked",""))))</f>
        <v/>
      </c>
      <c r="Z518" s="42" t="str">
        <f aca="false">IF(AND(AA518=1,ISNUMBER(C518)),C518+ROW()/100000,"")</f>
        <v/>
      </c>
      <c r="AA518" s="43" t="n">
        <f aca="false">IF(AND(D518&lt;&gt;"",ISNUMBER(B518),ISNUMBER(C518),N(H518)&gt;0,T518&lt;&gt;"Cancelled",J518&lt;&gt;""),1,0)</f>
        <v>0</v>
      </c>
      <c r="AB518" s="44" t="n">
        <f aca="false">IF(AA518=1,J518/H518,0)</f>
        <v>0</v>
      </c>
      <c r="AC518" s="44" t="n">
        <f aca="false">IF(AA518=1,Q518/H518,0)</f>
        <v>0</v>
      </c>
      <c r="AD518" s="44" t="n">
        <f aca="false">IF(AA518=1,R518/H518,0)</f>
        <v>0</v>
      </c>
      <c r="AE518" s="44" t="n">
        <f aca="false">IF(AA518=1,O518/H518,0)</f>
        <v>0</v>
      </c>
      <c r="AF518" s="44" t="n">
        <f aca="false">IF(AA518=1,K518/H518,0)</f>
        <v>0</v>
      </c>
      <c r="AG518" s="45" t="str">
        <f aca="false">IF(AA518=1,D518&amp;"|"&amp;TEXT(B518,"0"),"")</f>
        <v/>
      </c>
      <c r="AH518" s="43" t="n">
        <f aca="false">IF(AA518=1,H518,0)</f>
        <v>0</v>
      </c>
    </row>
    <row r="519" customFormat="false" ht="15" hidden="false" customHeight="false" outlineLevel="0" collapsed="false">
      <c r="A519" s="8" t="str">
        <f aca="false">IF(B519="","","B-"&amp;TEXT(ROW()-4,"0000"))</f>
        <v/>
      </c>
      <c r="B519" s="38"/>
      <c r="C519" s="38"/>
      <c r="D519" s="6"/>
      <c r="E519" s="6"/>
      <c r="F519" s="6"/>
      <c r="G519" s="11"/>
      <c r="H519" s="18" t="str">
        <f aca="false">IF(AND(ISNUMBER(B519),ISNUMBER(C519)),MAX(0,C519-B519),"")</f>
        <v/>
      </c>
      <c r="I519" s="37"/>
      <c r="J519" s="41" t="str">
        <f aca="false">IF(OR(D519="",N(H519)=0),"",IFERROR(IF(I519&lt;&gt;"",H519*I519,ROUND(((H519-(INT((WEEKDAY(B519-6)+H519-1)/7)+INT((WEEKDAY(B519-7)+H519-1)/7)))*INDEX(Properties!$E$5:$E$24,MATCH(D519,Properties!$A$5:$A$24,0))+(INT((WEEKDAY(B519-6)+H519-1)/7)+INT((WEEKDAY(B519-7)+H519-1)/7))*INDEX(Properties!$F$5:$F$24,MATCH(D519,Properties!$A$5:$A$24,0)))*(1-IF(H519&gt;=28,Settings!$B$10,IF(H519&gt;=7,Settings!$B$9,0))),2)),0))</f>
        <v/>
      </c>
      <c r="K519" s="41" t="str">
        <f aca="false">IF(J519="","",IFERROR(N(INDEX(Properties!$G$5:$G$24,MATCH(D519,Properties!$A$5:$A$24,0))),0))</f>
        <v/>
      </c>
      <c r="L519" s="41" t="str">
        <f aca="false">IF(J519="","",IFERROR(MAX(0,N(G519)-INDEX(Properties!$I$5:$I$24,MATCH(D519,Properties!$A$5:$A$24,0)))*N(INDEX(Properties!$J$5:$J$24,MATCH(D519,Properties!$A$5:$A$24,0)))*H519,0))</f>
        <v/>
      </c>
      <c r="M519" s="37"/>
      <c r="N519" s="41" t="str">
        <f aca="false">IF(J519="","",J519+K519+L519+N(M519))</f>
        <v/>
      </c>
      <c r="O519" s="41" t="str">
        <f aca="false">IF(N519="","",IF(P519&lt;&gt;"",N519-P519,ROUND(N519*IFERROR(INDEX(Settings!$E$5:$E$12,MATCH(F519,Settings!$D$5:$D$12,0)),0),2)))</f>
        <v/>
      </c>
      <c r="P519" s="37"/>
      <c r="Q519" s="41" t="str">
        <f aca="false">IF(N519="","",IF(P519&lt;&gt;"",P519,N519-O519))</f>
        <v/>
      </c>
      <c r="R519" s="41" t="str">
        <f aca="false">IF(J519="","",IFERROR(N(INDEX(Properties!$H$5:$H$24,MATCH(D519,Properties!$A$5:$A$24,0))),0))</f>
        <v/>
      </c>
      <c r="S519" s="41" t="str">
        <f aca="false">IF(Q519="","",Q519-R519)</f>
        <v/>
      </c>
      <c r="T519" s="6"/>
      <c r="U519" s="6"/>
      <c r="V519" s="6"/>
      <c r="W519" s="6"/>
      <c r="X519" s="6"/>
      <c r="Y519" s="8" t="str">
        <f aca="false">IF(OR(D519="",B519="",C519=""),"",IF(N(C519)&lt;=N(B519),"Check dates",IF(T519="Cancelled","",IF(COUNTIFS($D$5:$D$1004,D519,$B$5:$B$1004,"&lt;"&amp;C519,$C$5:$C$1004,"&gt;"&amp;B519,$T$5:$T$1004,"&lt;&gt;Cancelled")&gt;1,"Double-booked",""))))</f>
        <v/>
      </c>
      <c r="Z519" s="42" t="str">
        <f aca="false">IF(AND(AA519=1,ISNUMBER(C519)),C519+ROW()/100000,"")</f>
        <v/>
      </c>
      <c r="AA519" s="43" t="n">
        <f aca="false">IF(AND(D519&lt;&gt;"",ISNUMBER(B519),ISNUMBER(C519),N(H519)&gt;0,T519&lt;&gt;"Cancelled",J519&lt;&gt;""),1,0)</f>
        <v>0</v>
      </c>
      <c r="AB519" s="44" t="n">
        <f aca="false">IF(AA519=1,J519/H519,0)</f>
        <v>0</v>
      </c>
      <c r="AC519" s="44" t="n">
        <f aca="false">IF(AA519=1,Q519/H519,0)</f>
        <v>0</v>
      </c>
      <c r="AD519" s="44" t="n">
        <f aca="false">IF(AA519=1,R519/H519,0)</f>
        <v>0</v>
      </c>
      <c r="AE519" s="44" t="n">
        <f aca="false">IF(AA519=1,O519/H519,0)</f>
        <v>0</v>
      </c>
      <c r="AF519" s="44" t="n">
        <f aca="false">IF(AA519=1,K519/H519,0)</f>
        <v>0</v>
      </c>
      <c r="AG519" s="45" t="str">
        <f aca="false">IF(AA519=1,D519&amp;"|"&amp;TEXT(B519,"0"),"")</f>
        <v/>
      </c>
      <c r="AH519" s="43" t="n">
        <f aca="false">IF(AA519=1,H519,0)</f>
        <v>0</v>
      </c>
    </row>
    <row r="520" customFormat="false" ht="15" hidden="false" customHeight="false" outlineLevel="0" collapsed="false">
      <c r="A520" s="23" t="str">
        <f aca="false">IF(B520="","","B-"&amp;TEXT(ROW()-4,"0000"))</f>
        <v/>
      </c>
      <c r="B520" s="38"/>
      <c r="C520" s="38"/>
      <c r="D520" s="6"/>
      <c r="E520" s="6"/>
      <c r="F520" s="6"/>
      <c r="G520" s="11"/>
      <c r="H520" s="24" t="str">
        <f aca="false">IF(AND(ISNUMBER(B520),ISNUMBER(C520)),MAX(0,C520-B520),"")</f>
        <v/>
      </c>
      <c r="I520" s="37"/>
      <c r="J520" s="46" t="str">
        <f aca="false">IF(OR(D520="",N(H520)=0),"",IFERROR(IF(I520&lt;&gt;"",H520*I520,ROUND(((H520-(INT((WEEKDAY(B520-6)+H520-1)/7)+INT((WEEKDAY(B520-7)+H520-1)/7)))*INDEX(Properties!$E$5:$E$24,MATCH(D520,Properties!$A$5:$A$24,0))+(INT((WEEKDAY(B520-6)+H520-1)/7)+INT((WEEKDAY(B520-7)+H520-1)/7))*INDEX(Properties!$F$5:$F$24,MATCH(D520,Properties!$A$5:$A$24,0)))*(1-IF(H520&gt;=28,Settings!$B$10,IF(H520&gt;=7,Settings!$B$9,0))),2)),0))</f>
        <v/>
      </c>
      <c r="K520" s="46" t="str">
        <f aca="false">IF(J520="","",IFERROR(N(INDEX(Properties!$G$5:$G$24,MATCH(D520,Properties!$A$5:$A$24,0))),0))</f>
        <v/>
      </c>
      <c r="L520" s="46" t="str">
        <f aca="false">IF(J520="","",IFERROR(MAX(0,N(G520)-INDEX(Properties!$I$5:$I$24,MATCH(D520,Properties!$A$5:$A$24,0)))*N(INDEX(Properties!$J$5:$J$24,MATCH(D520,Properties!$A$5:$A$24,0)))*H520,0))</f>
        <v/>
      </c>
      <c r="M520" s="37"/>
      <c r="N520" s="46" t="str">
        <f aca="false">IF(J520="","",J520+K520+L520+N(M520))</f>
        <v/>
      </c>
      <c r="O520" s="46" t="str">
        <f aca="false">IF(N520="","",IF(P520&lt;&gt;"",N520-P520,ROUND(N520*IFERROR(INDEX(Settings!$E$5:$E$12,MATCH(F520,Settings!$D$5:$D$12,0)),0),2)))</f>
        <v/>
      </c>
      <c r="P520" s="37"/>
      <c r="Q520" s="46" t="str">
        <f aca="false">IF(N520="","",IF(P520&lt;&gt;"",P520,N520-O520))</f>
        <v/>
      </c>
      <c r="R520" s="46" t="str">
        <f aca="false">IF(J520="","",IFERROR(N(INDEX(Properties!$H$5:$H$24,MATCH(D520,Properties!$A$5:$A$24,0))),0))</f>
        <v/>
      </c>
      <c r="S520" s="46" t="str">
        <f aca="false">IF(Q520="","",Q520-R520)</f>
        <v/>
      </c>
      <c r="T520" s="6"/>
      <c r="U520" s="6"/>
      <c r="V520" s="6"/>
      <c r="W520" s="6"/>
      <c r="X520" s="6"/>
      <c r="Y520" s="8" t="str">
        <f aca="false">IF(OR(D520="",B520="",C520=""),"",IF(N(C520)&lt;=N(B520),"Check dates",IF(T520="Cancelled","",IF(COUNTIFS($D$5:$D$1004,D520,$B$5:$B$1004,"&lt;"&amp;C520,$C$5:$C$1004,"&gt;"&amp;B520,$T$5:$T$1004,"&lt;&gt;Cancelled")&gt;1,"Double-booked",""))))</f>
        <v/>
      </c>
      <c r="Z520" s="42" t="str">
        <f aca="false">IF(AND(AA520=1,ISNUMBER(C520)),C520+ROW()/100000,"")</f>
        <v/>
      </c>
      <c r="AA520" s="43" t="n">
        <f aca="false">IF(AND(D520&lt;&gt;"",ISNUMBER(B520),ISNUMBER(C520),N(H520)&gt;0,T520&lt;&gt;"Cancelled",J520&lt;&gt;""),1,0)</f>
        <v>0</v>
      </c>
      <c r="AB520" s="44" t="n">
        <f aca="false">IF(AA520=1,J520/H520,0)</f>
        <v>0</v>
      </c>
      <c r="AC520" s="44" t="n">
        <f aca="false">IF(AA520=1,Q520/H520,0)</f>
        <v>0</v>
      </c>
      <c r="AD520" s="44" t="n">
        <f aca="false">IF(AA520=1,R520/H520,0)</f>
        <v>0</v>
      </c>
      <c r="AE520" s="44" t="n">
        <f aca="false">IF(AA520=1,O520/H520,0)</f>
        <v>0</v>
      </c>
      <c r="AF520" s="44" t="n">
        <f aca="false">IF(AA520=1,K520/H520,0)</f>
        <v>0</v>
      </c>
      <c r="AG520" s="45" t="str">
        <f aca="false">IF(AA520=1,D520&amp;"|"&amp;TEXT(B520,"0"),"")</f>
        <v/>
      </c>
      <c r="AH520" s="43" t="n">
        <f aca="false">IF(AA520=1,H520,0)</f>
        <v>0</v>
      </c>
    </row>
    <row r="521" customFormat="false" ht="15" hidden="false" customHeight="false" outlineLevel="0" collapsed="false">
      <c r="A521" s="8" t="str">
        <f aca="false">IF(B521="","","B-"&amp;TEXT(ROW()-4,"0000"))</f>
        <v/>
      </c>
      <c r="B521" s="38"/>
      <c r="C521" s="38"/>
      <c r="D521" s="6"/>
      <c r="E521" s="6"/>
      <c r="F521" s="6"/>
      <c r="G521" s="11"/>
      <c r="H521" s="18" t="str">
        <f aca="false">IF(AND(ISNUMBER(B521),ISNUMBER(C521)),MAX(0,C521-B521),"")</f>
        <v/>
      </c>
      <c r="I521" s="37"/>
      <c r="J521" s="41" t="str">
        <f aca="false">IF(OR(D521="",N(H521)=0),"",IFERROR(IF(I521&lt;&gt;"",H521*I521,ROUND(((H521-(INT((WEEKDAY(B521-6)+H521-1)/7)+INT((WEEKDAY(B521-7)+H521-1)/7)))*INDEX(Properties!$E$5:$E$24,MATCH(D521,Properties!$A$5:$A$24,0))+(INT((WEEKDAY(B521-6)+H521-1)/7)+INT((WEEKDAY(B521-7)+H521-1)/7))*INDEX(Properties!$F$5:$F$24,MATCH(D521,Properties!$A$5:$A$24,0)))*(1-IF(H521&gt;=28,Settings!$B$10,IF(H521&gt;=7,Settings!$B$9,0))),2)),0))</f>
        <v/>
      </c>
      <c r="K521" s="41" t="str">
        <f aca="false">IF(J521="","",IFERROR(N(INDEX(Properties!$G$5:$G$24,MATCH(D521,Properties!$A$5:$A$24,0))),0))</f>
        <v/>
      </c>
      <c r="L521" s="41" t="str">
        <f aca="false">IF(J521="","",IFERROR(MAX(0,N(G521)-INDEX(Properties!$I$5:$I$24,MATCH(D521,Properties!$A$5:$A$24,0)))*N(INDEX(Properties!$J$5:$J$24,MATCH(D521,Properties!$A$5:$A$24,0)))*H521,0))</f>
        <v/>
      </c>
      <c r="M521" s="37"/>
      <c r="N521" s="41" t="str">
        <f aca="false">IF(J521="","",J521+K521+L521+N(M521))</f>
        <v/>
      </c>
      <c r="O521" s="41" t="str">
        <f aca="false">IF(N521="","",IF(P521&lt;&gt;"",N521-P521,ROUND(N521*IFERROR(INDEX(Settings!$E$5:$E$12,MATCH(F521,Settings!$D$5:$D$12,0)),0),2)))</f>
        <v/>
      </c>
      <c r="P521" s="37"/>
      <c r="Q521" s="41" t="str">
        <f aca="false">IF(N521="","",IF(P521&lt;&gt;"",P521,N521-O521))</f>
        <v/>
      </c>
      <c r="R521" s="41" t="str">
        <f aca="false">IF(J521="","",IFERROR(N(INDEX(Properties!$H$5:$H$24,MATCH(D521,Properties!$A$5:$A$24,0))),0))</f>
        <v/>
      </c>
      <c r="S521" s="41" t="str">
        <f aca="false">IF(Q521="","",Q521-R521)</f>
        <v/>
      </c>
      <c r="T521" s="6"/>
      <c r="U521" s="6"/>
      <c r="V521" s="6"/>
      <c r="W521" s="6"/>
      <c r="X521" s="6"/>
      <c r="Y521" s="8" t="str">
        <f aca="false">IF(OR(D521="",B521="",C521=""),"",IF(N(C521)&lt;=N(B521),"Check dates",IF(T521="Cancelled","",IF(COUNTIFS($D$5:$D$1004,D521,$B$5:$B$1004,"&lt;"&amp;C521,$C$5:$C$1004,"&gt;"&amp;B521,$T$5:$T$1004,"&lt;&gt;Cancelled")&gt;1,"Double-booked",""))))</f>
        <v/>
      </c>
      <c r="Z521" s="42" t="str">
        <f aca="false">IF(AND(AA521=1,ISNUMBER(C521)),C521+ROW()/100000,"")</f>
        <v/>
      </c>
      <c r="AA521" s="43" t="n">
        <f aca="false">IF(AND(D521&lt;&gt;"",ISNUMBER(B521),ISNUMBER(C521),N(H521)&gt;0,T521&lt;&gt;"Cancelled",J521&lt;&gt;""),1,0)</f>
        <v>0</v>
      </c>
      <c r="AB521" s="44" t="n">
        <f aca="false">IF(AA521=1,J521/H521,0)</f>
        <v>0</v>
      </c>
      <c r="AC521" s="44" t="n">
        <f aca="false">IF(AA521=1,Q521/H521,0)</f>
        <v>0</v>
      </c>
      <c r="AD521" s="44" t="n">
        <f aca="false">IF(AA521=1,R521/H521,0)</f>
        <v>0</v>
      </c>
      <c r="AE521" s="44" t="n">
        <f aca="false">IF(AA521=1,O521/H521,0)</f>
        <v>0</v>
      </c>
      <c r="AF521" s="44" t="n">
        <f aca="false">IF(AA521=1,K521/H521,0)</f>
        <v>0</v>
      </c>
      <c r="AG521" s="45" t="str">
        <f aca="false">IF(AA521=1,D521&amp;"|"&amp;TEXT(B521,"0"),"")</f>
        <v/>
      </c>
      <c r="AH521" s="43" t="n">
        <f aca="false">IF(AA521=1,H521,0)</f>
        <v>0</v>
      </c>
    </row>
    <row r="522" customFormat="false" ht="15" hidden="false" customHeight="false" outlineLevel="0" collapsed="false">
      <c r="A522" s="23" t="str">
        <f aca="false">IF(B522="","","B-"&amp;TEXT(ROW()-4,"0000"))</f>
        <v/>
      </c>
      <c r="B522" s="38"/>
      <c r="C522" s="38"/>
      <c r="D522" s="6"/>
      <c r="E522" s="6"/>
      <c r="F522" s="6"/>
      <c r="G522" s="11"/>
      <c r="H522" s="24" t="str">
        <f aca="false">IF(AND(ISNUMBER(B522),ISNUMBER(C522)),MAX(0,C522-B522),"")</f>
        <v/>
      </c>
      <c r="I522" s="37"/>
      <c r="J522" s="46" t="str">
        <f aca="false">IF(OR(D522="",N(H522)=0),"",IFERROR(IF(I522&lt;&gt;"",H522*I522,ROUND(((H522-(INT((WEEKDAY(B522-6)+H522-1)/7)+INT((WEEKDAY(B522-7)+H522-1)/7)))*INDEX(Properties!$E$5:$E$24,MATCH(D522,Properties!$A$5:$A$24,0))+(INT((WEEKDAY(B522-6)+H522-1)/7)+INT((WEEKDAY(B522-7)+H522-1)/7))*INDEX(Properties!$F$5:$F$24,MATCH(D522,Properties!$A$5:$A$24,0)))*(1-IF(H522&gt;=28,Settings!$B$10,IF(H522&gt;=7,Settings!$B$9,0))),2)),0))</f>
        <v/>
      </c>
      <c r="K522" s="46" t="str">
        <f aca="false">IF(J522="","",IFERROR(N(INDEX(Properties!$G$5:$G$24,MATCH(D522,Properties!$A$5:$A$24,0))),0))</f>
        <v/>
      </c>
      <c r="L522" s="46" t="str">
        <f aca="false">IF(J522="","",IFERROR(MAX(0,N(G522)-INDEX(Properties!$I$5:$I$24,MATCH(D522,Properties!$A$5:$A$24,0)))*N(INDEX(Properties!$J$5:$J$24,MATCH(D522,Properties!$A$5:$A$24,0)))*H522,0))</f>
        <v/>
      </c>
      <c r="M522" s="37"/>
      <c r="N522" s="46" t="str">
        <f aca="false">IF(J522="","",J522+K522+L522+N(M522))</f>
        <v/>
      </c>
      <c r="O522" s="46" t="str">
        <f aca="false">IF(N522="","",IF(P522&lt;&gt;"",N522-P522,ROUND(N522*IFERROR(INDEX(Settings!$E$5:$E$12,MATCH(F522,Settings!$D$5:$D$12,0)),0),2)))</f>
        <v/>
      </c>
      <c r="P522" s="37"/>
      <c r="Q522" s="46" t="str">
        <f aca="false">IF(N522="","",IF(P522&lt;&gt;"",P522,N522-O522))</f>
        <v/>
      </c>
      <c r="R522" s="46" t="str">
        <f aca="false">IF(J522="","",IFERROR(N(INDEX(Properties!$H$5:$H$24,MATCH(D522,Properties!$A$5:$A$24,0))),0))</f>
        <v/>
      </c>
      <c r="S522" s="46" t="str">
        <f aca="false">IF(Q522="","",Q522-R522)</f>
        <v/>
      </c>
      <c r="T522" s="6"/>
      <c r="U522" s="6"/>
      <c r="V522" s="6"/>
      <c r="W522" s="6"/>
      <c r="X522" s="6"/>
      <c r="Y522" s="8" t="str">
        <f aca="false">IF(OR(D522="",B522="",C522=""),"",IF(N(C522)&lt;=N(B522),"Check dates",IF(T522="Cancelled","",IF(COUNTIFS($D$5:$D$1004,D522,$B$5:$B$1004,"&lt;"&amp;C522,$C$5:$C$1004,"&gt;"&amp;B522,$T$5:$T$1004,"&lt;&gt;Cancelled")&gt;1,"Double-booked",""))))</f>
        <v/>
      </c>
      <c r="Z522" s="42" t="str">
        <f aca="false">IF(AND(AA522=1,ISNUMBER(C522)),C522+ROW()/100000,"")</f>
        <v/>
      </c>
      <c r="AA522" s="43" t="n">
        <f aca="false">IF(AND(D522&lt;&gt;"",ISNUMBER(B522),ISNUMBER(C522),N(H522)&gt;0,T522&lt;&gt;"Cancelled",J522&lt;&gt;""),1,0)</f>
        <v>0</v>
      </c>
      <c r="AB522" s="44" t="n">
        <f aca="false">IF(AA522=1,J522/H522,0)</f>
        <v>0</v>
      </c>
      <c r="AC522" s="44" t="n">
        <f aca="false">IF(AA522=1,Q522/H522,0)</f>
        <v>0</v>
      </c>
      <c r="AD522" s="44" t="n">
        <f aca="false">IF(AA522=1,R522/H522,0)</f>
        <v>0</v>
      </c>
      <c r="AE522" s="44" t="n">
        <f aca="false">IF(AA522=1,O522/H522,0)</f>
        <v>0</v>
      </c>
      <c r="AF522" s="44" t="n">
        <f aca="false">IF(AA522=1,K522/H522,0)</f>
        <v>0</v>
      </c>
      <c r="AG522" s="45" t="str">
        <f aca="false">IF(AA522=1,D522&amp;"|"&amp;TEXT(B522,"0"),"")</f>
        <v/>
      </c>
      <c r="AH522" s="43" t="n">
        <f aca="false">IF(AA522=1,H522,0)</f>
        <v>0</v>
      </c>
    </row>
    <row r="523" customFormat="false" ht="15" hidden="false" customHeight="false" outlineLevel="0" collapsed="false">
      <c r="A523" s="8" t="str">
        <f aca="false">IF(B523="","","B-"&amp;TEXT(ROW()-4,"0000"))</f>
        <v/>
      </c>
      <c r="B523" s="38"/>
      <c r="C523" s="38"/>
      <c r="D523" s="6"/>
      <c r="E523" s="6"/>
      <c r="F523" s="6"/>
      <c r="G523" s="11"/>
      <c r="H523" s="18" t="str">
        <f aca="false">IF(AND(ISNUMBER(B523),ISNUMBER(C523)),MAX(0,C523-B523),"")</f>
        <v/>
      </c>
      <c r="I523" s="37"/>
      <c r="J523" s="41" t="str">
        <f aca="false">IF(OR(D523="",N(H523)=0),"",IFERROR(IF(I523&lt;&gt;"",H523*I523,ROUND(((H523-(INT((WEEKDAY(B523-6)+H523-1)/7)+INT((WEEKDAY(B523-7)+H523-1)/7)))*INDEX(Properties!$E$5:$E$24,MATCH(D523,Properties!$A$5:$A$24,0))+(INT((WEEKDAY(B523-6)+H523-1)/7)+INT((WEEKDAY(B523-7)+H523-1)/7))*INDEX(Properties!$F$5:$F$24,MATCH(D523,Properties!$A$5:$A$24,0)))*(1-IF(H523&gt;=28,Settings!$B$10,IF(H523&gt;=7,Settings!$B$9,0))),2)),0))</f>
        <v/>
      </c>
      <c r="K523" s="41" t="str">
        <f aca="false">IF(J523="","",IFERROR(N(INDEX(Properties!$G$5:$G$24,MATCH(D523,Properties!$A$5:$A$24,0))),0))</f>
        <v/>
      </c>
      <c r="L523" s="41" t="str">
        <f aca="false">IF(J523="","",IFERROR(MAX(0,N(G523)-INDEX(Properties!$I$5:$I$24,MATCH(D523,Properties!$A$5:$A$24,0)))*N(INDEX(Properties!$J$5:$J$24,MATCH(D523,Properties!$A$5:$A$24,0)))*H523,0))</f>
        <v/>
      </c>
      <c r="M523" s="37"/>
      <c r="N523" s="41" t="str">
        <f aca="false">IF(J523="","",J523+K523+L523+N(M523))</f>
        <v/>
      </c>
      <c r="O523" s="41" t="str">
        <f aca="false">IF(N523="","",IF(P523&lt;&gt;"",N523-P523,ROUND(N523*IFERROR(INDEX(Settings!$E$5:$E$12,MATCH(F523,Settings!$D$5:$D$12,0)),0),2)))</f>
        <v/>
      </c>
      <c r="P523" s="37"/>
      <c r="Q523" s="41" t="str">
        <f aca="false">IF(N523="","",IF(P523&lt;&gt;"",P523,N523-O523))</f>
        <v/>
      </c>
      <c r="R523" s="41" t="str">
        <f aca="false">IF(J523="","",IFERROR(N(INDEX(Properties!$H$5:$H$24,MATCH(D523,Properties!$A$5:$A$24,0))),0))</f>
        <v/>
      </c>
      <c r="S523" s="41" t="str">
        <f aca="false">IF(Q523="","",Q523-R523)</f>
        <v/>
      </c>
      <c r="T523" s="6"/>
      <c r="U523" s="6"/>
      <c r="V523" s="6"/>
      <c r="W523" s="6"/>
      <c r="X523" s="6"/>
      <c r="Y523" s="8" t="str">
        <f aca="false">IF(OR(D523="",B523="",C523=""),"",IF(N(C523)&lt;=N(B523),"Check dates",IF(T523="Cancelled","",IF(COUNTIFS($D$5:$D$1004,D523,$B$5:$B$1004,"&lt;"&amp;C523,$C$5:$C$1004,"&gt;"&amp;B523,$T$5:$T$1004,"&lt;&gt;Cancelled")&gt;1,"Double-booked",""))))</f>
        <v/>
      </c>
      <c r="Z523" s="42" t="str">
        <f aca="false">IF(AND(AA523=1,ISNUMBER(C523)),C523+ROW()/100000,"")</f>
        <v/>
      </c>
      <c r="AA523" s="43" t="n">
        <f aca="false">IF(AND(D523&lt;&gt;"",ISNUMBER(B523),ISNUMBER(C523),N(H523)&gt;0,T523&lt;&gt;"Cancelled",J523&lt;&gt;""),1,0)</f>
        <v>0</v>
      </c>
      <c r="AB523" s="44" t="n">
        <f aca="false">IF(AA523=1,J523/H523,0)</f>
        <v>0</v>
      </c>
      <c r="AC523" s="44" t="n">
        <f aca="false">IF(AA523=1,Q523/H523,0)</f>
        <v>0</v>
      </c>
      <c r="AD523" s="44" t="n">
        <f aca="false">IF(AA523=1,R523/H523,0)</f>
        <v>0</v>
      </c>
      <c r="AE523" s="44" t="n">
        <f aca="false">IF(AA523=1,O523/H523,0)</f>
        <v>0</v>
      </c>
      <c r="AF523" s="44" t="n">
        <f aca="false">IF(AA523=1,K523/H523,0)</f>
        <v>0</v>
      </c>
      <c r="AG523" s="45" t="str">
        <f aca="false">IF(AA523=1,D523&amp;"|"&amp;TEXT(B523,"0"),"")</f>
        <v/>
      </c>
      <c r="AH523" s="43" t="n">
        <f aca="false">IF(AA523=1,H523,0)</f>
        <v>0</v>
      </c>
    </row>
    <row r="524" customFormat="false" ht="15" hidden="false" customHeight="false" outlineLevel="0" collapsed="false">
      <c r="A524" s="23" t="str">
        <f aca="false">IF(B524="","","B-"&amp;TEXT(ROW()-4,"0000"))</f>
        <v/>
      </c>
      <c r="B524" s="38"/>
      <c r="C524" s="38"/>
      <c r="D524" s="6"/>
      <c r="E524" s="6"/>
      <c r="F524" s="6"/>
      <c r="G524" s="11"/>
      <c r="H524" s="24" t="str">
        <f aca="false">IF(AND(ISNUMBER(B524),ISNUMBER(C524)),MAX(0,C524-B524),"")</f>
        <v/>
      </c>
      <c r="I524" s="37"/>
      <c r="J524" s="46" t="str">
        <f aca="false">IF(OR(D524="",N(H524)=0),"",IFERROR(IF(I524&lt;&gt;"",H524*I524,ROUND(((H524-(INT((WEEKDAY(B524-6)+H524-1)/7)+INT((WEEKDAY(B524-7)+H524-1)/7)))*INDEX(Properties!$E$5:$E$24,MATCH(D524,Properties!$A$5:$A$24,0))+(INT((WEEKDAY(B524-6)+H524-1)/7)+INT((WEEKDAY(B524-7)+H524-1)/7))*INDEX(Properties!$F$5:$F$24,MATCH(D524,Properties!$A$5:$A$24,0)))*(1-IF(H524&gt;=28,Settings!$B$10,IF(H524&gt;=7,Settings!$B$9,0))),2)),0))</f>
        <v/>
      </c>
      <c r="K524" s="46" t="str">
        <f aca="false">IF(J524="","",IFERROR(N(INDEX(Properties!$G$5:$G$24,MATCH(D524,Properties!$A$5:$A$24,0))),0))</f>
        <v/>
      </c>
      <c r="L524" s="46" t="str">
        <f aca="false">IF(J524="","",IFERROR(MAX(0,N(G524)-INDEX(Properties!$I$5:$I$24,MATCH(D524,Properties!$A$5:$A$24,0)))*N(INDEX(Properties!$J$5:$J$24,MATCH(D524,Properties!$A$5:$A$24,0)))*H524,0))</f>
        <v/>
      </c>
      <c r="M524" s="37"/>
      <c r="N524" s="46" t="str">
        <f aca="false">IF(J524="","",J524+K524+L524+N(M524))</f>
        <v/>
      </c>
      <c r="O524" s="46" t="str">
        <f aca="false">IF(N524="","",IF(P524&lt;&gt;"",N524-P524,ROUND(N524*IFERROR(INDEX(Settings!$E$5:$E$12,MATCH(F524,Settings!$D$5:$D$12,0)),0),2)))</f>
        <v/>
      </c>
      <c r="P524" s="37"/>
      <c r="Q524" s="46" t="str">
        <f aca="false">IF(N524="","",IF(P524&lt;&gt;"",P524,N524-O524))</f>
        <v/>
      </c>
      <c r="R524" s="46" t="str">
        <f aca="false">IF(J524="","",IFERROR(N(INDEX(Properties!$H$5:$H$24,MATCH(D524,Properties!$A$5:$A$24,0))),0))</f>
        <v/>
      </c>
      <c r="S524" s="46" t="str">
        <f aca="false">IF(Q524="","",Q524-R524)</f>
        <v/>
      </c>
      <c r="T524" s="6"/>
      <c r="U524" s="6"/>
      <c r="V524" s="6"/>
      <c r="W524" s="6"/>
      <c r="X524" s="6"/>
      <c r="Y524" s="8" t="str">
        <f aca="false">IF(OR(D524="",B524="",C524=""),"",IF(N(C524)&lt;=N(B524),"Check dates",IF(T524="Cancelled","",IF(COUNTIFS($D$5:$D$1004,D524,$B$5:$B$1004,"&lt;"&amp;C524,$C$5:$C$1004,"&gt;"&amp;B524,$T$5:$T$1004,"&lt;&gt;Cancelled")&gt;1,"Double-booked",""))))</f>
        <v/>
      </c>
      <c r="Z524" s="42" t="str">
        <f aca="false">IF(AND(AA524=1,ISNUMBER(C524)),C524+ROW()/100000,"")</f>
        <v/>
      </c>
      <c r="AA524" s="43" t="n">
        <f aca="false">IF(AND(D524&lt;&gt;"",ISNUMBER(B524),ISNUMBER(C524),N(H524)&gt;0,T524&lt;&gt;"Cancelled",J524&lt;&gt;""),1,0)</f>
        <v>0</v>
      </c>
      <c r="AB524" s="44" t="n">
        <f aca="false">IF(AA524=1,J524/H524,0)</f>
        <v>0</v>
      </c>
      <c r="AC524" s="44" t="n">
        <f aca="false">IF(AA524=1,Q524/H524,0)</f>
        <v>0</v>
      </c>
      <c r="AD524" s="44" t="n">
        <f aca="false">IF(AA524=1,R524/H524,0)</f>
        <v>0</v>
      </c>
      <c r="AE524" s="44" t="n">
        <f aca="false">IF(AA524=1,O524/H524,0)</f>
        <v>0</v>
      </c>
      <c r="AF524" s="44" t="n">
        <f aca="false">IF(AA524=1,K524/H524,0)</f>
        <v>0</v>
      </c>
      <c r="AG524" s="45" t="str">
        <f aca="false">IF(AA524=1,D524&amp;"|"&amp;TEXT(B524,"0"),"")</f>
        <v/>
      </c>
      <c r="AH524" s="43" t="n">
        <f aca="false">IF(AA524=1,H524,0)</f>
        <v>0</v>
      </c>
    </row>
    <row r="525" customFormat="false" ht="15" hidden="false" customHeight="false" outlineLevel="0" collapsed="false">
      <c r="A525" s="8" t="str">
        <f aca="false">IF(B525="","","B-"&amp;TEXT(ROW()-4,"0000"))</f>
        <v/>
      </c>
      <c r="B525" s="38"/>
      <c r="C525" s="38"/>
      <c r="D525" s="6"/>
      <c r="E525" s="6"/>
      <c r="F525" s="6"/>
      <c r="G525" s="11"/>
      <c r="H525" s="18" t="str">
        <f aca="false">IF(AND(ISNUMBER(B525),ISNUMBER(C525)),MAX(0,C525-B525),"")</f>
        <v/>
      </c>
      <c r="I525" s="37"/>
      <c r="J525" s="41" t="str">
        <f aca="false">IF(OR(D525="",N(H525)=0),"",IFERROR(IF(I525&lt;&gt;"",H525*I525,ROUND(((H525-(INT((WEEKDAY(B525-6)+H525-1)/7)+INT((WEEKDAY(B525-7)+H525-1)/7)))*INDEX(Properties!$E$5:$E$24,MATCH(D525,Properties!$A$5:$A$24,0))+(INT((WEEKDAY(B525-6)+H525-1)/7)+INT((WEEKDAY(B525-7)+H525-1)/7))*INDEX(Properties!$F$5:$F$24,MATCH(D525,Properties!$A$5:$A$24,0)))*(1-IF(H525&gt;=28,Settings!$B$10,IF(H525&gt;=7,Settings!$B$9,0))),2)),0))</f>
        <v/>
      </c>
      <c r="K525" s="41" t="str">
        <f aca="false">IF(J525="","",IFERROR(N(INDEX(Properties!$G$5:$G$24,MATCH(D525,Properties!$A$5:$A$24,0))),0))</f>
        <v/>
      </c>
      <c r="L525" s="41" t="str">
        <f aca="false">IF(J525="","",IFERROR(MAX(0,N(G525)-INDEX(Properties!$I$5:$I$24,MATCH(D525,Properties!$A$5:$A$24,0)))*N(INDEX(Properties!$J$5:$J$24,MATCH(D525,Properties!$A$5:$A$24,0)))*H525,0))</f>
        <v/>
      </c>
      <c r="M525" s="37"/>
      <c r="N525" s="41" t="str">
        <f aca="false">IF(J525="","",J525+K525+L525+N(M525))</f>
        <v/>
      </c>
      <c r="O525" s="41" t="str">
        <f aca="false">IF(N525="","",IF(P525&lt;&gt;"",N525-P525,ROUND(N525*IFERROR(INDEX(Settings!$E$5:$E$12,MATCH(F525,Settings!$D$5:$D$12,0)),0),2)))</f>
        <v/>
      </c>
      <c r="P525" s="37"/>
      <c r="Q525" s="41" t="str">
        <f aca="false">IF(N525="","",IF(P525&lt;&gt;"",P525,N525-O525))</f>
        <v/>
      </c>
      <c r="R525" s="41" t="str">
        <f aca="false">IF(J525="","",IFERROR(N(INDEX(Properties!$H$5:$H$24,MATCH(D525,Properties!$A$5:$A$24,0))),0))</f>
        <v/>
      </c>
      <c r="S525" s="41" t="str">
        <f aca="false">IF(Q525="","",Q525-R525)</f>
        <v/>
      </c>
      <c r="T525" s="6"/>
      <c r="U525" s="6"/>
      <c r="V525" s="6"/>
      <c r="W525" s="6"/>
      <c r="X525" s="6"/>
      <c r="Y525" s="8" t="str">
        <f aca="false">IF(OR(D525="",B525="",C525=""),"",IF(N(C525)&lt;=N(B525),"Check dates",IF(T525="Cancelled","",IF(COUNTIFS($D$5:$D$1004,D525,$B$5:$B$1004,"&lt;"&amp;C525,$C$5:$C$1004,"&gt;"&amp;B525,$T$5:$T$1004,"&lt;&gt;Cancelled")&gt;1,"Double-booked",""))))</f>
        <v/>
      </c>
      <c r="Z525" s="42" t="str">
        <f aca="false">IF(AND(AA525=1,ISNUMBER(C525)),C525+ROW()/100000,"")</f>
        <v/>
      </c>
      <c r="AA525" s="43" t="n">
        <f aca="false">IF(AND(D525&lt;&gt;"",ISNUMBER(B525),ISNUMBER(C525),N(H525)&gt;0,T525&lt;&gt;"Cancelled",J525&lt;&gt;""),1,0)</f>
        <v>0</v>
      </c>
      <c r="AB525" s="44" t="n">
        <f aca="false">IF(AA525=1,J525/H525,0)</f>
        <v>0</v>
      </c>
      <c r="AC525" s="44" t="n">
        <f aca="false">IF(AA525=1,Q525/H525,0)</f>
        <v>0</v>
      </c>
      <c r="AD525" s="44" t="n">
        <f aca="false">IF(AA525=1,R525/H525,0)</f>
        <v>0</v>
      </c>
      <c r="AE525" s="44" t="n">
        <f aca="false">IF(AA525=1,O525/H525,0)</f>
        <v>0</v>
      </c>
      <c r="AF525" s="44" t="n">
        <f aca="false">IF(AA525=1,K525/H525,0)</f>
        <v>0</v>
      </c>
      <c r="AG525" s="45" t="str">
        <f aca="false">IF(AA525=1,D525&amp;"|"&amp;TEXT(B525,"0"),"")</f>
        <v/>
      </c>
      <c r="AH525" s="43" t="n">
        <f aca="false">IF(AA525=1,H525,0)</f>
        <v>0</v>
      </c>
    </row>
    <row r="526" customFormat="false" ht="15" hidden="false" customHeight="false" outlineLevel="0" collapsed="false">
      <c r="A526" s="23" t="str">
        <f aca="false">IF(B526="","","B-"&amp;TEXT(ROW()-4,"0000"))</f>
        <v/>
      </c>
      <c r="B526" s="38"/>
      <c r="C526" s="38"/>
      <c r="D526" s="6"/>
      <c r="E526" s="6"/>
      <c r="F526" s="6"/>
      <c r="G526" s="11"/>
      <c r="H526" s="24" t="str">
        <f aca="false">IF(AND(ISNUMBER(B526),ISNUMBER(C526)),MAX(0,C526-B526),"")</f>
        <v/>
      </c>
      <c r="I526" s="37"/>
      <c r="J526" s="46" t="str">
        <f aca="false">IF(OR(D526="",N(H526)=0),"",IFERROR(IF(I526&lt;&gt;"",H526*I526,ROUND(((H526-(INT((WEEKDAY(B526-6)+H526-1)/7)+INT((WEEKDAY(B526-7)+H526-1)/7)))*INDEX(Properties!$E$5:$E$24,MATCH(D526,Properties!$A$5:$A$24,0))+(INT((WEEKDAY(B526-6)+H526-1)/7)+INT((WEEKDAY(B526-7)+H526-1)/7))*INDEX(Properties!$F$5:$F$24,MATCH(D526,Properties!$A$5:$A$24,0)))*(1-IF(H526&gt;=28,Settings!$B$10,IF(H526&gt;=7,Settings!$B$9,0))),2)),0))</f>
        <v/>
      </c>
      <c r="K526" s="46" t="str">
        <f aca="false">IF(J526="","",IFERROR(N(INDEX(Properties!$G$5:$G$24,MATCH(D526,Properties!$A$5:$A$24,0))),0))</f>
        <v/>
      </c>
      <c r="L526" s="46" t="str">
        <f aca="false">IF(J526="","",IFERROR(MAX(0,N(G526)-INDEX(Properties!$I$5:$I$24,MATCH(D526,Properties!$A$5:$A$24,0)))*N(INDEX(Properties!$J$5:$J$24,MATCH(D526,Properties!$A$5:$A$24,0)))*H526,0))</f>
        <v/>
      </c>
      <c r="M526" s="37"/>
      <c r="N526" s="46" t="str">
        <f aca="false">IF(J526="","",J526+K526+L526+N(M526))</f>
        <v/>
      </c>
      <c r="O526" s="46" t="str">
        <f aca="false">IF(N526="","",IF(P526&lt;&gt;"",N526-P526,ROUND(N526*IFERROR(INDEX(Settings!$E$5:$E$12,MATCH(F526,Settings!$D$5:$D$12,0)),0),2)))</f>
        <v/>
      </c>
      <c r="P526" s="37"/>
      <c r="Q526" s="46" t="str">
        <f aca="false">IF(N526="","",IF(P526&lt;&gt;"",P526,N526-O526))</f>
        <v/>
      </c>
      <c r="R526" s="46" t="str">
        <f aca="false">IF(J526="","",IFERROR(N(INDEX(Properties!$H$5:$H$24,MATCH(D526,Properties!$A$5:$A$24,0))),0))</f>
        <v/>
      </c>
      <c r="S526" s="46" t="str">
        <f aca="false">IF(Q526="","",Q526-R526)</f>
        <v/>
      </c>
      <c r="T526" s="6"/>
      <c r="U526" s="6"/>
      <c r="V526" s="6"/>
      <c r="W526" s="6"/>
      <c r="X526" s="6"/>
      <c r="Y526" s="8" t="str">
        <f aca="false">IF(OR(D526="",B526="",C526=""),"",IF(N(C526)&lt;=N(B526),"Check dates",IF(T526="Cancelled","",IF(COUNTIFS($D$5:$D$1004,D526,$B$5:$B$1004,"&lt;"&amp;C526,$C$5:$C$1004,"&gt;"&amp;B526,$T$5:$T$1004,"&lt;&gt;Cancelled")&gt;1,"Double-booked",""))))</f>
        <v/>
      </c>
      <c r="Z526" s="42" t="str">
        <f aca="false">IF(AND(AA526=1,ISNUMBER(C526)),C526+ROW()/100000,"")</f>
        <v/>
      </c>
      <c r="AA526" s="43" t="n">
        <f aca="false">IF(AND(D526&lt;&gt;"",ISNUMBER(B526),ISNUMBER(C526),N(H526)&gt;0,T526&lt;&gt;"Cancelled",J526&lt;&gt;""),1,0)</f>
        <v>0</v>
      </c>
      <c r="AB526" s="44" t="n">
        <f aca="false">IF(AA526=1,J526/H526,0)</f>
        <v>0</v>
      </c>
      <c r="AC526" s="44" t="n">
        <f aca="false">IF(AA526=1,Q526/H526,0)</f>
        <v>0</v>
      </c>
      <c r="AD526" s="44" t="n">
        <f aca="false">IF(AA526=1,R526/H526,0)</f>
        <v>0</v>
      </c>
      <c r="AE526" s="44" t="n">
        <f aca="false">IF(AA526=1,O526/H526,0)</f>
        <v>0</v>
      </c>
      <c r="AF526" s="44" t="n">
        <f aca="false">IF(AA526=1,K526/H526,0)</f>
        <v>0</v>
      </c>
      <c r="AG526" s="45" t="str">
        <f aca="false">IF(AA526=1,D526&amp;"|"&amp;TEXT(B526,"0"),"")</f>
        <v/>
      </c>
      <c r="AH526" s="43" t="n">
        <f aca="false">IF(AA526=1,H526,0)</f>
        <v>0</v>
      </c>
    </row>
    <row r="527" customFormat="false" ht="15" hidden="false" customHeight="false" outlineLevel="0" collapsed="false">
      <c r="A527" s="8" t="str">
        <f aca="false">IF(B527="","","B-"&amp;TEXT(ROW()-4,"0000"))</f>
        <v/>
      </c>
      <c r="B527" s="38"/>
      <c r="C527" s="38"/>
      <c r="D527" s="6"/>
      <c r="E527" s="6"/>
      <c r="F527" s="6"/>
      <c r="G527" s="11"/>
      <c r="H527" s="18" t="str">
        <f aca="false">IF(AND(ISNUMBER(B527),ISNUMBER(C527)),MAX(0,C527-B527),"")</f>
        <v/>
      </c>
      <c r="I527" s="37"/>
      <c r="J527" s="41" t="str">
        <f aca="false">IF(OR(D527="",N(H527)=0),"",IFERROR(IF(I527&lt;&gt;"",H527*I527,ROUND(((H527-(INT((WEEKDAY(B527-6)+H527-1)/7)+INT((WEEKDAY(B527-7)+H527-1)/7)))*INDEX(Properties!$E$5:$E$24,MATCH(D527,Properties!$A$5:$A$24,0))+(INT((WEEKDAY(B527-6)+H527-1)/7)+INT((WEEKDAY(B527-7)+H527-1)/7))*INDEX(Properties!$F$5:$F$24,MATCH(D527,Properties!$A$5:$A$24,0)))*(1-IF(H527&gt;=28,Settings!$B$10,IF(H527&gt;=7,Settings!$B$9,0))),2)),0))</f>
        <v/>
      </c>
      <c r="K527" s="41" t="str">
        <f aca="false">IF(J527="","",IFERROR(N(INDEX(Properties!$G$5:$G$24,MATCH(D527,Properties!$A$5:$A$24,0))),0))</f>
        <v/>
      </c>
      <c r="L527" s="41" t="str">
        <f aca="false">IF(J527="","",IFERROR(MAX(0,N(G527)-INDEX(Properties!$I$5:$I$24,MATCH(D527,Properties!$A$5:$A$24,0)))*N(INDEX(Properties!$J$5:$J$24,MATCH(D527,Properties!$A$5:$A$24,0)))*H527,0))</f>
        <v/>
      </c>
      <c r="M527" s="37"/>
      <c r="N527" s="41" t="str">
        <f aca="false">IF(J527="","",J527+K527+L527+N(M527))</f>
        <v/>
      </c>
      <c r="O527" s="41" t="str">
        <f aca="false">IF(N527="","",IF(P527&lt;&gt;"",N527-P527,ROUND(N527*IFERROR(INDEX(Settings!$E$5:$E$12,MATCH(F527,Settings!$D$5:$D$12,0)),0),2)))</f>
        <v/>
      </c>
      <c r="P527" s="37"/>
      <c r="Q527" s="41" t="str">
        <f aca="false">IF(N527="","",IF(P527&lt;&gt;"",P527,N527-O527))</f>
        <v/>
      </c>
      <c r="R527" s="41" t="str">
        <f aca="false">IF(J527="","",IFERROR(N(INDEX(Properties!$H$5:$H$24,MATCH(D527,Properties!$A$5:$A$24,0))),0))</f>
        <v/>
      </c>
      <c r="S527" s="41" t="str">
        <f aca="false">IF(Q527="","",Q527-R527)</f>
        <v/>
      </c>
      <c r="T527" s="6"/>
      <c r="U527" s="6"/>
      <c r="V527" s="6"/>
      <c r="W527" s="6"/>
      <c r="X527" s="6"/>
      <c r="Y527" s="8" t="str">
        <f aca="false">IF(OR(D527="",B527="",C527=""),"",IF(N(C527)&lt;=N(B527),"Check dates",IF(T527="Cancelled","",IF(COUNTIFS($D$5:$D$1004,D527,$B$5:$B$1004,"&lt;"&amp;C527,$C$5:$C$1004,"&gt;"&amp;B527,$T$5:$T$1004,"&lt;&gt;Cancelled")&gt;1,"Double-booked",""))))</f>
        <v/>
      </c>
      <c r="Z527" s="42" t="str">
        <f aca="false">IF(AND(AA527=1,ISNUMBER(C527)),C527+ROW()/100000,"")</f>
        <v/>
      </c>
      <c r="AA527" s="43" t="n">
        <f aca="false">IF(AND(D527&lt;&gt;"",ISNUMBER(B527),ISNUMBER(C527),N(H527)&gt;0,T527&lt;&gt;"Cancelled",J527&lt;&gt;""),1,0)</f>
        <v>0</v>
      </c>
      <c r="AB527" s="44" t="n">
        <f aca="false">IF(AA527=1,J527/H527,0)</f>
        <v>0</v>
      </c>
      <c r="AC527" s="44" t="n">
        <f aca="false">IF(AA527=1,Q527/H527,0)</f>
        <v>0</v>
      </c>
      <c r="AD527" s="44" t="n">
        <f aca="false">IF(AA527=1,R527/H527,0)</f>
        <v>0</v>
      </c>
      <c r="AE527" s="44" t="n">
        <f aca="false">IF(AA527=1,O527/H527,0)</f>
        <v>0</v>
      </c>
      <c r="AF527" s="44" t="n">
        <f aca="false">IF(AA527=1,K527/H527,0)</f>
        <v>0</v>
      </c>
      <c r="AG527" s="45" t="str">
        <f aca="false">IF(AA527=1,D527&amp;"|"&amp;TEXT(B527,"0"),"")</f>
        <v/>
      </c>
      <c r="AH527" s="43" t="n">
        <f aca="false">IF(AA527=1,H527,0)</f>
        <v>0</v>
      </c>
    </row>
    <row r="528" customFormat="false" ht="15" hidden="false" customHeight="false" outlineLevel="0" collapsed="false">
      <c r="A528" s="23" t="str">
        <f aca="false">IF(B528="","","B-"&amp;TEXT(ROW()-4,"0000"))</f>
        <v/>
      </c>
      <c r="B528" s="38"/>
      <c r="C528" s="38"/>
      <c r="D528" s="6"/>
      <c r="E528" s="6"/>
      <c r="F528" s="6"/>
      <c r="G528" s="11"/>
      <c r="H528" s="24" t="str">
        <f aca="false">IF(AND(ISNUMBER(B528),ISNUMBER(C528)),MAX(0,C528-B528),"")</f>
        <v/>
      </c>
      <c r="I528" s="37"/>
      <c r="J528" s="46" t="str">
        <f aca="false">IF(OR(D528="",N(H528)=0),"",IFERROR(IF(I528&lt;&gt;"",H528*I528,ROUND(((H528-(INT((WEEKDAY(B528-6)+H528-1)/7)+INT((WEEKDAY(B528-7)+H528-1)/7)))*INDEX(Properties!$E$5:$E$24,MATCH(D528,Properties!$A$5:$A$24,0))+(INT((WEEKDAY(B528-6)+H528-1)/7)+INT((WEEKDAY(B528-7)+H528-1)/7))*INDEX(Properties!$F$5:$F$24,MATCH(D528,Properties!$A$5:$A$24,0)))*(1-IF(H528&gt;=28,Settings!$B$10,IF(H528&gt;=7,Settings!$B$9,0))),2)),0))</f>
        <v/>
      </c>
      <c r="K528" s="46" t="str">
        <f aca="false">IF(J528="","",IFERROR(N(INDEX(Properties!$G$5:$G$24,MATCH(D528,Properties!$A$5:$A$24,0))),0))</f>
        <v/>
      </c>
      <c r="L528" s="46" t="str">
        <f aca="false">IF(J528="","",IFERROR(MAX(0,N(G528)-INDEX(Properties!$I$5:$I$24,MATCH(D528,Properties!$A$5:$A$24,0)))*N(INDEX(Properties!$J$5:$J$24,MATCH(D528,Properties!$A$5:$A$24,0)))*H528,0))</f>
        <v/>
      </c>
      <c r="M528" s="37"/>
      <c r="N528" s="46" t="str">
        <f aca="false">IF(J528="","",J528+K528+L528+N(M528))</f>
        <v/>
      </c>
      <c r="O528" s="46" t="str">
        <f aca="false">IF(N528="","",IF(P528&lt;&gt;"",N528-P528,ROUND(N528*IFERROR(INDEX(Settings!$E$5:$E$12,MATCH(F528,Settings!$D$5:$D$12,0)),0),2)))</f>
        <v/>
      </c>
      <c r="P528" s="37"/>
      <c r="Q528" s="46" t="str">
        <f aca="false">IF(N528="","",IF(P528&lt;&gt;"",P528,N528-O528))</f>
        <v/>
      </c>
      <c r="R528" s="46" t="str">
        <f aca="false">IF(J528="","",IFERROR(N(INDEX(Properties!$H$5:$H$24,MATCH(D528,Properties!$A$5:$A$24,0))),0))</f>
        <v/>
      </c>
      <c r="S528" s="46" t="str">
        <f aca="false">IF(Q528="","",Q528-R528)</f>
        <v/>
      </c>
      <c r="T528" s="6"/>
      <c r="U528" s="6"/>
      <c r="V528" s="6"/>
      <c r="W528" s="6"/>
      <c r="X528" s="6"/>
      <c r="Y528" s="8" t="str">
        <f aca="false">IF(OR(D528="",B528="",C528=""),"",IF(N(C528)&lt;=N(B528),"Check dates",IF(T528="Cancelled","",IF(COUNTIFS($D$5:$D$1004,D528,$B$5:$B$1004,"&lt;"&amp;C528,$C$5:$C$1004,"&gt;"&amp;B528,$T$5:$T$1004,"&lt;&gt;Cancelled")&gt;1,"Double-booked",""))))</f>
        <v/>
      </c>
      <c r="Z528" s="42" t="str">
        <f aca="false">IF(AND(AA528=1,ISNUMBER(C528)),C528+ROW()/100000,"")</f>
        <v/>
      </c>
      <c r="AA528" s="43" t="n">
        <f aca="false">IF(AND(D528&lt;&gt;"",ISNUMBER(B528),ISNUMBER(C528),N(H528)&gt;0,T528&lt;&gt;"Cancelled",J528&lt;&gt;""),1,0)</f>
        <v>0</v>
      </c>
      <c r="AB528" s="44" t="n">
        <f aca="false">IF(AA528=1,J528/H528,0)</f>
        <v>0</v>
      </c>
      <c r="AC528" s="44" t="n">
        <f aca="false">IF(AA528=1,Q528/H528,0)</f>
        <v>0</v>
      </c>
      <c r="AD528" s="44" t="n">
        <f aca="false">IF(AA528=1,R528/H528,0)</f>
        <v>0</v>
      </c>
      <c r="AE528" s="44" t="n">
        <f aca="false">IF(AA528=1,O528/H528,0)</f>
        <v>0</v>
      </c>
      <c r="AF528" s="44" t="n">
        <f aca="false">IF(AA528=1,K528/H528,0)</f>
        <v>0</v>
      </c>
      <c r="AG528" s="45" t="str">
        <f aca="false">IF(AA528=1,D528&amp;"|"&amp;TEXT(B528,"0"),"")</f>
        <v/>
      </c>
      <c r="AH528" s="43" t="n">
        <f aca="false">IF(AA528=1,H528,0)</f>
        <v>0</v>
      </c>
    </row>
    <row r="529" customFormat="false" ht="15" hidden="false" customHeight="false" outlineLevel="0" collapsed="false">
      <c r="A529" s="8" t="str">
        <f aca="false">IF(B529="","","B-"&amp;TEXT(ROW()-4,"0000"))</f>
        <v/>
      </c>
      <c r="B529" s="38"/>
      <c r="C529" s="38"/>
      <c r="D529" s="6"/>
      <c r="E529" s="6"/>
      <c r="F529" s="6"/>
      <c r="G529" s="11"/>
      <c r="H529" s="18" t="str">
        <f aca="false">IF(AND(ISNUMBER(B529),ISNUMBER(C529)),MAX(0,C529-B529),"")</f>
        <v/>
      </c>
      <c r="I529" s="37"/>
      <c r="J529" s="41" t="str">
        <f aca="false">IF(OR(D529="",N(H529)=0),"",IFERROR(IF(I529&lt;&gt;"",H529*I529,ROUND(((H529-(INT((WEEKDAY(B529-6)+H529-1)/7)+INT((WEEKDAY(B529-7)+H529-1)/7)))*INDEX(Properties!$E$5:$E$24,MATCH(D529,Properties!$A$5:$A$24,0))+(INT((WEEKDAY(B529-6)+H529-1)/7)+INT((WEEKDAY(B529-7)+H529-1)/7))*INDEX(Properties!$F$5:$F$24,MATCH(D529,Properties!$A$5:$A$24,0)))*(1-IF(H529&gt;=28,Settings!$B$10,IF(H529&gt;=7,Settings!$B$9,0))),2)),0))</f>
        <v/>
      </c>
      <c r="K529" s="41" t="str">
        <f aca="false">IF(J529="","",IFERROR(N(INDEX(Properties!$G$5:$G$24,MATCH(D529,Properties!$A$5:$A$24,0))),0))</f>
        <v/>
      </c>
      <c r="L529" s="41" t="str">
        <f aca="false">IF(J529="","",IFERROR(MAX(0,N(G529)-INDEX(Properties!$I$5:$I$24,MATCH(D529,Properties!$A$5:$A$24,0)))*N(INDEX(Properties!$J$5:$J$24,MATCH(D529,Properties!$A$5:$A$24,0)))*H529,0))</f>
        <v/>
      </c>
      <c r="M529" s="37"/>
      <c r="N529" s="41" t="str">
        <f aca="false">IF(J529="","",J529+K529+L529+N(M529))</f>
        <v/>
      </c>
      <c r="O529" s="41" t="str">
        <f aca="false">IF(N529="","",IF(P529&lt;&gt;"",N529-P529,ROUND(N529*IFERROR(INDEX(Settings!$E$5:$E$12,MATCH(F529,Settings!$D$5:$D$12,0)),0),2)))</f>
        <v/>
      </c>
      <c r="P529" s="37"/>
      <c r="Q529" s="41" t="str">
        <f aca="false">IF(N529="","",IF(P529&lt;&gt;"",P529,N529-O529))</f>
        <v/>
      </c>
      <c r="R529" s="41" t="str">
        <f aca="false">IF(J529="","",IFERROR(N(INDEX(Properties!$H$5:$H$24,MATCH(D529,Properties!$A$5:$A$24,0))),0))</f>
        <v/>
      </c>
      <c r="S529" s="41" t="str">
        <f aca="false">IF(Q529="","",Q529-R529)</f>
        <v/>
      </c>
      <c r="T529" s="6"/>
      <c r="U529" s="6"/>
      <c r="V529" s="6"/>
      <c r="W529" s="6"/>
      <c r="X529" s="6"/>
      <c r="Y529" s="8" t="str">
        <f aca="false">IF(OR(D529="",B529="",C529=""),"",IF(N(C529)&lt;=N(B529),"Check dates",IF(T529="Cancelled","",IF(COUNTIFS($D$5:$D$1004,D529,$B$5:$B$1004,"&lt;"&amp;C529,$C$5:$C$1004,"&gt;"&amp;B529,$T$5:$T$1004,"&lt;&gt;Cancelled")&gt;1,"Double-booked",""))))</f>
        <v/>
      </c>
      <c r="Z529" s="42" t="str">
        <f aca="false">IF(AND(AA529=1,ISNUMBER(C529)),C529+ROW()/100000,"")</f>
        <v/>
      </c>
      <c r="AA529" s="43" t="n">
        <f aca="false">IF(AND(D529&lt;&gt;"",ISNUMBER(B529),ISNUMBER(C529),N(H529)&gt;0,T529&lt;&gt;"Cancelled",J529&lt;&gt;""),1,0)</f>
        <v>0</v>
      </c>
      <c r="AB529" s="44" t="n">
        <f aca="false">IF(AA529=1,J529/H529,0)</f>
        <v>0</v>
      </c>
      <c r="AC529" s="44" t="n">
        <f aca="false">IF(AA529=1,Q529/H529,0)</f>
        <v>0</v>
      </c>
      <c r="AD529" s="44" t="n">
        <f aca="false">IF(AA529=1,R529/H529,0)</f>
        <v>0</v>
      </c>
      <c r="AE529" s="44" t="n">
        <f aca="false">IF(AA529=1,O529/H529,0)</f>
        <v>0</v>
      </c>
      <c r="AF529" s="44" t="n">
        <f aca="false">IF(AA529=1,K529/H529,0)</f>
        <v>0</v>
      </c>
      <c r="AG529" s="45" t="str">
        <f aca="false">IF(AA529=1,D529&amp;"|"&amp;TEXT(B529,"0"),"")</f>
        <v/>
      </c>
      <c r="AH529" s="43" t="n">
        <f aca="false">IF(AA529=1,H529,0)</f>
        <v>0</v>
      </c>
    </row>
    <row r="530" customFormat="false" ht="15" hidden="false" customHeight="false" outlineLevel="0" collapsed="false">
      <c r="A530" s="23" t="str">
        <f aca="false">IF(B530="","","B-"&amp;TEXT(ROW()-4,"0000"))</f>
        <v/>
      </c>
      <c r="B530" s="38"/>
      <c r="C530" s="38"/>
      <c r="D530" s="6"/>
      <c r="E530" s="6"/>
      <c r="F530" s="6"/>
      <c r="G530" s="11"/>
      <c r="H530" s="24" t="str">
        <f aca="false">IF(AND(ISNUMBER(B530),ISNUMBER(C530)),MAX(0,C530-B530),"")</f>
        <v/>
      </c>
      <c r="I530" s="37"/>
      <c r="J530" s="46" t="str">
        <f aca="false">IF(OR(D530="",N(H530)=0),"",IFERROR(IF(I530&lt;&gt;"",H530*I530,ROUND(((H530-(INT((WEEKDAY(B530-6)+H530-1)/7)+INT((WEEKDAY(B530-7)+H530-1)/7)))*INDEX(Properties!$E$5:$E$24,MATCH(D530,Properties!$A$5:$A$24,0))+(INT((WEEKDAY(B530-6)+H530-1)/7)+INT((WEEKDAY(B530-7)+H530-1)/7))*INDEX(Properties!$F$5:$F$24,MATCH(D530,Properties!$A$5:$A$24,0)))*(1-IF(H530&gt;=28,Settings!$B$10,IF(H530&gt;=7,Settings!$B$9,0))),2)),0))</f>
        <v/>
      </c>
      <c r="K530" s="46" t="str">
        <f aca="false">IF(J530="","",IFERROR(N(INDEX(Properties!$G$5:$G$24,MATCH(D530,Properties!$A$5:$A$24,0))),0))</f>
        <v/>
      </c>
      <c r="L530" s="46" t="str">
        <f aca="false">IF(J530="","",IFERROR(MAX(0,N(G530)-INDEX(Properties!$I$5:$I$24,MATCH(D530,Properties!$A$5:$A$24,0)))*N(INDEX(Properties!$J$5:$J$24,MATCH(D530,Properties!$A$5:$A$24,0)))*H530,0))</f>
        <v/>
      </c>
      <c r="M530" s="37"/>
      <c r="N530" s="46" t="str">
        <f aca="false">IF(J530="","",J530+K530+L530+N(M530))</f>
        <v/>
      </c>
      <c r="O530" s="46" t="str">
        <f aca="false">IF(N530="","",IF(P530&lt;&gt;"",N530-P530,ROUND(N530*IFERROR(INDEX(Settings!$E$5:$E$12,MATCH(F530,Settings!$D$5:$D$12,0)),0),2)))</f>
        <v/>
      </c>
      <c r="P530" s="37"/>
      <c r="Q530" s="46" t="str">
        <f aca="false">IF(N530="","",IF(P530&lt;&gt;"",P530,N530-O530))</f>
        <v/>
      </c>
      <c r="R530" s="46" t="str">
        <f aca="false">IF(J530="","",IFERROR(N(INDEX(Properties!$H$5:$H$24,MATCH(D530,Properties!$A$5:$A$24,0))),0))</f>
        <v/>
      </c>
      <c r="S530" s="46" t="str">
        <f aca="false">IF(Q530="","",Q530-R530)</f>
        <v/>
      </c>
      <c r="T530" s="6"/>
      <c r="U530" s="6"/>
      <c r="V530" s="6"/>
      <c r="W530" s="6"/>
      <c r="X530" s="6"/>
      <c r="Y530" s="8" t="str">
        <f aca="false">IF(OR(D530="",B530="",C530=""),"",IF(N(C530)&lt;=N(B530),"Check dates",IF(T530="Cancelled","",IF(COUNTIFS($D$5:$D$1004,D530,$B$5:$B$1004,"&lt;"&amp;C530,$C$5:$C$1004,"&gt;"&amp;B530,$T$5:$T$1004,"&lt;&gt;Cancelled")&gt;1,"Double-booked",""))))</f>
        <v/>
      </c>
      <c r="Z530" s="42" t="str">
        <f aca="false">IF(AND(AA530=1,ISNUMBER(C530)),C530+ROW()/100000,"")</f>
        <v/>
      </c>
      <c r="AA530" s="43" t="n">
        <f aca="false">IF(AND(D530&lt;&gt;"",ISNUMBER(B530),ISNUMBER(C530),N(H530)&gt;0,T530&lt;&gt;"Cancelled",J530&lt;&gt;""),1,0)</f>
        <v>0</v>
      </c>
      <c r="AB530" s="44" t="n">
        <f aca="false">IF(AA530=1,J530/H530,0)</f>
        <v>0</v>
      </c>
      <c r="AC530" s="44" t="n">
        <f aca="false">IF(AA530=1,Q530/H530,0)</f>
        <v>0</v>
      </c>
      <c r="AD530" s="44" t="n">
        <f aca="false">IF(AA530=1,R530/H530,0)</f>
        <v>0</v>
      </c>
      <c r="AE530" s="44" t="n">
        <f aca="false">IF(AA530=1,O530/H530,0)</f>
        <v>0</v>
      </c>
      <c r="AF530" s="44" t="n">
        <f aca="false">IF(AA530=1,K530/H530,0)</f>
        <v>0</v>
      </c>
      <c r="AG530" s="45" t="str">
        <f aca="false">IF(AA530=1,D530&amp;"|"&amp;TEXT(B530,"0"),"")</f>
        <v/>
      </c>
      <c r="AH530" s="43" t="n">
        <f aca="false">IF(AA530=1,H530,0)</f>
        <v>0</v>
      </c>
    </row>
    <row r="531" customFormat="false" ht="15" hidden="false" customHeight="false" outlineLevel="0" collapsed="false">
      <c r="A531" s="8" t="str">
        <f aca="false">IF(B531="","","B-"&amp;TEXT(ROW()-4,"0000"))</f>
        <v/>
      </c>
      <c r="B531" s="38"/>
      <c r="C531" s="38"/>
      <c r="D531" s="6"/>
      <c r="E531" s="6"/>
      <c r="F531" s="6"/>
      <c r="G531" s="11"/>
      <c r="H531" s="18" t="str">
        <f aca="false">IF(AND(ISNUMBER(B531),ISNUMBER(C531)),MAX(0,C531-B531),"")</f>
        <v/>
      </c>
      <c r="I531" s="37"/>
      <c r="J531" s="41" t="str">
        <f aca="false">IF(OR(D531="",N(H531)=0),"",IFERROR(IF(I531&lt;&gt;"",H531*I531,ROUND(((H531-(INT((WEEKDAY(B531-6)+H531-1)/7)+INT((WEEKDAY(B531-7)+H531-1)/7)))*INDEX(Properties!$E$5:$E$24,MATCH(D531,Properties!$A$5:$A$24,0))+(INT((WEEKDAY(B531-6)+H531-1)/7)+INT((WEEKDAY(B531-7)+H531-1)/7))*INDEX(Properties!$F$5:$F$24,MATCH(D531,Properties!$A$5:$A$24,0)))*(1-IF(H531&gt;=28,Settings!$B$10,IF(H531&gt;=7,Settings!$B$9,0))),2)),0))</f>
        <v/>
      </c>
      <c r="K531" s="41" t="str">
        <f aca="false">IF(J531="","",IFERROR(N(INDEX(Properties!$G$5:$G$24,MATCH(D531,Properties!$A$5:$A$24,0))),0))</f>
        <v/>
      </c>
      <c r="L531" s="41" t="str">
        <f aca="false">IF(J531="","",IFERROR(MAX(0,N(G531)-INDEX(Properties!$I$5:$I$24,MATCH(D531,Properties!$A$5:$A$24,0)))*N(INDEX(Properties!$J$5:$J$24,MATCH(D531,Properties!$A$5:$A$24,0)))*H531,0))</f>
        <v/>
      </c>
      <c r="M531" s="37"/>
      <c r="N531" s="41" t="str">
        <f aca="false">IF(J531="","",J531+K531+L531+N(M531))</f>
        <v/>
      </c>
      <c r="O531" s="41" t="str">
        <f aca="false">IF(N531="","",IF(P531&lt;&gt;"",N531-P531,ROUND(N531*IFERROR(INDEX(Settings!$E$5:$E$12,MATCH(F531,Settings!$D$5:$D$12,0)),0),2)))</f>
        <v/>
      </c>
      <c r="P531" s="37"/>
      <c r="Q531" s="41" t="str">
        <f aca="false">IF(N531="","",IF(P531&lt;&gt;"",P531,N531-O531))</f>
        <v/>
      </c>
      <c r="R531" s="41" t="str">
        <f aca="false">IF(J531="","",IFERROR(N(INDEX(Properties!$H$5:$H$24,MATCH(D531,Properties!$A$5:$A$24,0))),0))</f>
        <v/>
      </c>
      <c r="S531" s="41" t="str">
        <f aca="false">IF(Q531="","",Q531-R531)</f>
        <v/>
      </c>
      <c r="T531" s="6"/>
      <c r="U531" s="6"/>
      <c r="V531" s="6"/>
      <c r="W531" s="6"/>
      <c r="X531" s="6"/>
      <c r="Y531" s="8" t="str">
        <f aca="false">IF(OR(D531="",B531="",C531=""),"",IF(N(C531)&lt;=N(B531),"Check dates",IF(T531="Cancelled","",IF(COUNTIFS($D$5:$D$1004,D531,$B$5:$B$1004,"&lt;"&amp;C531,$C$5:$C$1004,"&gt;"&amp;B531,$T$5:$T$1004,"&lt;&gt;Cancelled")&gt;1,"Double-booked",""))))</f>
        <v/>
      </c>
      <c r="Z531" s="42" t="str">
        <f aca="false">IF(AND(AA531=1,ISNUMBER(C531)),C531+ROW()/100000,"")</f>
        <v/>
      </c>
      <c r="AA531" s="43" t="n">
        <f aca="false">IF(AND(D531&lt;&gt;"",ISNUMBER(B531),ISNUMBER(C531),N(H531)&gt;0,T531&lt;&gt;"Cancelled",J531&lt;&gt;""),1,0)</f>
        <v>0</v>
      </c>
      <c r="AB531" s="44" t="n">
        <f aca="false">IF(AA531=1,J531/H531,0)</f>
        <v>0</v>
      </c>
      <c r="AC531" s="44" t="n">
        <f aca="false">IF(AA531=1,Q531/H531,0)</f>
        <v>0</v>
      </c>
      <c r="AD531" s="44" t="n">
        <f aca="false">IF(AA531=1,R531/H531,0)</f>
        <v>0</v>
      </c>
      <c r="AE531" s="44" t="n">
        <f aca="false">IF(AA531=1,O531/H531,0)</f>
        <v>0</v>
      </c>
      <c r="AF531" s="44" t="n">
        <f aca="false">IF(AA531=1,K531/H531,0)</f>
        <v>0</v>
      </c>
      <c r="AG531" s="45" t="str">
        <f aca="false">IF(AA531=1,D531&amp;"|"&amp;TEXT(B531,"0"),"")</f>
        <v/>
      </c>
      <c r="AH531" s="43" t="n">
        <f aca="false">IF(AA531=1,H531,0)</f>
        <v>0</v>
      </c>
    </row>
    <row r="532" customFormat="false" ht="15" hidden="false" customHeight="false" outlineLevel="0" collapsed="false">
      <c r="A532" s="23" t="str">
        <f aca="false">IF(B532="","","B-"&amp;TEXT(ROW()-4,"0000"))</f>
        <v/>
      </c>
      <c r="B532" s="38"/>
      <c r="C532" s="38"/>
      <c r="D532" s="6"/>
      <c r="E532" s="6"/>
      <c r="F532" s="6"/>
      <c r="G532" s="11"/>
      <c r="H532" s="24" t="str">
        <f aca="false">IF(AND(ISNUMBER(B532),ISNUMBER(C532)),MAX(0,C532-B532),"")</f>
        <v/>
      </c>
      <c r="I532" s="37"/>
      <c r="J532" s="46" t="str">
        <f aca="false">IF(OR(D532="",N(H532)=0),"",IFERROR(IF(I532&lt;&gt;"",H532*I532,ROUND(((H532-(INT((WEEKDAY(B532-6)+H532-1)/7)+INT((WEEKDAY(B532-7)+H532-1)/7)))*INDEX(Properties!$E$5:$E$24,MATCH(D532,Properties!$A$5:$A$24,0))+(INT((WEEKDAY(B532-6)+H532-1)/7)+INT((WEEKDAY(B532-7)+H532-1)/7))*INDEX(Properties!$F$5:$F$24,MATCH(D532,Properties!$A$5:$A$24,0)))*(1-IF(H532&gt;=28,Settings!$B$10,IF(H532&gt;=7,Settings!$B$9,0))),2)),0))</f>
        <v/>
      </c>
      <c r="K532" s="46" t="str">
        <f aca="false">IF(J532="","",IFERROR(N(INDEX(Properties!$G$5:$G$24,MATCH(D532,Properties!$A$5:$A$24,0))),0))</f>
        <v/>
      </c>
      <c r="L532" s="46" t="str">
        <f aca="false">IF(J532="","",IFERROR(MAX(0,N(G532)-INDEX(Properties!$I$5:$I$24,MATCH(D532,Properties!$A$5:$A$24,0)))*N(INDEX(Properties!$J$5:$J$24,MATCH(D532,Properties!$A$5:$A$24,0)))*H532,0))</f>
        <v/>
      </c>
      <c r="M532" s="37"/>
      <c r="N532" s="46" t="str">
        <f aca="false">IF(J532="","",J532+K532+L532+N(M532))</f>
        <v/>
      </c>
      <c r="O532" s="46" t="str">
        <f aca="false">IF(N532="","",IF(P532&lt;&gt;"",N532-P532,ROUND(N532*IFERROR(INDEX(Settings!$E$5:$E$12,MATCH(F532,Settings!$D$5:$D$12,0)),0),2)))</f>
        <v/>
      </c>
      <c r="P532" s="37"/>
      <c r="Q532" s="46" t="str">
        <f aca="false">IF(N532="","",IF(P532&lt;&gt;"",P532,N532-O532))</f>
        <v/>
      </c>
      <c r="R532" s="46" t="str">
        <f aca="false">IF(J532="","",IFERROR(N(INDEX(Properties!$H$5:$H$24,MATCH(D532,Properties!$A$5:$A$24,0))),0))</f>
        <v/>
      </c>
      <c r="S532" s="46" t="str">
        <f aca="false">IF(Q532="","",Q532-R532)</f>
        <v/>
      </c>
      <c r="T532" s="6"/>
      <c r="U532" s="6"/>
      <c r="V532" s="6"/>
      <c r="W532" s="6"/>
      <c r="X532" s="6"/>
      <c r="Y532" s="8" t="str">
        <f aca="false">IF(OR(D532="",B532="",C532=""),"",IF(N(C532)&lt;=N(B532),"Check dates",IF(T532="Cancelled","",IF(COUNTIFS($D$5:$D$1004,D532,$B$5:$B$1004,"&lt;"&amp;C532,$C$5:$C$1004,"&gt;"&amp;B532,$T$5:$T$1004,"&lt;&gt;Cancelled")&gt;1,"Double-booked",""))))</f>
        <v/>
      </c>
      <c r="Z532" s="42" t="str">
        <f aca="false">IF(AND(AA532=1,ISNUMBER(C532)),C532+ROW()/100000,"")</f>
        <v/>
      </c>
      <c r="AA532" s="43" t="n">
        <f aca="false">IF(AND(D532&lt;&gt;"",ISNUMBER(B532),ISNUMBER(C532),N(H532)&gt;0,T532&lt;&gt;"Cancelled",J532&lt;&gt;""),1,0)</f>
        <v>0</v>
      </c>
      <c r="AB532" s="44" t="n">
        <f aca="false">IF(AA532=1,J532/H532,0)</f>
        <v>0</v>
      </c>
      <c r="AC532" s="44" t="n">
        <f aca="false">IF(AA532=1,Q532/H532,0)</f>
        <v>0</v>
      </c>
      <c r="AD532" s="44" t="n">
        <f aca="false">IF(AA532=1,R532/H532,0)</f>
        <v>0</v>
      </c>
      <c r="AE532" s="44" t="n">
        <f aca="false">IF(AA532=1,O532/H532,0)</f>
        <v>0</v>
      </c>
      <c r="AF532" s="44" t="n">
        <f aca="false">IF(AA532=1,K532/H532,0)</f>
        <v>0</v>
      </c>
      <c r="AG532" s="45" t="str">
        <f aca="false">IF(AA532=1,D532&amp;"|"&amp;TEXT(B532,"0"),"")</f>
        <v/>
      </c>
      <c r="AH532" s="43" t="n">
        <f aca="false">IF(AA532=1,H532,0)</f>
        <v>0</v>
      </c>
    </row>
    <row r="533" customFormat="false" ht="15" hidden="false" customHeight="false" outlineLevel="0" collapsed="false">
      <c r="A533" s="8" t="str">
        <f aca="false">IF(B533="","","B-"&amp;TEXT(ROW()-4,"0000"))</f>
        <v/>
      </c>
      <c r="B533" s="38"/>
      <c r="C533" s="38"/>
      <c r="D533" s="6"/>
      <c r="E533" s="6"/>
      <c r="F533" s="6"/>
      <c r="G533" s="11"/>
      <c r="H533" s="18" t="str">
        <f aca="false">IF(AND(ISNUMBER(B533),ISNUMBER(C533)),MAX(0,C533-B533),"")</f>
        <v/>
      </c>
      <c r="I533" s="37"/>
      <c r="J533" s="41" t="str">
        <f aca="false">IF(OR(D533="",N(H533)=0),"",IFERROR(IF(I533&lt;&gt;"",H533*I533,ROUND(((H533-(INT((WEEKDAY(B533-6)+H533-1)/7)+INT((WEEKDAY(B533-7)+H533-1)/7)))*INDEX(Properties!$E$5:$E$24,MATCH(D533,Properties!$A$5:$A$24,0))+(INT((WEEKDAY(B533-6)+H533-1)/7)+INT((WEEKDAY(B533-7)+H533-1)/7))*INDEX(Properties!$F$5:$F$24,MATCH(D533,Properties!$A$5:$A$24,0)))*(1-IF(H533&gt;=28,Settings!$B$10,IF(H533&gt;=7,Settings!$B$9,0))),2)),0))</f>
        <v/>
      </c>
      <c r="K533" s="41" t="str">
        <f aca="false">IF(J533="","",IFERROR(N(INDEX(Properties!$G$5:$G$24,MATCH(D533,Properties!$A$5:$A$24,0))),0))</f>
        <v/>
      </c>
      <c r="L533" s="41" t="str">
        <f aca="false">IF(J533="","",IFERROR(MAX(0,N(G533)-INDEX(Properties!$I$5:$I$24,MATCH(D533,Properties!$A$5:$A$24,0)))*N(INDEX(Properties!$J$5:$J$24,MATCH(D533,Properties!$A$5:$A$24,0)))*H533,0))</f>
        <v/>
      </c>
      <c r="M533" s="37"/>
      <c r="N533" s="41" t="str">
        <f aca="false">IF(J533="","",J533+K533+L533+N(M533))</f>
        <v/>
      </c>
      <c r="O533" s="41" t="str">
        <f aca="false">IF(N533="","",IF(P533&lt;&gt;"",N533-P533,ROUND(N533*IFERROR(INDEX(Settings!$E$5:$E$12,MATCH(F533,Settings!$D$5:$D$12,0)),0),2)))</f>
        <v/>
      </c>
      <c r="P533" s="37"/>
      <c r="Q533" s="41" t="str">
        <f aca="false">IF(N533="","",IF(P533&lt;&gt;"",P533,N533-O533))</f>
        <v/>
      </c>
      <c r="R533" s="41" t="str">
        <f aca="false">IF(J533="","",IFERROR(N(INDEX(Properties!$H$5:$H$24,MATCH(D533,Properties!$A$5:$A$24,0))),0))</f>
        <v/>
      </c>
      <c r="S533" s="41" t="str">
        <f aca="false">IF(Q533="","",Q533-R533)</f>
        <v/>
      </c>
      <c r="T533" s="6"/>
      <c r="U533" s="6"/>
      <c r="V533" s="6"/>
      <c r="W533" s="6"/>
      <c r="X533" s="6"/>
      <c r="Y533" s="8" t="str">
        <f aca="false">IF(OR(D533="",B533="",C533=""),"",IF(N(C533)&lt;=N(B533),"Check dates",IF(T533="Cancelled","",IF(COUNTIFS($D$5:$D$1004,D533,$B$5:$B$1004,"&lt;"&amp;C533,$C$5:$C$1004,"&gt;"&amp;B533,$T$5:$T$1004,"&lt;&gt;Cancelled")&gt;1,"Double-booked",""))))</f>
        <v/>
      </c>
      <c r="Z533" s="42" t="str">
        <f aca="false">IF(AND(AA533=1,ISNUMBER(C533)),C533+ROW()/100000,"")</f>
        <v/>
      </c>
      <c r="AA533" s="43" t="n">
        <f aca="false">IF(AND(D533&lt;&gt;"",ISNUMBER(B533),ISNUMBER(C533),N(H533)&gt;0,T533&lt;&gt;"Cancelled",J533&lt;&gt;""),1,0)</f>
        <v>0</v>
      </c>
      <c r="AB533" s="44" t="n">
        <f aca="false">IF(AA533=1,J533/H533,0)</f>
        <v>0</v>
      </c>
      <c r="AC533" s="44" t="n">
        <f aca="false">IF(AA533=1,Q533/H533,0)</f>
        <v>0</v>
      </c>
      <c r="AD533" s="44" t="n">
        <f aca="false">IF(AA533=1,R533/H533,0)</f>
        <v>0</v>
      </c>
      <c r="AE533" s="44" t="n">
        <f aca="false">IF(AA533=1,O533/H533,0)</f>
        <v>0</v>
      </c>
      <c r="AF533" s="44" t="n">
        <f aca="false">IF(AA533=1,K533/H533,0)</f>
        <v>0</v>
      </c>
      <c r="AG533" s="45" t="str">
        <f aca="false">IF(AA533=1,D533&amp;"|"&amp;TEXT(B533,"0"),"")</f>
        <v/>
      </c>
      <c r="AH533" s="43" t="n">
        <f aca="false">IF(AA533=1,H533,0)</f>
        <v>0</v>
      </c>
    </row>
    <row r="534" customFormat="false" ht="15" hidden="false" customHeight="false" outlineLevel="0" collapsed="false">
      <c r="A534" s="23" t="str">
        <f aca="false">IF(B534="","","B-"&amp;TEXT(ROW()-4,"0000"))</f>
        <v/>
      </c>
      <c r="B534" s="38"/>
      <c r="C534" s="38"/>
      <c r="D534" s="6"/>
      <c r="E534" s="6"/>
      <c r="F534" s="6"/>
      <c r="G534" s="11"/>
      <c r="H534" s="24" t="str">
        <f aca="false">IF(AND(ISNUMBER(B534),ISNUMBER(C534)),MAX(0,C534-B534),"")</f>
        <v/>
      </c>
      <c r="I534" s="37"/>
      <c r="J534" s="46" t="str">
        <f aca="false">IF(OR(D534="",N(H534)=0),"",IFERROR(IF(I534&lt;&gt;"",H534*I534,ROUND(((H534-(INT((WEEKDAY(B534-6)+H534-1)/7)+INT((WEEKDAY(B534-7)+H534-1)/7)))*INDEX(Properties!$E$5:$E$24,MATCH(D534,Properties!$A$5:$A$24,0))+(INT((WEEKDAY(B534-6)+H534-1)/7)+INT((WEEKDAY(B534-7)+H534-1)/7))*INDEX(Properties!$F$5:$F$24,MATCH(D534,Properties!$A$5:$A$24,0)))*(1-IF(H534&gt;=28,Settings!$B$10,IF(H534&gt;=7,Settings!$B$9,0))),2)),0))</f>
        <v/>
      </c>
      <c r="K534" s="46" t="str">
        <f aca="false">IF(J534="","",IFERROR(N(INDEX(Properties!$G$5:$G$24,MATCH(D534,Properties!$A$5:$A$24,0))),0))</f>
        <v/>
      </c>
      <c r="L534" s="46" t="str">
        <f aca="false">IF(J534="","",IFERROR(MAX(0,N(G534)-INDEX(Properties!$I$5:$I$24,MATCH(D534,Properties!$A$5:$A$24,0)))*N(INDEX(Properties!$J$5:$J$24,MATCH(D534,Properties!$A$5:$A$24,0)))*H534,0))</f>
        <v/>
      </c>
      <c r="M534" s="37"/>
      <c r="N534" s="46" t="str">
        <f aca="false">IF(J534="","",J534+K534+L534+N(M534))</f>
        <v/>
      </c>
      <c r="O534" s="46" t="str">
        <f aca="false">IF(N534="","",IF(P534&lt;&gt;"",N534-P534,ROUND(N534*IFERROR(INDEX(Settings!$E$5:$E$12,MATCH(F534,Settings!$D$5:$D$12,0)),0),2)))</f>
        <v/>
      </c>
      <c r="P534" s="37"/>
      <c r="Q534" s="46" t="str">
        <f aca="false">IF(N534="","",IF(P534&lt;&gt;"",P534,N534-O534))</f>
        <v/>
      </c>
      <c r="R534" s="46" t="str">
        <f aca="false">IF(J534="","",IFERROR(N(INDEX(Properties!$H$5:$H$24,MATCH(D534,Properties!$A$5:$A$24,0))),0))</f>
        <v/>
      </c>
      <c r="S534" s="46" t="str">
        <f aca="false">IF(Q534="","",Q534-R534)</f>
        <v/>
      </c>
      <c r="T534" s="6"/>
      <c r="U534" s="6"/>
      <c r="V534" s="6"/>
      <c r="W534" s="6"/>
      <c r="X534" s="6"/>
      <c r="Y534" s="8" t="str">
        <f aca="false">IF(OR(D534="",B534="",C534=""),"",IF(N(C534)&lt;=N(B534),"Check dates",IF(T534="Cancelled","",IF(COUNTIFS($D$5:$D$1004,D534,$B$5:$B$1004,"&lt;"&amp;C534,$C$5:$C$1004,"&gt;"&amp;B534,$T$5:$T$1004,"&lt;&gt;Cancelled")&gt;1,"Double-booked",""))))</f>
        <v/>
      </c>
      <c r="Z534" s="42" t="str">
        <f aca="false">IF(AND(AA534=1,ISNUMBER(C534)),C534+ROW()/100000,"")</f>
        <v/>
      </c>
      <c r="AA534" s="43" t="n">
        <f aca="false">IF(AND(D534&lt;&gt;"",ISNUMBER(B534),ISNUMBER(C534),N(H534)&gt;0,T534&lt;&gt;"Cancelled",J534&lt;&gt;""),1,0)</f>
        <v>0</v>
      </c>
      <c r="AB534" s="44" t="n">
        <f aca="false">IF(AA534=1,J534/H534,0)</f>
        <v>0</v>
      </c>
      <c r="AC534" s="44" t="n">
        <f aca="false">IF(AA534=1,Q534/H534,0)</f>
        <v>0</v>
      </c>
      <c r="AD534" s="44" t="n">
        <f aca="false">IF(AA534=1,R534/H534,0)</f>
        <v>0</v>
      </c>
      <c r="AE534" s="44" t="n">
        <f aca="false">IF(AA534=1,O534/H534,0)</f>
        <v>0</v>
      </c>
      <c r="AF534" s="44" t="n">
        <f aca="false">IF(AA534=1,K534/H534,0)</f>
        <v>0</v>
      </c>
      <c r="AG534" s="45" t="str">
        <f aca="false">IF(AA534=1,D534&amp;"|"&amp;TEXT(B534,"0"),"")</f>
        <v/>
      </c>
      <c r="AH534" s="43" t="n">
        <f aca="false">IF(AA534=1,H534,0)</f>
        <v>0</v>
      </c>
    </row>
    <row r="535" customFormat="false" ht="15" hidden="false" customHeight="false" outlineLevel="0" collapsed="false">
      <c r="A535" s="8" t="str">
        <f aca="false">IF(B535="","","B-"&amp;TEXT(ROW()-4,"0000"))</f>
        <v/>
      </c>
      <c r="B535" s="38"/>
      <c r="C535" s="38"/>
      <c r="D535" s="6"/>
      <c r="E535" s="6"/>
      <c r="F535" s="6"/>
      <c r="G535" s="11"/>
      <c r="H535" s="18" t="str">
        <f aca="false">IF(AND(ISNUMBER(B535),ISNUMBER(C535)),MAX(0,C535-B535),"")</f>
        <v/>
      </c>
      <c r="I535" s="37"/>
      <c r="J535" s="41" t="str">
        <f aca="false">IF(OR(D535="",N(H535)=0),"",IFERROR(IF(I535&lt;&gt;"",H535*I535,ROUND(((H535-(INT((WEEKDAY(B535-6)+H535-1)/7)+INT((WEEKDAY(B535-7)+H535-1)/7)))*INDEX(Properties!$E$5:$E$24,MATCH(D535,Properties!$A$5:$A$24,0))+(INT((WEEKDAY(B535-6)+H535-1)/7)+INT((WEEKDAY(B535-7)+H535-1)/7))*INDEX(Properties!$F$5:$F$24,MATCH(D535,Properties!$A$5:$A$24,0)))*(1-IF(H535&gt;=28,Settings!$B$10,IF(H535&gt;=7,Settings!$B$9,0))),2)),0))</f>
        <v/>
      </c>
      <c r="K535" s="41" t="str">
        <f aca="false">IF(J535="","",IFERROR(N(INDEX(Properties!$G$5:$G$24,MATCH(D535,Properties!$A$5:$A$24,0))),0))</f>
        <v/>
      </c>
      <c r="L535" s="41" t="str">
        <f aca="false">IF(J535="","",IFERROR(MAX(0,N(G535)-INDEX(Properties!$I$5:$I$24,MATCH(D535,Properties!$A$5:$A$24,0)))*N(INDEX(Properties!$J$5:$J$24,MATCH(D535,Properties!$A$5:$A$24,0)))*H535,0))</f>
        <v/>
      </c>
      <c r="M535" s="37"/>
      <c r="N535" s="41" t="str">
        <f aca="false">IF(J535="","",J535+K535+L535+N(M535))</f>
        <v/>
      </c>
      <c r="O535" s="41" t="str">
        <f aca="false">IF(N535="","",IF(P535&lt;&gt;"",N535-P535,ROUND(N535*IFERROR(INDEX(Settings!$E$5:$E$12,MATCH(F535,Settings!$D$5:$D$12,0)),0),2)))</f>
        <v/>
      </c>
      <c r="P535" s="37"/>
      <c r="Q535" s="41" t="str">
        <f aca="false">IF(N535="","",IF(P535&lt;&gt;"",P535,N535-O535))</f>
        <v/>
      </c>
      <c r="R535" s="41" t="str">
        <f aca="false">IF(J535="","",IFERROR(N(INDEX(Properties!$H$5:$H$24,MATCH(D535,Properties!$A$5:$A$24,0))),0))</f>
        <v/>
      </c>
      <c r="S535" s="41" t="str">
        <f aca="false">IF(Q535="","",Q535-R535)</f>
        <v/>
      </c>
      <c r="T535" s="6"/>
      <c r="U535" s="6"/>
      <c r="V535" s="6"/>
      <c r="W535" s="6"/>
      <c r="X535" s="6"/>
      <c r="Y535" s="8" t="str">
        <f aca="false">IF(OR(D535="",B535="",C535=""),"",IF(N(C535)&lt;=N(B535),"Check dates",IF(T535="Cancelled","",IF(COUNTIFS($D$5:$D$1004,D535,$B$5:$B$1004,"&lt;"&amp;C535,$C$5:$C$1004,"&gt;"&amp;B535,$T$5:$T$1004,"&lt;&gt;Cancelled")&gt;1,"Double-booked",""))))</f>
        <v/>
      </c>
      <c r="Z535" s="42" t="str">
        <f aca="false">IF(AND(AA535=1,ISNUMBER(C535)),C535+ROW()/100000,"")</f>
        <v/>
      </c>
      <c r="AA535" s="43" t="n">
        <f aca="false">IF(AND(D535&lt;&gt;"",ISNUMBER(B535),ISNUMBER(C535),N(H535)&gt;0,T535&lt;&gt;"Cancelled",J535&lt;&gt;""),1,0)</f>
        <v>0</v>
      </c>
      <c r="AB535" s="44" t="n">
        <f aca="false">IF(AA535=1,J535/H535,0)</f>
        <v>0</v>
      </c>
      <c r="AC535" s="44" t="n">
        <f aca="false">IF(AA535=1,Q535/H535,0)</f>
        <v>0</v>
      </c>
      <c r="AD535" s="44" t="n">
        <f aca="false">IF(AA535=1,R535/H535,0)</f>
        <v>0</v>
      </c>
      <c r="AE535" s="44" t="n">
        <f aca="false">IF(AA535=1,O535/H535,0)</f>
        <v>0</v>
      </c>
      <c r="AF535" s="44" t="n">
        <f aca="false">IF(AA535=1,K535/H535,0)</f>
        <v>0</v>
      </c>
      <c r="AG535" s="45" t="str">
        <f aca="false">IF(AA535=1,D535&amp;"|"&amp;TEXT(B535,"0"),"")</f>
        <v/>
      </c>
      <c r="AH535" s="43" t="n">
        <f aca="false">IF(AA535=1,H535,0)</f>
        <v>0</v>
      </c>
    </row>
    <row r="536" customFormat="false" ht="15" hidden="false" customHeight="false" outlineLevel="0" collapsed="false">
      <c r="A536" s="23" t="str">
        <f aca="false">IF(B536="","","B-"&amp;TEXT(ROW()-4,"0000"))</f>
        <v/>
      </c>
      <c r="B536" s="38"/>
      <c r="C536" s="38"/>
      <c r="D536" s="6"/>
      <c r="E536" s="6"/>
      <c r="F536" s="6"/>
      <c r="G536" s="11"/>
      <c r="H536" s="24" t="str">
        <f aca="false">IF(AND(ISNUMBER(B536),ISNUMBER(C536)),MAX(0,C536-B536),"")</f>
        <v/>
      </c>
      <c r="I536" s="37"/>
      <c r="J536" s="46" t="str">
        <f aca="false">IF(OR(D536="",N(H536)=0),"",IFERROR(IF(I536&lt;&gt;"",H536*I536,ROUND(((H536-(INT((WEEKDAY(B536-6)+H536-1)/7)+INT((WEEKDAY(B536-7)+H536-1)/7)))*INDEX(Properties!$E$5:$E$24,MATCH(D536,Properties!$A$5:$A$24,0))+(INT((WEEKDAY(B536-6)+H536-1)/7)+INT((WEEKDAY(B536-7)+H536-1)/7))*INDEX(Properties!$F$5:$F$24,MATCH(D536,Properties!$A$5:$A$24,0)))*(1-IF(H536&gt;=28,Settings!$B$10,IF(H536&gt;=7,Settings!$B$9,0))),2)),0))</f>
        <v/>
      </c>
      <c r="K536" s="46" t="str">
        <f aca="false">IF(J536="","",IFERROR(N(INDEX(Properties!$G$5:$G$24,MATCH(D536,Properties!$A$5:$A$24,0))),0))</f>
        <v/>
      </c>
      <c r="L536" s="46" t="str">
        <f aca="false">IF(J536="","",IFERROR(MAX(0,N(G536)-INDEX(Properties!$I$5:$I$24,MATCH(D536,Properties!$A$5:$A$24,0)))*N(INDEX(Properties!$J$5:$J$24,MATCH(D536,Properties!$A$5:$A$24,0)))*H536,0))</f>
        <v/>
      </c>
      <c r="M536" s="37"/>
      <c r="N536" s="46" t="str">
        <f aca="false">IF(J536="","",J536+K536+L536+N(M536))</f>
        <v/>
      </c>
      <c r="O536" s="46" t="str">
        <f aca="false">IF(N536="","",IF(P536&lt;&gt;"",N536-P536,ROUND(N536*IFERROR(INDEX(Settings!$E$5:$E$12,MATCH(F536,Settings!$D$5:$D$12,0)),0),2)))</f>
        <v/>
      </c>
      <c r="P536" s="37"/>
      <c r="Q536" s="46" t="str">
        <f aca="false">IF(N536="","",IF(P536&lt;&gt;"",P536,N536-O536))</f>
        <v/>
      </c>
      <c r="R536" s="46" t="str">
        <f aca="false">IF(J536="","",IFERROR(N(INDEX(Properties!$H$5:$H$24,MATCH(D536,Properties!$A$5:$A$24,0))),0))</f>
        <v/>
      </c>
      <c r="S536" s="46" t="str">
        <f aca="false">IF(Q536="","",Q536-R536)</f>
        <v/>
      </c>
      <c r="T536" s="6"/>
      <c r="U536" s="6"/>
      <c r="V536" s="6"/>
      <c r="W536" s="6"/>
      <c r="X536" s="6"/>
      <c r="Y536" s="8" t="str">
        <f aca="false">IF(OR(D536="",B536="",C536=""),"",IF(N(C536)&lt;=N(B536),"Check dates",IF(T536="Cancelled","",IF(COUNTIFS($D$5:$D$1004,D536,$B$5:$B$1004,"&lt;"&amp;C536,$C$5:$C$1004,"&gt;"&amp;B536,$T$5:$T$1004,"&lt;&gt;Cancelled")&gt;1,"Double-booked",""))))</f>
        <v/>
      </c>
      <c r="Z536" s="42" t="str">
        <f aca="false">IF(AND(AA536=1,ISNUMBER(C536)),C536+ROW()/100000,"")</f>
        <v/>
      </c>
      <c r="AA536" s="43" t="n">
        <f aca="false">IF(AND(D536&lt;&gt;"",ISNUMBER(B536),ISNUMBER(C536),N(H536)&gt;0,T536&lt;&gt;"Cancelled",J536&lt;&gt;""),1,0)</f>
        <v>0</v>
      </c>
      <c r="AB536" s="44" t="n">
        <f aca="false">IF(AA536=1,J536/H536,0)</f>
        <v>0</v>
      </c>
      <c r="AC536" s="44" t="n">
        <f aca="false">IF(AA536=1,Q536/H536,0)</f>
        <v>0</v>
      </c>
      <c r="AD536" s="44" t="n">
        <f aca="false">IF(AA536=1,R536/H536,0)</f>
        <v>0</v>
      </c>
      <c r="AE536" s="44" t="n">
        <f aca="false">IF(AA536=1,O536/H536,0)</f>
        <v>0</v>
      </c>
      <c r="AF536" s="44" t="n">
        <f aca="false">IF(AA536=1,K536/H536,0)</f>
        <v>0</v>
      </c>
      <c r="AG536" s="45" t="str">
        <f aca="false">IF(AA536=1,D536&amp;"|"&amp;TEXT(B536,"0"),"")</f>
        <v/>
      </c>
      <c r="AH536" s="43" t="n">
        <f aca="false">IF(AA536=1,H536,0)</f>
        <v>0</v>
      </c>
    </row>
    <row r="537" customFormat="false" ht="15" hidden="false" customHeight="false" outlineLevel="0" collapsed="false">
      <c r="A537" s="8" t="str">
        <f aca="false">IF(B537="","","B-"&amp;TEXT(ROW()-4,"0000"))</f>
        <v/>
      </c>
      <c r="B537" s="38"/>
      <c r="C537" s="38"/>
      <c r="D537" s="6"/>
      <c r="E537" s="6"/>
      <c r="F537" s="6"/>
      <c r="G537" s="11"/>
      <c r="H537" s="18" t="str">
        <f aca="false">IF(AND(ISNUMBER(B537),ISNUMBER(C537)),MAX(0,C537-B537),"")</f>
        <v/>
      </c>
      <c r="I537" s="37"/>
      <c r="J537" s="41" t="str">
        <f aca="false">IF(OR(D537="",N(H537)=0),"",IFERROR(IF(I537&lt;&gt;"",H537*I537,ROUND(((H537-(INT((WEEKDAY(B537-6)+H537-1)/7)+INT((WEEKDAY(B537-7)+H537-1)/7)))*INDEX(Properties!$E$5:$E$24,MATCH(D537,Properties!$A$5:$A$24,0))+(INT((WEEKDAY(B537-6)+H537-1)/7)+INT((WEEKDAY(B537-7)+H537-1)/7))*INDEX(Properties!$F$5:$F$24,MATCH(D537,Properties!$A$5:$A$24,0)))*(1-IF(H537&gt;=28,Settings!$B$10,IF(H537&gt;=7,Settings!$B$9,0))),2)),0))</f>
        <v/>
      </c>
      <c r="K537" s="41" t="str">
        <f aca="false">IF(J537="","",IFERROR(N(INDEX(Properties!$G$5:$G$24,MATCH(D537,Properties!$A$5:$A$24,0))),0))</f>
        <v/>
      </c>
      <c r="L537" s="41" t="str">
        <f aca="false">IF(J537="","",IFERROR(MAX(0,N(G537)-INDEX(Properties!$I$5:$I$24,MATCH(D537,Properties!$A$5:$A$24,0)))*N(INDEX(Properties!$J$5:$J$24,MATCH(D537,Properties!$A$5:$A$24,0)))*H537,0))</f>
        <v/>
      </c>
      <c r="M537" s="37"/>
      <c r="N537" s="41" t="str">
        <f aca="false">IF(J537="","",J537+K537+L537+N(M537))</f>
        <v/>
      </c>
      <c r="O537" s="41" t="str">
        <f aca="false">IF(N537="","",IF(P537&lt;&gt;"",N537-P537,ROUND(N537*IFERROR(INDEX(Settings!$E$5:$E$12,MATCH(F537,Settings!$D$5:$D$12,0)),0),2)))</f>
        <v/>
      </c>
      <c r="P537" s="37"/>
      <c r="Q537" s="41" t="str">
        <f aca="false">IF(N537="","",IF(P537&lt;&gt;"",P537,N537-O537))</f>
        <v/>
      </c>
      <c r="R537" s="41" t="str">
        <f aca="false">IF(J537="","",IFERROR(N(INDEX(Properties!$H$5:$H$24,MATCH(D537,Properties!$A$5:$A$24,0))),0))</f>
        <v/>
      </c>
      <c r="S537" s="41" t="str">
        <f aca="false">IF(Q537="","",Q537-R537)</f>
        <v/>
      </c>
      <c r="T537" s="6"/>
      <c r="U537" s="6"/>
      <c r="V537" s="6"/>
      <c r="W537" s="6"/>
      <c r="X537" s="6"/>
      <c r="Y537" s="8" t="str">
        <f aca="false">IF(OR(D537="",B537="",C537=""),"",IF(N(C537)&lt;=N(B537),"Check dates",IF(T537="Cancelled","",IF(COUNTIFS($D$5:$D$1004,D537,$B$5:$B$1004,"&lt;"&amp;C537,$C$5:$C$1004,"&gt;"&amp;B537,$T$5:$T$1004,"&lt;&gt;Cancelled")&gt;1,"Double-booked",""))))</f>
        <v/>
      </c>
      <c r="Z537" s="42" t="str">
        <f aca="false">IF(AND(AA537=1,ISNUMBER(C537)),C537+ROW()/100000,"")</f>
        <v/>
      </c>
      <c r="AA537" s="43" t="n">
        <f aca="false">IF(AND(D537&lt;&gt;"",ISNUMBER(B537),ISNUMBER(C537),N(H537)&gt;0,T537&lt;&gt;"Cancelled",J537&lt;&gt;""),1,0)</f>
        <v>0</v>
      </c>
      <c r="AB537" s="44" t="n">
        <f aca="false">IF(AA537=1,J537/H537,0)</f>
        <v>0</v>
      </c>
      <c r="AC537" s="44" t="n">
        <f aca="false">IF(AA537=1,Q537/H537,0)</f>
        <v>0</v>
      </c>
      <c r="AD537" s="44" t="n">
        <f aca="false">IF(AA537=1,R537/H537,0)</f>
        <v>0</v>
      </c>
      <c r="AE537" s="44" t="n">
        <f aca="false">IF(AA537=1,O537/H537,0)</f>
        <v>0</v>
      </c>
      <c r="AF537" s="44" t="n">
        <f aca="false">IF(AA537=1,K537/H537,0)</f>
        <v>0</v>
      </c>
      <c r="AG537" s="45" t="str">
        <f aca="false">IF(AA537=1,D537&amp;"|"&amp;TEXT(B537,"0"),"")</f>
        <v/>
      </c>
      <c r="AH537" s="43" t="n">
        <f aca="false">IF(AA537=1,H537,0)</f>
        <v>0</v>
      </c>
    </row>
    <row r="538" customFormat="false" ht="15" hidden="false" customHeight="false" outlineLevel="0" collapsed="false">
      <c r="A538" s="23" t="str">
        <f aca="false">IF(B538="","","B-"&amp;TEXT(ROW()-4,"0000"))</f>
        <v/>
      </c>
      <c r="B538" s="38"/>
      <c r="C538" s="38"/>
      <c r="D538" s="6"/>
      <c r="E538" s="6"/>
      <c r="F538" s="6"/>
      <c r="G538" s="11"/>
      <c r="H538" s="24" t="str">
        <f aca="false">IF(AND(ISNUMBER(B538),ISNUMBER(C538)),MAX(0,C538-B538),"")</f>
        <v/>
      </c>
      <c r="I538" s="37"/>
      <c r="J538" s="46" t="str">
        <f aca="false">IF(OR(D538="",N(H538)=0),"",IFERROR(IF(I538&lt;&gt;"",H538*I538,ROUND(((H538-(INT((WEEKDAY(B538-6)+H538-1)/7)+INT((WEEKDAY(B538-7)+H538-1)/7)))*INDEX(Properties!$E$5:$E$24,MATCH(D538,Properties!$A$5:$A$24,0))+(INT((WEEKDAY(B538-6)+H538-1)/7)+INT((WEEKDAY(B538-7)+H538-1)/7))*INDEX(Properties!$F$5:$F$24,MATCH(D538,Properties!$A$5:$A$24,0)))*(1-IF(H538&gt;=28,Settings!$B$10,IF(H538&gt;=7,Settings!$B$9,0))),2)),0))</f>
        <v/>
      </c>
      <c r="K538" s="46" t="str">
        <f aca="false">IF(J538="","",IFERROR(N(INDEX(Properties!$G$5:$G$24,MATCH(D538,Properties!$A$5:$A$24,0))),0))</f>
        <v/>
      </c>
      <c r="L538" s="46" t="str">
        <f aca="false">IF(J538="","",IFERROR(MAX(0,N(G538)-INDEX(Properties!$I$5:$I$24,MATCH(D538,Properties!$A$5:$A$24,0)))*N(INDEX(Properties!$J$5:$J$24,MATCH(D538,Properties!$A$5:$A$24,0)))*H538,0))</f>
        <v/>
      </c>
      <c r="M538" s="37"/>
      <c r="N538" s="46" t="str">
        <f aca="false">IF(J538="","",J538+K538+L538+N(M538))</f>
        <v/>
      </c>
      <c r="O538" s="46" t="str">
        <f aca="false">IF(N538="","",IF(P538&lt;&gt;"",N538-P538,ROUND(N538*IFERROR(INDEX(Settings!$E$5:$E$12,MATCH(F538,Settings!$D$5:$D$12,0)),0),2)))</f>
        <v/>
      </c>
      <c r="P538" s="37"/>
      <c r="Q538" s="46" t="str">
        <f aca="false">IF(N538="","",IF(P538&lt;&gt;"",P538,N538-O538))</f>
        <v/>
      </c>
      <c r="R538" s="46" t="str">
        <f aca="false">IF(J538="","",IFERROR(N(INDEX(Properties!$H$5:$H$24,MATCH(D538,Properties!$A$5:$A$24,0))),0))</f>
        <v/>
      </c>
      <c r="S538" s="46" t="str">
        <f aca="false">IF(Q538="","",Q538-R538)</f>
        <v/>
      </c>
      <c r="T538" s="6"/>
      <c r="U538" s="6"/>
      <c r="V538" s="6"/>
      <c r="W538" s="6"/>
      <c r="X538" s="6"/>
      <c r="Y538" s="8" t="str">
        <f aca="false">IF(OR(D538="",B538="",C538=""),"",IF(N(C538)&lt;=N(B538),"Check dates",IF(T538="Cancelled","",IF(COUNTIFS($D$5:$D$1004,D538,$B$5:$B$1004,"&lt;"&amp;C538,$C$5:$C$1004,"&gt;"&amp;B538,$T$5:$T$1004,"&lt;&gt;Cancelled")&gt;1,"Double-booked",""))))</f>
        <v/>
      </c>
      <c r="Z538" s="42" t="str">
        <f aca="false">IF(AND(AA538=1,ISNUMBER(C538)),C538+ROW()/100000,"")</f>
        <v/>
      </c>
      <c r="AA538" s="43" t="n">
        <f aca="false">IF(AND(D538&lt;&gt;"",ISNUMBER(B538),ISNUMBER(C538),N(H538)&gt;0,T538&lt;&gt;"Cancelled",J538&lt;&gt;""),1,0)</f>
        <v>0</v>
      </c>
      <c r="AB538" s="44" t="n">
        <f aca="false">IF(AA538=1,J538/H538,0)</f>
        <v>0</v>
      </c>
      <c r="AC538" s="44" t="n">
        <f aca="false">IF(AA538=1,Q538/H538,0)</f>
        <v>0</v>
      </c>
      <c r="AD538" s="44" t="n">
        <f aca="false">IF(AA538=1,R538/H538,0)</f>
        <v>0</v>
      </c>
      <c r="AE538" s="44" t="n">
        <f aca="false">IF(AA538=1,O538/H538,0)</f>
        <v>0</v>
      </c>
      <c r="AF538" s="44" t="n">
        <f aca="false">IF(AA538=1,K538/H538,0)</f>
        <v>0</v>
      </c>
      <c r="AG538" s="45" t="str">
        <f aca="false">IF(AA538=1,D538&amp;"|"&amp;TEXT(B538,"0"),"")</f>
        <v/>
      </c>
      <c r="AH538" s="43" t="n">
        <f aca="false">IF(AA538=1,H538,0)</f>
        <v>0</v>
      </c>
    </row>
    <row r="539" customFormat="false" ht="15" hidden="false" customHeight="false" outlineLevel="0" collapsed="false">
      <c r="A539" s="8" t="str">
        <f aca="false">IF(B539="","","B-"&amp;TEXT(ROW()-4,"0000"))</f>
        <v/>
      </c>
      <c r="B539" s="38"/>
      <c r="C539" s="38"/>
      <c r="D539" s="6"/>
      <c r="E539" s="6"/>
      <c r="F539" s="6"/>
      <c r="G539" s="11"/>
      <c r="H539" s="18" t="str">
        <f aca="false">IF(AND(ISNUMBER(B539),ISNUMBER(C539)),MAX(0,C539-B539),"")</f>
        <v/>
      </c>
      <c r="I539" s="37"/>
      <c r="J539" s="41" t="str">
        <f aca="false">IF(OR(D539="",N(H539)=0),"",IFERROR(IF(I539&lt;&gt;"",H539*I539,ROUND(((H539-(INT((WEEKDAY(B539-6)+H539-1)/7)+INT((WEEKDAY(B539-7)+H539-1)/7)))*INDEX(Properties!$E$5:$E$24,MATCH(D539,Properties!$A$5:$A$24,0))+(INT((WEEKDAY(B539-6)+H539-1)/7)+INT((WEEKDAY(B539-7)+H539-1)/7))*INDEX(Properties!$F$5:$F$24,MATCH(D539,Properties!$A$5:$A$24,0)))*(1-IF(H539&gt;=28,Settings!$B$10,IF(H539&gt;=7,Settings!$B$9,0))),2)),0))</f>
        <v/>
      </c>
      <c r="K539" s="41" t="str">
        <f aca="false">IF(J539="","",IFERROR(N(INDEX(Properties!$G$5:$G$24,MATCH(D539,Properties!$A$5:$A$24,0))),0))</f>
        <v/>
      </c>
      <c r="L539" s="41" t="str">
        <f aca="false">IF(J539="","",IFERROR(MAX(0,N(G539)-INDEX(Properties!$I$5:$I$24,MATCH(D539,Properties!$A$5:$A$24,0)))*N(INDEX(Properties!$J$5:$J$24,MATCH(D539,Properties!$A$5:$A$24,0)))*H539,0))</f>
        <v/>
      </c>
      <c r="M539" s="37"/>
      <c r="N539" s="41" t="str">
        <f aca="false">IF(J539="","",J539+K539+L539+N(M539))</f>
        <v/>
      </c>
      <c r="O539" s="41" t="str">
        <f aca="false">IF(N539="","",IF(P539&lt;&gt;"",N539-P539,ROUND(N539*IFERROR(INDEX(Settings!$E$5:$E$12,MATCH(F539,Settings!$D$5:$D$12,0)),0),2)))</f>
        <v/>
      </c>
      <c r="P539" s="37"/>
      <c r="Q539" s="41" t="str">
        <f aca="false">IF(N539="","",IF(P539&lt;&gt;"",P539,N539-O539))</f>
        <v/>
      </c>
      <c r="R539" s="41" t="str">
        <f aca="false">IF(J539="","",IFERROR(N(INDEX(Properties!$H$5:$H$24,MATCH(D539,Properties!$A$5:$A$24,0))),0))</f>
        <v/>
      </c>
      <c r="S539" s="41" t="str">
        <f aca="false">IF(Q539="","",Q539-R539)</f>
        <v/>
      </c>
      <c r="T539" s="6"/>
      <c r="U539" s="6"/>
      <c r="V539" s="6"/>
      <c r="W539" s="6"/>
      <c r="X539" s="6"/>
      <c r="Y539" s="8" t="str">
        <f aca="false">IF(OR(D539="",B539="",C539=""),"",IF(N(C539)&lt;=N(B539),"Check dates",IF(T539="Cancelled","",IF(COUNTIFS($D$5:$D$1004,D539,$B$5:$B$1004,"&lt;"&amp;C539,$C$5:$C$1004,"&gt;"&amp;B539,$T$5:$T$1004,"&lt;&gt;Cancelled")&gt;1,"Double-booked",""))))</f>
        <v/>
      </c>
      <c r="Z539" s="42" t="str">
        <f aca="false">IF(AND(AA539=1,ISNUMBER(C539)),C539+ROW()/100000,"")</f>
        <v/>
      </c>
      <c r="AA539" s="43" t="n">
        <f aca="false">IF(AND(D539&lt;&gt;"",ISNUMBER(B539),ISNUMBER(C539),N(H539)&gt;0,T539&lt;&gt;"Cancelled",J539&lt;&gt;""),1,0)</f>
        <v>0</v>
      </c>
      <c r="AB539" s="44" t="n">
        <f aca="false">IF(AA539=1,J539/H539,0)</f>
        <v>0</v>
      </c>
      <c r="AC539" s="44" t="n">
        <f aca="false">IF(AA539=1,Q539/H539,0)</f>
        <v>0</v>
      </c>
      <c r="AD539" s="44" t="n">
        <f aca="false">IF(AA539=1,R539/H539,0)</f>
        <v>0</v>
      </c>
      <c r="AE539" s="44" t="n">
        <f aca="false">IF(AA539=1,O539/H539,0)</f>
        <v>0</v>
      </c>
      <c r="AF539" s="44" t="n">
        <f aca="false">IF(AA539=1,K539/H539,0)</f>
        <v>0</v>
      </c>
      <c r="AG539" s="45" t="str">
        <f aca="false">IF(AA539=1,D539&amp;"|"&amp;TEXT(B539,"0"),"")</f>
        <v/>
      </c>
      <c r="AH539" s="43" t="n">
        <f aca="false">IF(AA539=1,H539,0)</f>
        <v>0</v>
      </c>
    </row>
    <row r="540" customFormat="false" ht="15" hidden="false" customHeight="false" outlineLevel="0" collapsed="false">
      <c r="A540" s="23" t="str">
        <f aca="false">IF(B540="","","B-"&amp;TEXT(ROW()-4,"0000"))</f>
        <v/>
      </c>
      <c r="B540" s="38"/>
      <c r="C540" s="38"/>
      <c r="D540" s="6"/>
      <c r="E540" s="6"/>
      <c r="F540" s="6"/>
      <c r="G540" s="11"/>
      <c r="H540" s="24" t="str">
        <f aca="false">IF(AND(ISNUMBER(B540),ISNUMBER(C540)),MAX(0,C540-B540),"")</f>
        <v/>
      </c>
      <c r="I540" s="37"/>
      <c r="J540" s="46" t="str">
        <f aca="false">IF(OR(D540="",N(H540)=0),"",IFERROR(IF(I540&lt;&gt;"",H540*I540,ROUND(((H540-(INT((WEEKDAY(B540-6)+H540-1)/7)+INT((WEEKDAY(B540-7)+H540-1)/7)))*INDEX(Properties!$E$5:$E$24,MATCH(D540,Properties!$A$5:$A$24,0))+(INT((WEEKDAY(B540-6)+H540-1)/7)+INT((WEEKDAY(B540-7)+H540-1)/7))*INDEX(Properties!$F$5:$F$24,MATCH(D540,Properties!$A$5:$A$24,0)))*(1-IF(H540&gt;=28,Settings!$B$10,IF(H540&gt;=7,Settings!$B$9,0))),2)),0))</f>
        <v/>
      </c>
      <c r="K540" s="46" t="str">
        <f aca="false">IF(J540="","",IFERROR(N(INDEX(Properties!$G$5:$G$24,MATCH(D540,Properties!$A$5:$A$24,0))),0))</f>
        <v/>
      </c>
      <c r="L540" s="46" t="str">
        <f aca="false">IF(J540="","",IFERROR(MAX(0,N(G540)-INDEX(Properties!$I$5:$I$24,MATCH(D540,Properties!$A$5:$A$24,0)))*N(INDEX(Properties!$J$5:$J$24,MATCH(D540,Properties!$A$5:$A$24,0)))*H540,0))</f>
        <v/>
      </c>
      <c r="M540" s="37"/>
      <c r="N540" s="46" t="str">
        <f aca="false">IF(J540="","",J540+K540+L540+N(M540))</f>
        <v/>
      </c>
      <c r="O540" s="46" t="str">
        <f aca="false">IF(N540="","",IF(P540&lt;&gt;"",N540-P540,ROUND(N540*IFERROR(INDEX(Settings!$E$5:$E$12,MATCH(F540,Settings!$D$5:$D$12,0)),0),2)))</f>
        <v/>
      </c>
      <c r="P540" s="37"/>
      <c r="Q540" s="46" t="str">
        <f aca="false">IF(N540="","",IF(P540&lt;&gt;"",P540,N540-O540))</f>
        <v/>
      </c>
      <c r="R540" s="46" t="str">
        <f aca="false">IF(J540="","",IFERROR(N(INDEX(Properties!$H$5:$H$24,MATCH(D540,Properties!$A$5:$A$24,0))),0))</f>
        <v/>
      </c>
      <c r="S540" s="46" t="str">
        <f aca="false">IF(Q540="","",Q540-R540)</f>
        <v/>
      </c>
      <c r="T540" s="6"/>
      <c r="U540" s="6"/>
      <c r="V540" s="6"/>
      <c r="W540" s="6"/>
      <c r="X540" s="6"/>
      <c r="Y540" s="8" t="str">
        <f aca="false">IF(OR(D540="",B540="",C540=""),"",IF(N(C540)&lt;=N(B540),"Check dates",IF(T540="Cancelled","",IF(COUNTIFS($D$5:$D$1004,D540,$B$5:$B$1004,"&lt;"&amp;C540,$C$5:$C$1004,"&gt;"&amp;B540,$T$5:$T$1004,"&lt;&gt;Cancelled")&gt;1,"Double-booked",""))))</f>
        <v/>
      </c>
      <c r="Z540" s="42" t="str">
        <f aca="false">IF(AND(AA540=1,ISNUMBER(C540)),C540+ROW()/100000,"")</f>
        <v/>
      </c>
      <c r="AA540" s="43" t="n">
        <f aca="false">IF(AND(D540&lt;&gt;"",ISNUMBER(B540),ISNUMBER(C540),N(H540)&gt;0,T540&lt;&gt;"Cancelled",J540&lt;&gt;""),1,0)</f>
        <v>0</v>
      </c>
      <c r="AB540" s="44" t="n">
        <f aca="false">IF(AA540=1,J540/H540,0)</f>
        <v>0</v>
      </c>
      <c r="AC540" s="44" t="n">
        <f aca="false">IF(AA540=1,Q540/H540,0)</f>
        <v>0</v>
      </c>
      <c r="AD540" s="44" t="n">
        <f aca="false">IF(AA540=1,R540/H540,0)</f>
        <v>0</v>
      </c>
      <c r="AE540" s="44" t="n">
        <f aca="false">IF(AA540=1,O540/H540,0)</f>
        <v>0</v>
      </c>
      <c r="AF540" s="44" t="n">
        <f aca="false">IF(AA540=1,K540/H540,0)</f>
        <v>0</v>
      </c>
      <c r="AG540" s="45" t="str">
        <f aca="false">IF(AA540=1,D540&amp;"|"&amp;TEXT(B540,"0"),"")</f>
        <v/>
      </c>
      <c r="AH540" s="43" t="n">
        <f aca="false">IF(AA540=1,H540,0)</f>
        <v>0</v>
      </c>
    </row>
    <row r="541" customFormat="false" ht="15" hidden="false" customHeight="false" outlineLevel="0" collapsed="false">
      <c r="A541" s="8" t="str">
        <f aca="false">IF(B541="","","B-"&amp;TEXT(ROW()-4,"0000"))</f>
        <v/>
      </c>
      <c r="B541" s="38"/>
      <c r="C541" s="38"/>
      <c r="D541" s="6"/>
      <c r="E541" s="6"/>
      <c r="F541" s="6"/>
      <c r="G541" s="11"/>
      <c r="H541" s="18" t="str">
        <f aca="false">IF(AND(ISNUMBER(B541),ISNUMBER(C541)),MAX(0,C541-B541),"")</f>
        <v/>
      </c>
      <c r="I541" s="37"/>
      <c r="J541" s="41" t="str">
        <f aca="false">IF(OR(D541="",N(H541)=0),"",IFERROR(IF(I541&lt;&gt;"",H541*I541,ROUND(((H541-(INT((WEEKDAY(B541-6)+H541-1)/7)+INT((WEEKDAY(B541-7)+H541-1)/7)))*INDEX(Properties!$E$5:$E$24,MATCH(D541,Properties!$A$5:$A$24,0))+(INT((WEEKDAY(B541-6)+H541-1)/7)+INT((WEEKDAY(B541-7)+H541-1)/7))*INDEX(Properties!$F$5:$F$24,MATCH(D541,Properties!$A$5:$A$24,0)))*(1-IF(H541&gt;=28,Settings!$B$10,IF(H541&gt;=7,Settings!$B$9,0))),2)),0))</f>
        <v/>
      </c>
      <c r="K541" s="41" t="str">
        <f aca="false">IF(J541="","",IFERROR(N(INDEX(Properties!$G$5:$G$24,MATCH(D541,Properties!$A$5:$A$24,0))),0))</f>
        <v/>
      </c>
      <c r="L541" s="41" t="str">
        <f aca="false">IF(J541="","",IFERROR(MAX(0,N(G541)-INDEX(Properties!$I$5:$I$24,MATCH(D541,Properties!$A$5:$A$24,0)))*N(INDEX(Properties!$J$5:$J$24,MATCH(D541,Properties!$A$5:$A$24,0)))*H541,0))</f>
        <v/>
      </c>
      <c r="M541" s="37"/>
      <c r="N541" s="41" t="str">
        <f aca="false">IF(J541="","",J541+K541+L541+N(M541))</f>
        <v/>
      </c>
      <c r="O541" s="41" t="str">
        <f aca="false">IF(N541="","",IF(P541&lt;&gt;"",N541-P541,ROUND(N541*IFERROR(INDEX(Settings!$E$5:$E$12,MATCH(F541,Settings!$D$5:$D$12,0)),0),2)))</f>
        <v/>
      </c>
      <c r="P541" s="37"/>
      <c r="Q541" s="41" t="str">
        <f aca="false">IF(N541="","",IF(P541&lt;&gt;"",P541,N541-O541))</f>
        <v/>
      </c>
      <c r="R541" s="41" t="str">
        <f aca="false">IF(J541="","",IFERROR(N(INDEX(Properties!$H$5:$H$24,MATCH(D541,Properties!$A$5:$A$24,0))),0))</f>
        <v/>
      </c>
      <c r="S541" s="41" t="str">
        <f aca="false">IF(Q541="","",Q541-R541)</f>
        <v/>
      </c>
      <c r="T541" s="6"/>
      <c r="U541" s="6"/>
      <c r="V541" s="6"/>
      <c r="W541" s="6"/>
      <c r="X541" s="6"/>
      <c r="Y541" s="8" t="str">
        <f aca="false">IF(OR(D541="",B541="",C541=""),"",IF(N(C541)&lt;=N(B541),"Check dates",IF(T541="Cancelled","",IF(COUNTIFS($D$5:$D$1004,D541,$B$5:$B$1004,"&lt;"&amp;C541,$C$5:$C$1004,"&gt;"&amp;B541,$T$5:$T$1004,"&lt;&gt;Cancelled")&gt;1,"Double-booked",""))))</f>
        <v/>
      </c>
      <c r="Z541" s="42" t="str">
        <f aca="false">IF(AND(AA541=1,ISNUMBER(C541)),C541+ROW()/100000,"")</f>
        <v/>
      </c>
      <c r="AA541" s="43" t="n">
        <f aca="false">IF(AND(D541&lt;&gt;"",ISNUMBER(B541),ISNUMBER(C541),N(H541)&gt;0,T541&lt;&gt;"Cancelled",J541&lt;&gt;""),1,0)</f>
        <v>0</v>
      </c>
      <c r="AB541" s="44" t="n">
        <f aca="false">IF(AA541=1,J541/H541,0)</f>
        <v>0</v>
      </c>
      <c r="AC541" s="44" t="n">
        <f aca="false">IF(AA541=1,Q541/H541,0)</f>
        <v>0</v>
      </c>
      <c r="AD541" s="44" t="n">
        <f aca="false">IF(AA541=1,R541/H541,0)</f>
        <v>0</v>
      </c>
      <c r="AE541" s="44" t="n">
        <f aca="false">IF(AA541=1,O541/H541,0)</f>
        <v>0</v>
      </c>
      <c r="AF541" s="44" t="n">
        <f aca="false">IF(AA541=1,K541/H541,0)</f>
        <v>0</v>
      </c>
      <c r="AG541" s="45" t="str">
        <f aca="false">IF(AA541=1,D541&amp;"|"&amp;TEXT(B541,"0"),"")</f>
        <v/>
      </c>
      <c r="AH541" s="43" t="n">
        <f aca="false">IF(AA541=1,H541,0)</f>
        <v>0</v>
      </c>
    </row>
    <row r="542" customFormat="false" ht="15" hidden="false" customHeight="false" outlineLevel="0" collapsed="false">
      <c r="A542" s="23" t="str">
        <f aca="false">IF(B542="","","B-"&amp;TEXT(ROW()-4,"0000"))</f>
        <v/>
      </c>
      <c r="B542" s="38"/>
      <c r="C542" s="38"/>
      <c r="D542" s="6"/>
      <c r="E542" s="6"/>
      <c r="F542" s="6"/>
      <c r="G542" s="11"/>
      <c r="H542" s="24" t="str">
        <f aca="false">IF(AND(ISNUMBER(B542),ISNUMBER(C542)),MAX(0,C542-B542),"")</f>
        <v/>
      </c>
      <c r="I542" s="37"/>
      <c r="J542" s="46" t="str">
        <f aca="false">IF(OR(D542="",N(H542)=0),"",IFERROR(IF(I542&lt;&gt;"",H542*I542,ROUND(((H542-(INT((WEEKDAY(B542-6)+H542-1)/7)+INT((WEEKDAY(B542-7)+H542-1)/7)))*INDEX(Properties!$E$5:$E$24,MATCH(D542,Properties!$A$5:$A$24,0))+(INT((WEEKDAY(B542-6)+H542-1)/7)+INT((WEEKDAY(B542-7)+H542-1)/7))*INDEX(Properties!$F$5:$F$24,MATCH(D542,Properties!$A$5:$A$24,0)))*(1-IF(H542&gt;=28,Settings!$B$10,IF(H542&gt;=7,Settings!$B$9,0))),2)),0))</f>
        <v/>
      </c>
      <c r="K542" s="46" t="str">
        <f aca="false">IF(J542="","",IFERROR(N(INDEX(Properties!$G$5:$G$24,MATCH(D542,Properties!$A$5:$A$24,0))),0))</f>
        <v/>
      </c>
      <c r="L542" s="46" t="str">
        <f aca="false">IF(J542="","",IFERROR(MAX(0,N(G542)-INDEX(Properties!$I$5:$I$24,MATCH(D542,Properties!$A$5:$A$24,0)))*N(INDEX(Properties!$J$5:$J$24,MATCH(D542,Properties!$A$5:$A$24,0)))*H542,0))</f>
        <v/>
      </c>
      <c r="M542" s="37"/>
      <c r="N542" s="46" t="str">
        <f aca="false">IF(J542="","",J542+K542+L542+N(M542))</f>
        <v/>
      </c>
      <c r="O542" s="46" t="str">
        <f aca="false">IF(N542="","",IF(P542&lt;&gt;"",N542-P542,ROUND(N542*IFERROR(INDEX(Settings!$E$5:$E$12,MATCH(F542,Settings!$D$5:$D$12,0)),0),2)))</f>
        <v/>
      </c>
      <c r="P542" s="37"/>
      <c r="Q542" s="46" t="str">
        <f aca="false">IF(N542="","",IF(P542&lt;&gt;"",P542,N542-O542))</f>
        <v/>
      </c>
      <c r="R542" s="46" t="str">
        <f aca="false">IF(J542="","",IFERROR(N(INDEX(Properties!$H$5:$H$24,MATCH(D542,Properties!$A$5:$A$24,0))),0))</f>
        <v/>
      </c>
      <c r="S542" s="46" t="str">
        <f aca="false">IF(Q542="","",Q542-R542)</f>
        <v/>
      </c>
      <c r="T542" s="6"/>
      <c r="U542" s="6"/>
      <c r="V542" s="6"/>
      <c r="W542" s="6"/>
      <c r="X542" s="6"/>
      <c r="Y542" s="8" t="str">
        <f aca="false">IF(OR(D542="",B542="",C542=""),"",IF(N(C542)&lt;=N(B542),"Check dates",IF(T542="Cancelled","",IF(COUNTIFS($D$5:$D$1004,D542,$B$5:$B$1004,"&lt;"&amp;C542,$C$5:$C$1004,"&gt;"&amp;B542,$T$5:$T$1004,"&lt;&gt;Cancelled")&gt;1,"Double-booked",""))))</f>
        <v/>
      </c>
      <c r="Z542" s="42" t="str">
        <f aca="false">IF(AND(AA542=1,ISNUMBER(C542)),C542+ROW()/100000,"")</f>
        <v/>
      </c>
      <c r="AA542" s="43" t="n">
        <f aca="false">IF(AND(D542&lt;&gt;"",ISNUMBER(B542),ISNUMBER(C542),N(H542)&gt;0,T542&lt;&gt;"Cancelled",J542&lt;&gt;""),1,0)</f>
        <v>0</v>
      </c>
      <c r="AB542" s="44" t="n">
        <f aca="false">IF(AA542=1,J542/H542,0)</f>
        <v>0</v>
      </c>
      <c r="AC542" s="44" t="n">
        <f aca="false">IF(AA542=1,Q542/H542,0)</f>
        <v>0</v>
      </c>
      <c r="AD542" s="44" t="n">
        <f aca="false">IF(AA542=1,R542/H542,0)</f>
        <v>0</v>
      </c>
      <c r="AE542" s="44" t="n">
        <f aca="false">IF(AA542=1,O542/H542,0)</f>
        <v>0</v>
      </c>
      <c r="AF542" s="44" t="n">
        <f aca="false">IF(AA542=1,K542/H542,0)</f>
        <v>0</v>
      </c>
      <c r="AG542" s="45" t="str">
        <f aca="false">IF(AA542=1,D542&amp;"|"&amp;TEXT(B542,"0"),"")</f>
        <v/>
      </c>
      <c r="AH542" s="43" t="n">
        <f aca="false">IF(AA542=1,H542,0)</f>
        <v>0</v>
      </c>
    </row>
    <row r="543" customFormat="false" ht="15" hidden="false" customHeight="false" outlineLevel="0" collapsed="false">
      <c r="A543" s="8" t="str">
        <f aca="false">IF(B543="","","B-"&amp;TEXT(ROW()-4,"0000"))</f>
        <v/>
      </c>
      <c r="B543" s="38"/>
      <c r="C543" s="38"/>
      <c r="D543" s="6"/>
      <c r="E543" s="6"/>
      <c r="F543" s="6"/>
      <c r="G543" s="11"/>
      <c r="H543" s="18" t="str">
        <f aca="false">IF(AND(ISNUMBER(B543),ISNUMBER(C543)),MAX(0,C543-B543),"")</f>
        <v/>
      </c>
      <c r="I543" s="37"/>
      <c r="J543" s="41" t="str">
        <f aca="false">IF(OR(D543="",N(H543)=0),"",IFERROR(IF(I543&lt;&gt;"",H543*I543,ROUND(((H543-(INT((WEEKDAY(B543-6)+H543-1)/7)+INT((WEEKDAY(B543-7)+H543-1)/7)))*INDEX(Properties!$E$5:$E$24,MATCH(D543,Properties!$A$5:$A$24,0))+(INT((WEEKDAY(B543-6)+H543-1)/7)+INT((WEEKDAY(B543-7)+H543-1)/7))*INDEX(Properties!$F$5:$F$24,MATCH(D543,Properties!$A$5:$A$24,0)))*(1-IF(H543&gt;=28,Settings!$B$10,IF(H543&gt;=7,Settings!$B$9,0))),2)),0))</f>
        <v/>
      </c>
      <c r="K543" s="41" t="str">
        <f aca="false">IF(J543="","",IFERROR(N(INDEX(Properties!$G$5:$G$24,MATCH(D543,Properties!$A$5:$A$24,0))),0))</f>
        <v/>
      </c>
      <c r="L543" s="41" t="str">
        <f aca="false">IF(J543="","",IFERROR(MAX(0,N(G543)-INDEX(Properties!$I$5:$I$24,MATCH(D543,Properties!$A$5:$A$24,0)))*N(INDEX(Properties!$J$5:$J$24,MATCH(D543,Properties!$A$5:$A$24,0)))*H543,0))</f>
        <v/>
      </c>
      <c r="M543" s="37"/>
      <c r="N543" s="41" t="str">
        <f aca="false">IF(J543="","",J543+K543+L543+N(M543))</f>
        <v/>
      </c>
      <c r="O543" s="41" t="str">
        <f aca="false">IF(N543="","",IF(P543&lt;&gt;"",N543-P543,ROUND(N543*IFERROR(INDEX(Settings!$E$5:$E$12,MATCH(F543,Settings!$D$5:$D$12,0)),0),2)))</f>
        <v/>
      </c>
      <c r="P543" s="37"/>
      <c r="Q543" s="41" t="str">
        <f aca="false">IF(N543="","",IF(P543&lt;&gt;"",P543,N543-O543))</f>
        <v/>
      </c>
      <c r="R543" s="41" t="str">
        <f aca="false">IF(J543="","",IFERROR(N(INDEX(Properties!$H$5:$H$24,MATCH(D543,Properties!$A$5:$A$24,0))),0))</f>
        <v/>
      </c>
      <c r="S543" s="41" t="str">
        <f aca="false">IF(Q543="","",Q543-R543)</f>
        <v/>
      </c>
      <c r="T543" s="6"/>
      <c r="U543" s="6"/>
      <c r="V543" s="6"/>
      <c r="W543" s="6"/>
      <c r="X543" s="6"/>
      <c r="Y543" s="8" t="str">
        <f aca="false">IF(OR(D543="",B543="",C543=""),"",IF(N(C543)&lt;=N(B543),"Check dates",IF(T543="Cancelled","",IF(COUNTIFS($D$5:$D$1004,D543,$B$5:$B$1004,"&lt;"&amp;C543,$C$5:$C$1004,"&gt;"&amp;B543,$T$5:$T$1004,"&lt;&gt;Cancelled")&gt;1,"Double-booked",""))))</f>
        <v/>
      </c>
      <c r="Z543" s="42" t="str">
        <f aca="false">IF(AND(AA543=1,ISNUMBER(C543)),C543+ROW()/100000,"")</f>
        <v/>
      </c>
      <c r="AA543" s="43" t="n">
        <f aca="false">IF(AND(D543&lt;&gt;"",ISNUMBER(B543),ISNUMBER(C543),N(H543)&gt;0,T543&lt;&gt;"Cancelled",J543&lt;&gt;""),1,0)</f>
        <v>0</v>
      </c>
      <c r="AB543" s="44" t="n">
        <f aca="false">IF(AA543=1,J543/H543,0)</f>
        <v>0</v>
      </c>
      <c r="AC543" s="44" t="n">
        <f aca="false">IF(AA543=1,Q543/H543,0)</f>
        <v>0</v>
      </c>
      <c r="AD543" s="44" t="n">
        <f aca="false">IF(AA543=1,R543/H543,0)</f>
        <v>0</v>
      </c>
      <c r="AE543" s="44" t="n">
        <f aca="false">IF(AA543=1,O543/H543,0)</f>
        <v>0</v>
      </c>
      <c r="AF543" s="44" t="n">
        <f aca="false">IF(AA543=1,K543/H543,0)</f>
        <v>0</v>
      </c>
      <c r="AG543" s="45" t="str">
        <f aca="false">IF(AA543=1,D543&amp;"|"&amp;TEXT(B543,"0"),"")</f>
        <v/>
      </c>
      <c r="AH543" s="43" t="n">
        <f aca="false">IF(AA543=1,H543,0)</f>
        <v>0</v>
      </c>
    </row>
    <row r="544" customFormat="false" ht="15" hidden="false" customHeight="false" outlineLevel="0" collapsed="false">
      <c r="A544" s="23" t="str">
        <f aca="false">IF(B544="","","B-"&amp;TEXT(ROW()-4,"0000"))</f>
        <v/>
      </c>
      <c r="B544" s="38"/>
      <c r="C544" s="38"/>
      <c r="D544" s="6"/>
      <c r="E544" s="6"/>
      <c r="F544" s="6"/>
      <c r="G544" s="11"/>
      <c r="H544" s="24" t="str">
        <f aca="false">IF(AND(ISNUMBER(B544),ISNUMBER(C544)),MAX(0,C544-B544),"")</f>
        <v/>
      </c>
      <c r="I544" s="37"/>
      <c r="J544" s="46" t="str">
        <f aca="false">IF(OR(D544="",N(H544)=0),"",IFERROR(IF(I544&lt;&gt;"",H544*I544,ROUND(((H544-(INT((WEEKDAY(B544-6)+H544-1)/7)+INT((WEEKDAY(B544-7)+H544-1)/7)))*INDEX(Properties!$E$5:$E$24,MATCH(D544,Properties!$A$5:$A$24,0))+(INT((WEEKDAY(B544-6)+H544-1)/7)+INT((WEEKDAY(B544-7)+H544-1)/7))*INDEX(Properties!$F$5:$F$24,MATCH(D544,Properties!$A$5:$A$24,0)))*(1-IF(H544&gt;=28,Settings!$B$10,IF(H544&gt;=7,Settings!$B$9,0))),2)),0))</f>
        <v/>
      </c>
      <c r="K544" s="46" t="str">
        <f aca="false">IF(J544="","",IFERROR(N(INDEX(Properties!$G$5:$G$24,MATCH(D544,Properties!$A$5:$A$24,0))),0))</f>
        <v/>
      </c>
      <c r="L544" s="46" t="str">
        <f aca="false">IF(J544="","",IFERROR(MAX(0,N(G544)-INDEX(Properties!$I$5:$I$24,MATCH(D544,Properties!$A$5:$A$24,0)))*N(INDEX(Properties!$J$5:$J$24,MATCH(D544,Properties!$A$5:$A$24,0)))*H544,0))</f>
        <v/>
      </c>
      <c r="M544" s="37"/>
      <c r="N544" s="46" t="str">
        <f aca="false">IF(J544="","",J544+K544+L544+N(M544))</f>
        <v/>
      </c>
      <c r="O544" s="46" t="str">
        <f aca="false">IF(N544="","",IF(P544&lt;&gt;"",N544-P544,ROUND(N544*IFERROR(INDEX(Settings!$E$5:$E$12,MATCH(F544,Settings!$D$5:$D$12,0)),0),2)))</f>
        <v/>
      </c>
      <c r="P544" s="37"/>
      <c r="Q544" s="46" t="str">
        <f aca="false">IF(N544="","",IF(P544&lt;&gt;"",P544,N544-O544))</f>
        <v/>
      </c>
      <c r="R544" s="46" t="str">
        <f aca="false">IF(J544="","",IFERROR(N(INDEX(Properties!$H$5:$H$24,MATCH(D544,Properties!$A$5:$A$24,0))),0))</f>
        <v/>
      </c>
      <c r="S544" s="46" t="str">
        <f aca="false">IF(Q544="","",Q544-R544)</f>
        <v/>
      </c>
      <c r="T544" s="6"/>
      <c r="U544" s="6"/>
      <c r="V544" s="6"/>
      <c r="W544" s="6"/>
      <c r="X544" s="6"/>
      <c r="Y544" s="8" t="str">
        <f aca="false">IF(OR(D544="",B544="",C544=""),"",IF(N(C544)&lt;=N(B544),"Check dates",IF(T544="Cancelled","",IF(COUNTIFS($D$5:$D$1004,D544,$B$5:$B$1004,"&lt;"&amp;C544,$C$5:$C$1004,"&gt;"&amp;B544,$T$5:$T$1004,"&lt;&gt;Cancelled")&gt;1,"Double-booked",""))))</f>
        <v/>
      </c>
      <c r="Z544" s="42" t="str">
        <f aca="false">IF(AND(AA544=1,ISNUMBER(C544)),C544+ROW()/100000,"")</f>
        <v/>
      </c>
      <c r="AA544" s="43" t="n">
        <f aca="false">IF(AND(D544&lt;&gt;"",ISNUMBER(B544),ISNUMBER(C544),N(H544)&gt;0,T544&lt;&gt;"Cancelled",J544&lt;&gt;""),1,0)</f>
        <v>0</v>
      </c>
      <c r="AB544" s="44" t="n">
        <f aca="false">IF(AA544=1,J544/H544,0)</f>
        <v>0</v>
      </c>
      <c r="AC544" s="44" t="n">
        <f aca="false">IF(AA544=1,Q544/H544,0)</f>
        <v>0</v>
      </c>
      <c r="AD544" s="44" t="n">
        <f aca="false">IF(AA544=1,R544/H544,0)</f>
        <v>0</v>
      </c>
      <c r="AE544" s="44" t="n">
        <f aca="false">IF(AA544=1,O544/H544,0)</f>
        <v>0</v>
      </c>
      <c r="AF544" s="44" t="n">
        <f aca="false">IF(AA544=1,K544/H544,0)</f>
        <v>0</v>
      </c>
      <c r="AG544" s="45" t="str">
        <f aca="false">IF(AA544=1,D544&amp;"|"&amp;TEXT(B544,"0"),"")</f>
        <v/>
      </c>
      <c r="AH544" s="43" t="n">
        <f aca="false">IF(AA544=1,H544,0)</f>
        <v>0</v>
      </c>
    </row>
    <row r="545" customFormat="false" ht="15" hidden="false" customHeight="false" outlineLevel="0" collapsed="false">
      <c r="A545" s="8" t="str">
        <f aca="false">IF(B545="","","B-"&amp;TEXT(ROW()-4,"0000"))</f>
        <v/>
      </c>
      <c r="B545" s="38"/>
      <c r="C545" s="38"/>
      <c r="D545" s="6"/>
      <c r="E545" s="6"/>
      <c r="F545" s="6"/>
      <c r="G545" s="11"/>
      <c r="H545" s="18" t="str">
        <f aca="false">IF(AND(ISNUMBER(B545),ISNUMBER(C545)),MAX(0,C545-B545),"")</f>
        <v/>
      </c>
      <c r="I545" s="37"/>
      <c r="J545" s="41" t="str">
        <f aca="false">IF(OR(D545="",N(H545)=0),"",IFERROR(IF(I545&lt;&gt;"",H545*I545,ROUND(((H545-(INT((WEEKDAY(B545-6)+H545-1)/7)+INT((WEEKDAY(B545-7)+H545-1)/7)))*INDEX(Properties!$E$5:$E$24,MATCH(D545,Properties!$A$5:$A$24,0))+(INT((WEEKDAY(B545-6)+H545-1)/7)+INT((WEEKDAY(B545-7)+H545-1)/7))*INDEX(Properties!$F$5:$F$24,MATCH(D545,Properties!$A$5:$A$24,0)))*(1-IF(H545&gt;=28,Settings!$B$10,IF(H545&gt;=7,Settings!$B$9,0))),2)),0))</f>
        <v/>
      </c>
      <c r="K545" s="41" t="str">
        <f aca="false">IF(J545="","",IFERROR(N(INDEX(Properties!$G$5:$G$24,MATCH(D545,Properties!$A$5:$A$24,0))),0))</f>
        <v/>
      </c>
      <c r="L545" s="41" t="str">
        <f aca="false">IF(J545="","",IFERROR(MAX(0,N(G545)-INDEX(Properties!$I$5:$I$24,MATCH(D545,Properties!$A$5:$A$24,0)))*N(INDEX(Properties!$J$5:$J$24,MATCH(D545,Properties!$A$5:$A$24,0)))*H545,0))</f>
        <v/>
      </c>
      <c r="M545" s="37"/>
      <c r="N545" s="41" t="str">
        <f aca="false">IF(J545="","",J545+K545+L545+N(M545))</f>
        <v/>
      </c>
      <c r="O545" s="41" t="str">
        <f aca="false">IF(N545="","",IF(P545&lt;&gt;"",N545-P545,ROUND(N545*IFERROR(INDEX(Settings!$E$5:$E$12,MATCH(F545,Settings!$D$5:$D$12,0)),0),2)))</f>
        <v/>
      </c>
      <c r="P545" s="37"/>
      <c r="Q545" s="41" t="str">
        <f aca="false">IF(N545="","",IF(P545&lt;&gt;"",P545,N545-O545))</f>
        <v/>
      </c>
      <c r="R545" s="41" t="str">
        <f aca="false">IF(J545="","",IFERROR(N(INDEX(Properties!$H$5:$H$24,MATCH(D545,Properties!$A$5:$A$24,0))),0))</f>
        <v/>
      </c>
      <c r="S545" s="41" t="str">
        <f aca="false">IF(Q545="","",Q545-R545)</f>
        <v/>
      </c>
      <c r="T545" s="6"/>
      <c r="U545" s="6"/>
      <c r="V545" s="6"/>
      <c r="W545" s="6"/>
      <c r="X545" s="6"/>
      <c r="Y545" s="8" t="str">
        <f aca="false">IF(OR(D545="",B545="",C545=""),"",IF(N(C545)&lt;=N(B545),"Check dates",IF(T545="Cancelled","",IF(COUNTIFS($D$5:$D$1004,D545,$B$5:$B$1004,"&lt;"&amp;C545,$C$5:$C$1004,"&gt;"&amp;B545,$T$5:$T$1004,"&lt;&gt;Cancelled")&gt;1,"Double-booked",""))))</f>
        <v/>
      </c>
      <c r="Z545" s="42" t="str">
        <f aca="false">IF(AND(AA545=1,ISNUMBER(C545)),C545+ROW()/100000,"")</f>
        <v/>
      </c>
      <c r="AA545" s="43" t="n">
        <f aca="false">IF(AND(D545&lt;&gt;"",ISNUMBER(B545),ISNUMBER(C545),N(H545)&gt;0,T545&lt;&gt;"Cancelled",J545&lt;&gt;""),1,0)</f>
        <v>0</v>
      </c>
      <c r="AB545" s="44" t="n">
        <f aca="false">IF(AA545=1,J545/H545,0)</f>
        <v>0</v>
      </c>
      <c r="AC545" s="44" t="n">
        <f aca="false">IF(AA545=1,Q545/H545,0)</f>
        <v>0</v>
      </c>
      <c r="AD545" s="44" t="n">
        <f aca="false">IF(AA545=1,R545/H545,0)</f>
        <v>0</v>
      </c>
      <c r="AE545" s="44" t="n">
        <f aca="false">IF(AA545=1,O545/H545,0)</f>
        <v>0</v>
      </c>
      <c r="AF545" s="44" t="n">
        <f aca="false">IF(AA545=1,K545/H545,0)</f>
        <v>0</v>
      </c>
      <c r="AG545" s="45" t="str">
        <f aca="false">IF(AA545=1,D545&amp;"|"&amp;TEXT(B545,"0"),"")</f>
        <v/>
      </c>
      <c r="AH545" s="43" t="n">
        <f aca="false">IF(AA545=1,H545,0)</f>
        <v>0</v>
      </c>
    </row>
    <row r="546" customFormat="false" ht="15" hidden="false" customHeight="false" outlineLevel="0" collapsed="false">
      <c r="A546" s="23" t="str">
        <f aca="false">IF(B546="","","B-"&amp;TEXT(ROW()-4,"0000"))</f>
        <v/>
      </c>
      <c r="B546" s="38"/>
      <c r="C546" s="38"/>
      <c r="D546" s="6"/>
      <c r="E546" s="6"/>
      <c r="F546" s="6"/>
      <c r="G546" s="11"/>
      <c r="H546" s="24" t="str">
        <f aca="false">IF(AND(ISNUMBER(B546),ISNUMBER(C546)),MAX(0,C546-B546),"")</f>
        <v/>
      </c>
      <c r="I546" s="37"/>
      <c r="J546" s="46" t="str">
        <f aca="false">IF(OR(D546="",N(H546)=0),"",IFERROR(IF(I546&lt;&gt;"",H546*I546,ROUND(((H546-(INT((WEEKDAY(B546-6)+H546-1)/7)+INT((WEEKDAY(B546-7)+H546-1)/7)))*INDEX(Properties!$E$5:$E$24,MATCH(D546,Properties!$A$5:$A$24,0))+(INT((WEEKDAY(B546-6)+H546-1)/7)+INT((WEEKDAY(B546-7)+H546-1)/7))*INDEX(Properties!$F$5:$F$24,MATCH(D546,Properties!$A$5:$A$24,0)))*(1-IF(H546&gt;=28,Settings!$B$10,IF(H546&gt;=7,Settings!$B$9,0))),2)),0))</f>
        <v/>
      </c>
      <c r="K546" s="46" t="str">
        <f aca="false">IF(J546="","",IFERROR(N(INDEX(Properties!$G$5:$G$24,MATCH(D546,Properties!$A$5:$A$24,0))),0))</f>
        <v/>
      </c>
      <c r="L546" s="46" t="str">
        <f aca="false">IF(J546="","",IFERROR(MAX(0,N(G546)-INDEX(Properties!$I$5:$I$24,MATCH(D546,Properties!$A$5:$A$24,0)))*N(INDEX(Properties!$J$5:$J$24,MATCH(D546,Properties!$A$5:$A$24,0)))*H546,0))</f>
        <v/>
      </c>
      <c r="M546" s="37"/>
      <c r="N546" s="46" t="str">
        <f aca="false">IF(J546="","",J546+K546+L546+N(M546))</f>
        <v/>
      </c>
      <c r="O546" s="46" t="str">
        <f aca="false">IF(N546="","",IF(P546&lt;&gt;"",N546-P546,ROUND(N546*IFERROR(INDEX(Settings!$E$5:$E$12,MATCH(F546,Settings!$D$5:$D$12,0)),0),2)))</f>
        <v/>
      </c>
      <c r="P546" s="37"/>
      <c r="Q546" s="46" t="str">
        <f aca="false">IF(N546="","",IF(P546&lt;&gt;"",P546,N546-O546))</f>
        <v/>
      </c>
      <c r="R546" s="46" t="str">
        <f aca="false">IF(J546="","",IFERROR(N(INDEX(Properties!$H$5:$H$24,MATCH(D546,Properties!$A$5:$A$24,0))),0))</f>
        <v/>
      </c>
      <c r="S546" s="46" t="str">
        <f aca="false">IF(Q546="","",Q546-R546)</f>
        <v/>
      </c>
      <c r="T546" s="6"/>
      <c r="U546" s="6"/>
      <c r="V546" s="6"/>
      <c r="W546" s="6"/>
      <c r="X546" s="6"/>
      <c r="Y546" s="8" t="str">
        <f aca="false">IF(OR(D546="",B546="",C546=""),"",IF(N(C546)&lt;=N(B546),"Check dates",IF(T546="Cancelled","",IF(COUNTIFS($D$5:$D$1004,D546,$B$5:$B$1004,"&lt;"&amp;C546,$C$5:$C$1004,"&gt;"&amp;B546,$T$5:$T$1004,"&lt;&gt;Cancelled")&gt;1,"Double-booked",""))))</f>
        <v/>
      </c>
      <c r="Z546" s="42" t="str">
        <f aca="false">IF(AND(AA546=1,ISNUMBER(C546)),C546+ROW()/100000,"")</f>
        <v/>
      </c>
      <c r="AA546" s="43" t="n">
        <f aca="false">IF(AND(D546&lt;&gt;"",ISNUMBER(B546),ISNUMBER(C546),N(H546)&gt;0,T546&lt;&gt;"Cancelled",J546&lt;&gt;""),1,0)</f>
        <v>0</v>
      </c>
      <c r="AB546" s="44" t="n">
        <f aca="false">IF(AA546=1,J546/H546,0)</f>
        <v>0</v>
      </c>
      <c r="AC546" s="44" t="n">
        <f aca="false">IF(AA546=1,Q546/H546,0)</f>
        <v>0</v>
      </c>
      <c r="AD546" s="44" t="n">
        <f aca="false">IF(AA546=1,R546/H546,0)</f>
        <v>0</v>
      </c>
      <c r="AE546" s="44" t="n">
        <f aca="false">IF(AA546=1,O546/H546,0)</f>
        <v>0</v>
      </c>
      <c r="AF546" s="44" t="n">
        <f aca="false">IF(AA546=1,K546/H546,0)</f>
        <v>0</v>
      </c>
      <c r="AG546" s="45" t="str">
        <f aca="false">IF(AA546=1,D546&amp;"|"&amp;TEXT(B546,"0"),"")</f>
        <v/>
      </c>
      <c r="AH546" s="43" t="n">
        <f aca="false">IF(AA546=1,H546,0)</f>
        <v>0</v>
      </c>
    </row>
    <row r="547" customFormat="false" ht="15" hidden="false" customHeight="false" outlineLevel="0" collapsed="false">
      <c r="A547" s="8" t="str">
        <f aca="false">IF(B547="","","B-"&amp;TEXT(ROW()-4,"0000"))</f>
        <v/>
      </c>
      <c r="B547" s="38"/>
      <c r="C547" s="38"/>
      <c r="D547" s="6"/>
      <c r="E547" s="6"/>
      <c r="F547" s="6"/>
      <c r="G547" s="11"/>
      <c r="H547" s="18" t="str">
        <f aca="false">IF(AND(ISNUMBER(B547),ISNUMBER(C547)),MAX(0,C547-B547),"")</f>
        <v/>
      </c>
      <c r="I547" s="37"/>
      <c r="J547" s="41" t="str">
        <f aca="false">IF(OR(D547="",N(H547)=0),"",IFERROR(IF(I547&lt;&gt;"",H547*I547,ROUND(((H547-(INT((WEEKDAY(B547-6)+H547-1)/7)+INT((WEEKDAY(B547-7)+H547-1)/7)))*INDEX(Properties!$E$5:$E$24,MATCH(D547,Properties!$A$5:$A$24,0))+(INT((WEEKDAY(B547-6)+H547-1)/7)+INT((WEEKDAY(B547-7)+H547-1)/7))*INDEX(Properties!$F$5:$F$24,MATCH(D547,Properties!$A$5:$A$24,0)))*(1-IF(H547&gt;=28,Settings!$B$10,IF(H547&gt;=7,Settings!$B$9,0))),2)),0))</f>
        <v/>
      </c>
      <c r="K547" s="41" t="str">
        <f aca="false">IF(J547="","",IFERROR(N(INDEX(Properties!$G$5:$G$24,MATCH(D547,Properties!$A$5:$A$24,0))),0))</f>
        <v/>
      </c>
      <c r="L547" s="41" t="str">
        <f aca="false">IF(J547="","",IFERROR(MAX(0,N(G547)-INDEX(Properties!$I$5:$I$24,MATCH(D547,Properties!$A$5:$A$24,0)))*N(INDEX(Properties!$J$5:$J$24,MATCH(D547,Properties!$A$5:$A$24,0)))*H547,0))</f>
        <v/>
      </c>
      <c r="M547" s="37"/>
      <c r="N547" s="41" t="str">
        <f aca="false">IF(J547="","",J547+K547+L547+N(M547))</f>
        <v/>
      </c>
      <c r="O547" s="41" t="str">
        <f aca="false">IF(N547="","",IF(P547&lt;&gt;"",N547-P547,ROUND(N547*IFERROR(INDEX(Settings!$E$5:$E$12,MATCH(F547,Settings!$D$5:$D$12,0)),0),2)))</f>
        <v/>
      </c>
      <c r="P547" s="37"/>
      <c r="Q547" s="41" t="str">
        <f aca="false">IF(N547="","",IF(P547&lt;&gt;"",P547,N547-O547))</f>
        <v/>
      </c>
      <c r="R547" s="41" t="str">
        <f aca="false">IF(J547="","",IFERROR(N(INDEX(Properties!$H$5:$H$24,MATCH(D547,Properties!$A$5:$A$24,0))),0))</f>
        <v/>
      </c>
      <c r="S547" s="41" t="str">
        <f aca="false">IF(Q547="","",Q547-R547)</f>
        <v/>
      </c>
      <c r="T547" s="6"/>
      <c r="U547" s="6"/>
      <c r="V547" s="6"/>
      <c r="W547" s="6"/>
      <c r="X547" s="6"/>
      <c r="Y547" s="8" t="str">
        <f aca="false">IF(OR(D547="",B547="",C547=""),"",IF(N(C547)&lt;=N(B547),"Check dates",IF(T547="Cancelled","",IF(COUNTIFS($D$5:$D$1004,D547,$B$5:$B$1004,"&lt;"&amp;C547,$C$5:$C$1004,"&gt;"&amp;B547,$T$5:$T$1004,"&lt;&gt;Cancelled")&gt;1,"Double-booked",""))))</f>
        <v/>
      </c>
      <c r="Z547" s="42" t="str">
        <f aca="false">IF(AND(AA547=1,ISNUMBER(C547)),C547+ROW()/100000,"")</f>
        <v/>
      </c>
      <c r="AA547" s="43" t="n">
        <f aca="false">IF(AND(D547&lt;&gt;"",ISNUMBER(B547),ISNUMBER(C547),N(H547)&gt;0,T547&lt;&gt;"Cancelled",J547&lt;&gt;""),1,0)</f>
        <v>0</v>
      </c>
      <c r="AB547" s="44" t="n">
        <f aca="false">IF(AA547=1,J547/H547,0)</f>
        <v>0</v>
      </c>
      <c r="AC547" s="44" t="n">
        <f aca="false">IF(AA547=1,Q547/H547,0)</f>
        <v>0</v>
      </c>
      <c r="AD547" s="44" t="n">
        <f aca="false">IF(AA547=1,R547/H547,0)</f>
        <v>0</v>
      </c>
      <c r="AE547" s="44" t="n">
        <f aca="false">IF(AA547=1,O547/H547,0)</f>
        <v>0</v>
      </c>
      <c r="AF547" s="44" t="n">
        <f aca="false">IF(AA547=1,K547/H547,0)</f>
        <v>0</v>
      </c>
      <c r="AG547" s="45" t="str">
        <f aca="false">IF(AA547=1,D547&amp;"|"&amp;TEXT(B547,"0"),"")</f>
        <v/>
      </c>
      <c r="AH547" s="43" t="n">
        <f aca="false">IF(AA547=1,H547,0)</f>
        <v>0</v>
      </c>
    </row>
    <row r="548" customFormat="false" ht="15" hidden="false" customHeight="false" outlineLevel="0" collapsed="false">
      <c r="A548" s="23" t="str">
        <f aca="false">IF(B548="","","B-"&amp;TEXT(ROW()-4,"0000"))</f>
        <v/>
      </c>
      <c r="B548" s="38"/>
      <c r="C548" s="38"/>
      <c r="D548" s="6"/>
      <c r="E548" s="6"/>
      <c r="F548" s="6"/>
      <c r="G548" s="11"/>
      <c r="H548" s="24" t="str">
        <f aca="false">IF(AND(ISNUMBER(B548),ISNUMBER(C548)),MAX(0,C548-B548),"")</f>
        <v/>
      </c>
      <c r="I548" s="37"/>
      <c r="J548" s="46" t="str">
        <f aca="false">IF(OR(D548="",N(H548)=0),"",IFERROR(IF(I548&lt;&gt;"",H548*I548,ROUND(((H548-(INT((WEEKDAY(B548-6)+H548-1)/7)+INT((WEEKDAY(B548-7)+H548-1)/7)))*INDEX(Properties!$E$5:$E$24,MATCH(D548,Properties!$A$5:$A$24,0))+(INT((WEEKDAY(B548-6)+H548-1)/7)+INT((WEEKDAY(B548-7)+H548-1)/7))*INDEX(Properties!$F$5:$F$24,MATCH(D548,Properties!$A$5:$A$24,0)))*(1-IF(H548&gt;=28,Settings!$B$10,IF(H548&gt;=7,Settings!$B$9,0))),2)),0))</f>
        <v/>
      </c>
      <c r="K548" s="46" t="str">
        <f aca="false">IF(J548="","",IFERROR(N(INDEX(Properties!$G$5:$G$24,MATCH(D548,Properties!$A$5:$A$24,0))),0))</f>
        <v/>
      </c>
      <c r="L548" s="46" t="str">
        <f aca="false">IF(J548="","",IFERROR(MAX(0,N(G548)-INDEX(Properties!$I$5:$I$24,MATCH(D548,Properties!$A$5:$A$24,0)))*N(INDEX(Properties!$J$5:$J$24,MATCH(D548,Properties!$A$5:$A$24,0)))*H548,0))</f>
        <v/>
      </c>
      <c r="M548" s="37"/>
      <c r="N548" s="46" t="str">
        <f aca="false">IF(J548="","",J548+K548+L548+N(M548))</f>
        <v/>
      </c>
      <c r="O548" s="46" t="str">
        <f aca="false">IF(N548="","",IF(P548&lt;&gt;"",N548-P548,ROUND(N548*IFERROR(INDEX(Settings!$E$5:$E$12,MATCH(F548,Settings!$D$5:$D$12,0)),0),2)))</f>
        <v/>
      </c>
      <c r="P548" s="37"/>
      <c r="Q548" s="46" t="str">
        <f aca="false">IF(N548="","",IF(P548&lt;&gt;"",P548,N548-O548))</f>
        <v/>
      </c>
      <c r="R548" s="46" t="str">
        <f aca="false">IF(J548="","",IFERROR(N(INDEX(Properties!$H$5:$H$24,MATCH(D548,Properties!$A$5:$A$24,0))),0))</f>
        <v/>
      </c>
      <c r="S548" s="46" t="str">
        <f aca="false">IF(Q548="","",Q548-R548)</f>
        <v/>
      </c>
      <c r="T548" s="6"/>
      <c r="U548" s="6"/>
      <c r="V548" s="6"/>
      <c r="W548" s="6"/>
      <c r="X548" s="6"/>
      <c r="Y548" s="8" t="str">
        <f aca="false">IF(OR(D548="",B548="",C548=""),"",IF(N(C548)&lt;=N(B548),"Check dates",IF(T548="Cancelled","",IF(COUNTIFS($D$5:$D$1004,D548,$B$5:$B$1004,"&lt;"&amp;C548,$C$5:$C$1004,"&gt;"&amp;B548,$T$5:$T$1004,"&lt;&gt;Cancelled")&gt;1,"Double-booked",""))))</f>
        <v/>
      </c>
      <c r="Z548" s="42" t="str">
        <f aca="false">IF(AND(AA548=1,ISNUMBER(C548)),C548+ROW()/100000,"")</f>
        <v/>
      </c>
      <c r="AA548" s="43" t="n">
        <f aca="false">IF(AND(D548&lt;&gt;"",ISNUMBER(B548),ISNUMBER(C548),N(H548)&gt;0,T548&lt;&gt;"Cancelled",J548&lt;&gt;""),1,0)</f>
        <v>0</v>
      </c>
      <c r="AB548" s="44" t="n">
        <f aca="false">IF(AA548=1,J548/H548,0)</f>
        <v>0</v>
      </c>
      <c r="AC548" s="44" t="n">
        <f aca="false">IF(AA548=1,Q548/H548,0)</f>
        <v>0</v>
      </c>
      <c r="AD548" s="44" t="n">
        <f aca="false">IF(AA548=1,R548/H548,0)</f>
        <v>0</v>
      </c>
      <c r="AE548" s="44" t="n">
        <f aca="false">IF(AA548=1,O548/H548,0)</f>
        <v>0</v>
      </c>
      <c r="AF548" s="44" t="n">
        <f aca="false">IF(AA548=1,K548/H548,0)</f>
        <v>0</v>
      </c>
      <c r="AG548" s="45" t="str">
        <f aca="false">IF(AA548=1,D548&amp;"|"&amp;TEXT(B548,"0"),"")</f>
        <v/>
      </c>
      <c r="AH548" s="43" t="n">
        <f aca="false">IF(AA548=1,H548,0)</f>
        <v>0</v>
      </c>
    </row>
    <row r="549" customFormat="false" ht="15" hidden="false" customHeight="false" outlineLevel="0" collapsed="false">
      <c r="A549" s="8" t="str">
        <f aca="false">IF(B549="","","B-"&amp;TEXT(ROW()-4,"0000"))</f>
        <v/>
      </c>
      <c r="B549" s="38"/>
      <c r="C549" s="38"/>
      <c r="D549" s="6"/>
      <c r="E549" s="6"/>
      <c r="F549" s="6"/>
      <c r="G549" s="11"/>
      <c r="H549" s="18" t="str">
        <f aca="false">IF(AND(ISNUMBER(B549),ISNUMBER(C549)),MAX(0,C549-B549),"")</f>
        <v/>
      </c>
      <c r="I549" s="37"/>
      <c r="J549" s="41" t="str">
        <f aca="false">IF(OR(D549="",N(H549)=0),"",IFERROR(IF(I549&lt;&gt;"",H549*I549,ROUND(((H549-(INT((WEEKDAY(B549-6)+H549-1)/7)+INT((WEEKDAY(B549-7)+H549-1)/7)))*INDEX(Properties!$E$5:$E$24,MATCH(D549,Properties!$A$5:$A$24,0))+(INT((WEEKDAY(B549-6)+H549-1)/7)+INT((WEEKDAY(B549-7)+H549-1)/7))*INDEX(Properties!$F$5:$F$24,MATCH(D549,Properties!$A$5:$A$24,0)))*(1-IF(H549&gt;=28,Settings!$B$10,IF(H549&gt;=7,Settings!$B$9,0))),2)),0))</f>
        <v/>
      </c>
      <c r="K549" s="41" t="str">
        <f aca="false">IF(J549="","",IFERROR(N(INDEX(Properties!$G$5:$G$24,MATCH(D549,Properties!$A$5:$A$24,0))),0))</f>
        <v/>
      </c>
      <c r="L549" s="41" t="str">
        <f aca="false">IF(J549="","",IFERROR(MAX(0,N(G549)-INDEX(Properties!$I$5:$I$24,MATCH(D549,Properties!$A$5:$A$24,0)))*N(INDEX(Properties!$J$5:$J$24,MATCH(D549,Properties!$A$5:$A$24,0)))*H549,0))</f>
        <v/>
      </c>
      <c r="M549" s="37"/>
      <c r="N549" s="41" t="str">
        <f aca="false">IF(J549="","",J549+K549+L549+N(M549))</f>
        <v/>
      </c>
      <c r="O549" s="41" t="str">
        <f aca="false">IF(N549="","",IF(P549&lt;&gt;"",N549-P549,ROUND(N549*IFERROR(INDEX(Settings!$E$5:$E$12,MATCH(F549,Settings!$D$5:$D$12,0)),0),2)))</f>
        <v/>
      </c>
      <c r="P549" s="37"/>
      <c r="Q549" s="41" t="str">
        <f aca="false">IF(N549="","",IF(P549&lt;&gt;"",P549,N549-O549))</f>
        <v/>
      </c>
      <c r="R549" s="41" t="str">
        <f aca="false">IF(J549="","",IFERROR(N(INDEX(Properties!$H$5:$H$24,MATCH(D549,Properties!$A$5:$A$24,0))),0))</f>
        <v/>
      </c>
      <c r="S549" s="41" t="str">
        <f aca="false">IF(Q549="","",Q549-R549)</f>
        <v/>
      </c>
      <c r="T549" s="6"/>
      <c r="U549" s="6"/>
      <c r="V549" s="6"/>
      <c r="W549" s="6"/>
      <c r="X549" s="6"/>
      <c r="Y549" s="8" t="str">
        <f aca="false">IF(OR(D549="",B549="",C549=""),"",IF(N(C549)&lt;=N(B549),"Check dates",IF(T549="Cancelled","",IF(COUNTIFS($D$5:$D$1004,D549,$B$5:$B$1004,"&lt;"&amp;C549,$C$5:$C$1004,"&gt;"&amp;B549,$T$5:$T$1004,"&lt;&gt;Cancelled")&gt;1,"Double-booked",""))))</f>
        <v/>
      </c>
      <c r="Z549" s="42" t="str">
        <f aca="false">IF(AND(AA549=1,ISNUMBER(C549)),C549+ROW()/100000,"")</f>
        <v/>
      </c>
      <c r="AA549" s="43" t="n">
        <f aca="false">IF(AND(D549&lt;&gt;"",ISNUMBER(B549),ISNUMBER(C549),N(H549)&gt;0,T549&lt;&gt;"Cancelled",J549&lt;&gt;""),1,0)</f>
        <v>0</v>
      </c>
      <c r="AB549" s="44" t="n">
        <f aca="false">IF(AA549=1,J549/H549,0)</f>
        <v>0</v>
      </c>
      <c r="AC549" s="44" t="n">
        <f aca="false">IF(AA549=1,Q549/H549,0)</f>
        <v>0</v>
      </c>
      <c r="AD549" s="44" t="n">
        <f aca="false">IF(AA549=1,R549/H549,0)</f>
        <v>0</v>
      </c>
      <c r="AE549" s="44" t="n">
        <f aca="false">IF(AA549=1,O549/H549,0)</f>
        <v>0</v>
      </c>
      <c r="AF549" s="44" t="n">
        <f aca="false">IF(AA549=1,K549/H549,0)</f>
        <v>0</v>
      </c>
      <c r="AG549" s="45" t="str">
        <f aca="false">IF(AA549=1,D549&amp;"|"&amp;TEXT(B549,"0"),"")</f>
        <v/>
      </c>
      <c r="AH549" s="43" t="n">
        <f aca="false">IF(AA549=1,H549,0)</f>
        <v>0</v>
      </c>
    </row>
    <row r="550" customFormat="false" ht="15" hidden="false" customHeight="false" outlineLevel="0" collapsed="false">
      <c r="A550" s="23" t="str">
        <f aca="false">IF(B550="","","B-"&amp;TEXT(ROW()-4,"0000"))</f>
        <v/>
      </c>
      <c r="B550" s="38"/>
      <c r="C550" s="38"/>
      <c r="D550" s="6"/>
      <c r="E550" s="6"/>
      <c r="F550" s="6"/>
      <c r="G550" s="11"/>
      <c r="H550" s="24" t="str">
        <f aca="false">IF(AND(ISNUMBER(B550),ISNUMBER(C550)),MAX(0,C550-B550),"")</f>
        <v/>
      </c>
      <c r="I550" s="37"/>
      <c r="J550" s="46" t="str">
        <f aca="false">IF(OR(D550="",N(H550)=0),"",IFERROR(IF(I550&lt;&gt;"",H550*I550,ROUND(((H550-(INT((WEEKDAY(B550-6)+H550-1)/7)+INT((WEEKDAY(B550-7)+H550-1)/7)))*INDEX(Properties!$E$5:$E$24,MATCH(D550,Properties!$A$5:$A$24,0))+(INT((WEEKDAY(B550-6)+H550-1)/7)+INT((WEEKDAY(B550-7)+H550-1)/7))*INDEX(Properties!$F$5:$F$24,MATCH(D550,Properties!$A$5:$A$24,0)))*(1-IF(H550&gt;=28,Settings!$B$10,IF(H550&gt;=7,Settings!$B$9,0))),2)),0))</f>
        <v/>
      </c>
      <c r="K550" s="46" t="str">
        <f aca="false">IF(J550="","",IFERROR(N(INDEX(Properties!$G$5:$G$24,MATCH(D550,Properties!$A$5:$A$24,0))),0))</f>
        <v/>
      </c>
      <c r="L550" s="46" t="str">
        <f aca="false">IF(J550="","",IFERROR(MAX(0,N(G550)-INDEX(Properties!$I$5:$I$24,MATCH(D550,Properties!$A$5:$A$24,0)))*N(INDEX(Properties!$J$5:$J$24,MATCH(D550,Properties!$A$5:$A$24,0)))*H550,0))</f>
        <v/>
      </c>
      <c r="M550" s="37"/>
      <c r="N550" s="46" t="str">
        <f aca="false">IF(J550="","",J550+K550+L550+N(M550))</f>
        <v/>
      </c>
      <c r="O550" s="46" t="str">
        <f aca="false">IF(N550="","",IF(P550&lt;&gt;"",N550-P550,ROUND(N550*IFERROR(INDEX(Settings!$E$5:$E$12,MATCH(F550,Settings!$D$5:$D$12,0)),0),2)))</f>
        <v/>
      </c>
      <c r="P550" s="37"/>
      <c r="Q550" s="46" t="str">
        <f aca="false">IF(N550="","",IF(P550&lt;&gt;"",P550,N550-O550))</f>
        <v/>
      </c>
      <c r="R550" s="46" t="str">
        <f aca="false">IF(J550="","",IFERROR(N(INDEX(Properties!$H$5:$H$24,MATCH(D550,Properties!$A$5:$A$24,0))),0))</f>
        <v/>
      </c>
      <c r="S550" s="46" t="str">
        <f aca="false">IF(Q550="","",Q550-R550)</f>
        <v/>
      </c>
      <c r="T550" s="6"/>
      <c r="U550" s="6"/>
      <c r="V550" s="6"/>
      <c r="W550" s="6"/>
      <c r="X550" s="6"/>
      <c r="Y550" s="8" t="str">
        <f aca="false">IF(OR(D550="",B550="",C550=""),"",IF(N(C550)&lt;=N(B550),"Check dates",IF(T550="Cancelled","",IF(COUNTIFS($D$5:$D$1004,D550,$B$5:$B$1004,"&lt;"&amp;C550,$C$5:$C$1004,"&gt;"&amp;B550,$T$5:$T$1004,"&lt;&gt;Cancelled")&gt;1,"Double-booked",""))))</f>
        <v/>
      </c>
      <c r="Z550" s="42" t="str">
        <f aca="false">IF(AND(AA550=1,ISNUMBER(C550)),C550+ROW()/100000,"")</f>
        <v/>
      </c>
      <c r="AA550" s="43" t="n">
        <f aca="false">IF(AND(D550&lt;&gt;"",ISNUMBER(B550),ISNUMBER(C550),N(H550)&gt;0,T550&lt;&gt;"Cancelled",J550&lt;&gt;""),1,0)</f>
        <v>0</v>
      </c>
      <c r="AB550" s="44" t="n">
        <f aca="false">IF(AA550=1,J550/H550,0)</f>
        <v>0</v>
      </c>
      <c r="AC550" s="44" t="n">
        <f aca="false">IF(AA550=1,Q550/H550,0)</f>
        <v>0</v>
      </c>
      <c r="AD550" s="44" t="n">
        <f aca="false">IF(AA550=1,R550/H550,0)</f>
        <v>0</v>
      </c>
      <c r="AE550" s="44" t="n">
        <f aca="false">IF(AA550=1,O550/H550,0)</f>
        <v>0</v>
      </c>
      <c r="AF550" s="44" t="n">
        <f aca="false">IF(AA550=1,K550/H550,0)</f>
        <v>0</v>
      </c>
      <c r="AG550" s="45" t="str">
        <f aca="false">IF(AA550=1,D550&amp;"|"&amp;TEXT(B550,"0"),"")</f>
        <v/>
      </c>
      <c r="AH550" s="43" t="n">
        <f aca="false">IF(AA550=1,H550,0)</f>
        <v>0</v>
      </c>
    </row>
    <row r="551" customFormat="false" ht="15" hidden="false" customHeight="false" outlineLevel="0" collapsed="false">
      <c r="A551" s="8" t="str">
        <f aca="false">IF(B551="","","B-"&amp;TEXT(ROW()-4,"0000"))</f>
        <v/>
      </c>
      <c r="B551" s="38"/>
      <c r="C551" s="38"/>
      <c r="D551" s="6"/>
      <c r="E551" s="6"/>
      <c r="F551" s="6"/>
      <c r="G551" s="11"/>
      <c r="H551" s="18" t="str">
        <f aca="false">IF(AND(ISNUMBER(B551),ISNUMBER(C551)),MAX(0,C551-B551),"")</f>
        <v/>
      </c>
      <c r="I551" s="37"/>
      <c r="J551" s="41" t="str">
        <f aca="false">IF(OR(D551="",N(H551)=0),"",IFERROR(IF(I551&lt;&gt;"",H551*I551,ROUND(((H551-(INT((WEEKDAY(B551-6)+H551-1)/7)+INT((WEEKDAY(B551-7)+H551-1)/7)))*INDEX(Properties!$E$5:$E$24,MATCH(D551,Properties!$A$5:$A$24,0))+(INT((WEEKDAY(B551-6)+H551-1)/7)+INT((WEEKDAY(B551-7)+H551-1)/7))*INDEX(Properties!$F$5:$F$24,MATCH(D551,Properties!$A$5:$A$24,0)))*(1-IF(H551&gt;=28,Settings!$B$10,IF(H551&gt;=7,Settings!$B$9,0))),2)),0))</f>
        <v/>
      </c>
      <c r="K551" s="41" t="str">
        <f aca="false">IF(J551="","",IFERROR(N(INDEX(Properties!$G$5:$G$24,MATCH(D551,Properties!$A$5:$A$24,0))),0))</f>
        <v/>
      </c>
      <c r="L551" s="41" t="str">
        <f aca="false">IF(J551="","",IFERROR(MAX(0,N(G551)-INDEX(Properties!$I$5:$I$24,MATCH(D551,Properties!$A$5:$A$24,0)))*N(INDEX(Properties!$J$5:$J$24,MATCH(D551,Properties!$A$5:$A$24,0)))*H551,0))</f>
        <v/>
      </c>
      <c r="M551" s="37"/>
      <c r="N551" s="41" t="str">
        <f aca="false">IF(J551="","",J551+K551+L551+N(M551))</f>
        <v/>
      </c>
      <c r="O551" s="41" t="str">
        <f aca="false">IF(N551="","",IF(P551&lt;&gt;"",N551-P551,ROUND(N551*IFERROR(INDEX(Settings!$E$5:$E$12,MATCH(F551,Settings!$D$5:$D$12,0)),0),2)))</f>
        <v/>
      </c>
      <c r="P551" s="37"/>
      <c r="Q551" s="41" t="str">
        <f aca="false">IF(N551="","",IF(P551&lt;&gt;"",P551,N551-O551))</f>
        <v/>
      </c>
      <c r="R551" s="41" t="str">
        <f aca="false">IF(J551="","",IFERROR(N(INDEX(Properties!$H$5:$H$24,MATCH(D551,Properties!$A$5:$A$24,0))),0))</f>
        <v/>
      </c>
      <c r="S551" s="41" t="str">
        <f aca="false">IF(Q551="","",Q551-R551)</f>
        <v/>
      </c>
      <c r="T551" s="6"/>
      <c r="U551" s="6"/>
      <c r="V551" s="6"/>
      <c r="W551" s="6"/>
      <c r="X551" s="6"/>
      <c r="Y551" s="8" t="str">
        <f aca="false">IF(OR(D551="",B551="",C551=""),"",IF(N(C551)&lt;=N(B551),"Check dates",IF(T551="Cancelled","",IF(COUNTIFS($D$5:$D$1004,D551,$B$5:$B$1004,"&lt;"&amp;C551,$C$5:$C$1004,"&gt;"&amp;B551,$T$5:$T$1004,"&lt;&gt;Cancelled")&gt;1,"Double-booked",""))))</f>
        <v/>
      </c>
      <c r="Z551" s="42" t="str">
        <f aca="false">IF(AND(AA551=1,ISNUMBER(C551)),C551+ROW()/100000,"")</f>
        <v/>
      </c>
      <c r="AA551" s="43" t="n">
        <f aca="false">IF(AND(D551&lt;&gt;"",ISNUMBER(B551),ISNUMBER(C551),N(H551)&gt;0,T551&lt;&gt;"Cancelled",J551&lt;&gt;""),1,0)</f>
        <v>0</v>
      </c>
      <c r="AB551" s="44" t="n">
        <f aca="false">IF(AA551=1,J551/H551,0)</f>
        <v>0</v>
      </c>
      <c r="AC551" s="44" t="n">
        <f aca="false">IF(AA551=1,Q551/H551,0)</f>
        <v>0</v>
      </c>
      <c r="AD551" s="44" t="n">
        <f aca="false">IF(AA551=1,R551/H551,0)</f>
        <v>0</v>
      </c>
      <c r="AE551" s="44" t="n">
        <f aca="false">IF(AA551=1,O551/H551,0)</f>
        <v>0</v>
      </c>
      <c r="AF551" s="44" t="n">
        <f aca="false">IF(AA551=1,K551/H551,0)</f>
        <v>0</v>
      </c>
      <c r="AG551" s="45" t="str">
        <f aca="false">IF(AA551=1,D551&amp;"|"&amp;TEXT(B551,"0"),"")</f>
        <v/>
      </c>
      <c r="AH551" s="43" t="n">
        <f aca="false">IF(AA551=1,H551,0)</f>
        <v>0</v>
      </c>
    </row>
    <row r="552" customFormat="false" ht="15" hidden="false" customHeight="false" outlineLevel="0" collapsed="false">
      <c r="A552" s="23" t="str">
        <f aca="false">IF(B552="","","B-"&amp;TEXT(ROW()-4,"0000"))</f>
        <v/>
      </c>
      <c r="B552" s="38"/>
      <c r="C552" s="38"/>
      <c r="D552" s="6"/>
      <c r="E552" s="6"/>
      <c r="F552" s="6"/>
      <c r="G552" s="11"/>
      <c r="H552" s="24" t="str">
        <f aca="false">IF(AND(ISNUMBER(B552),ISNUMBER(C552)),MAX(0,C552-B552),"")</f>
        <v/>
      </c>
      <c r="I552" s="37"/>
      <c r="J552" s="46" t="str">
        <f aca="false">IF(OR(D552="",N(H552)=0),"",IFERROR(IF(I552&lt;&gt;"",H552*I552,ROUND(((H552-(INT((WEEKDAY(B552-6)+H552-1)/7)+INT((WEEKDAY(B552-7)+H552-1)/7)))*INDEX(Properties!$E$5:$E$24,MATCH(D552,Properties!$A$5:$A$24,0))+(INT((WEEKDAY(B552-6)+H552-1)/7)+INT((WEEKDAY(B552-7)+H552-1)/7))*INDEX(Properties!$F$5:$F$24,MATCH(D552,Properties!$A$5:$A$24,0)))*(1-IF(H552&gt;=28,Settings!$B$10,IF(H552&gt;=7,Settings!$B$9,0))),2)),0))</f>
        <v/>
      </c>
      <c r="K552" s="46" t="str">
        <f aca="false">IF(J552="","",IFERROR(N(INDEX(Properties!$G$5:$G$24,MATCH(D552,Properties!$A$5:$A$24,0))),0))</f>
        <v/>
      </c>
      <c r="L552" s="46" t="str">
        <f aca="false">IF(J552="","",IFERROR(MAX(0,N(G552)-INDEX(Properties!$I$5:$I$24,MATCH(D552,Properties!$A$5:$A$24,0)))*N(INDEX(Properties!$J$5:$J$24,MATCH(D552,Properties!$A$5:$A$24,0)))*H552,0))</f>
        <v/>
      </c>
      <c r="M552" s="37"/>
      <c r="N552" s="46" t="str">
        <f aca="false">IF(J552="","",J552+K552+L552+N(M552))</f>
        <v/>
      </c>
      <c r="O552" s="46" t="str">
        <f aca="false">IF(N552="","",IF(P552&lt;&gt;"",N552-P552,ROUND(N552*IFERROR(INDEX(Settings!$E$5:$E$12,MATCH(F552,Settings!$D$5:$D$12,0)),0),2)))</f>
        <v/>
      </c>
      <c r="P552" s="37"/>
      <c r="Q552" s="46" t="str">
        <f aca="false">IF(N552="","",IF(P552&lt;&gt;"",P552,N552-O552))</f>
        <v/>
      </c>
      <c r="R552" s="46" t="str">
        <f aca="false">IF(J552="","",IFERROR(N(INDEX(Properties!$H$5:$H$24,MATCH(D552,Properties!$A$5:$A$24,0))),0))</f>
        <v/>
      </c>
      <c r="S552" s="46" t="str">
        <f aca="false">IF(Q552="","",Q552-R552)</f>
        <v/>
      </c>
      <c r="T552" s="6"/>
      <c r="U552" s="6"/>
      <c r="V552" s="6"/>
      <c r="W552" s="6"/>
      <c r="X552" s="6"/>
      <c r="Y552" s="8" t="str">
        <f aca="false">IF(OR(D552="",B552="",C552=""),"",IF(N(C552)&lt;=N(B552),"Check dates",IF(T552="Cancelled","",IF(COUNTIFS($D$5:$D$1004,D552,$B$5:$B$1004,"&lt;"&amp;C552,$C$5:$C$1004,"&gt;"&amp;B552,$T$5:$T$1004,"&lt;&gt;Cancelled")&gt;1,"Double-booked",""))))</f>
        <v/>
      </c>
      <c r="Z552" s="42" t="str">
        <f aca="false">IF(AND(AA552=1,ISNUMBER(C552)),C552+ROW()/100000,"")</f>
        <v/>
      </c>
      <c r="AA552" s="43" t="n">
        <f aca="false">IF(AND(D552&lt;&gt;"",ISNUMBER(B552),ISNUMBER(C552),N(H552)&gt;0,T552&lt;&gt;"Cancelled",J552&lt;&gt;""),1,0)</f>
        <v>0</v>
      </c>
      <c r="AB552" s="44" t="n">
        <f aca="false">IF(AA552=1,J552/H552,0)</f>
        <v>0</v>
      </c>
      <c r="AC552" s="44" t="n">
        <f aca="false">IF(AA552=1,Q552/H552,0)</f>
        <v>0</v>
      </c>
      <c r="AD552" s="44" t="n">
        <f aca="false">IF(AA552=1,R552/H552,0)</f>
        <v>0</v>
      </c>
      <c r="AE552" s="44" t="n">
        <f aca="false">IF(AA552=1,O552/H552,0)</f>
        <v>0</v>
      </c>
      <c r="AF552" s="44" t="n">
        <f aca="false">IF(AA552=1,K552/H552,0)</f>
        <v>0</v>
      </c>
      <c r="AG552" s="45" t="str">
        <f aca="false">IF(AA552=1,D552&amp;"|"&amp;TEXT(B552,"0"),"")</f>
        <v/>
      </c>
      <c r="AH552" s="43" t="n">
        <f aca="false">IF(AA552=1,H552,0)</f>
        <v>0</v>
      </c>
    </row>
    <row r="553" customFormat="false" ht="15" hidden="false" customHeight="false" outlineLevel="0" collapsed="false">
      <c r="A553" s="8" t="str">
        <f aca="false">IF(B553="","","B-"&amp;TEXT(ROW()-4,"0000"))</f>
        <v/>
      </c>
      <c r="B553" s="38"/>
      <c r="C553" s="38"/>
      <c r="D553" s="6"/>
      <c r="E553" s="6"/>
      <c r="F553" s="6"/>
      <c r="G553" s="11"/>
      <c r="H553" s="18" t="str">
        <f aca="false">IF(AND(ISNUMBER(B553),ISNUMBER(C553)),MAX(0,C553-B553),"")</f>
        <v/>
      </c>
      <c r="I553" s="37"/>
      <c r="J553" s="41" t="str">
        <f aca="false">IF(OR(D553="",N(H553)=0),"",IFERROR(IF(I553&lt;&gt;"",H553*I553,ROUND(((H553-(INT((WEEKDAY(B553-6)+H553-1)/7)+INT((WEEKDAY(B553-7)+H553-1)/7)))*INDEX(Properties!$E$5:$E$24,MATCH(D553,Properties!$A$5:$A$24,0))+(INT((WEEKDAY(B553-6)+H553-1)/7)+INT((WEEKDAY(B553-7)+H553-1)/7))*INDEX(Properties!$F$5:$F$24,MATCH(D553,Properties!$A$5:$A$24,0)))*(1-IF(H553&gt;=28,Settings!$B$10,IF(H553&gt;=7,Settings!$B$9,0))),2)),0))</f>
        <v/>
      </c>
      <c r="K553" s="41" t="str">
        <f aca="false">IF(J553="","",IFERROR(N(INDEX(Properties!$G$5:$G$24,MATCH(D553,Properties!$A$5:$A$24,0))),0))</f>
        <v/>
      </c>
      <c r="L553" s="41" t="str">
        <f aca="false">IF(J553="","",IFERROR(MAX(0,N(G553)-INDEX(Properties!$I$5:$I$24,MATCH(D553,Properties!$A$5:$A$24,0)))*N(INDEX(Properties!$J$5:$J$24,MATCH(D553,Properties!$A$5:$A$24,0)))*H553,0))</f>
        <v/>
      </c>
      <c r="M553" s="37"/>
      <c r="N553" s="41" t="str">
        <f aca="false">IF(J553="","",J553+K553+L553+N(M553))</f>
        <v/>
      </c>
      <c r="O553" s="41" t="str">
        <f aca="false">IF(N553="","",IF(P553&lt;&gt;"",N553-P553,ROUND(N553*IFERROR(INDEX(Settings!$E$5:$E$12,MATCH(F553,Settings!$D$5:$D$12,0)),0),2)))</f>
        <v/>
      </c>
      <c r="P553" s="37"/>
      <c r="Q553" s="41" t="str">
        <f aca="false">IF(N553="","",IF(P553&lt;&gt;"",P553,N553-O553))</f>
        <v/>
      </c>
      <c r="R553" s="41" t="str">
        <f aca="false">IF(J553="","",IFERROR(N(INDEX(Properties!$H$5:$H$24,MATCH(D553,Properties!$A$5:$A$24,0))),0))</f>
        <v/>
      </c>
      <c r="S553" s="41" t="str">
        <f aca="false">IF(Q553="","",Q553-R553)</f>
        <v/>
      </c>
      <c r="T553" s="6"/>
      <c r="U553" s="6"/>
      <c r="V553" s="6"/>
      <c r="W553" s="6"/>
      <c r="X553" s="6"/>
      <c r="Y553" s="8" t="str">
        <f aca="false">IF(OR(D553="",B553="",C553=""),"",IF(N(C553)&lt;=N(B553),"Check dates",IF(T553="Cancelled","",IF(COUNTIFS($D$5:$D$1004,D553,$B$5:$B$1004,"&lt;"&amp;C553,$C$5:$C$1004,"&gt;"&amp;B553,$T$5:$T$1004,"&lt;&gt;Cancelled")&gt;1,"Double-booked",""))))</f>
        <v/>
      </c>
      <c r="Z553" s="42" t="str">
        <f aca="false">IF(AND(AA553=1,ISNUMBER(C553)),C553+ROW()/100000,"")</f>
        <v/>
      </c>
      <c r="AA553" s="43" t="n">
        <f aca="false">IF(AND(D553&lt;&gt;"",ISNUMBER(B553),ISNUMBER(C553),N(H553)&gt;0,T553&lt;&gt;"Cancelled",J553&lt;&gt;""),1,0)</f>
        <v>0</v>
      </c>
      <c r="AB553" s="44" t="n">
        <f aca="false">IF(AA553=1,J553/H553,0)</f>
        <v>0</v>
      </c>
      <c r="AC553" s="44" t="n">
        <f aca="false">IF(AA553=1,Q553/H553,0)</f>
        <v>0</v>
      </c>
      <c r="AD553" s="44" t="n">
        <f aca="false">IF(AA553=1,R553/H553,0)</f>
        <v>0</v>
      </c>
      <c r="AE553" s="44" t="n">
        <f aca="false">IF(AA553=1,O553/H553,0)</f>
        <v>0</v>
      </c>
      <c r="AF553" s="44" t="n">
        <f aca="false">IF(AA553=1,K553/H553,0)</f>
        <v>0</v>
      </c>
      <c r="AG553" s="45" t="str">
        <f aca="false">IF(AA553=1,D553&amp;"|"&amp;TEXT(B553,"0"),"")</f>
        <v/>
      </c>
      <c r="AH553" s="43" t="n">
        <f aca="false">IF(AA553=1,H553,0)</f>
        <v>0</v>
      </c>
    </row>
    <row r="554" customFormat="false" ht="15" hidden="false" customHeight="false" outlineLevel="0" collapsed="false">
      <c r="A554" s="23" t="str">
        <f aca="false">IF(B554="","","B-"&amp;TEXT(ROW()-4,"0000"))</f>
        <v/>
      </c>
      <c r="B554" s="38"/>
      <c r="C554" s="38"/>
      <c r="D554" s="6"/>
      <c r="E554" s="6"/>
      <c r="F554" s="6"/>
      <c r="G554" s="11"/>
      <c r="H554" s="24" t="str">
        <f aca="false">IF(AND(ISNUMBER(B554),ISNUMBER(C554)),MAX(0,C554-B554),"")</f>
        <v/>
      </c>
      <c r="I554" s="37"/>
      <c r="J554" s="46" t="str">
        <f aca="false">IF(OR(D554="",N(H554)=0),"",IFERROR(IF(I554&lt;&gt;"",H554*I554,ROUND(((H554-(INT((WEEKDAY(B554-6)+H554-1)/7)+INT((WEEKDAY(B554-7)+H554-1)/7)))*INDEX(Properties!$E$5:$E$24,MATCH(D554,Properties!$A$5:$A$24,0))+(INT((WEEKDAY(B554-6)+H554-1)/7)+INT((WEEKDAY(B554-7)+H554-1)/7))*INDEX(Properties!$F$5:$F$24,MATCH(D554,Properties!$A$5:$A$24,0)))*(1-IF(H554&gt;=28,Settings!$B$10,IF(H554&gt;=7,Settings!$B$9,0))),2)),0))</f>
        <v/>
      </c>
      <c r="K554" s="46" t="str">
        <f aca="false">IF(J554="","",IFERROR(N(INDEX(Properties!$G$5:$G$24,MATCH(D554,Properties!$A$5:$A$24,0))),0))</f>
        <v/>
      </c>
      <c r="L554" s="46" t="str">
        <f aca="false">IF(J554="","",IFERROR(MAX(0,N(G554)-INDEX(Properties!$I$5:$I$24,MATCH(D554,Properties!$A$5:$A$24,0)))*N(INDEX(Properties!$J$5:$J$24,MATCH(D554,Properties!$A$5:$A$24,0)))*H554,0))</f>
        <v/>
      </c>
      <c r="M554" s="37"/>
      <c r="N554" s="46" t="str">
        <f aca="false">IF(J554="","",J554+K554+L554+N(M554))</f>
        <v/>
      </c>
      <c r="O554" s="46" t="str">
        <f aca="false">IF(N554="","",IF(P554&lt;&gt;"",N554-P554,ROUND(N554*IFERROR(INDEX(Settings!$E$5:$E$12,MATCH(F554,Settings!$D$5:$D$12,0)),0),2)))</f>
        <v/>
      </c>
      <c r="P554" s="37"/>
      <c r="Q554" s="46" t="str">
        <f aca="false">IF(N554="","",IF(P554&lt;&gt;"",P554,N554-O554))</f>
        <v/>
      </c>
      <c r="R554" s="46" t="str">
        <f aca="false">IF(J554="","",IFERROR(N(INDEX(Properties!$H$5:$H$24,MATCH(D554,Properties!$A$5:$A$24,0))),0))</f>
        <v/>
      </c>
      <c r="S554" s="46" t="str">
        <f aca="false">IF(Q554="","",Q554-R554)</f>
        <v/>
      </c>
      <c r="T554" s="6"/>
      <c r="U554" s="6"/>
      <c r="V554" s="6"/>
      <c r="W554" s="6"/>
      <c r="X554" s="6"/>
      <c r="Y554" s="8" t="str">
        <f aca="false">IF(OR(D554="",B554="",C554=""),"",IF(N(C554)&lt;=N(B554),"Check dates",IF(T554="Cancelled","",IF(COUNTIFS($D$5:$D$1004,D554,$B$5:$B$1004,"&lt;"&amp;C554,$C$5:$C$1004,"&gt;"&amp;B554,$T$5:$T$1004,"&lt;&gt;Cancelled")&gt;1,"Double-booked",""))))</f>
        <v/>
      </c>
      <c r="Z554" s="42" t="str">
        <f aca="false">IF(AND(AA554=1,ISNUMBER(C554)),C554+ROW()/100000,"")</f>
        <v/>
      </c>
      <c r="AA554" s="43" t="n">
        <f aca="false">IF(AND(D554&lt;&gt;"",ISNUMBER(B554),ISNUMBER(C554),N(H554)&gt;0,T554&lt;&gt;"Cancelled",J554&lt;&gt;""),1,0)</f>
        <v>0</v>
      </c>
      <c r="AB554" s="44" t="n">
        <f aca="false">IF(AA554=1,J554/H554,0)</f>
        <v>0</v>
      </c>
      <c r="AC554" s="44" t="n">
        <f aca="false">IF(AA554=1,Q554/H554,0)</f>
        <v>0</v>
      </c>
      <c r="AD554" s="44" t="n">
        <f aca="false">IF(AA554=1,R554/H554,0)</f>
        <v>0</v>
      </c>
      <c r="AE554" s="44" t="n">
        <f aca="false">IF(AA554=1,O554/H554,0)</f>
        <v>0</v>
      </c>
      <c r="AF554" s="44" t="n">
        <f aca="false">IF(AA554=1,K554/H554,0)</f>
        <v>0</v>
      </c>
      <c r="AG554" s="45" t="str">
        <f aca="false">IF(AA554=1,D554&amp;"|"&amp;TEXT(B554,"0"),"")</f>
        <v/>
      </c>
      <c r="AH554" s="43" t="n">
        <f aca="false">IF(AA554=1,H554,0)</f>
        <v>0</v>
      </c>
    </row>
    <row r="555" customFormat="false" ht="15" hidden="false" customHeight="false" outlineLevel="0" collapsed="false">
      <c r="A555" s="8" t="str">
        <f aca="false">IF(B555="","","B-"&amp;TEXT(ROW()-4,"0000"))</f>
        <v/>
      </c>
      <c r="B555" s="38"/>
      <c r="C555" s="38"/>
      <c r="D555" s="6"/>
      <c r="E555" s="6"/>
      <c r="F555" s="6"/>
      <c r="G555" s="11"/>
      <c r="H555" s="18" t="str">
        <f aca="false">IF(AND(ISNUMBER(B555),ISNUMBER(C555)),MAX(0,C555-B555),"")</f>
        <v/>
      </c>
      <c r="I555" s="37"/>
      <c r="J555" s="41" t="str">
        <f aca="false">IF(OR(D555="",N(H555)=0),"",IFERROR(IF(I555&lt;&gt;"",H555*I555,ROUND(((H555-(INT((WEEKDAY(B555-6)+H555-1)/7)+INT((WEEKDAY(B555-7)+H555-1)/7)))*INDEX(Properties!$E$5:$E$24,MATCH(D555,Properties!$A$5:$A$24,0))+(INT((WEEKDAY(B555-6)+H555-1)/7)+INT((WEEKDAY(B555-7)+H555-1)/7))*INDEX(Properties!$F$5:$F$24,MATCH(D555,Properties!$A$5:$A$24,0)))*(1-IF(H555&gt;=28,Settings!$B$10,IF(H555&gt;=7,Settings!$B$9,0))),2)),0))</f>
        <v/>
      </c>
      <c r="K555" s="41" t="str">
        <f aca="false">IF(J555="","",IFERROR(N(INDEX(Properties!$G$5:$G$24,MATCH(D555,Properties!$A$5:$A$24,0))),0))</f>
        <v/>
      </c>
      <c r="L555" s="41" t="str">
        <f aca="false">IF(J555="","",IFERROR(MAX(0,N(G555)-INDEX(Properties!$I$5:$I$24,MATCH(D555,Properties!$A$5:$A$24,0)))*N(INDEX(Properties!$J$5:$J$24,MATCH(D555,Properties!$A$5:$A$24,0)))*H555,0))</f>
        <v/>
      </c>
      <c r="M555" s="37"/>
      <c r="N555" s="41" t="str">
        <f aca="false">IF(J555="","",J555+K555+L555+N(M555))</f>
        <v/>
      </c>
      <c r="O555" s="41" t="str">
        <f aca="false">IF(N555="","",IF(P555&lt;&gt;"",N555-P555,ROUND(N555*IFERROR(INDEX(Settings!$E$5:$E$12,MATCH(F555,Settings!$D$5:$D$12,0)),0),2)))</f>
        <v/>
      </c>
      <c r="P555" s="37"/>
      <c r="Q555" s="41" t="str">
        <f aca="false">IF(N555="","",IF(P555&lt;&gt;"",P555,N555-O555))</f>
        <v/>
      </c>
      <c r="R555" s="41" t="str">
        <f aca="false">IF(J555="","",IFERROR(N(INDEX(Properties!$H$5:$H$24,MATCH(D555,Properties!$A$5:$A$24,0))),0))</f>
        <v/>
      </c>
      <c r="S555" s="41" t="str">
        <f aca="false">IF(Q555="","",Q555-R555)</f>
        <v/>
      </c>
      <c r="T555" s="6"/>
      <c r="U555" s="6"/>
      <c r="V555" s="6"/>
      <c r="W555" s="6"/>
      <c r="X555" s="6"/>
      <c r="Y555" s="8" t="str">
        <f aca="false">IF(OR(D555="",B555="",C555=""),"",IF(N(C555)&lt;=N(B555),"Check dates",IF(T555="Cancelled","",IF(COUNTIFS($D$5:$D$1004,D555,$B$5:$B$1004,"&lt;"&amp;C555,$C$5:$C$1004,"&gt;"&amp;B555,$T$5:$T$1004,"&lt;&gt;Cancelled")&gt;1,"Double-booked",""))))</f>
        <v/>
      </c>
      <c r="Z555" s="42" t="str">
        <f aca="false">IF(AND(AA555=1,ISNUMBER(C555)),C555+ROW()/100000,"")</f>
        <v/>
      </c>
      <c r="AA555" s="43" t="n">
        <f aca="false">IF(AND(D555&lt;&gt;"",ISNUMBER(B555),ISNUMBER(C555),N(H555)&gt;0,T555&lt;&gt;"Cancelled",J555&lt;&gt;""),1,0)</f>
        <v>0</v>
      </c>
      <c r="AB555" s="44" t="n">
        <f aca="false">IF(AA555=1,J555/H555,0)</f>
        <v>0</v>
      </c>
      <c r="AC555" s="44" t="n">
        <f aca="false">IF(AA555=1,Q555/H555,0)</f>
        <v>0</v>
      </c>
      <c r="AD555" s="44" t="n">
        <f aca="false">IF(AA555=1,R555/H555,0)</f>
        <v>0</v>
      </c>
      <c r="AE555" s="44" t="n">
        <f aca="false">IF(AA555=1,O555/H555,0)</f>
        <v>0</v>
      </c>
      <c r="AF555" s="44" t="n">
        <f aca="false">IF(AA555=1,K555/H555,0)</f>
        <v>0</v>
      </c>
      <c r="AG555" s="45" t="str">
        <f aca="false">IF(AA555=1,D555&amp;"|"&amp;TEXT(B555,"0"),"")</f>
        <v/>
      </c>
      <c r="AH555" s="43" t="n">
        <f aca="false">IF(AA555=1,H555,0)</f>
        <v>0</v>
      </c>
    </row>
    <row r="556" customFormat="false" ht="15" hidden="false" customHeight="false" outlineLevel="0" collapsed="false">
      <c r="A556" s="23" t="str">
        <f aca="false">IF(B556="","","B-"&amp;TEXT(ROW()-4,"0000"))</f>
        <v/>
      </c>
      <c r="B556" s="38"/>
      <c r="C556" s="38"/>
      <c r="D556" s="6"/>
      <c r="E556" s="6"/>
      <c r="F556" s="6"/>
      <c r="G556" s="11"/>
      <c r="H556" s="24" t="str">
        <f aca="false">IF(AND(ISNUMBER(B556),ISNUMBER(C556)),MAX(0,C556-B556),"")</f>
        <v/>
      </c>
      <c r="I556" s="37"/>
      <c r="J556" s="46" t="str">
        <f aca="false">IF(OR(D556="",N(H556)=0),"",IFERROR(IF(I556&lt;&gt;"",H556*I556,ROUND(((H556-(INT((WEEKDAY(B556-6)+H556-1)/7)+INT((WEEKDAY(B556-7)+H556-1)/7)))*INDEX(Properties!$E$5:$E$24,MATCH(D556,Properties!$A$5:$A$24,0))+(INT((WEEKDAY(B556-6)+H556-1)/7)+INT((WEEKDAY(B556-7)+H556-1)/7))*INDEX(Properties!$F$5:$F$24,MATCH(D556,Properties!$A$5:$A$24,0)))*(1-IF(H556&gt;=28,Settings!$B$10,IF(H556&gt;=7,Settings!$B$9,0))),2)),0))</f>
        <v/>
      </c>
      <c r="K556" s="46" t="str">
        <f aca="false">IF(J556="","",IFERROR(N(INDEX(Properties!$G$5:$G$24,MATCH(D556,Properties!$A$5:$A$24,0))),0))</f>
        <v/>
      </c>
      <c r="L556" s="46" t="str">
        <f aca="false">IF(J556="","",IFERROR(MAX(0,N(G556)-INDEX(Properties!$I$5:$I$24,MATCH(D556,Properties!$A$5:$A$24,0)))*N(INDEX(Properties!$J$5:$J$24,MATCH(D556,Properties!$A$5:$A$24,0)))*H556,0))</f>
        <v/>
      </c>
      <c r="M556" s="37"/>
      <c r="N556" s="46" t="str">
        <f aca="false">IF(J556="","",J556+K556+L556+N(M556))</f>
        <v/>
      </c>
      <c r="O556" s="46" t="str">
        <f aca="false">IF(N556="","",IF(P556&lt;&gt;"",N556-P556,ROUND(N556*IFERROR(INDEX(Settings!$E$5:$E$12,MATCH(F556,Settings!$D$5:$D$12,0)),0),2)))</f>
        <v/>
      </c>
      <c r="P556" s="37"/>
      <c r="Q556" s="46" t="str">
        <f aca="false">IF(N556="","",IF(P556&lt;&gt;"",P556,N556-O556))</f>
        <v/>
      </c>
      <c r="R556" s="46" t="str">
        <f aca="false">IF(J556="","",IFERROR(N(INDEX(Properties!$H$5:$H$24,MATCH(D556,Properties!$A$5:$A$24,0))),0))</f>
        <v/>
      </c>
      <c r="S556" s="46" t="str">
        <f aca="false">IF(Q556="","",Q556-R556)</f>
        <v/>
      </c>
      <c r="T556" s="6"/>
      <c r="U556" s="6"/>
      <c r="V556" s="6"/>
      <c r="W556" s="6"/>
      <c r="X556" s="6"/>
      <c r="Y556" s="8" t="str">
        <f aca="false">IF(OR(D556="",B556="",C556=""),"",IF(N(C556)&lt;=N(B556),"Check dates",IF(T556="Cancelled","",IF(COUNTIFS($D$5:$D$1004,D556,$B$5:$B$1004,"&lt;"&amp;C556,$C$5:$C$1004,"&gt;"&amp;B556,$T$5:$T$1004,"&lt;&gt;Cancelled")&gt;1,"Double-booked",""))))</f>
        <v/>
      </c>
      <c r="Z556" s="42" t="str">
        <f aca="false">IF(AND(AA556=1,ISNUMBER(C556)),C556+ROW()/100000,"")</f>
        <v/>
      </c>
      <c r="AA556" s="43" t="n">
        <f aca="false">IF(AND(D556&lt;&gt;"",ISNUMBER(B556),ISNUMBER(C556),N(H556)&gt;0,T556&lt;&gt;"Cancelled",J556&lt;&gt;""),1,0)</f>
        <v>0</v>
      </c>
      <c r="AB556" s="44" t="n">
        <f aca="false">IF(AA556=1,J556/H556,0)</f>
        <v>0</v>
      </c>
      <c r="AC556" s="44" t="n">
        <f aca="false">IF(AA556=1,Q556/H556,0)</f>
        <v>0</v>
      </c>
      <c r="AD556" s="44" t="n">
        <f aca="false">IF(AA556=1,R556/H556,0)</f>
        <v>0</v>
      </c>
      <c r="AE556" s="44" t="n">
        <f aca="false">IF(AA556=1,O556/H556,0)</f>
        <v>0</v>
      </c>
      <c r="AF556" s="44" t="n">
        <f aca="false">IF(AA556=1,K556/H556,0)</f>
        <v>0</v>
      </c>
      <c r="AG556" s="45" t="str">
        <f aca="false">IF(AA556=1,D556&amp;"|"&amp;TEXT(B556,"0"),"")</f>
        <v/>
      </c>
      <c r="AH556" s="43" t="n">
        <f aca="false">IF(AA556=1,H556,0)</f>
        <v>0</v>
      </c>
    </row>
    <row r="557" customFormat="false" ht="15" hidden="false" customHeight="false" outlineLevel="0" collapsed="false">
      <c r="A557" s="8" t="str">
        <f aca="false">IF(B557="","","B-"&amp;TEXT(ROW()-4,"0000"))</f>
        <v/>
      </c>
      <c r="B557" s="38"/>
      <c r="C557" s="38"/>
      <c r="D557" s="6"/>
      <c r="E557" s="6"/>
      <c r="F557" s="6"/>
      <c r="G557" s="11"/>
      <c r="H557" s="18" t="str">
        <f aca="false">IF(AND(ISNUMBER(B557),ISNUMBER(C557)),MAX(0,C557-B557),"")</f>
        <v/>
      </c>
      <c r="I557" s="37"/>
      <c r="J557" s="41" t="str">
        <f aca="false">IF(OR(D557="",N(H557)=0),"",IFERROR(IF(I557&lt;&gt;"",H557*I557,ROUND(((H557-(INT((WEEKDAY(B557-6)+H557-1)/7)+INT((WEEKDAY(B557-7)+H557-1)/7)))*INDEX(Properties!$E$5:$E$24,MATCH(D557,Properties!$A$5:$A$24,0))+(INT((WEEKDAY(B557-6)+H557-1)/7)+INT((WEEKDAY(B557-7)+H557-1)/7))*INDEX(Properties!$F$5:$F$24,MATCH(D557,Properties!$A$5:$A$24,0)))*(1-IF(H557&gt;=28,Settings!$B$10,IF(H557&gt;=7,Settings!$B$9,0))),2)),0))</f>
        <v/>
      </c>
      <c r="K557" s="41" t="str">
        <f aca="false">IF(J557="","",IFERROR(N(INDEX(Properties!$G$5:$G$24,MATCH(D557,Properties!$A$5:$A$24,0))),0))</f>
        <v/>
      </c>
      <c r="L557" s="41" t="str">
        <f aca="false">IF(J557="","",IFERROR(MAX(0,N(G557)-INDEX(Properties!$I$5:$I$24,MATCH(D557,Properties!$A$5:$A$24,0)))*N(INDEX(Properties!$J$5:$J$24,MATCH(D557,Properties!$A$5:$A$24,0)))*H557,0))</f>
        <v/>
      </c>
      <c r="M557" s="37"/>
      <c r="N557" s="41" t="str">
        <f aca="false">IF(J557="","",J557+K557+L557+N(M557))</f>
        <v/>
      </c>
      <c r="O557" s="41" t="str">
        <f aca="false">IF(N557="","",IF(P557&lt;&gt;"",N557-P557,ROUND(N557*IFERROR(INDEX(Settings!$E$5:$E$12,MATCH(F557,Settings!$D$5:$D$12,0)),0),2)))</f>
        <v/>
      </c>
      <c r="P557" s="37"/>
      <c r="Q557" s="41" t="str">
        <f aca="false">IF(N557="","",IF(P557&lt;&gt;"",P557,N557-O557))</f>
        <v/>
      </c>
      <c r="R557" s="41" t="str">
        <f aca="false">IF(J557="","",IFERROR(N(INDEX(Properties!$H$5:$H$24,MATCH(D557,Properties!$A$5:$A$24,0))),0))</f>
        <v/>
      </c>
      <c r="S557" s="41" t="str">
        <f aca="false">IF(Q557="","",Q557-R557)</f>
        <v/>
      </c>
      <c r="T557" s="6"/>
      <c r="U557" s="6"/>
      <c r="V557" s="6"/>
      <c r="W557" s="6"/>
      <c r="X557" s="6"/>
      <c r="Y557" s="8" t="str">
        <f aca="false">IF(OR(D557="",B557="",C557=""),"",IF(N(C557)&lt;=N(B557),"Check dates",IF(T557="Cancelled","",IF(COUNTIFS($D$5:$D$1004,D557,$B$5:$B$1004,"&lt;"&amp;C557,$C$5:$C$1004,"&gt;"&amp;B557,$T$5:$T$1004,"&lt;&gt;Cancelled")&gt;1,"Double-booked",""))))</f>
        <v/>
      </c>
      <c r="Z557" s="42" t="str">
        <f aca="false">IF(AND(AA557=1,ISNUMBER(C557)),C557+ROW()/100000,"")</f>
        <v/>
      </c>
      <c r="AA557" s="43" t="n">
        <f aca="false">IF(AND(D557&lt;&gt;"",ISNUMBER(B557),ISNUMBER(C557),N(H557)&gt;0,T557&lt;&gt;"Cancelled",J557&lt;&gt;""),1,0)</f>
        <v>0</v>
      </c>
      <c r="AB557" s="44" t="n">
        <f aca="false">IF(AA557=1,J557/H557,0)</f>
        <v>0</v>
      </c>
      <c r="AC557" s="44" t="n">
        <f aca="false">IF(AA557=1,Q557/H557,0)</f>
        <v>0</v>
      </c>
      <c r="AD557" s="44" t="n">
        <f aca="false">IF(AA557=1,R557/H557,0)</f>
        <v>0</v>
      </c>
      <c r="AE557" s="44" t="n">
        <f aca="false">IF(AA557=1,O557/H557,0)</f>
        <v>0</v>
      </c>
      <c r="AF557" s="44" t="n">
        <f aca="false">IF(AA557=1,K557/H557,0)</f>
        <v>0</v>
      </c>
      <c r="AG557" s="45" t="str">
        <f aca="false">IF(AA557=1,D557&amp;"|"&amp;TEXT(B557,"0"),"")</f>
        <v/>
      </c>
      <c r="AH557" s="43" t="n">
        <f aca="false">IF(AA557=1,H557,0)</f>
        <v>0</v>
      </c>
    </row>
    <row r="558" customFormat="false" ht="15" hidden="false" customHeight="false" outlineLevel="0" collapsed="false">
      <c r="A558" s="23" t="str">
        <f aca="false">IF(B558="","","B-"&amp;TEXT(ROW()-4,"0000"))</f>
        <v/>
      </c>
      <c r="B558" s="38"/>
      <c r="C558" s="38"/>
      <c r="D558" s="6"/>
      <c r="E558" s="6"/>
      <c r="F558" s="6"/>
      <c r="G558" s="11"/>
      <c r="H558" s="24" t="str">
        <f aca="false">IF(AND(ISNUMBER(B558),ISNUMBER(C558)),MAX(0,C558-B558),"")</f>
        <v/>
      </c>
      <c r="I558" s="37"/>
      <c r="J558" s="46" t="str">
        <f aca="false">IF(OR(D558="",N(H558)=0),"",IFERROR(IF(I558&lt;&gt;"",H558*I558,ROUND(((H558-(INT((WEEKDAY(B558-6)+H558-1)/7)+INT((WEEKDAY(B558-7)+H558-1)/7)))*INDEX(Properties!$E$5:$E$24,MATCH(D558,Properties!$A$5:$A$24,0))+(INT((WEEKDAY(B558-6)+H558-1)/7)+INT((WEEKDAY(B558-7)+H558-1)/7))*INDEX(Properties!$F$5:$F$24,MATCH(D558,Properties!$A$5:$A$24,0)))*(1-IF(H558&gt;=28,Settings!$B$10,IF(H558&gt;=7,Settings!$B$9,0))),2)),0))</f>
        <v/>
      </c>
      <c r="K558" s="46" t="str">
        <f aca="false">IF(J558="","",IFERROR(N(INDEX(Properties!$G$5:$G$24,MATCH(D558,Properties!$A$5:$A$24,0))),0))</f>
        <v/>
      </c>
      <c r="L558" s="46" t="str">
        <f aca="false">IF(J558="","",IFERROR(MAX(0,N(G558)-INDEX(Properties!$I$5:$I$24,MATCH(D558,Properties!$A$5:$A$24,0)))*N(INDEX(Properties!$J$5:$J$24,MATCH(D558,Properties!$A$5:$A$24,0)))*H558,0))</f>
        <v/>
      </c>
      <c r="M558" s="37"/>
      <c r="N558" s="46" t="str">
        <f aca="false">IF(J558="","",J558+K558+L558+N(M558))</f>
        <v/>
      </c>
      <c r="O558" s="46" t="str">
        <f aca="false">IF(N558="","",IF(P558&lt;&gt;"",N558-P558,ROUND(N558*IFERROR(INDEX(Settings!$E$5:$E$12,MATCH(F558,Settings!$D$5:$D$12,0)),0),2)))</f>
        <v/>
      </c>
      <c r="P558" s="37"/>
      <c r="Q558" s="46" t="str">
        <f aca="false">IF(N558="","",IF(P558&lt;&gt;"",P558,N558-O558))</f>
        <v/>
      </c>
      <c r="R558" s="46" t="str">
        <f aca="false">IF(J558="","",IFERROR(N(INDEX(Properties!$H$5:$H$24,MATCH(D558,Properties!$A$5:$A$24,0))),0))</f>
        <v/>
      </c>
      <c r="S558" s="46" t="str">
        <f aca="false">IF(Q558="","",Q558-R558)</f>
        <v/>
      </c>
      <c r="T558" s="6"/>
      <c r="U558" s="6"/>
      <c r="V558" s="6"/>
      <c r="W558" s="6"/>
      <c r="X558" s="6"/>
      <c r="Y558" s="8" t="str">
        <f aca="false">IF(OR(D558="",B558="",C558=""),"",IF(N(C558)&lt;=N(B558),"Check dates",IF(T558="Cancelled","",IF(COUNTIFS($D$5:$D$1004,D558,$B$5:$B$1004,"&lt;"&amp;C558,$C$5:$C$1004,"&gt;"&amp;B558,$T$5:$T$1004,"&lt;&gt;Cancelled")&gt;1,"Double-booked",""))))</f>
        <v/>
      </c>
      <c r="Z558" s="42" t="str">
        <f aca="false">IF(AND(AA558=1,ISNUMBER(C558)),C558+ROW()/100000,"")</f>
        <v/>
      </c>
      <c r="AA558" s="43" t="n">
        <f aca="false">IF(AND(D558&lt;&gt;"",ISNUMBER(B558),ISNUMBER(C558),N(H558)&gt;0,T558&lt;&gt;"Cancelled",J558&lt;&gt;""),1,0)</f>
        <v>0</v>
      </c>
      <c r="AB558" s="44" t="n">
        <f aca="false">IF(AA558=1,J558/H558,0)</f>
        <v>0</v>
      </c>
      <c r="AC558" s="44" t="n">
        <f aca="false">IF(AA558=1,Q558/H558,0)</f>
        <v>0</v>
      </c>
      <c r="AD558" s="44" t="n">
        <f aca="false">IF(AA558=1,R558/H558,0)</f>
        <v>0</v>
      </c>
      <c r="AE558" s="44" t="n">
        <f aca="false">IF(AA558=1,O558/H558,0)</f>
        <v>0</v>
      </c>
      <c r="AF558" s="44" t="n">
        <f aca="false">IF(AA558=1,K558/H558,0)</f>
        <v>0</v>
      </c>
      <c r="AG558" s="45" t="str">
        <f aca="false">IF(AA558=1,D558&amp;"|"&amp;TEXT(B558,"0"),"")</f>
        <v/>
      </c>
      <c r="AH558" s="43" t="n">
        <f aca="false">IF(AA558=1,H558,0)</f>
        <v>0</v>
      </c>
    </row>
    <row r="559" customFormat="false" ht="15" hidden="false" customHeight="false" outlineLevel="0" collapsed="false">
      <c r="A559" s="8" t="str">
        <f aca="false">IF(B559="","","B-"&amp;TEXT(ROW()-4,"0000"))</f>
        <v/>
      </c>
      <c r="B559" s="38"/>
      <c r="C559" s="38"/>
      <c r="D559" s="6"/>
      <c r="E559" s="6"/>
      <c r="F559" s="6"/>
      <c r="G559" s="11"/>
      <c r="H559" s="18" t="str">
        <f aca="false">IF(AND(ISNUMBER(B559),ISNUMBER(C559)),MAX(0,C559-B559),"")</f>
        <v/>
      </c>
      <c r="I559" s="37"/>
      <c r="J559" s="41" t="str">
        <f aca="false">IF(OR(D559="",N(H559)=0),"",IFERROR(IF(I559&lt;&gt;"",H559*I559,ROUND(((H559-(INT((WEEKDAY(B559-6)+H559-1)/7)+INT((WEEKDAY(B559-7)+H559-1)/7)))*INDEX(Properties!$E$5:$E$24,MATCH(D559,Properties!$A$5:$A$24,0))+(INT((WEEKDAY(B559-6)+H559-1)/7)+INT((WEEKDAY(B559-7)+H559-1)/7))*INDEX(Properties!$F$5:$F$24,MATCH(D559,Properties!$A$5:$A$24,0)))*(1-IF(H559&gt;=28,Settings!$B$10,IF(H559&gt;=7,Settings!$B$9,0))),2)),0))</f>
        <v/>
      </c>
      <c r="K559" s="41" t="str">
        <f aca="false">IF(J559="","",IFERROR(N(INDEX(Properties!$G$5:$G$24,MATCH(D559,Properties!$A$5:$A$24,0))),0))</f>
        <v/>
      </c>
      <c r="L559" s="41" t="str">
        <f aca="false">IF(J559="","",IFERROR(MAX(0,N(G559)-INDEX(Properties!$I$5:$I$24,MATCH(D559,Properties!$A$5:$A$24,0)))*N(INDEX(Properties!$J$5:$J$24,MATCH(D559,Properties!$A$5:$A$24,0)))*H559,0))</f>
        <v/>
      </c>
      <c r="M559" s="37"/>
      <c r="N559" s="41" t="str">
        <f aca="false">IF(J559="","",J559+K559+L559+N(M559))</f>
        <v/>
      </c>
      <c r="O559" s="41" t="str">
        <f aca="false">IF(N559="","",IF(P559&lt;&gt;"",N559-P559,ROUND(N559*IFERROR(INDEX(Settings!$E$5:$E$12,MATCH(F559,Settings!$D$5:$D$12,0)),0),2)))</f>
        <v/>
      </c>
      <c r="P559" s="37"/>
      <c r="Q559" s="41" t="str">
        <f aca="false">IF(N559="","",IF(P559&lt;&gt;"",P559,N559-O559))</f>
        <v/>
      </c>
      <c r="R559" s="41" t="str">
        <f aca="false">IF(J559="","",IFERROR(N(INDEX(Properties!$H$5:$H$24,MATCH(D559,Properties!$A$5:$A$24,0))),0))</f>
        <v/>
      </c>
      <c r="S559" s="41" t="str">
        <f aca="false">IF(Q559="","",Q559-R559)</f>
        <v/>
      </c>
      <c r="T559" s="6"/>
      <c r="U559" s="6"/>
      <c r="V559" s="6"/>
      <c r="W559" s="6"/>
      <c r="X559" s="6"/>
      <c r="Y559" s="8" t="str">
        <f aca="false">IF(OR(D559="",B559="",C559=""),"",IF(N(C559)&lt;=N(B559),"Check dates",IF(T559="Cancelled","",IF(COUNTIFS($D$5:$D$1004,D559,$B$5:$B$1004,"&lt;"&amp;C559,$C$5:$C$1004,"&gt;"&amp;B559,$T$5:$T$1004,"&lt;&gt;Cancelled")&gt;1,"Double-booked",""))))</f>
        <v/>
      </c>
      <c r="Z559" s="42" t="str">
        <f aca="false">IF(AND(AA559=1,ISNUMBER(C559)),C559+ROW()/100000,"")</f>
        <v/>
      </c>
      <c r="AA559" s="43" t="n">
        <f aca="false">IF(AND(D559&lt;&gt;"",ISNUMBER(B559),ISNUMBER(C559),N(H559)&gt;0,T559&lt;&gt;"Cancelled",J559&lt;&gt;""),1,0)</f>
        <v>0</v>
      </c>
      <c r="AB559" s="44" t="n">
        <f aca="false">IF(AA559=1,J559/H559,0)</f>
        <v>0</v>
      </c>
      <c r="AC559" s="44" t="n">
        <f aca="false">IF(AA559=1,Q559/H559,0)</f>
        <v>0</v>
      </c>
      <c r="AD559" s="44" t="n">
        <f aca="false">IF(AA559=1,R559/H559,0)</f>
        <v>0</v>
      </c>
      <c r="AE559" s="44" t="n">
        <f aca="false">IF(AA559=1,O559/H559,0)</f>
        <v>0</v>
      </c>
      <c r="AF559" s="44" t="n">
        <f aca="false">IF(AA559=1,K559/H559,0)</f>
        <v>0</v>
      </c>
      <c r="AG559" s="45" t="str">
        <f aca="false">IF(AA559=1,D559&amp;"|"&amp;TEXT(B559,"0"),"")</f>
        <v/>
      </c>
      <c r="AH559" s="43" t="n">
        <f aca="false">IF(AA559=1,H559,0)</f>
        <v>0</v>
      </c>
    </row>
    <row r="560" customFormat="false" ht="15" hidden="false" customHeight="false" outlineLevel="0" collapsed="false">
      <c r="A560" s="23" t="str">
        <f aca="false">IF(B560="","","B-"&amp;TEXT(ROW()-4,"0000"))</f>
        <v/>
      </c>
      <c r="B560" s="38"/>
      <c r="C560" s="38"/>
      <c r="D560" s="6"/>
      <c r="E560" s="6"/>
      <c r="F560" s="6"/>
      <c r="G560" s="11"/>
      <c r="H560" s="24" t="str">
        <f aca="false">IF(AND(ISNUMBER(B560),ISNUMBER(C560)),MAX(0,C560-B560),"")</f>
        <v/>
      </c>
      <c r="I560" s="37"/>
      <c r="J560" s="46" t="str">
        <f aca="false">IF(OR(D560="",N(H560)=0),"",IFERROR(IF(I560&lt;&gt;"",H560*I560,ROUND(((H560-(INT((WEEKDAY(B560-6)+H560-1)/7)+INT((WEEKDAY(B560-7)+H560-1)/7)))*INDEX(Properties!$E$5:$E$24,MATCH(D560,Properties!$A$5:$A$24,0))+(INT((WEEKDAY(B560-6)+H560-1)/7)+INT((WEEKDAY(B560-7)+H560-1)/7))*INDEX(Properties!$F$5:$F$24,MATCH(D560,Properties!$A$5:$A$24,0)))*(1-IF(H560&gt;=28,Settings!$B$10,IF(H560&gt;=7,Settings!$B$9,0))),2)),0))</f>
        <v/>
      </c>
      <c r="K560" s="46" t="str">
        <f aca="false">IF(J560="","",IFERROR(N(INDEX(Properties!$G$5:$G$24,MATCH(D560,Properties!$A$5:$A$24,0))),0))</f>
        <v/>
      </c>
      <c r="L560" s="46" t="str">
        <f aca="false">IF(J560="","",IFERROR(MAX(0,N(G560)-INDEX(Properties!$I$5:$I$24,MATCH(D560,Properties!$A$5:$A$24,0)))*N(INDEX(Properties!$J$5:$J$24,MATCH(D560,Properties!$A$5:$A$24,0)))*H560,0))</f>
        <v/>
      </c>
      <c r="M560" s="37"/>
      <c r="N560" s="46" t="str">
        <f aca="false">IF(J560="","",J560+K560+L560+N(M560))</f>
        <v/>
      </c>
      <c r="O560" s="46" t="str">
        <f aca="false">IF(N560="","",IF(P560&lt;&gt;"",N560-P560,ROUND(N560*IFERROR(INDEX(Settings!$E$5:$E$12,MATCH(F560,Settings!$D$5:$D$12,0)),0),2)))</f>
        <v/>
      </c>
      <c r="P560" s="37"/>
      <c r="Q560" s="46" t="str">
        <f aca="false">IF(N560="","",IF(P560&lt;&gt;"",P560,N560-O560))</f>
        <v/>
      </c>
      <c r="R560" s="46" t="str">
        <f aca="false">IF(J560="","",IFERROR(N(INDEX(Properties!$H$5:$H$24,MATCH(D560,Properties!$A$5:$A$24,0))),0))</f>
        <v/>
      </c>
      <c r="S560" s="46" t="str">
        <f aca="false">IF(Q560="","",Q560-R560)</f>
        <v/>
      </c>
      <c r="T560" s="6"/>
      <c r="U560" s="6"/>
      <c r="V560" s="6"/>
      <c r="W560" s="6"/>
      <c r="X560" s="6"/>
      <c r="Y560" s="8" t="str">
        <f aca="false">IF(OR(D560="",B560="",C560=""),"",IF(N(C560)&lt;=N(B560),"Check dates",IF(T560="Cancelled","",IF(COUNTIFS($D$5:$D$1004,D560,$B$5:$B$1004,"&lt;"&amp;C560,$C$5:$C$1004,"&gt;"&amp;B560,$T$5:$T$1004,"&lt;&gt;Cancelled")&gt;1,"Double-booked",""))))</f>
        <v/>
      </c>
      <c r="Z560" s="42" t="str">
        <f aca="false">IF(AND(AA560=1,ISNUMBER(C560)),C560+ROW()/100000,"")</f>
        <v/>
      </c>
      <c r="AA560" s="43" t="n">
        <f aca="false">IF(AND(D560&lt;&gt;"",ISNUMBER(B560),ISNUMBER(C560),N(H560)&gt;0,T560&lt;&gt;"Cancelled",J560&lt;&gt;""),1,0)</f>
        <v>0</v>
      </c>
      <c r="AB560" s="44" t="n">
        <f aca="false">IF(AA560=1,J560/H560,0)</f>
        <v>0</v>
      </c>
      <c r="AC560" s="44" t="n">
        <f aca="false">IF(AA560=1,Q560/H560,0)</f>
        <v>0</v>
      </c>
      <c r="AD560" s="44" t="n">
        <f aca="false">IF(AA560=1,R560/H560,0)</f>
        <v>0</v>
      </c>
      <c r="AE560" s="44" t="n">
        <f aca="false">IF(AA560=1,O560/H560,0)</f>
        <v>0</v>
      </c>
      <c r="AF560" s="44" t="n">
        <f aca="false">IF(AA560=1,K560/H560,0)</f>
        <v>0</v>
      </c>
      <c r="AG560" s="45" t="str">
        <f aca="false">IF(AA560=1,D560&amp;"|"&amp;TEXT(B560,"0"),"")</f>
        <v/>
      </c>
      <c r="AH560" s="43" t="n">
        <f aca="false">IF(AA560=1,H560,0)</f>
        <v>0</v>
      </c>
    </row>
    <row r="561" customFormat="false" ht="15" hidden="false" customHeight="false" outlineLevel="0" collapsed="false">
      <c r="A561" s="8" t="str">
        <f aca="false">IF(B561="","","B-"&amp;TEXT(ROW()-4,"0000"))</f>
        <v/>
      </c>
      <c r="B561" s="38"/>
      <c r="C561" s="38"/>
      <c r="D561" s="6"/>
      <c r="E561" s="6"/>
      <c r="F561" s="6"/>
      <c r="G561" s="11"/>
      <c r="H561" s="18" t="str">
        <f aca="false">IF(AND(ISNUMBER(B561),ISNUMBER(C561)),MAX(0,C561-B561),"")</f>
        <v/>
      </c>
      <c r="I561" s="37"/>
      <c r="J561" s="41" t="str">
        <f aca="false">IF(OR(D561="",N(H561)=0),"",IFERROR(IF(I561&lt;&gt;"",H561*I561,ROUND(((H561-(INT((WEEKDAY(B561-6)+H561-1)/7)+INT((WEEKDAY(B561-7)+H561-1)/7)))*INDEX(Properties!$E$5:$E$24,MATCH(D561,Properties!$A$5:$A$24,0))+(INT((WEEKDAY(B561-6)+H561-1)/7)+INT((WEEKDAY(B561-7)+H561-1)/7))*INDEX(Properties!$F$5:$F$24,MATCH(D561,Properties!$A$5:$A$24,0)))*(1-IF(H561&gt;=28,Settings!$B$10,IF(H561&gt;=7,Settings!$B$9,0))),2)),0))</f>
        <v/>
      </c>
      <c r="K561" s="41" t="str">
        <f aca="false">IF(J561="","",IFERROR(N(INDEX(Properties!$G$5:$G$24,MATCH(D561,Properties!$A$5:$A$24,0))),0))</f>
        <v/>
      </c>
      <c r="L561" s="41" t="str">
        <f aca="false">IF(J561="","",IFERROR(MAX(0,N(G561)-INDEX(Properties!$I$5:$I$24,MATCH(D561,Properties!$A$5:$A$24,0)))*N(INDEX(Properties!$J$5:$J$24,MATCH(D561,Properties!$A$5:$A$24,0)))*H561,0))</f>
        <v/>
      </c>
      <c r="M561" s="37"/>
      <c r="N561" s="41" t="str">
        <f aca="false">IF(J561="","",J561+K561+L561+N(M561))</f>
        <v/>
      </c>
      <c r="O561" s="41" t="str">
        <f aca="false">IF(N561="","",IF(P561&lt;&gt;"",N561-P561,ROUND(N561*IFERROR(INDEX(Settings!$E$5:$E$12,MATCH(F561,Settings!$D$5:$D$12,0)),0),2)))</f>
        <v/>
      </c>
      <c r="P561" s="37"/>
      <c r="Q561" s="41" t="str">
        <f aca="false">IF(N561="","",IF(P561&lt;&gt;"",P561,N561-O561))</f>
        <v/>
      </c>
      <c r="R561" s="41" t="str">
        <f aca="false">IF(J561="","",IFERROR(N(INDEX(Properties!$H$5:$H$24,MATCH(D561,Properties!$A$5:$A$24,0))),0))</f>
        <v/>
      </c>
      <c r="S561" s="41" t="str">
        <f aca="false">IF(Q561="","",Q561-R561)</f>
        <v/>
      </c>
      <c r="T561" s="6"/>
      <c r="U561" s="6"/>
      <c r="V561" s="6"/>
      <c r="W561" s="6"/>
      <c r="X561" s="6"/>
      <c r="Y561" s="8" t="str">
        <f aca="false">IF(OR(D561="",B561="",C561=""),"",IF(N(C561)&lt;=N(B561),"Check dates",IF(T561="Cancelled","",IF(COUNTIFS($D$5:$D$1004,D561,$B$5:$B$1004,"&lt;"&amp;C561,$C$5:$C$1004,"&gt;"&amp;B561,$T$5:$T$1004,"&lt;&gt;Cancelled")&gt;1,"Double-booked",""))))</f>
        <v/>
      </c>
      <c r="Z561" s="42" t="str">
        <f aca="false">IF(AND(AA561=1,ISNUMBER(C561)),C561+ROW()/100000,"")</f>
        <v/>
      </c>
      <c r="AA561" s="43" t="n">
        <f aca="false">IF(AND(D561&lt;&gt;"",ISNUMBER(B561),ISNUMBER(C561),N(H561)&gt;0,T561&lt;&gt;"Cancelled",J561&lt;&gt;""),1,0)</f>
        <v>0</v>
      </c>
      <c r="AB561" s="44" t="n">
        <f aca="false">IF(AA561=1,J561/H561,0)</f>
        <v>0</v>
      </c>
      <c r="AC561" s="44" t="n">
        <f aca="false">IF(AA561=1,Q561/H561,0)</f>
        <v>0</v>
      </c>
      <c r="AD561" s="44" t="n">
        <f aca="false">IF(AA561=1,R561/H561,0)</f>
        <v>0</v>
      </c>
      <c r="AE561" s="44" t="n">
        <f aca="false">IF(AA561=1,O561/H561,0)</f>
        <v>0</v>
      </c>
      <c r="AF561" s="44" t="n">
        <f aca="false">IF(AA561=1,K561/H561,0)</f>
        <v>0</v>
      </c>
      <c r="AG561" s="45" t="str">
        <f aca="false">IF(AA561=1,D561&amp;"|"&amp;TEXT(B561,"0"),"")</f>
        <v/>
      </c>
      <c r="AH561" s="43" t="n">
        <f aca="false">IF(AA561=1,H561,0)</f>
        <v>0</v>
      </c>
    </row>
    <row r="562" customFormat="false" ht="15" hidden="false" customHeight="false" outlineLevel="0" collapsed="false">
      <c r="A562" s="23" t="str">
        <f aca="false">IF(B562="","","B-"&amp;TEXT(ROW()-4,"0000"))</f>
        <v/>
      </c>
      <c r="B562" s="38"/>
      <c r="C562" s="38"/>
      <c r="D562" s="6"/>
      <c r="E562" s="6"/>
      <c r="F562" s="6"/>
      <c r="G562" s="11"/>
      <c r="H562" s="24" t="str">
        <f aca="false">IF(AND(ISNUMBER(B562),ISNUMBER(C562)),MAX(0,C562-B562),"")</f>
        <v/>
      </c>
      <c r="I562" s="37"/>
      <c r="J562" s="46" t="str">
        <f aca="false">IF(OR(D562="",N(H562)=0),"",IFERROR(IF(I562&lt;&gt;"",H562*I562,ROUND(((H562-(INT((WEEKDAY(B562-6)+H562-1)/7)+INT((WEEKDAY(B562-7)+H562-1)/7)))*INDEX(Properties!$E$5:$E$24,MATCH(D562,Properties!$A$5:$A$24,0))+(INT((WEEKDAY(B562-6)+H562-1)/7)+INT((WEEKDAY(B562-7)+H562-1)/7))*INDEX(Properties!$F$5:$F$24,MATCH(D562,Properties!$A$5:$A$24,0)))*(1-IF(H562&gt;=28,Settings!$B$10,IF(H562&gt;=7,Settings!$B$9,0))),2)),0))</f>
        <v/>
      </c>
      <c r="K562" s="46" t="str">
        <f aca="false">IF(J562="","",IFERROR(N(INDEX(Properties!$G$5:$G$24,MATCH(D562,Properties!$A$5:$A$24,0))),0))</f>
        <v/>
      </c>
      <c r="L562" s="46" t="str">
        <f aca="false">IF(J562="","",IFERROR(MAX(0,N(G562)-INDEX(Properties!$I$5:$I$24,MATCH(D562,Properties!$A$5:$A$24,0)))*N(INDEX(Properties!$J$5:$J$24,MATCH(D562,Properties!$A$5:$A$24,0)))*H562,0))</f>
        <v/>
      </c>
      <c r="M562" s="37"/>
      <c r="N562" s="46" t="str">
        <f aca="false">IF(J562="","",J562+K562+L562+N(M562))</f>
        <v/>
      </c>
      <c r="O562" s="46" t="str">
        <f aca="false">IF(N562="","",IF(P562&lt;&gt;"",N562-P562,ROUND(N562*IFERROR(INDEX(Settings!$E$5:$E$12,MATCH(F562,Settings!$D$5:$D$12,0)),0),2)))</f>
        <v/>
      </c>
      <c r="P562" s="37"/>
      <c r="Q562" s="46" t="str">
        <f aca="false">IF(N562="","",IF(P562&lt;&gt;"",P562,N562-O562))</f>
        <v/>
      </c>
      <c r="R562" s="46" t="str">
        <f aca="false">IF(J562="","",IFERROR(N(INDEX(Properties!$H$5:$H$24,MATCH(D562,Properties!$A$5:$A$24,0))),0))</f>
        <v/>
      </c>
      <c r="S562" s="46" t="str">
        <f aca="false">IF(Q562="","",Q562-R562)</f>
        <v/>
      </c>
      <c r="T562" s="6"/>
      <c r="U562" s="6"/>
      <c r="V562" s="6"/>
      <c r="W562" s="6"/>
      <c r="X562" s="6"/>
      <c r="Y562" s="8" t="str">
        <f aca="false">IF(OR(D562="",B562="",C562=""),"",IF(N(C562)&lt;=N(B562),"Check dates",IF(T562="Cancelled","",IF(COUNTIFS($D$5:$D$1004,D562,$B$5:$B$1004,"&lt;"&amp;C562,$C$5:$C$1004,"&gt;"&amp;B562,$T$5:$T$1004,"&lt;&gt;Cancelled")&gt;1,"Double-booked",""))))</f>
        <v/>
      </c>
      <c r="Z562" s="42" t="str">
        <f aca="false">IF(AND(AA562=1,ISNUMBER(C562)),C562+ROW()/100000,"")</f>
        <v/>
      </c>
      <c r="AA562" s="43" t="n">
        <f aca="false">IF(AND(D562&lt;&gt;"",ISNUMBER(B562),ISNUMBER(C562),N(H562)&gt;0,T562&lt;&gt;"Cancelled",J562&lt;&gt;""),1,0)</f>
        <v>0</v>
      </c>
      <c r="AB562" s="44" t="n">
        <f aca="false">IF(AA562=1,J562/H562,0)</f>
        <v>0</v>
      </c>
      <c r="AC562" s="44" t="n">
        <f aca="false">IF(AA562=1,Q562/H562,0)</f>
        <v>0</v>
      </c>
      <c r="AD562" s="44" t="n">
        <f aca="false">IF(AA562=1,R562/H562,0)</f>
        <v>0</v>
      </c>
      <c r="AE562" s="44" t="n">
        <f aca="false">IF(AA562=1,O562/H562,0)</f>
        <v>0</v>
      </c>
      <c r="AF562" s="44" t="n">
        <f aca="false">IF(AA562=1,K562/H562,0)</f>
        <v>0</v>
      </c>
      <c r="AG562" s="45" t="str">
        <f aca="false">IF(AA562=1,D562&amp;"|"&amp;TEXT(B562,"0"),"")</f>
        <v/>
      </c>
      <c r="AH562" s="43" t="n">
        <f aca="false">IF(AA562=1,H562,0)</f>
        <v>0</v>
      </c>
    </row>
    <row r="563" customFormat="false" ht="15" hidden="false" customHeight="false" outlineLevel="0" collapsed="false">
      <c r="A563" s="8" t="str">
        <f aca="false">IF(B563="","","B-"&amp;TEXT(ROW()-4,"0000"))</f>
        <v/>
      </c>
      <c r="B563" s="38"/>
      <c r="C563" s="38"/>
      <c r="D563" s="6"/>
      <c r="E563" s="6"/>
      <c r="F563" s="6"/>
      <c r="G563" s="11"/>
      <c r="H563" s="18" t="str">
        <f aca="false">IF(AND(ISNUMBER(B563),ISNUMBER(C563)),MAX(0,C563-B563),"")</f>
        <v/>
      </c>
      <c r="I563" s="37"/>
      <c r="J563" s="41" t="str">
        <f aca="false">IF(OR(D563="",N(H563)=0),"",IFERROR(IF(I563&lt;&gt;"",H563*I563,ROUND(((H563-(INT((WEEKDAY(B563-6)+H563-1)/7)+INT((WEEKDAY(B563-7)+H563-1)/7)))*INDEX(Properties!$E$5:$E$24,MATCH(D563,Properties!$A$5:$A$24,0))+(INT((WEEKDAY(B563-6)+H563-1)/7)+INT((WEEKDAY(B563-7)+H563-1)/7))*INDEX(Properties!$F$5:$F$24,MATCH(D563,Properties!$A$5:$A$24,0)))*(1-IF(H563&gt;=28,Settings!$B$10,IF(H563&gt;=7,Settings!$B$9,0))),2)),0))</f>
        <v/>
      </c>
      <c r="K563" s="41" t="str">
        <f aca="false">IF(J563="","",IFERROR(N(INDEX(Properties!$G$5:$G$24,MATCH(D563,Properties!$A$5:$A$24,0))),0))</f>
        <v/>
      </c>
      <c r="L563" s="41" t="str">
        <f aca="false">IF(J563="","",IFERROR(MAX(0,N(G563)-INDEX(Properties!$I$5:$I$24,MATCH(D563,Properties!$A$5:$A$24,0)))*N(INDEX(Properties!$J$5:$J$24,MATCH(D563,Properties!$A$5:$A$24,0)))*H563,0))</f>
        <v/>
      </c>
      <c r="M563" s="37"/>
      <c r="N563" s="41" t="str">
        <f aca="false">IF(J563="","",J563+K563+L563+N(M563))</f>
        <v/>
      </c>
      <c r="O563" s="41" t="str">
        <f aca="false">IF(N563="","",IF(P563&lt;&gt;"",N563-P563,ROUND(N563*IFERROR(INDEX(Settings!$E$5:$E$12,MATCH(F563,Settings!$D$5:$D$12,0)),0),2)))</f>
        <v/>
      </c>
      <c r="P563" s="37"/>
      <c r="Q563" s="41" t="str">
        <f aca="false">IF(N563="","",IF(P563&lt;&gt;"",P563,N563-O563))</f>
        <v/>
      </c>
      <c r="R563" s="41" t="str">
        <f aca="false">IF(J563="","",IFERROR(N(INDEX(Properties!$H$5:$H$24,MATCH(D563,Properties!$A$5:$A$24,0))),0))</f>
        <v/>
      </c>
      <c r="S563" s="41" t="str">
        <f aca="false">IF(Q563="","",Q563-R563)</f>
        <v/>
      </c>
      <c r="T563" s="6"/>
      <c r="U563" s="6"/>
      <c r="V563" s="6"/>
      <c r="W563" s="6"/>
      <c r="X563" s="6"/>
      <c r="Y563" s="8" t="str">
        <f aca="false">IF(OR(D563="",B563="",C563=""),"",IF(N(C563)&lt;=N(B563),"Check dates",IF(T563="Cancelled","",IF(COUNTIFS($D$5:$D$1004,D563,$B$5:$B$1004,"&lt;"&amp;C563,$C$5:$C$1004,"&gt;"&amp;B563,$T$5:$T$1004,"&lt;&gt;Cancelled")&gt;1,"Double-booked",""))))</f>
        <v/>
      </c>
      <c r="Z563" s="42" t="str">
        <f aca="false">IF(AND(AA563=1,ISNUMBER(C563)),C563+ROW()/100000,"")</f>
        <v/>
      </c>
      <c r="AA563" s="43" t="n">
        <f aca="false">IF(AND(D563&lt;&gt;"",ISNUMBER(B563),ISNUMBER(C563),N(H563)&gt;0,T563&lt;&gt;"Cancelled",J563&lt;&gt;""),1,0)</f>
        <v>0</v>
      </c>
      <c r="AB563" s="44" t="n">
        <f aca="false">IF(AA563=1,J563/H563,0)</f>
        <v>0</v>
      </c>
      <c r="AC563" s="44" t="n">
        <f aca="false">IF(AA563=1,Q563/H563,0)</f>
        <v>0</v>
      </c>
      <c r="AD563" s="44" t="n">
        <f aca="false">IF(AA563=1,R563/H563,0)</f>
        <v>0</v>
      </c>
      <c r="AE563" s="44" t="n">
        <f aca="false">IF(AA563=1,O563/H563,0)</f>
        <v>0</v>
      </c>
      <c r="AF563" s="44" t="n">
        <f aca="false">IF(AA563=1,K563/H563,0)</f>
        <v>0</v>
      </c>
      <c r="AG563" s="45" t="str">
        <f aca="false">IF(AA563=1,D563&amp;"|"&amp;TEXT(B563,"0"),"")</f>
        <v/>
      </c>
      <c r="AH563" s="43" t="n">
        <f aca="false">IF(AA563=1,H563,0)</f>
        <v>0</v>
      </c>
    </row>
    <row r="564" customFormat="false" ht="15" hidden="false" customHeight="false" outlineLevel="0" collapsed="false">
      <c r="A564" s="23" t="str">
        <f aca="false">IF(B564="","","B-"&amp;TEXT(ROW()-4,"0000"))</f>
        <v/>
      </c>
      <c r="B564" s="38"/>
      <c r="C564" s="38"/>
      <c r="D564" s="6"/>
      <c r="E564" s="6"/>
      <c r="F564" s="6"/>
      <c r="G564" s="11"/>
      <c r="H564" s="24" t="str">
        <f aca="false">IF(AND(ISNUMBER(B564),ISNUMBER(C564)),MAX(0,C564-B564),"")</f>
        <v/>
      </c>
      <c r="I564" s="37"/>
      <c r="J564" s="46" t="str">
        <f aca="false">IF(OR(D564="",N(H564)=0),"",IFERROR(IF(I564&lt;&gt;"",H564*I564,ROUND(((H564-(INT((WEEKDAY(B564-6)+H564-1)/7)+INT((WEEKDAY(B564-7)+H564-1)/7)))*INDEX(Properties!$E$5:$E$24,MATCH(D564,Properties!$A$5:$A$24,0))+(INT((WEEKDAY(B564-6)+H564-1)/7)+INT((WEEKDAY(B564-7)+H564-1)/7))*INDEX(Properties!$F$5:$F$24,MATCH(D564,Properties!$A$5:$A$24,0)))*(1-IF(H564&gt;=28,Settings!$B$10,IF(H564&gt;=7,Settings!$B$9,0))),2)),0))</f>
        <v/>
      </c>
      <c r="K564" s="46" t="str">
        <f aca="false">IF(J564="","",IFERROR(N(INDEX(Properties!$G$5:$G$24,MATCH(D564,Properties!$A$5:$A$24,0))),0))</f>
        <v/>
      </c>
      <c r="L564" s="46" t="str">
        <f aca="false">IF(J564="","",IFERROR(MAX(0,N(G564)-INDEX(Properties!$I$5:$I$24,MATCH(D564,Properties!$A$5:$A$24,0)))*N(INDEX(Properties!$J$5:$J$24,MATCH(D564,Properties!$A$5:$A$24,0)))*H564,0))</f>
        <v/>
      </c>
      <c r="M564" s="37"/>
      <c r="N564" s="46" t="str">
        <f aca="false">IF(J564="","",J564+K564+L564+N(M564))</f>
        <v/>
      </c>
      <c r="O564" s="46" t="str">
        <f aca="false">IF(N564="","",IF(P564&lt;&gt;"",N564-P564,ROUND(N564*IFERROR(INDEX(Settings!$E$5:$E$12,MATCH(F564,Settings!$D$5:$D$12,0)),0),2)))</f>
        <v/>
      </c>
      <c r="P564" s="37"/>
      <c r="Q564" s="46" t="str">
        <f aca="false">IF(N564="","",IF(P564&lt;&gt;"",P564,N564-O564))</f>
        <v/>
      </c>
      <c r="R564" s="46" t="str">
        <f aca="false">IF(J564="","",IFERROR(N(INDEX(Properties!$H$5:$H$24,MATCH(D564,Properties!$A$5:$A$24,0))),0))</f>
        <v/>
      </c>
      <c r="S564" s="46" t="str">
        <f aca="false">IF(Q564="","",Q564-R564)</f>
        <v/>
      </c>
      <c r="T564" s="6"/>
      <c r="U564" s="6"/>
      <c r="V564" s="6"/>
      <c r="W564" s="6"/>
      <c r="X564" s="6"/>
      <c r="Y564" s="8" t="str">
        <f aca="false">IF(OR(D564="",B564="",C564=""),"",IF(N(C564)&lt;=N(B564),"Check dates",IF(T564="Cancelled","",IF(COUNTIFS($D$5:$D$1004,D564,$B$5:$B$1004,"&lt;"&amp;C564,$C$5:$C$1004,"&gt;"&amp;B564,$T$5:$T$1004,"&lt;&gt;Cancelled")&gt;1,"Double-booked",""))))</f>
        <v/>
      </c>
      <c r="Z564" s="42" t="str">
        <f aca="false">IF(AND(AA564=1,ISNUMBER(C564)),C564+ROW()/100000,"")</f>
        <v/>
      </c>
      <c r="AA564" s="43" t="n">
        <f aca="false">IF(AND(D564&lt;&gt;"",ISNUMBER(B564),ISNUMBER(C564),N(H564)&gt;0,T564&lt;&gt;"Cancelled",J564&lt;&gt;""),1,0)</f>
        <v>0</v>
      </c>
      <c r="AB564" s="44" t="n">
        <f aca="false">IF(AA564=1,J564/H564,0)</f>
        <v>0</v>
      </c>
      <c r="AC564" s="44" t="n">
        <f aca="false">IF(AA564=1,Q564/H564,0)</f>
        <v>0</v>
      </c>
      <c r="AD564" s="44" t="n">
        <f aca="false">IF(AA564=1,R564/H564,0)</f>
        <v>0</v>
      </c>
      <c r="AE564" s="44" t="n">
        <f aca="false">IF(AA564=1,O564/H564,0)</f>
        <v>0</v>
      </c>
      <c r="AF564" s="44" t="n">
        <f aca="false">IF(AA564=1,K564/H564,0)</f>
        <v>0</v>
      </c>
      <c r="AG564" s="45" t="str">
        <f aca="false">IF(AA564=1,D564&amp;"|"&amp;TEXT(B564,"0"),"")</f>
        <v/>
      </c>
      <c r="AH564" s="43" t="n">
        <f aca="false">IF(AA564=1,H564,0)</f>
        <v>0</v>
      </c>
    </row>
    <row r="565" customFormat="false" ht="15" hidden="false" customHeight="false" outlineLevel="0" collapsed="false">
      <c r="A565" s="8" t="str">
        <f aca="false">IF(B565="","","B-"&amp;TEXT(ROW()-4,"0000"))</f>
        <v/>
      </c>
      <c r="B565" s="38"/>
      <c r="C565" s="38"/>
      <c r="D565" s="6"/>
      <c r="E565" s="6"/>
      <c r="F565" s="6"/>
      <c r="G565" s="11"/>
      <c r="H565" s="18" t="str">
        <f aca="false">IF(AND(ISNUMBER(B565),ISNUMBER(C565)),MAX(0,C565-B565),"")</f>
        <v/>
      </c>
      <c r="I565" s="37"/>
      <c r="J565" s="41" t="str">
        <f aca="false">IF(OR(D565="",N(H565)=0),"",IFERROR(IF(I565&lt;&gt;"",H565*I565,ROUND(((H565-(INT((WEEKDAY(B565-6)+H565-1)/7)+INT((WEEKDAY(B565-7)+H565-1)/7)))*INDEX(Properties!$E$5:$E$24,MATCH(D565,Properties!$A$5:$A$24,0))+(INT((WEEKDAY(B565-6)+H565-1)/7)+INT((WEEKDAY(B565-7)+H565-1)/7))*INDEX(Properties!$F$5:$F$24,MATCH(D565,Properties!$A$5:$A$24,0)))*(1-IF(H565&gt;=28,Settings!$B$10,IF(H565&gt;=7,Settings!$B$9,0))),2)),0))</f>
        <v/>
      </c>
      <c r="K565" s="41" t="str">
        <f aca="false">IF(J565="","",IFERROR(N(INDEX(Properties!$G$5:$G$24,MATCH(D565,Properties!$A$5:$A$24,0))),0))</f>
        <v/>
      </c>
      <c r="L565" s="41" t="str">
        <f aca="false">IF(J565="","",IFERROR(MAX(0,N(G565)-INDEX(Properties!$I$5:$I$24,MATCH(D565,Properties!$A$5:$A$24,0)))*N(INDEX(Properties!$J$5:$J$24,MATCH(D565,Properties!$A$5:$A$24,0)))*H565,0))</f>
        <v/>
      </c>
      <c r="M565" s="37"/>
      <c r="N565" s="41" t="str">
        <f aca="false">IF(J565="","",J565+K565+L565+N(M565))</f>
        <v/>
      </c>
      <c r="O565" s="41" t="str">
        <f aca="false">IF(N565="","",IF(P565&lt;&gt;"",N565-P565,ROUND(N565*IFERROR(INDEX(Settings!$E$5:$E$12,MATCH(F565,Settings!$D$5:$D$12,0)),0),2)))</f>
        <v/>
      </c>
      <c r="P565" s="37"/>
      <c r="Q565" s="41" t="str">
        <f aca="false">IF(N565="","",IF(P565&lt;&gt;"",P565,N565-O565))</f>
        <v/>
      </c>
      <c r="R565" s="41" t="str">
        <f aca="false">IF(J565="","",IFERROR(N(INDEX(Properties!$H$5:$H$24,MATCH(D565,Properties!$A$5:$A$24,0))),0))</f>
        <v/>
      </c>
      <c r="S565" s="41" t="str">
        <f aca="false">IF(Q565="","",Q565-R565)</f>
        <v/>
      </c>
      <c r="T565" s="6"/>
      <c r="U565" s="6"/>
      <c r="V565" s="6"/>
      <c r="W565" s="6"/>
      <c r="X565" s="6"/>
      <c r="Y565" s="8" t="str">
        <f aca="false">IF(OR(D565="",B565="",C565=""),"",IF(N(C565)&lt;=N(B565),"Check dates",IF(T565="Cancelled","",IF(COUNTIFS($D$5:$D$1004,D565,$B$5:$B$1004,"&lt;"&amp;C565,$C$5:$C$1004,"&gt;"&amp;B565,$T$5:$T$1004,"&lt;&gt;Cancelled")&gt;1,"Double-booked",""))))</f>
        <v/>
      </c>
      <c r="Z565" s="42" t="str">
        <f aca="false">IF(AND(AA565=1,ISNUMBER(C565)),C565+ROW()/100000,"")</f>
        <v/>
      </c>
      <c r="AA565" s="43" t="n">
        <f aca="false">IF(AND(D565&lt;&gt;"",ISNUMBER(B565),ISNUMBER(C565),N(H565)&gt;0,T565&lt;&gt;"Cancelled",J565&lt;&gt;""),1,0)</f>
        <v>0</v>
      </c>
      <c r="AB565" s="44" t="n">
        <f aca="false">IF(AA565=1,J565/H565,0)</f>
        <v>0</v>
      </c>
      <c r="AC565" s="44" t="n">
        <f aca="false">IF(AA565=1,Q565/H565,0)</f>
        <v>0</v>
      </c>
      <c r="AD565" s="44" t="n">
        <f aca="false">IF(AA565=1,R565/H565,0)</f>
        <v>0</v>
      </c>
      <c r="AE565" s="44" t="n">
        <f aca="false">IF(AA565=1,O565/H565,0)</f>
        <v>0</v>
      </c>
      <c r="AF565" s="44" t="n">
        <f aca="false">IF(AA565=1,K565/H565,0)</f>
        <v>0</v>
      </c>
      <c r="AG565" s="45" t="str">
        <f aca="false">IF(AA565=1,D565&amp;"|"&amp;TEXT(B565,"0"),"")</f>
        <v/>
      </c>
      <c r="AH565" s="43" t="n">
        <f aca="false">IF(AA565=1,H565,0)</f>
        <v>0</v>
      </c>
    </row>
    <row r="566" customFormat="false" ht="15" hidden="false" customHeight="false" outlineLevel="0" collapsed="false">
      <c r="A566" s="23" t="str">
        <f aca="false">IF(B566="","","B-"&amp;TEXT(ROW()-4,"0000"))</f>
        <v/>
      </c>
      <c r="B566" s="38"/>
      <c r="C566" s="38"/>
      <c r="D566" s="6"/>
      <c r="E566" s="6"/>
      <c r="F566" s="6"/>
      <c r="G566" s="11"/>
      <c r="H566" s="24" t="str">
        <f aca="false">IF(AND(ISNUMBER(B566),ISNUMBER(C566)),MAX(0,C566-B566),"")</f>
        <v/>
      </c>
      <c r="I566" s="37"/>
      <c r="J566" s="46" t="str">
        <f aca="false">IF(OR(D566="",N(H566)=0),"",IFERROR(IF(I566&lt;&gt;"",H566*I566,ROUND(((H566-(INT((WEEKDAY(B566-6)+H566-1)/7)+INT((WEEKDAY(B566-7)+H566-1)/7)))*INDEX(Properties!$E$5:$E$24,MATCH(D566,Properties!$A$5:$A$24,0))+(INT((WEEKDAY(B566-6)+H566-1)/7)+INT((WEEKDAY(B566-7)+H566-1)/7))*INDEX(Properties!$F$5:$F$24,MATCH(D566,Properties!$A$5:$A$24,0)))*(1-IF(H566&gt;=28,Settings!$B$10,IF(H566&gt;=7,Settings!$B$9,0))),2)),0))</f>
        <v/>
      </c>
      <c r="K566" s="46" t="str">
        <f aca="false">IF(J566="","",IFERROR(N(INDEX(Properties!$G$5:$G$24,MATCH(D566,Properties!$A$5:$A$24,0))),0))</f>
        <v/>
      </c>
      <c r="L566" s="46" t="str">
        <f aca="false">IF(J566="","",IFERROR(MAX(0,N(G566)-INDEX(Properties!$I$5:$I$24,MATCH(D566,Properties!$A$5:$A$24,0)))*N(INDEX(Properties!$J$5:$J$24,MATCH(D566,Properties!$A$5:$A$24,0)))*H566,0))</f>
        <v/>
      </c>
      <c r="M566" s="37"/>
      <c r="N566" s="46" t="str">
        <f aca="false">IF(J566="","",J566+K566+L566+N(M566))</f>
        <v/>
      </c>
      <c r="O566" s="46" t="str">
        <f aca="false">IF(N566="","",IF(P566&lt;&gt;"",N566-P566,ROUND(N566*IFERROR(INDEX(Settings!$E$5:$E$12,MATCH(F566,Settings!$D$5:$D$12,0)),0),2)))</f>
        <v/>
      </c>
      <c r="P566" s="37"/>
      <c r="Q566" s="46" t="str">
        <f aca="false">IF(N566="","",IF(P566&lt;&gt;"",P566,N566-O566))</f>
        <v/>
      </c>
      <c r="R566" s="46" t="str">
        <f aca="false">IF(J566="","",IFERROR(N(INDEX(Properties!$H$5:$H$24,MATCH(D566,Properties!$A$5:$A$24,0))),0))</f>
        <v/>
      </c>
      <c r="S566" s="46" t="str">
        <f aca="false">IF(Q566="","",Q566-R566)</f>
        <v/>
      </c>
      <c r="T566" s="6"/>
      <c r="U566" s="6"/>
      <c r="V566" s="6"/>
      <c r="W566" s="6"/>
      <c r="X566" s="6"/>
      <c r="Y566" s="8" t="str">
        <f aca="false">IF(OR(D566="",B566="",C566=""),"",IF(N(C566)&lt;=N(B566),"Check dates",IF(T566="Cancelled","",IF(COUNTIFS($D$5:$D$1004,D566,$B$5:$B$1004,"&lt;"&amp;C566,$C$5:$C$1004,"&gt;"&amp;B566,$T$5:$T$1004,"&lt;&gt;Cancelled")&gt;1,"Double-booked",""))))</f>
        <v/>
      </c>
      <c r="Z566" s="42" t="str">
        <f aca="false">IF(AND(AA566=1,ISNUMBER(C566)),C566+ROW()/100000,"")</f>
        <v/>
      </c>
      <c r="AA566" s="43" t="n">
        <f aca="false">IF(AND(D566&lt;&gt;"",ISNUMBER(B566),ISNUMBER(C566),N(H566)&gt;0,T566&lt;&gt;"Cancelled",J566&lt;&gt;""),1,0)</f>
        <v>0</v>
      </c>
      <c r="AB566" s="44" t="n">
        <f aca="false">IF(AA566=1,J566/H566,0)</f>
        <v>0</v>
      </c>
      <c r="AC566" s="44" t="n">
        <f aca="false">IF(AA566=1,Q566/H566,0)</f>
        <v>0</v>
      </c>
      <c r="AD566" s="44" t="n">
        <f aca="false">IF(AA566=1,R566/H566,0)</f>
        <v>0</v>
      </c>
      <c r="AE566" s="44" t="n">
        <f aca="false">IF(AA566=1,O566/H566,0)</f>
        <v>0</v>
      </c>
      <c r="AF566" s="44" t="n">
        <f aca="false">IF(AA566=1,K566/H566,0)</f>
        <v>0</v>
      </c>
      <c r="AG566" s="45" t="str">
        <f aca="false">IF(AA566=1,D566&amp;"|"&amp;TEXT(B566,"0"),"")</f>
        <v/>
      </c>
      <c r="AH566" s="43" t="n">
        <f aca="false">IF(AA566=1,H566,0)</f>
        <v>0</v>
      </c>
    </row>
    <row r="567" customFormat="false" ht="15" hidden="false" customHeight="false" outlineLevel="0" collapsed="false">
      <c r="A567" s="8" t="str">
        <f aca="false">IF(B567="","","B-"&amp;TEXT(ROW()-4,"0000"))</f>
        <v/>
      </c>
      <c r="B567" s="38"/>
      <c r="C567" s="38"/>
      <c r="D567" s="6"/>
      <c r="E567" s="6"/>
      <c r="F567" s="6"/>
      <c r="G567" s="11"/>
      <c r="H567" s="18" t="str">
        <f aca="false">IF(AND(ISNUMBER(B567),ISNUMBER(C567)),MAX(0,C567-B567),"")</f>
        <v/>
      </c>
      <c r="I567" s="37"/>
      <c r="J567" s="41" t="str">
        <f aca="false">IF(OR(D567="",N(H567)=0),"",IFERROR(IF(I567&lt;&gt;"",H567*I567,ROUND(((H567-(INT((WEEKDAY(B567-6)+H567-1)/7)+INT((WEEKDAY(B567-7)+H567-1)/7)))*INDEX(Properties!$E$5:$E$24,MATCH(D567,Properties!$A$5:$A$24,0))+(INT((WEEKDAY(B567-6)+H567-1)/7)+INT((WEEKDAY(B567-7)+H567-1)/7))*INDEX(Properties!$F$5:$F$24,MATCH(D567,Properties!$A$5:$A$24,0)))*(1-IF(H567&gt;=28,Settings!$B$10,IF(H567&gt;=7,Settings!$B$9,0))),2)),0))</f>
        <v/>
      </c>
      <c r="K567" s="41" t="str">
        <f aca="false">IF(J567="","",IFERROR(N(INDEX(Properties!$G$5:$G$24,MATCH(D567,Properties!$A$5:$A$24,0))),0))</f>
        <v/>
      </c>
      <c r="L567" s="41" t="str">
        <f aca="false">IF(J567="","",IFERROR(MAX(0,N(G567)-INDEX(Properties!$I$5:$I$24,MATCH(D567,Properties!$A$5:$A$24,0)))*N(INDEX(Properties!$J$5:$J$24,MATCH(D567,Properties!$A$5:$A$24,0)))*H567,0))</f>
        <v/>
      </c>
      <c r="M567" s="37"/>
      <c r="N567" s="41" t="str">
        <f aca="false">IF(J567="","",J567+K567+L567+N(M567))</f>
        <v/>
      </c>
      <c r="O567" s="41" t="str">
        <f aca="false">IF(N567="","",IF(P567&lt;&gt;"",N567-P567,ROUND(N567*IFERROR(INDEX(Settings!$E$5:$E$12,MATCH(F567,Settings!$D$5:$D$12,0)),0),2)))</f>
        <v/>
      </c>
      <c r="P567" s="37"/>
      <c r="Q567" s="41" t="str">
        <f aca="false">IF(N567="","",IF(P567&lt;&gt;"",P567,N567-O567))</f>
        <v/>
      </c>
      <c r="R567" s="41" t="str">
        <f aca="false">IF(J567="","",IFERROR(N(INDEX(Properties!$H$5:$H$24,MATCH(D567,Properties!$A$5:$A$24,0))),0))</f>
        <v/>
      </c>
      <c r="S567" s="41" t="str">
        <f aca="false">IF(Q567="","",Q567-R567)</f>
        <v/>
      </c>
      <c r="T567" s="6"/>
      <c r="U567" s="6"/>
      <c r="V567" s="6"/>
      <c r="W567" s="6"/>
      <c r="X567" s="6"/>
      <c r="Y567" s="8" t="str">
        <f aca="false">IF(OR(D567="",B567="",C567=""),"",IF(N(C567)&lt;=N(B567),"Check dates",IF(T567="Cancelled","",IF(COUNTIFS($D$5:$D$1004,D567,$B$5:$B$1004,"&lt;"&amp;C567,$C$5:$C$1004,"&gt;"&amp;B567,$T$5:$T$1004,"&lt;&gt;Cancelled")&gt;1,"Double-booked",""))))</f>
        <v/>
      </c>
      <c r="Z567" s="42" t="str">
        <f aca="false">IF(AND(AA567=1,ISNUMBER(C567)),C567+ROW()/100000,"")</f>
        <v/>
      </c>
      <c r="AA567" s="43" t="n">
        <f aca="false">IF(AND(D567&lt;&gt;"",ISNUMBER(B567),ISNUMBER(C567),N(H567)&gt;0,T567&lt;&gt;"Cancelled",J567&lt;&gt;""),1,0)</f>
        <v>0</v>
      </c>
      <c r="AB567" s="44" t="n">
        <f aca="false">IF(AA567=1,J567/H567,0)</f>
        <v>0</v>
      </c>
      <c r="AC567" s="44" t="n">
        <f aca="false">IF(AA567=1,Q567/H567,0)</f>
        <v>0</v>
      </c>
      <c r="AD567" s="44" t="n">
        <f aca="false">IF(AA567=1,R567/H567,0)</f>
        <v>0</v>
      </c>
      <c r="AE567" s="44" t="n">
        <f aca="false">IF(AA567=1,O567/H567,0)</f>
        <v>0</v>
      </c>
      <c r="AF567" s="44" t="n">
        <f aca="false">IF(AA567=1,K567/H567,0)</f>
        <v>0</v>
      </c>
      <c r="AG567" s="45" t="str">
        <f aca="false">IF(AA567=1,D567&amp;"|"&amp;TEXT(B567,"0"),"")</f>
        <v/>
      </c>
      <c r="AH567" s="43" t="n">
        <f aca="false">IF(AA567=1,H567,0)</f>
        <v>0</v>
      </c>
    </row>
    <row r="568" customFormat="false" ht="15" hidden="false" customHeight="false" outlineLevel="0" collapsed="false">
      <c r="A568" s="23" t="str">
        <f aca="false">IF(B568="","","B-"&amp;TEXT(ROW()-4,"0000"))</f>
        <v/>
      </c>
      <c r="B568" s="38"/>
      <c r="C568" s="38"/>
      <c r="D568" s="6"/>
      <c r="E568" s="6"/>
      <c r="F568" s="6"/>
      <c r="G568" s="11"/>
      <c r="H568" s="24" t="str">
        <f aca="false">IF(AND(ISNUMBER(B568),ISNUMBER(C568)),MAX(0,C568-B568),"")</f>
        <v/>
      </c>
      <c r="I568" s="37"/>
      <c r="J568" s="46" t="str">
        <f aca="false">IF(OR(D568="",N(H568)=0),"",IFERROR(IF(I568&lt;&gt;"",H568*I568,ROUND(((H568-(INT((WEEKDAY(B568-6)+H568-1)/7)+INT((WEEKDAY(B568-7)+H568-1)/7)))*INDEX(Properties!$E$5:$E$24,MATCH(D568,Properties!$A$5:$A$24,0))+(INT((WEEKDAY(B568-6)+H568-1)/7)+INT((WEEKDAY(B568-7)+H568-1)/7))*INDEX(Properties!$F$5:$F$24,MATCH(D568,Properties!$A$5:$A$24,0)))*(1-IF(H568&gt;=28,Settings!$B$10,IF(H568&gt;=7,Settings!$B$9,0))),2)),0))</f>
        <v/>
      </c>
      <c r="K568" s="46" t="str">
        <f aca="false">IF(J568="","",IFERROR(N(INDEX(Properties!$G$5:$G$24,MATCH(D568,Properties!$A$5:$A$24,0))),0))</f>
        <v/>
      </c>
      <c r="L568" s="46" t="str">
        <f aca="false">IF(J568="","",IFERROR(MAX(0,N(G568)-INDEX(Properties!$I$5:$I$24,MATCH(D568,Properties!$A$5:$A$24,0)))*N(INDEX(Properties!$J$5:$J$24,MATCH(D568,Properties!$A$5:$A$24,0)))*H568,0))</f>
        <v/>
      </c>
      <c r="M568" s="37"/>
      <c r="N568" s="46" t="str">
        <f aca="false">IF(J568="","",J568+K568+L568+N(M568))</f>
        <v/>
      </c>
      <c r="O568" s="46" t="str">
        <f aca="false">IF(N568="","",IF(P568&lt;&gt;"",N568-P568,ROUND(N568*IFERROR(INDEX(Settings!$E$5:$E$12,MATCH(F568,Settings!$D$5:$D$12,0)),0),2)))</f>
        <v/>
      </c>
      <c r="P568" s="37"/>
      <c r="Q568" s="46" t="str">
        <f aca="false">IF(N568="","",IF(P568&lt;&gt;"",P568,N568-O568))</f>
        <v/>
      </c>
      <c r="R568" s="46" t="str">
        <f aca="false">IF(J568="","",IFERROR(N(INDEX(Properties!$H$5:$H$24,MATCH(D568,Properties!$A$5:$A$24,0))),0))</f>
        <v/>
      </c>
      <c r="S568" s="46" t="str">
        <f aca="false">IF(Q568="","",Q568-R568)</f>
        <v/>
      </c>
      <c r="T568" s="6"/>
      <c r="U568" s="6"/>
      <c r="V568" s="6"/>
      <c r="W568" s="6"/>
      <c r="X568" s="6"/>
      <c r="Y568" s="8" t="str">
        <f aca="false">IF(OR(D568="",B568="",C568=""),"",IF(N(C568)&lt;=N(B568),"Check dates",IF(T568="Cancelled","",IF(COUNTIFS($D$5:$D$1004,D568,$B$5:$B$1004,"&lt;"&amp;C568,$C$5:$C$1004,"&gt;"&amp;B568,$T$5:$T$1004,"&lt;&gt;Cancelled")&gt;1,"Double-booked",""))))</f>
        <v/>
      </c>
      <c r="Z568" s="42" t="str">
        <f aca="false">IF(AND(AA568=1,ISNUMBER(C568)),C568+ROW()/100000,"")</f>
        <v/>
      </c>
      <c r="AA568" s="43" t="n">
        <f aca="false">IF(AND(D568&lt;&gt;"",ISNUMBER(B568),ISNUMBER(C568),N(H568)&gt;0,T568&lt;&gt;"Cancelled",J568&lt;&gt;""),1,0)</f>
        <v>0</v>
      </c>
      <c r="AB568" s="44" t="n">
        <f aca="false">IF(AA568=1,J568/H568,0)</f>
        <v>0</v>
      </c>
      <c r="AC568" s="44" t="n">
        <f aca="false">IF(AA568=1,Q568/H568,0)</f>
        <v>0</v>
      </c>
      <c r="AD568" s="44" t="n">
        <f aca="false">IF(AA568=1,R568/H568,0)</f>
        <v>0</v>
      </c>
      <c r="AE568" s="44" t="n">
        <f aca="false">IF(AA568=1,O568/H568,0)</f>
        <v>0</v>
      </c>
      <c r="AF568" s="44" t="n">
        <f aca="false">IF(AA568=1,K568/H568,0)</f>
        <v>0</v>
      </c>
      <c r="AG568" s="45" t="str">
        <f aca="false">IF(AA568=1,D568&amp;"|"&amp;TEXT(B568,"0"),"")</f>
        <v/>
      </c>
      <c r="AH568" s="43" t="n">
        <f aca="false">IF(AA568=1,H568,0)</f>
        <v>0</v>
      </c>
    </row>
    <row r="569" customFormat="false" ht="15" hidden="false" customHeight="false" outlineLevel="0" collapsed="false">
      <c r="A569" s="8" t="str">
        <f aca="false">IF(B569="","","B-"&amp;TEXT(ROW()-4,"0000"))</f>
        <v/>
      </c>
      <c r="B569" s="38"/>
      <c r="C569" s="38"/>
      <c r="D569" s="6"/>
      <c r="E569" s="6"/>
      <c r="F569" s="6"/>
      <c r="G569" s="11"/>
      <c r="H569" s="18" t="str">
        <f aca="false">IF(AND(ISNUMBER(B569),ISNUMBER(C569)),MAX(0,C569-B569),"")</f>
        <v/>
      </c>
      <c r="I569" s="37"/>
      <c r="J569" s="41" t="str">
        <f aca="false">IF(OR(D569="",N(H569)=0),"",IFERROR(IF(I569&lt;&gt;"",H569*I569,ROUND(((H569-(INT((WEEKDAY(B569-6)+H569-1)/7)+INT((WEEKDAY(B569-7)+H569-1)/7)))*INDEX(Properties!$E$5:$E$24,MATCH(D569,Properties!$A$5:$A$24,0))+(INT((WEEKDAY(B569-6)+H569-1)/7)+INT((WEEKDAY(B569-7)+H569-1)/7))*INDEX(Properties!$F$5:$F$24,MATCH(D569,Properties!$A$5:$A$24,0)))*(1-IF(H569&gt;=28,Settings!$B$10,IF(H569&gt;=7,Settings!$B$9,0))),2)),0))</f>
        <v/>
      </c>
      <c r="K569" s="41" t="str">
        <f aca="false">IF(J569="","",IFERROR(N(INDEX(Properties!$G$5:$G$24,MATCH(D569,Properties!$A$5:$A$24,0))),0))</f>
        <v/>
      </c>
      <c r="L569" s="41" t="str">
        <f aca="false">IF(J569="","",IFERROR(MAX(0,N(G569)-INDEX(Properties!$I$5:$I$24,MATCH(D569,Properties!$A$5:$A$24,0)))*N(INDEX(Properties!$J$5:$J$24,MATCH(D569,Properties!$A$5:$A$24,0)))*H569,0))</f>
        <v/>
      </c>
      <c r="M569" s="37"/>
      <c r="N569" s="41" t="str">
        <f aca="false">IF(J569="","",J569+K569+L569+N(M569))</f>
        <v/>
      </c>
      <c r="O569" s="41" t="str">
        <f aca="false">IF(N569="","",IF(P569&lt;&gt;"",N569-P569,ROUND(N569*IFERROR(INDEX(Settings!$E$5:$E$12,MATCH(F569,Settings!$D$5:$D$12,0)),0),2)))</f>
        <v/>
      </c>
      <c r="P569" s="37"/>
      <c r="Q569" s="41" t="str">
        <f aca="false">IF(N569="","",IF(P569&lt;&gt;"",P569,N569-O569))</f>
        <v/>
      </c>
      <c r="R569" s="41" t="str">
        <f aca="false">IF(J569="","",IFERROR(N(INDEX(Properties!$H$5:$H$24,MATCH(D569,Properties!$A$5:$A$24,0))),0))</f>
        <v/>
      </c>
      <c r="S569" s="41" t="str">
        <f aca="false">IF(Q569="","",Q569-R569)</f>
        <v/>
      </c>
      <c r="T569" s="6"/>
      <c r="U569" s="6"/>
      <c r="V569" s="6"/>
      <c r="W569" s="6"/>
      <c r="X569" s="6"/>
      <c r="Y569" s="8" t="str">
        <f aca="false">IF(OR(D569="",B569="",C569=""),"",IF(N(C569)&lt;=N(B569),"Check dates",IF(T569="Cancelled","",IF(COUNTIFS($D$5:$D$1004,D569,$B$5:$B$1004,"&lt;"&amp;C569,$C$5:$C$1004,"&gt;"&amp;B569,$T$5:$T$1004,"&lt;&gt;Cancelled")&gt;1,"Double-booked",""))))</f>
        <v/>
      </c>
      <c r="Z569" s="42" t="str">
        <f aca="false">IF(AND(AA569=1,ISNUMBER(C569)),C569+ROW()/100000,"")</f>
        <v/>
      </c>
      <c r="AA569" s="43" t="n">
        <f aca="false">IF(AND(D569&lt;&gt;"",ISNUMBER(B569),ISNUMBER(C569),N(H569)&gt;0,T569&lt;&gt;"Cancelled",J569&lt;&gt;""),1,0)</f>
        <v>0</v>
      </c>
      <c r="AB569" s="44" t="n">
        <f aca="false">IF(AA569=1,J569/H569,0)</f>
        <v>0</v>
      </c>
      <c r="AC569" s="44" t="n">
        <f aca="false">IF(AA569=1,Q569/H569,0)</f>
        <v>0</v>
      </c>
      <c r="AD569" s="44" t="n">
        <f aca="false">IF(AA569=1,R569/H569,0)</f>
        <v>0</v>
      </c>
      <c r="AE569" s="44" t="n">
        <f aca="false">IF(AA569=1,O569/H569,0)</f>
        <v>0</v>
      </c>
      <c r="AF569" s="44" t="n">
        <f aca="false">IF(AA569=1,K569/H569,0)</f>
        <v>0</v>
      </c>
      <c r="AG569" s="45" t="str">
        <f aca="false">IF(AA569=1,D569&amp;"|"&amp;TEXT(B569,"0"),"")</f>
        <v/>
      </c>
      <c r="AH569" s="43" t="n">
        <f aca="false">IF(AA569=1,H569,0)</f>
        <v>0</v>
      </c>
    </row>
    <row r="570" customFormat="false" ht="15" hidden="false" customHeight="false" outlineLevel="0" collapsed="false">
      <c r="A570" s="23" t="str">
        <f aca="false">IF(B570="","","B-"&amp;TEXT(ROW()-4,"0000"))</f>
        <v/>
      </c>
      <c r="B570" s="38"/>
      <c r="C570" s="38"/>
      <c r="D570" s="6"/>
      <c r="E570" s="6"/>
      <c r="F570" s="6"/>
      <c r="G570" s="11"/>
      <c r="H570" s="24" t="str">
        <f aca="false">IF(AND(ISNUMBER(B570),ISNUMBER(C570)),MAX(0,C570-B570),"")</f>
        <v/>
      </c>
      <c r="I570" s="37"/>
      <c r="J570" s="46" t="str">
        <f aca="false">IF(OR(D570="",N(H570)=0),"",IFERROR(IF(I570&lt;&gt;"",H570*I570,ROUND(((H570-(INT((WEEKDAY(B570-6)+H570-1)/7)+INT((WEEKDAY(B570-7)+H570-1)/7)))*INDEX(Properties!$E$5:$E$24,MATCH(D570,Properties!$A$5:$A$24,0))+(INT((WEEKDAY(B570-6)+H570-1)/7)+INT((WEEKDAY(B570-7)+H570-1)/7))*INDEX(Properties!$F$5:$F$24,MATCH(D570,Properties!$A$5:$A$24,0)))*(1-IF(H570&gt;=28,Settings!$B$10,IF(H570&gt;=7,Settings!$B$9,0))),2)),0))</f>
        <v/>
      </c>
      <c r="K570" s="46" t="str">
        <f aca="false">IF(J570="","",IFERROR(N(INDEX(Properties!$G$5:$G$24,MATCH(D570,Properties!$A$5:$A$24,0))),0))</f>
        <v/>
      </c>
      <c r="L570" s="46" t="str">
        <f aca="false">IF(J570="","",IFERROR(MAX(0,N(G570)-INDEX(Properties!$I$5:$I$24,MATCH(D570,Properties!$A$5:$A$24,0)))*N(INDEX(Properties!$J$5:$J$24,MATCH(D570,Properties!$A$5:$A$24,0)))*H570,0))</f>
        <v/>
      </c>
      <c r="M570" s="37"/>
      <c r="N570" s="46" t="str">
        <f aca="false">IF(J570="","",J570+K570+L570+N(M570))</f>
        <v/>
      </c>
      <c r="O570" s="46" t="str">
        <f aca="false">IF(N570="","",IF(P570&lt;&gt;"",N570-P570,ROUND(N570*IFERROR(INDEX(Settings!$E$5:$E$12,MATCH(F570,Settings!$D$5:$D$12,0)),0),2)))</f>
        <v/>
      </c>
      <c r="P570" s="37"/>
      <c r="Q570" s="46" t="str">
        <f aca="false">IF(N570="","",IF(P570&lt;&gt;"",P570,N570-O570))</f>
        <v/>
      </c>
      <c r="R570" s="46" t="str">
        <f aca="false">IF(J570="","",IFERROR(N(INDEX(Properties!$H$5:$H$24,MATCH(D570,Properties!$A$5:$A$24,0))),0))</f>
        <v/>
      </c>
      <c r="S570" s="46" t="str">
        <f aca="false">IF(Q570="","",Q570-R570)</f>
        <v/>
      </c>
      <c r="T570" s="6"/>
      <c r="U570" s="6"/>
      <c r="V570" s="6"/>
      <c r="W570" s="6"/>
      <c r="X570" s="6"/>
      <c r="Y570" s="8" t="str">
        <f aca="false">IF(OR(D570="",B570="",C570=""),"",IF(N(C570)&lt;=N(B570),"Check dates",IF(T570="Cancelled","",IF(COUNTIFS($D$5:$D$1004,D570,$B$5:$B$1004,"&lt;"&amp;C570,$C$5:$C$1004,"&gt;"&amp;B570,$T$5:$T$1004,"&lt;&gt;Cancelled")&gt;1,"Double-booked",""))))</f>
        <v/>
      </c>
      <c r="Z570" s="42" t="str">
        <f aca="false">IF(AND(AA570=1,ISNUMBER(C570)),C570+ROW()/100000,"")</f>
        <v/>
      </c>
      <c r="AA570" s="43" t="n">
        <f aca="false">IF(AND(D570&lt;&gt;"",ISNUMBER(B570),ISNUMBER(C570),N(H570)&gt;0,T570&lt;&gt;"Cancelled",J570&lt;&gt;""),1,0)</f>
        <v>0</v>
      </c>
      <c r="AB570" s="44" t="n">
        <f aca="false">IF(AA570=1,J570/H570,0)</f>
        <v>0</v>
      </c>
      <c r="AC570" s="44" t="n">
        <f aca="false">IF(AA570=1,Q570/H570,0)</f>
        <v>0</v>
      </c>
      <c r="AD570" s="44" t="n">
        <f aca="false">IF(AA570=1,R570/H570,0)</f>
        <v>0</v>
      </c>
      <c r="AE570" s="44" t="n">
        <f aca="false">IF(AA570=1,O570/H570,0)</f>
        <v>0</v>
      </c>
      <c r="AF570" s="44" t="n">
        <f aca="false">IF(AA570=1,K570/H570,0)</f>
        <v>0</v>
      </c>
      <c r="AG570" s="45" t="str">
        <f aca="false">IF(AA570=1,D570&amp;"|"&amp;TEXT(B570,"0"),"")</f>
        <v/>
      </c>
      <c r="AH570" s="43" t="n">
        <f aca="false">IF(AA570=1,H570,0)</f>
        <v>0</v>
      </c>
    </row>
    <row r="571" customFormat="false" ht="15" hidden="false" customHeight="false" outlineLevel="0" collapsed="false">
      <c r="A571" s="8" t="str">
        <f aca="false">IF(B571="","","B-"&amp;TEXT(ROW()-4,"0000"))</f>
        <v/>
      </c>
      <c r="B571" s="38"/>
      <c r="C571" s="38"/>
      <c r="D571" s="6"/>
      <c r="E571" s="6"/>
      <c r="F571" s="6"/>
      <c r="G571" s="11"/>
      <c r="H571" s="18" t="str">
        <f aca="false">IF(AND(ISNUMBER(B571),ISNUMBER(C571)),MAX(0,C571-B571),"")</f>
        <v/>
      </c>
      <c r="I571" s="37"/>
      <c r="J571" s="41" t="str">
        <f aca="false">IF(OR(D571="",N(H571)=0),"",IFERROR(IF(I571&lt;&gt;"",H571*I571,ROUND(((H571-(INT((WEEKDAY(B571-6)+H571-1)/7)+INT((WEEKDAY(B571-7)+H571-1)/7)))*INDEX(Properties!$E$5:$E$24,MATCH(D571,Properties!$A$5:$A$24,0))+(INT((WEEKDAY(B571-6)+H571-1)/7)+INT((WEEKDAY(B571-7)+H571-1)/7))*INDEX(Properties!$F$5:$F$24,MATCH(D571,Properties!$A$5:$A$24,0)))*(1-IF(H571&gt;=28,Settings!$B$10,IF(H571&gt;=7,Settings!$B$9,0))),2)),0))</f>
        <v/>
      </c>
      <c r="K571" s="41" t="str">
        <f aca="false">IF(J571="","",IFERROR(N(INDEX(Properties!$G$5:$G$24,MATCH(D571,Properties!$A$5:$A$24,0))),0))</f>
        <v/>
      </c>
      <c r="L571" s="41" t="str">
        <f aca="false">IF(J571="","",IFERROR(MAX(0,N(G571)-INDEX(Properties!$I$5:$I$24,MATCH(D571,Properties!$A$5:$A$24,0)))*N(INDEX(Properties!$J$5:$J$24,MATCH(D571,Properties!$A$5:$A$24,0)))*H571,0))</f>
        <v/>
      </c>
      <c r="M571" s="37"/>
      <c r="N571" s="41" t="str">
        <f aca="false">IF(J571="","",J571+K571+L571+N(M571))</f>
        <v/>
      </c>
      <c r="O571" s="41" t="str">
        <f aca="false">IF(N571="","",IF(P571&lt;&gt;"",N571-P571,ROUND(N571*IFERROR(INDEX(Settings!$E$5:$E$12,MATCH(F571,Settings!$D$5:$D$12,0)),0),2)))</f>
        <v/>
      </c>
      <c r="P571" s="37"/>
      <c r="Q571" s="41" t="str">
        <f aca="false">IF(N571="","",IF(P571&lt;&gt;"",P571,N571-O571))</f>
        <v/>
      </c>
      <c r="R571" s="41" t="str">
        <f aca="false">IF(J571="","",IFERROR(N(INDEX(Properties!$H$5:$H$24,MATCH(D571,Properties!$A$5:$A$24,0))),0))</f>
        <v/>
      </c>
      <c r="S571" s="41" t="str">
        <f aca="false">IF(Q571="","",Q571-R571)</f>
        <v/>
      </c>
      <c r="T571" s="6"/>
      <c r="U571" s="6"/>
      <c r="V571" s="6"/>
      <c r="W571" s="6"/>
      <c r="X571" s="6"/>
      <c r="Y571" s="8" t="str">
        <f aca="false">IF(OR(D571="",B571="",C571=""),"",IF(N(C571)&lt;=N(B571),"Check dates",IF(T571="Cancelled","",IF(COUNTIFS($D$5:$D$1004,D571,$B$5:$B$1004,"&lt;"&amp;C571,$C$5:$C$1004,"&gt;"&amp;B571,$T$5:$T$1004,"&lt;&gt;Cancelled")&gt;1,"Double-booked",""))))</f>
        <v/>
      </c>
      <c r="Z571" s="42" t="str">
        <f aca="false">IF(AND(AA571=1,ISNUMBER(C571)),C571+ROW()/100000,"")</f>
        <v/>
      </c>
      <c r="AA571" s="43" t="n">
        <f aca="false">IF(AND(D571&lt;&gt;"",ISNUMBER(B571),ISNUMBER(C571),N(H571)&gt;0,T571&lt;&gt;"Cancelled",J571&lt;&gt;""),1,0)</f>
        <v>0</v>
      </c>
      <c r="AB571" s="44" t="n">
        <f aca="false">IF(AA571=1,J571/H571,0)</f>
        <v>0</v>
      </c>
      <c r="AC571" s="44" t="n">
        <f aca="false">IF(AA571=1,Q571/H571,0)</f>
        <v>0</v>
      </c>
      <c r="AD571" s="44" t="n">
        <f aca="false">IF(AA571=1,R571/H571,0)</f>
        <v>0</v>
      </c>
      <c r="AE571" s="44" t="n">
        <f aca="false">IF(AA571=1,O571/H571,0)</f>
        <v>0</v>
      </c>
      <c r="AF571" s="44" t="n">
        <f aca="false">IF(AA571=1,K571/H571,0)</f>
        <v>0</v>
      </c>
      <c r="AG571" s="45" t="str">
        <f aca="false">IF(AA571=1,D571&amp;"|"&amp;TEXT(B571,"0"),"")</f>
        <v/>
      </c>
      <c r="AH571" s="43" t="n">
        <f aca="false">IF(AA571=1,H571,0)</f>
        <v>0</v>
      </c>
    </row>
    <row r="572" customFormat="false" ht="15" hidden="false" customHeight="false" outlineLevel="0" collapsed="false">
      <c r="A572" s="23" t="str">
        <f aca="false">IF(B572="","","B-"&amp;TEXT(ROW()-4,"0000"))</f>
        <v/>
      </c>
      <c r="B572" s="38"/>
      <c r="C572" s="38"/>
      <c r="D572" s="6"/>
      <c r="E572" s="6"/>
      <c r="F572" s="6"/>
      <c r="G572" s="11"/>
      <c r="H572" s="24" t="str">
        <f aca="false">IF(AND(ISNUMBER(B572),ISNUMBER(C572)),MAX(0,C572-B572),"")</f>
        <v/>
      </c>
      <c r="I572" s="37"/>
      <c r="J572" s="46" t="str">
        <f aca="false">IF(OR(D572="",N(H572)=0),"",IFERROR(IF(I572&lt;&gt;"",H572*I572,ROUND(((H572-(INT((WEEKDAY(B572-6)+H572-1)/7)+INT((WEEKDAY(B572-7)+H572-1)/7)))*INDEX(Properties!$E$5:$E$24,MATCH(D572,Properties!$A$5:$A$24,0))+(INT((WEEKDAY(B572-6)+H572-1)/7)+INT((WEEKDAY(B572-7)+H572-1)/7))*INDEX(Properties!$F$5:$F$24,MATCH(D572,Properties!$A$5:$A$24,0)))*(1-IF(H572&gt;=28,Settings!$B$10,IF(H572&gt;=7,Settings!$B$9,0))),2)),0))</f>
        <v/>
      </c>
      <c r="K572" s="46" t="str">
        <f aca="false">IF(J572="","",IFERROR(N(INDEX(Properties!$G$5:$G$24,MATCH(D572,Properties!$A$5:$A$24,0))),0))</f>
        <v/>
      </c>
      <c r="L572" s="46" t="str">
        <f aca="false">IF(J572="","",IFERROR(MAX(0,N(G572)-INDEX(Properties!$I$5:$I$24,MATCH(D572,Properties!$A$5:$A$24,0)))*N(INDEX(Properties!$J$5:$J$24,MATCH(D572,Properties!$A$5:$A$24,0)))*H572,0))</f>
        <v/>
      </c>
      <c r="M572" s="37"/>
      <c r="N572" s="46" t="str">
        <f aca="false">IF(J572="","",J572+K572+L572+N(M572))</f>
        <v/>
      </c>
      <c r="O572" s="46" t="str">
        <f aca="false">IF(N572="","",IF(P572&lt;&gt;"",N572-P572,ROUND(N572*IFERROR(INDEX(Settings!$E$5:$E$12,MATCH(F572,Settings!$D$5:$D$12,0)),0),2)))</f>
        <v/>
      </c>
      <c r="P572" s="37"/>
      <c r="Q572" s="46" t="str">
        <f aca="false">IF(N572="","",IF(P572&lt;&gt;"",P572,N572-O572))</f>
        <v/>
      </c>
      <c r="R572" s="46" t="str">
        <f aca="false">IF(J572="","",IFERROR(N(INDEX(Properties!$H$5:$H$24,MATCH(D572,Properties!$A$5:$A$24,0))),0))</f>
        <v/>
      </c>
      <c r="S572" s="46" t="str">
        <f aca="false">IF(Q572="","",Q572-R572)</f>
        <v/>
      </c>
      <c r="T572" s="6"/>
      <c r="U572" s="6"/>
      <c r="V572" s="6"/>
      <c r="W572" s="6"/>
      <c r="X572" s="6"/>
      <c r="Y572" s="8" t="str">
        <f aca="false">IF(OR(D572="",B572="",C572=""),"",IF(N(C572)&lt;=N(B572),"Check dates",IF(T572="Cancelled","",IF(COUNTIFS($D$5:$D$1004,D572,$B$5:$B$1004,"&lt;"&amp;C572,$C$5:$C$1004,"&gt;"&amp;B572,$T$5:$T$1004,"&lt;&gt;Cancelled")&gt;1,"Double-booked",""))))</f>
        <v/>
      </c>
      <c r="Z572" s="42" t="str">
        <f aca="false">IF(AND(AA572=1,ISNUMBER(C572)),C572+ROW()/100000,"")</f>
        <v/>
      </c>
      <c r="AA572" s="43" t="n">
        <f aca="false">IF(AND(D572&lt;&gt;"",ISNUMBER(B572),ISNUMBER(C572),N(H572)&gt;0,T572&lt;&gt;"Cancelled",J572&lt;&gt;""),1,0)</f>
        <v>0</v>
      </c>
      <c r="AB572" s="44" t="n">
        <f aca="false">IF(AA572=1,J572/H572,0)</f>
        <v>0</v>
      </c>
      <c r="AC572" s="44" t="n">
        <f aca="false">IF(AA572=1,Q572/H572,0)</f>
        <v>0</v>
      </c>
      <c r="AD572" s="44" t="n">
        <f aca="false">IF(AA572=1,R572/H572,0)</f>
        <v>0</v>
      </c>
      <c r="AE572" s="44" t="n">
        <f aca="false">IF(AA572=1,O572/H572,0)</f>
        <v>0</v>
      </c>
      <c r="AF572" s="44" t="n">
        <f aca="false">IF(AA572=1,K572/H572,0)</f>
        <v>0</v>
      </c>
      <c r="AG572" s="45" t="str">
        <f aca="false">IF(AA572=1,D572&amp;"|"&amp;TEXT(B572,"0"),"")</f>
        <v/>
      </c>
      <c r="AH572" s="43" t="n">
        <f aca="false">IF(AA572=1,H572,0)</f>
        <v>0</v>
      </c>
    </row>
    <row r="573" customFormat="false" ht="15" hidden="false" customHeight="false" outlineLevel="0" collapsed="false">
      <c r="A573" s="8" t="str">
        <f aca="false">IF(B573="","","B-"&amp;TEXT(ROW()-4,"0000"))</f>
        <v/>
      </c>
      <c r="B573" s="38"/>
      <c r="C573" s="38"/>
      <c r="D573" s="6"/>
      <c r="E573" s="6"/>
      <c r="F573" s="6"/>
      <c r="G573" s="11"/>
      <c r="H573" s="18" t="str">
        <f aca="false">IF(AND(ISNUMBER(B573),ISNUMBER(C573)),MAX(0,C573-B573),"")</f>
        <v/>
      </c>
      <c r="I573" s="37"/>
      <c r="J573" s="41" t="str">
        <f aca="false">IF(OR(D573="",N(H573)=0),"",IFERROR(IF(I573&lt;&gt;"",H573*I573,ROUND(((H573-(INT((WEEKDAY(B573-6)+H573-1)/7)+INT((WEEKDAY(B573-7)+H573-1)/7)))*INDEX(Properties!$E$5:$E$24,MATCH(D573,Properties!$A$5:$A$24,0))+(INT((WEEKDAY(B573-6)+H573-1)/7)+INT((WEEKDAY(B573-7)+H573-1)/7))*INDEX(Properties!$F$5:$F$24,MATCH(D573,Properties!$A$5:$A$24,0)))*(1-IF(H573&gt;=28,Settings!$B$10,IF(H573&gt;=7,Settings!$B$9,0))),2)),0))</f>
        <v/>
      </c>
      <c r="K573" s="41" t="str">
        <f aca="false">IF(J573="","",IFERROR(N(INDEX(Properties!$G$5:$G$24,MATCH(D573,Properties!$A$5:$A$24,0))),0))</f>
        <v/>
      </c>
      <c r="L573" s="41" t="str">
        <f aca="false">IF(J573="","",IFERROR(MAX(0,N(G573)-INDEX(Properties!$I$5:$I$24,MATCH(D573,Properties!$A$5:$A$24,0)))*N(INDEX(Properties!$J$5:$J$24,MATCH(D573,Properties!$A$5:$A$24,0)))*H573,0))</f>
        <v/>
      </c>
      <c r="M573" s="37"/>
      <c r="N573" s="41" t="str">
        <f aca="false">IF(J573="","",J573+K573+L573+N(M573))</f>
        <v/>
      </c>
      <c r="O573" s="41" t="str">
        <f aca="false">IF(N573="","",IF(P573&lt;&gt;"",N573-P573,ROUND(N573*IFERROR(INDEX(Settings!$E$5:$E$12,MATCH(F573,Settings!$D$5:$D$12,0)),0),2)))</f>
        <v/>
      </c>
      <c r="P573" s="37"/>
      <c r="Q573" s="41" t="str">
        <f aca="false">IF(N573="","",IF(P573&lt;&gt;"",P573,N573-O573))</f>
        <v/>
      </c>
      <c r="R573" s="41" t="str">
        <f aca="false">IF(J573="","",IFERROR(N(INDEX(Properties!$H$5:$H$24,MATCH(D573,Properties!$A$5:$A$24,0))),0))</f>
        <v/>
      </c>
      <c r="S573" s="41" t="str">
        <f aca="false">IF(Q573="","",Q573-R573)</f>
        <v/>
      </c>
      <c r="T573" s="6"/>
      <c r="U573" s="6"/>
      <c r="V573" s="6"/>
      <c r="W573" s="6"/>
      <c r="X573" s="6"/>
      <c r="Y573" s="8" t="str">
        <f aca="false">IF(OR(D573="",B573="",C573=""),"",IF(N(C573)&lt;=N(B573),"Check dates",IF(T573="Cancelled","",IF(COUNTIFS($D$5:$D$1004,D573,$B$5:$B$1004,"&lt;"&amp;C573,$C$5:$C$1004,"&gt;"&amp;B573,$T$5:$T$1004,"&lt;&gt;Cancelled")&gt;1,"Double-booked",""))))</f>
        <v/>
      </c>
      <c r="Z573" s="42" t="str">
        <f aca="false">IF(AND(AA573=1,ISNUMBER(C573)),C573+ROW()/100000,"")</f>
        <v/>
      </c>
      <c r="AA573" s="43" t="n">
        <f aca="false">IF(AND(D573&lt;&gt;"",ISNUMBER(B573),ISNUMBER(C573),N(H573)&gt;0,T573&lt;&gt;"Cancelled",J573&lt;&gt;""),1,0)</f>
        <v>0</v>
      </c>
      <c r="AB573" s="44" t="n">
        <f aca="false">IF(AA573=1,J573/H573,0)</f>
        <v>0</v>
      </c>
      <c r="AC573" s="44" t="n">
        <f aca="false">IF(AA573=1,Q573/H573,0)</f>
        <v>0</v>
      </c>
      <c r="AD573" s="44" t="n">
        <f aca="false">IF(AA573=1,R573/H573,0)</f>
        <v>0</v>
      </c>
      <c r="AE573" s="44" t="n">
        <f aca="false">IF(AA573=1,O573/H573,0)</f>
        <v>0</v>
      </c>
      <c r="AF573" s="44" t="n">
        <f aca="false">IF(AA573=1,K573/H573,0)</f>
        <v>0</v>
      </c>
      <c r="AG573" s="45" t="str">
        <f aca="false">IF(AA573=1,D573&amp;"|"&amp;TEXT(B573,"0"),"")</f>
        <v/>
      </c>
      <c r="AH573" s="43" t="n">
        <f aca="false">IF(AA573=1,H573,0)</f>
        <v>0</v>
      </c>
    </row>
    <row r="574" customFormat="false" ht="15" hidden="false" customHeight="false" outlineLevel="0" collapsed="false">
      <c r="A574" s="23" t="str">
        <f aca="false">IF(B574="","","B-"&amp;TEXT(ROW()-4,"0000"))</f>
        <v/>
      </c>
      <c r="B574" s="38"/>
      <c r="C574" s="38"/>
      <c r="D574" s="6"/>
      <c r="E574" s="6"/>
      <c r="F574" s="6"/>
      <c r="G574" s="11"/>
      <c r="H574" s="24" t="str">
        <f aca="false">IF(AND(ISNUMBER(B574),ISNUMBER(C574)),MAX(0,C574-B574),"")</f>
        <v/>
      </c>
      <c r="I574" s="37"/>
      <c r="J574" s="46" t="str">
        <f aca="false">IF(OR(D574="",N(H574)=0),"",IFERROR(IF(I574&lt;&gt;"",H574*I574,ROUND(((H574-(INT((WEEKDAY(B574-6)+H574-1)/7)+INT((WEEKDAY(B574-7)+H574-1)/7)))*INDEX(Properties!$E$5:$E$24,MATCH(D574,Properties!$A$5:$A$24,0))+(INT((WEEKDAY(B574-6)+H574-1)/7)+INT((WEEKDAY(B574-7)+H574-1)/7))*INDEX(Properties!$F$5:$F$24,MATCH(D574,Properties!$A$5:$A$24,0)))*(1-IF(H574&gt;=28,Settings!$B$10,IF(H574&gt;=7,Settings!$B$9,0))),2)),0))</f>
        <v/>
      </c>
      <c r="K574" s="46" t="str">
        <f aca="false">IF(J574="","",IFERROR(N(INDEX(Properties!$G$5:$G$24,MATCH(D574,Properties!$A$5:$A$24,0))),0))</f>
        <v/>
      </c>
      <c r="L574" s="46" t="str">
        <f aca="false">IF(J574="","",IFERROR(MAX(0,N(G574)-INDEX(Properties!$I$5:$I$24,MATCH(D574,Properties!$A$5:$A$24,0)))*N(INDEX(Properties!$J$5:$J$24,MATCH(D574,Properties!$A$5:$A$24,0)))*H574,0))</f>
        <v/>
      </c>
      <c r="M574" s="37"/>
      <c r="N574" s="46" t="str">
        <f aca="false">IF(J574="","",J574+K574+L574+N(M574))</f>
        <v/>
      </c>
      <c r="O574" s="46" t="str">
        <f aca="false">IF(N574="","",IF(P574&lt;&gt;"",N574-P574,ROUND(N574*IFERROR(INDEX(Settings!$E$5:$E$12,MATCH(F574,Settings!$D$5:$D$12,0)),0),2)))</f>
        <v/>
      </c>
      <c r="P574" s="37"/>
      <c r="Q574" s="46" t="str">
        <f aca="false">IF(N574="","",IF(P574&lt;&gt;"",P574,N574-O574))</f>
        <v/>
      </c>
      <c r="R574" s="46" t="str">
        <f aca="false">IF(J574="","",IFERROR(N(INDEX(Properties!$H$5:$H$24,MATCH(D574,Properties!$A$5:$A$24,0))),0))</f>
        <v/>
      </c>
      <c r="S574" s="46" t="str">
        <f aca="false">IF(Q574="","",Q574-R574)</f>
        <v/>
      </c>
      <c r="T574" s="6"/>
      <c r="U574" s="6"/>
      <c r="V574" s="6"/>
      <c r="W574" s="6"/>
      <c r="X574" s="6"/>
      <c r="Y574" s="8" t="str">
        <f aca="false">IF(OR(D574="",B574="",C574=""),"",IF(N(C574)&lt;=N(B574),"Check dates",IF(T574="Cancelled","",IF(COUNTIFS($D$5:$D$1004,D574,$B$5:$B$1004,"&lt;"&amp;C574,$C$5:$C$1004,"&gt;"&amp;B574,$T$5:$T$1004,"&lt;&gt;Cancelled")&gt;1,"Double-booked",""))))</f>
        <v/>
      </c>
      <c r="Z574" s="42" t="str">
        <f aca="false">IF(AND(AA574=1,ISNUMBER(C574)),C574+ROW()/100000,"")</f>
        <v/>
      </c>
      <c r="AA574" s="43" t="n">
        <f aca="false">IF(AND(D574&lt;&gt;"",ISNUMBER(B574),ISNUMBER(C574),N(H574)&gt;0,T574&lt;&gt;"Cancelled",J574&lt;&gt;""),1,0)</f>
        <v>0</v>
      </c>
      <c r="AB574" s="44" t="n">
        <f aca="false">IF(AA574=1,J574/H574,0)</f>
        <v>0</v>
      </c>
      <c r="AC574" s="44" t="n">
        <f aca="false">IF(AA574=1,Q574/H574,0)</f>
        <v>0</v>
      </c>
      <c r="AD574" s="44" t="n">
        <f aca="false">IF(AA574=1,R574/H574,0)</f>
        <v>0</v>
      </c>
      <c r="AE574" s="44" t="n">
        <f aca="false">IF(AA574=1,O574/H574,0)</f>
        <v>0</v>
      </c>
      <c r="AF574" s="44" t="n">
        <f aca="false">IF(AA574=1,K574/H574,0)</f>
        <v>0</v>
      </c>
      <c r="AG574" s="45" t="str">
        <f aca="false">IF(AA574=1,D574&amp;"|"&amp;TEXT(B574,"0"),"")</f>
        <v/>
      </c>
      <c r="AH574" s="43" t="n">
        <f aca="false">IF(AA574=1,H574,0)</f>
        <v>0</v>
      </c>
    </row>
    <row r="575" customFormat="false" ht="15" hidden="false" customHeight="false" outlineLevel="0" collapsed="false">
      <c r="A575" s="8" t="str">
        <f aca="false">IF(B575="","","B-"&amp;TEXT(ROW()-4,"0000"))</f>
        <v/>
      </c>
      <c r="B575" s="38"/>
      <c r="C575" s="38"/>
      <c r="D575" s="6"/>
      <c r="E575" s="6"/>
      <c r="F575" s="6"/>
      <c r="G575" s="11"/>
      <c r="H575" s="18" t="str">
        <f aca="false">IF(AND(ISNUMBER(B575),ISNUMBER(C575)),MAX(0,C575-B575),"")</f>
        <v/>
      </c>
      <c r="I575" s="37"/>
      <c r="J575" s="41" t="str">
        <f aca="false">IF(OR(D575="",N(H575)=0),"",IFERROR(IF(I575&lt;&gt;"",H575*I575,ROUND(((H575-(INT((WEEKDAY(B575-6)+H575-1)/7)+INT((WEEKDAY(B575-7)+H575-1)/7)))*INDEX(Properties!$E$5:$E$24,MATCH(D575,Properties!$A$5:$A$24,0))+(INT((WEEKDAY(B575-6)+H575-1)/7)+INT((WEEKDAY(B575-7)+H575-1)/7))*INDEX(Properties!$F$5:$F$24,MATCH(D575,Properties!$A$5:$A$24,0)))*(1-IF(H575&gt;=28,Settings!$B$10,IF(H575&gt;=7,Settings!$B$9,0))),2)),0))</f>
        <v/>
      </c>
      <c r="K575" s="41" t="str">
        <f aca="false">IF(J575="","",IFERROR(N(INDEX(Properties!$G$5:$G$24,MATCH(D575,Properties!$A$5:$A$24,0))),0))</f>
        <v/>
      </c>
      <c r="L575" s="41" t="str">
        <f aca="false">IF(J575="","",IFERROR(MAX(0,N(G575)-INDEX(Properties!$I$5:$I$24,MATCH(D575,Properties!$A$5:$A$24,0)))*N(INDEX(Properties!$J$5:$J$24,MATCH(D575,Properties!$A$5:$A$24,0)))*H575,0))</f>
        <v/>
      </c>
      <c r="M575" s="37"/>
      <c r="N575" s="41" t="str">
        <f aca="false">IF(J575="","",J575+K575+L575+N(M575))</f>
        <v/>
      </c>
      <c r="O575" s="41" t="str">
        <f aca="false">IF(N575="","",IF(P575&lt;&gt;"",N575-P575,ROUND(N575*IFERROR(INDEX(Settings!$E$5:$E$12,MATCH(F575,Settings!$D$5:$D$12,0)),0),2)))</f>
        <v/>
      </c>
      <c r="P575" s="37"/>
      <c r="Q575" s="41" t="str">
        <f aca="false">IF(N575="","",IF(P575&lt;&gt;"",P575,N575-O575))</f>
        <v/>
      </c>
      <c r="R575" s="41" t="str">
        <f aca="false">IF(J575="","",IFERROR(N(INDEX(Properties!$H$5:$H$24,MATCH(D575,Properties!$A$5:$A$24,0))),0))</f>
        <v/>
      </c>
      <c r="S575" s="41" t="str">
        <f aca="false">IF(Q575="","",Q575-R575)</f>
        <v/>
      </c>
      <c r="T575" s="6"/>
      <c r="U575" s="6"/>
      <c r="V575" s="6"/>
      <c r="W575" s="6"/>
      <c r="X575" s="6"/>
      <c r="Y575" s="8" t="str">
        <f aca="false">IF(OR(D575="",B575="",C575=""),"",IF(N(C575)&lt;=N(B575),"Check dates",IF(T575="Cancelled","",IF(COUNTIFS($D$5:$D$1004,D575,$B$5:$B$1004,"&lt;"&amp;C575,$C$5:$C$1004,"&gt;"&amp;B575,$T$5:$T$1004,"&lt;&gt;Cancelled")&gt;1,"Double-booked",""))))</f>
        <v/>
      </c>
      <c r="Z575" s="42" t="str">
        <f aca="false">IF(AND(AA575=1,ISNUMBER(C575)),C575+ROW()/100000,"")</f>
        <v/>
      </c>
      <c r="AA575" s="43" t="n">
        <f aca="false">IF(AND(D575&lt;&gt;"",ISNUMBER(B575),ISNUMBER(C575),N(H575)&gt;0,T575&lt;&gt;"Cancelled",J575&lt;&gt;""),1,0)</f>
        <v>0</v>
      </c>
      <c r="AB575" s="44" t="n">
        <f aca="false">IF(AA575=1,J575/H575,0)</f>
        <v>0</v>
      </c>
      <c r="AC575" s="44" t="n">
        <f aca="false">IF(AA575=1,Q575/H575,0)</f>
        <v>0</v>
      </c>
      <c r="AD575" s="44" t="n">
        <f aca="false">IF(AA575=1,R575/H575,0)</f>
        <v>0</v>
      </c>
      <c r="AE575" s="44" t="n">
        <f aca="false">IF(AA575=1,O575/H575,0)</f>
        <v>0</v>
      </c>
      <c r="AF575" s="44" t="n">
        <f aca="false">IF(AA575=1,K575/H575,0)</f>
        <v>0</v>
      </c>
      <c r="AG575" s="45" t="str">
        <f aca="false">IF(AA575=1,D575&amp;"|"&amp;TEXT(B575,"0"),"")</f>
        <v/>
      </c>
      <c r="AH575" s="43" t="n">
        <f aca="false">IF(AA575=1,H575,0)</f>
        <v>0</v>
      </c>
    </row>
    <row r="576" customFormat="false" ht="15" hidden="false" customHeight="false" outlineLevel="0" collapsed="false">
      <c r="A576" s="23" t="str">
        <f aca="false">IF(B576="","","B-"&amp;TEXT(ROW()-4,"0000"))</f>
        <v/>
      </c>
      <c r="B576" s="38"/>
      <c r="C576" s="38"/>
      <c r="D576" s="6"/>
      <c r="E576" s="6"/>
      <c r="F576" s="6"/>
      <c r="G576" s="11"/>
      <c r="H576" s="24" t="str">
        <f aca="false">IF(AND(ISNUMBER(B576),ISNUMBER(C576)),MAX(0,C576-B576),"")</f>
        <v/>
      </c>
      <c r="I576" s="37"/>
      <c r="J576" s="46" t="str">
        <f aca="false">IF(OR(D576="",N(H576)=0),"",IFERROR(IF(I576&lt;&gt;"",H576*I576,ROUND(((H576-(INT((WEEKDAY(B576-6)+H576-1)/7)+INT((WEEKDAY(B576-7)+H576-1)/7)))*INDEX(Properties!$E$5:$E$24,MATCH(D576,Properties!$A$5:$A$24,0))+(INT((WEEKDAY(B576-6)+H576-1)/7)+INT((WEEKDAY(B576-7)+H576-1)/7))*INDEX(Properties!$F$5:$F$24,MATCH(D576,Properties!$A$5:$A$24,0)))*(1-IF(H576&gt;=28,Settings!$B$10,IF(H576&gt;=7,Settings!$B$9,0))),2)),0))</f>
        <v/>
      </c>
      <c r="K576" s="46" t="str">
        <f aca="false">IF(J576="","",IFERROR(N(INDEX(Properties!$G$5:$G$24,MATCH(D576,Properties!$A$5:$A$24,0))),0))</f>
        <v/>
      </c>
      <c r="L576" s="46" t="str">
        <f aca="false">IF(J576="","",IFERROR(MAX(0,N(G576)-INDEX(Properties!$I$5:$I$24,MATCH(D576,Properties!$A$5:$A$24,0)))*N(INDEX(Properties!$J$5:$J$24,MATCH(D576,Properties!$A$5:$A$24,0)))*H576,0))</f>
        <v/>
      </c>
      <c r="M576" s="37"/>
      <c r="N576" s="46" t="str">
        <f aca="false">IF(J576="","",J576+K576+L576+N(M576))</f>
        <v/>
      </c>
      <c r="O576" s="46" t="str">
        <f aca="false">IF(N576="","",IF(P576&lt;&gt;"",N576-P576,ROUND(N576*IFERROR(INDEX(Settings!$E$5:$E$12,MATCH(F576,Settings!$D$5:$D$12,0)),0),2)))</f>
        <v/>
      </c>
      <c r="P576" s="37"/>
      <c r="Q576" s="46" t="str">
        <f aca="false">IF(N576="","",IF(P576&lt;&gt;"",P576,N576-O576))</f>
        <v/>
      </c>
      <c r="R576" s="46" t="str">
        <f aca="false">IF(J576="","",IFERROR(N(INDEX(Properties!$H$5:$H$24,MATCH(D576,Properties!$A$5:$A$24,0))),0))</f>
        <v/>
      </c>
      <c r="S576" s="46" t="str">
        <f aca="false">IF(Q576="","",Q576-R576)</f>
        <v/>
      </c>
      <c r="T576" s="6"/>
      <c r="U576" s="6"/>
      <c r="V576" s="6"/>
      <c r="W576" s="6"/>
      <c r="X576" s="6"/>
      <c r="Y576" s="8" t="str">
        <f aca="false">IF(OR(D576="",B576="",C576=""),"",IF(N(C576)&lt;=N(B576),"Check dates",IF(T576="Cancelled","",IF(COUNTIFS($D$5:$D$1004,D576,$B$5:$B$1004,"&lt;"&amp;C576,$C$5:$C$1004,"&gt;"&amp;B576,$T$5:$T$1004,"&lt;&gt;Cancelled")&gt;1,"Double-booked",""))))</f>
        <v/>
      </c>
      <c r="Z576" s="42" t="str">
        <f aca="false">IF(AND(AA576=1,ISNUMBER(C576)),C576+ROW()/100000,"")</f>
        <v/>
      </c>
      <c r="AA576" s="43" t="n">
        <f aca="false">IF(AND(D576&lt;&gt;"",ISNUMBER(B576),ISNUMBER(C576),N(H576)&gt;0,T576&lt;&gt;"Cancelled",J576&lt;&gt;""),1,0)</f>
        <v>0</v>
      </c>
      <c r="AB576" s="44" t="n">
        <f aca="false">IF(AA576=1,J576/H576,0)</f>
        <v>0</v>
      </c>
      <c r="AC576" s="44" t="n">
        <f aca="false">IF(AA576=1,Q576/H576,0)</f>
        <v>0</v>
      </c>
      <c r="AD576" s="44" t="n">
        <f aca="false">IF(AA576=1,R576/H576,0)</f>
        <v>0</v>
      </c>
      <c r="AE576" s="44" t="n">
        <f aca="false">IF(AA576=1,O576/H576,0)</f>
        <v>0</v>
      </c>
      <c r="AF576" s="44" t="n">
        <f aca="false">IF(AA576=1,K576/H576,0)</f>
        <v>0</v>
      </c>
      <c r="AG576" s="45" t="str">
        <f aca="false">IF(AA576=1,D576&amp;"|"&amp;TEXT(B576,"0"),"")</f>
        <v/>
      </c>
      <c r="AH576" s="43" t="n">
        <f aca="false">IF(AA576=1,H576,0)</f>
        <v>0</v>
      </c>
    </row>
    <row r="577" customFormat="false" ht="15" hidden="false" customHeight="false" outlineLevel="0" collapsed="false">
      <c r="A577" s="8" t="str">
        <f aca="false">IF(B577="","","B-"&amp;TEXT(ROW()-4,"0000"))</f>
        <v/>
      </c>
      <c r="B577" s="38"/>
      <c r="C577" s="38"/>
      <c r="D577" s="6"/>
      <c r="E577" s="6"/>
      <c r="F577" s="6"/>
      <c r="G577" s="11"/>
      <c r="H577" s="18" t="str">
        <f aca="false">IF(AND(ISNUMBER(B577),ISNUMBER(C577)),MAX(0,C577-B577),"")</f>
        <v/>
      </c>
      <c r="I577" s="37"/>
      <c r="J577" s="41" t="str">
        <f aca="false">IF(OR(D577="",N(H577)=0),"",IFERROR(IF(I577&lt;&gt;"",H577*I577,ROUND(((H577-(INT((WEEKDAY(B577-6)+H577-1)/7)+INT((WEEKDAY(B577-7)+H577-1)/7)))*INDEX(Properties!$E$5:$E$24,MATCH(D577,Properties!$A$5:$A$24,0))+(INT((WEEKDAY(B577-6)+H577-1)/7)+INT((WEEKDAY(B577-7)+H577-1)/7))*INDEX(Properties!$F$5:$F$24,MATCH(D577,Properties!$A$5:$A$24,0)))*(1-IF(H577&gt;=28,Settings!$B$10,IF(H577&gt;=7,Settings!$B$9,0))),2)),0))</f>
        <v/>
      </c>
      <c r="K577" s="41" t="str">
        <f aca="false">IF(J577="","",IFERROR(N(INDEX(Properties!$G$5:$G$24,MATCH(D577,Properties!$A$5:$A$24,0))),0))</f>
        <v/>
      </c>
      <c r="L577" s="41" t="str">
        <f aca="false">IF(J577="","",IFERROR(MAX(0,N(G577)-INDEX(Properties!$I$5:$I$24,MATCH(D577,Properties!$A$5:$A$24,0)))*N(INDEX(Properties!$J$5:$J$24,MATCH(D577,Properties!$A$5:$A$24,0)))*H577,0))</f>
        <v/>
      </c>
      <c r="M577" s="37"/>
      <c r="N577" s="41" t="str">
        <f aca="false">IF(J577="","",J577+K577+L577+N(M577))</f>
        <v/>
      </c>
      <c r="O577" s="41" t="str">
        <f aca="false">IF(N577="","",IF(P577&lt;&gt;"",N577-P577,ROUND(N577*IFERROR(INDEX(Settings!$E$5:$E$12,MATCH(F577,Settings!$D$5:$D$12,0)),0),2)))</f>
        <v/>
      </c>
      <c r="P577" s="37"/>
      <c r="Q577" s="41" t="str">
        <f aca="false">IF(N577="","",IF(P577&lt;&gt;"",P577,N577-O577))</f>
        <v/>
      </c>
      <c r="R577" s="41" t="str">
        <f aca="false">IF(J577="","",IFERROR(N(INDEX(Properties!$H$5:$H$24,MATCH(D577,Properties!$A$5:$A$24,0))),0))</f>
        <v/>
      </c>
      <c r="S577" s="41" t="str">
        <f aca="false">IF(Q577="","",Q577-R577)</f>
        <v/>
      </c>
      <c r="T577" s="6"/>
      <c r="U577" s="6"/>
      <c r="V577" s="6"/>
      <c r="W577" s="6"/>
      <c r="X577" s="6"/>
      <c r="Y577" s="8" t="str">
        <f aca="false">IF(OR(D577="",B577="",C577=""),"",IF(N(C577)&lt;=N(B577),"Check dates",IF(T577="Cancelled","",IF(COUNTIFS($D$5:$D$1004,D577,$B$5:$B$1004,"&lt;"&amp;C577,$C$5:$C$1004,"&gt;"&amp;B577,$T$5:$T$1004,"&lt;&gt;Cancelled")&gt;1,"Double-booked",""))))</f>
        <v/>
      </c>
      <c r="Z577" s="42" t="str">
        <f aca="false">IF(AND(AA577=1,ISNUMBER(C577)),C577+ROW()/100000,"")</f>
        <v/>
      </c>
      <c r="AA577" s="43" t="n">
        <f aca="false">IF(AND(D577&lt;&gt;"",ISNUMBER(B577),ISNUMBER(C577),N(H577)&gt;0,T577&lt;&gt;"Cancelled",J577&lt;&gt;""),1,0)</f>
        <v>0</v>
      </c>
      <c r="AB577" s="44" t="n">
        <f aca="false">IF(AA577=1,J577/H577,0)</f>
        <v>0</v>
      </c>
      <c r="AC577" s="44" t="n">
        <f aca="false">IF(AA577=1,Q577/H577,0)</f>
        <v>0</v>
      </c>
      <c r="AD577" s="44" t="n">
        <f aca="false">IF(AA577=1,R577/H577,0)</f>
        <v>0</v>
      </c>
      <c r="AE577" s="44" t="n">
        <f aca="false">IF(AA577=1,O577/H577,0)</f>
        <v>0</v>
      </c>
      <c r="AF577" s="44" t="n">
        <f aca="false">IF(AA577=1,K577/H577,0)</f>
        <v>0</v>
      </c>
      <c r="AG577" s="45" t="str">
        <f aca="false">IF(AA577=1,D577&amp;"|"&amp;TEXT(B577,"0"),"")</f>
        <v/>
      </c>
      <c r="AH577" s="43" t="n">
        <f aca="false">IF(AA577=1,H577,0)</f>
        <v>0</v>
      </c>
    </row>
    <row r="578" customFormat="false" ht="15" hidden="false" customHeight="false" outlineLevel="0" collapsed="false">
      <c r="A578" s="23" t="str">
        <f aca="false">IF(B578="","","B-"&amp;TEXT(ROW()-4,"0000"))</f>
        <v/>
      </c>
      <c r="B578" s="38"/>
      <c r="C578" s="38"/>
      <c r="D578" s="6"/>
      <c r="E578" s="6"/>
      <c r="F578" s="6"/>
      <c r="G578" s="11"/>
      <c r="H578" s="24" t="str">
        <f aca="false">IF(AND(ISNUMBER(B578),ISNUMBER(C578)),MAX(0,C578-B578),"")</f>
        <v/>
      </c>
      <c r="I578" s="37"/>
      <c r="J578" s="46" t="str">
        <f aca="false">IF(OR(D578="",N(H578)=0),"",IFERROR(IF(I578&lt;&gt;"",H578*I578,ROUND(((H578-(INT((WEEKDAY(B578-6)+H578-1)/7)+INT((WEEKDAY(B578-7)+H578-1)/7)))*INDEX(Properties!$E$5:$E$24,MATCH(D578,Properties!$A$5:$A$24,0))+(INT((WEEKDAY(B578-6)+H578-1)/7)+INT((WEEKDAY(B578-7)+H578-1)/7))*INDEX(Properties!$F$5:$F$24,MATCH(D578,Properties!$A$5:$A$24,0)))*(1-IF(H578&gt;=28,Settings!$B$10,IF(H578&gt;=7,Settings!$B$9,0))),2)),0))</f>
        <v/>
      </c>
      <c r="K578" s="46" t="str">
        <f aca="false">IF(J578="","",IFERROR(N(INDEX(Properties!$G$5:$G$24,MATCH(D578,Properties!$A$5:$A$24,0))),0))</f>
        <v/>
      </c>
      <c r="L578" s="46" t="str">
        <f aca="false">IF(J578="","",IFERROR(MAX(0,N(G578)-INDEX(Properties!$I$5:$I$24,MATCH(D578,Properties!$A$5:$A$24,0)))*N(INDEX(Properties!$J$5:$J$24,MATCH(D578,Properties!$A$5:$A$24,0)))*H578,0))</f>
        <v/>
      </c>
      <c r="M578" s="37"/>
      <c r="N578" s="46" t="str">
        <f aca="false">IF(J578="","",J578+K578+L578+N(M578))</f>
        <v/>
      </c>
      <c r="O578" s="46" t="str">
        <f aca="false">IF(N578="","",IF(P578&lt;&gt;"",N578-P578,ROUND(N578*IFERROR(INDEX(Settings!$E$5:$E$12,MATCH(F578,Settings!$D$5:$D$12,0)),0),2)))</f>
        <v/>
      </c>
      <c r="P578" s="37"/>
      <c r="Q578" s="46" t="str">
        <f aca="false">IF(N578="","",IF(P578&lt;&gt;"",P578,N578-O578))</f>
        <v/>
      </c>
      <c r="R578" s="46" t="str">
        <f aca="false">IF(J578="","",IFERROR(N(INDEX(Properties!$H$5:$H$24,MATCH(D578,Properties!$A$5:$A$24,0))),0))</f>
        <v/>
      </c>
      <c r="S578" s="46" t="str">
        <f aca="false">IF(Q578="","",Q578-R578)</f>
        <v/>
      </c>
      <c r="T578" s="6"/>
      <c r="U578" s="6"/>
      <c r="V578" s="6"/>
      <c r="W578" s="6"/>
      <c r="X578" s="6"/>
      <c r="Y578" s="8" t="str">
        <f aca="false">IF(OR(D578="",B578="",C578=""),"",IF(N(C578)&lt;=N(B578),"Check dates",IF(T578="Cancelled","",IF(COUNTIFS($D$5:$D$1004,D578,$B$5:$B$1004,"&lt;"&amp;C578,$C$5:$C$1004,"&gt;"&amp;B578,$T$5:$T$1004,"&lt;&gt;Cancelled")&gt;1,"Double-booked",""))))</f>
        <v/>
      </c>
      <c r="Z578" s="42" t="str">
        <f aca="false">IF(AND(AA578=1,ISNUMBER(C578)),C578+ROW()/100000,"")</f>
        <v/>
      </c>
      <c r="AA578" s="43" t="n">
        <f aca="false">IF(AND(D578&lt;&gt;"",ISNUMBER(B578),ISNUMBER(C578),N(H578)&gt;0,T578&lt;&gt;"Cancelled",J578&lt;&gt;""),1,0)</f>
        <v>0</v>
      </c>
      <c r="AB578" s="44" t="n">
        <f aca="false">IF(AA578=1,J578/H578,0)</f>
        <v>0</v>
      </c>
      <c r="AC578" s="44" t="n">
        <f aca="false">IF(AA578=1,Q578/H578,0)</f>
        <v>0</v>
      </c>
      <c r="AD578" s="44" t="n">
        <f aca="false">IF(AA578=1,R578/H578,0)</f>
        <v>0</v>
      </c>
      <c r="AE578" s="44" t="n">
        <f aca="false">IF(AA578=1,O578/H578,0)</f>
        <v>0</v>
      </c>
      <c r="AF578" s="44" t="n">
        <f aca="false">IF(AA578=1,K578/H578,0)</f>
        <v>0</v>
      </c>
      <c r="AG578" s="45" t="str">
        <f aca="false">IF(AA578=1,D578&amp;"|"&amp;TEXT(B578,"0"),"")</f>
        <v/>
      </c>
      <c r="AH578" s="43" t="n">
        <f aca="false">IF(AA578=1,H578,0)</f>
        <v>0</v>
      </c>
    </row>
    <row r="579" customFormat="false" ht="15" hidden="false" customHeight="false" outlineLevel="0" collapsed="false">
      <c r="A579" s="8" t="str">
        <f aca="false">IF(B579="","","B-"&amp;TEXT(ROW()-4,"0000"))</f>
        <v/>
      </c>
      <c r="B579" s="38"/>
      <c r="C579" s="38"/>
      <c r="D579" s="6"/>
      <c r="E579" s="6"/>
      <c r="F579" s="6"/>
      <c r="G579" s="11"/>
      <c r="H579" s="18" t="str">
        <f aca="false">IF(AND(ISNUMBER(B579),ISNUMBER(C579)),MAX(0,C579-B579),"")</f>
        <v/>
      </c>
      <c r="I579" s="37"/>
      <c r="J579" s="41" t="str">
        <f aca="false">IF(OR(D579="",N(H579)=0),"",IFERROR(IF(I579&lt;&gt;"",H579*I579,ROUND(((H579-(INT((WEEKDAY(B579-6)+H579-1)/7)+INT((WEEKDAY(B579-7)+H579-1)/7)))*INDEX(Properties!$E$5:$E$24,MATCH(D579,Properties!$A$5:$A$24,0))+(INT((WEEKDAY(B579-6)+H579-1)/7)+INT((WEEKDAY(B579-7)+H579-1)/7))*INDEX(Properties!$F$5:$F$24,MATCH(D579,Properties!$A$5:$A$24,0)))*(1-IF(H579&gt;=28,Settings!$B$10,IF(H579&gt;=7,Settings!$B$9,0))),2)),0))</f>
        <v/>
      </c>
      <c r="K579" s="41" t="str">
        <f aca="false">IF(J579="","",IFERROR(N(INDEX(Properties!$G$5:$G$24,MATCH(D579,Properties!$A$5:$A$24,0))),0))</f>
        <v/>
      </c>
      <c r="L579" s="41" t="str">
        <f aca="false">IF(J579="","",IFERROR(MAX(0,N(G579)-INDEX(Properties!$I$5:$I$24,MATCH(D579,Properties!$A$5:$A$24,0)))*N(INDEX(Properties!$J$5:$J$24,MATCH(D579,Properties!$A$5:$A$24,0)))*H579,0))</f>
        <v/>
      </c>
      <c r="M579" s="37"/>
      <c r="N579" s="41" t="str">
        <f aca="false">IF(J579="","",J579+K579+L579+N(M579))</f>
        <v/>
      </c>
      <c r="O579" s="41" t="str">
        <f aca="false">IF(N579="","",IF(P579&lt;&gt;"",N579-P579,ROUND(N579*IFERROR(INDEX(Settings!$E$5:$E$12,MATCH(F579,Settings!$D$5:$D$12,0)),0),2)))</f>
        <v/>
      </c>
      <c r="P579" s="37"/>
      <c r="Q579" s="41" t="str">
        <f aca="false">IF(N579="","",IF(P579&lt;&gt;"",P579,N579-O579))</f>
        <v/>
      </c>
      <c r="R579" s="41" t="str">
        <f aca="false">IF(J579="","",IFERROR(N(INDEX(Properties!$H$5:$H$24,MATCH(D579,Properties!$A$5:$A$24,0))),0))</f>
        <v/>
      </c>
      <c r="S579" s="41" t="str">
        <f aca="false">IF(Q579="","",Q579-R579)</f>
        <v/>
      </c>
      <c r="T579" s="6"/>
      <c r="U579" s="6"/>
      <c r="V579" s="6"/>
      <c r="W579" s="6"/>
      <c r="X579" s="6"/>
      <c r="Y579" s="8" t="str">
        <f aca="false">IF(OR(D579="",B579="",C579=""),"",IF(N(C579)&lt;=N(B579),"Check dates",IF(T579="Cancelled","",IF(COUNTIFS($D$5:$D$1004,D579,$B$5:$B$1004,"&lt;"&amp;C579,$C$5:$C$1004,"&gt;"&amp;B579,$T$5:$T$1004,"&lt;&gt;Cancelled")&gt;1,"Double-booked",""))))</f>
        <v/>
      </c>
      <c r="Z579" s="42" t="str">
        <f aca="false">IF(AND(AA579=1,ISNUMBER(C579)),C579+ROW()/100000,"")</f>
        <v/>
      </c>
      <c r="AA579" s="43" t="n">
        <f aca="false">IF(AND(D579&lt;&gt;"",ISNUMBER(B579),ISNUMBER(C579),N(H579)&gt;0,T579&lt;&gt;"Cancelled",J579&lt;&gt;""),1,0)</f>
        <v>0</v>
      </c>
      <c r="AB579" s="44" t="n">
        <f aca="false">IF(AA579=1,J579/H579,0)</f>
        <v>0</v>
      </c>
      <c r="AC579" s="44" t="n">
        <f aca="false">IF(AA579=1,Q579/H579,0)</f>
        <v>0</v>
      </c>
      <c r="AD579" s="44" t="n">
        <f aca="false">IF(AA579=1,R579/H579,0)</f>
        <v>0</v>
      </c>
      <c r="AE579" s="44" t="n">
        <f aca="false">IF(AA579=1,O579/H579,0)</f>
        <v>0</v>
      </c>
      <c r="AF579" s="44" t="n">
        <f aca="false">IF(AA579=1,K579/H579,0)</f>
        <v>0</v>
      </c>
      <c r="AG579" s="45" t="str">
        <f aca="false">IF(AA579=1,D579&amp;"|"&amp;TEXT(B579,"0"),"")</f>
        <v/>
      </c>
      <c r="AH579" s="43" t="n">
        <f aca="false">IF(AA579=1,H579,0)</f>
        <v>0</v>
      </c>
    </row>
    <row r="580" customFormat="false" ht="15" hidden="false" customHeight="false" outlineLevel="0" collapsed="false">
      <c r="A580" s="23" t="str">
        <f aca="false">IF(B580="","","B-"&amp;TEXT(ROW()-4,"0000"))</f>
        <v/>
      </c>
      <c r="B580" s="38"/>
      <c r="C580" s="38"/>
      <c r="D580" s="6"/>
      <c r="E580" s="6"/>
      <c r="F580" s="6"/>
      <c r="G580" s="11"/>
      <c r="H580" s="24" t="str">
        <f aca="false">IF(AND(ISNUMBER(B580),ISNUMBER(C580)),MAX(0,C580-B580),"")</f>
        <v/>
      </c>
      <c r="I580" s="37"/>
      <c r="J580" s="46" t="str">
        <f aca="false">IF(OR(D580="",N(H580)=0),"",IFERROR(IF(I580&lt;&gt;"",H580*I580,ROUND(((H580-(INT((WEEKDAY(B580-6)+H580-1)/7)+INT((WEEKDAY(B580-7)+H580-1)/7)))*INDEX(Properties!$E$5:$E$24,MATCH(D580,Properties!$A$5:$A$24,0))+(INT((WEEKDAY(B580-6)+H580-1)/7)+INT((WEEKDAY(B580-7)+H580-1)/7))*INDEX(Properties!$F$5:$F$24,MATCH(D580,Properties!$A$5:$A$24,0)))*(1-IF(H580&gt;=28,Settings!$B$10,IF(H580&gt;=7,Settings!$B$9,0))),2)),0))</f>
        <v/>
      </c>
      <c r="K580" s="46" t="str">
        <f aca="false">IF(J580="","",IFERROR(N(INDEX(Properties!$G$5:$G$24,MATCH(D580,Properties!$A$5:$A$24,0))),0))</f>
        <v/>
      </c>
      <c r="L580" s="46" t="str">
        <f aca="false">IF(J580="","",IFERROR(MAX(0,N(G580)-INDEX(Properties!$I$5:$I$24,MATCH(D580,Properties!$A$5:$A$24,0)))*N(INDEX(Properties!$J$5:$J$24,MATCH(D580,Properties!$A$5:$A$24,0)))*H580,0))</f>
        <v/>
      </c>
      <c r="M580" s="37"/>
      <c r="N580" s="46" t="str">
        <f aca="false">IF(J580="","",J580+K580+L580+N(M580))</f>
        <v/>
      </c>
      <c r="O580" s="46" t="str">
        <f aca="false">IF(N580="","",IF(P580&lt;&gt;"",N580-P580,ROUND(N580*IFERROR(INDEX(Settings!$E$5:$E$12,MATCH(F580,Settings!$D$5:$D$12,0)),0),2)))</f>
        <v/>
      </c>
      <c r="P580" s="37"/>
      <c r="Q580" s="46" t="str">
        <f aca="false">IF(N580="","",IF(P580&lt;&gt;"",P580,N580-O580))</f>
        <v/>
      </c>
      <c r="R580" s="46" t="str">
        <f aca="false">IF(J580="","",IFERROR(N(INDEX(Properties!$H$5:$H$24,MATCH(D580,Properties!$A$5:$A$24,0))),0))</f>
        <v/>
      </c>
      <c r="S580" s="46" t="str">
        <f aca="false">IF(Q580="","",Q580-R580)</f>
        <v/>
      </c>
      <c r="T580" s="6"/>
      <c r="U580" s="6"/>
      <c r="V580" s="6"/>
      <c r="W580" s="6"/>
      <c r="X580" s="6"/>
      <c r="Y580" s="8" t="str">
        <f aca="false">IF(OR(D580="",B580="",C580=""),"",IF(N(C580)&lt;=N(B580),"Check dates",IF(T580="Cancelled","",IF(COUNTIFS($D$5:$D$1004,D580,$B$5:$B$1004,"&lt;"&amp;C580,$C$5:$C$1004,"&gt;"&amp;B580,$T$5:$T$1004,"&lt;&gt;Cancelled")&gt;1,"Double-booked",""))))</f>
        <v/>
      </c>
      <c r="Z580" s="42" t="str">
        <f aca="false">IF(AND(AA580=1,ISNUMBER(C580)),C580+ROW()/100000,"")</f>
        <v/>
      </c>
      <c r="AA580" s="43" t="n">
        <f aca="false">IF(AND(D580&lt;&gt;"",ISNUMBER(B580),ISNUMBER(C580),N(H580)&gt;0,T580&lt;&gt;"Cancelled",J580&lt;&gt;""),1,0)</f>
        <v>0</v>
      </c>
      <c r="AB580" s="44" t="n">
        <f aca="false">IF(AA580=1,J580/H580,0)</f>
        <v>0</v>
      </c>
      <c r="AC580" s="44" t="n">
        <f aca="false">IF(AA580=1,Q580/H580,0)</f>
        <v>0</v>
      </c>
      <c r="AD580" s="44" t="n">
        <f aca="false">IF(AA580=1,R580/H580,0)</f>
        <v>0</v>
      </c>
      <c r="AE580" s="44" t="n">
        <f aca="false">IF(AA580=1,O580/H580,0)</f>
        <v>0</v>
      </c>
      <c r="AF580" s="44" t="n">
        <f aca="false">IF(AA580=1,K580/H580,0)</f>
        <v>0</v>
      </c>
      <c r="AG580" s="45" t="str">
        <f aca="false">IF(AA580=1,D580&amp;"|"&amp;TEXT(B580,"0"),"")</f>
        <v/>
      </c>
      <c r="AH580" s="43" t="n">
        <f aca="false">IF(AA580=1,H580,0)</f>
        <v>0</v>
      </c>
    </row>
    <row r="581" customFormat="false" ht="15" hidden="false" customHeight="false" outlineLevel="0" collapsed="false">
      <c r="A581" s="8" t="str">
        <f aca="false">IF(B581="","","B-"&amp;TEXT(ROW()-4,"0000"))</f>
        <v/>
      </c>
      <c r="B581" s="38"/>
      <c r="C581" s="38"/>
      <c r="D581" s="6"/>
      <c r="E581" s="6"/>
      <c r="F581" s="6"/>
      <c r="G581" s="11"/>
      <c r="H581" s="18" t="str">
        <f aca="false">IF(AND(ISNUMBER(B581),ISNUMBER(C581)),MAX(0,C581-B581),"")</f>
        <v/>
      </c>
      <c r="I581" s="37"/>
      <c r="J581" s="41" t="str">
        <f aca="false">IF(OR(D581="",N(H581)=0),"",IFERROR(IF(I581&lt;&gt;"",H581*I581,ROUND(((H581-(INT((WEEKDAY(B581-6)+H581-1)/7)+INT((WEEKDAY(B581-7)+H581-1)/7)))*INDEX(Properties!$E$5:$E$24,MATCH(D581,Properties!$A$5:$A$24,0))+(INT((WEEKDAY(B581-6)+H581-1)/7)+INT((WEEKDAY(B581-7)+H581-1)/7))*INDEX(Properties!$F$5:$F$24,MATCH(D581,Properties!$A$5:$A$24,0)))*(1-IF(H581&gt;=28,Settings!$B$10,IF(H581&gt;=7,Settings!$B$9,0))),2)),0))</f>
        <v/>
      </c>
      <c r="K581" s="41" t="str">
        <f aca="false">IF(J581="","",IFERROR(N(INDEX(Properties!$G$5:$G$24,MATCH(D581,Properties!$A$5:$A$24,0))),0))</f>
        <v/>
      </c>
      <c r="L581" s="41" t="str">
        <f aca="false">IF(J581="","",IFERROR(MAX(0,N(G581)-INDEX(Properties!$I$5:$I$24,MATCH(D581,Properties!$A$5:$A$24,0)))*N(INDEX(Properties!$J$5:$J$24,MATCH(D581,Properties!$A$5:$A$24,0)))*H581,0))</f>
        <v/>
      </c>
      <c r="M581" s="37"/>
      <c r="N581" s="41" t="str">
        <f aca="false">IF(J581="","",J581+K581+L581+N(M581))</f>
        <v/>
      </c>
      <c r="O581" s="41" t="str">
        <f aca="false">IF(N581="","",IF(P581&lt;&gt;"",N581-P581,ROUND(N581*IFERROR(INDEX(Settings!$E$5:$E$12,MATCH(F581,Settings!$D$5:$D$12,0)),0),2)))</f>
        <v/>
      </c>
      <c r="P581" s="37"/>
      <c r="Q581" s="41" t="str">
        <f aca="false">IF(N581="","",IF(P581&lt;&gt;"",P581,N581-O581))</f>
        <v/>
      </c>
      <c r="R581" s="41" t="str">
        <f aca="false">IF(J581="","",IFERROR(N(INDEX(Properties!$H$5:$H$24,MATCH(D581,Properties!$A$5:$A$24,0))),0))</f>
        <v/>
      </c>
      <c r="S581" s="41" t="str">
        <f aca="false">IF(Q581="","",Q581-R581)</f>
        <v/>
      </c>
      <c r="T581" s="6"/>
      <c r="U581" s="6"/>
      <c r="V581" s="6"/>
      <c r="W581" s="6"/>
      <c r="X581" s="6"/>
      <c r="Y581" s="8" t="str">
        <f aca="false">IF(OR(D581="",B581="",C581=""),"",IF(N(C581)&lt;=N(B581),"Check dates",IF(T581="Cancelled","",IF(COUNTIFS($D$5:$D$1004,D581,$B$5:$B$1004,"&lt;"&amp;C581,$C$5:$C$1004,"&gt;"&amp;B581,$T$5:$T$1004,"&lt;&gt;Cancelled")&gt;1,"Double-booked",""))))</f>
        <v/>
      </c>
      <c r="Z581" s="42" t="str">
        <f aca="false">IF(AND(AA581=1,ISNUMBER(C581)),C581+ROW()/100000,"")</f>
        <v/>
      </c>
      <c r="AA581" s="43" t="n">
        <f aca="false">IF(AND(D581&lt;&gt;"",ISNUMBER(B581),ISNUMBER(C581),N(H581)&gt;0,T581&lt;&gt;"Cancelled",J581&lt;&gt;""),1,0)</f>
        <v>0</v>
      </c>
      <c r="AB581" s="44" t="n">
        <f aca="false">IF(AA581=1,J581/H581,0)</f>
        <v>0</v>
      </c>
      <c r="AC581" s="44" t="n">
        <f aca="false">IF(AA581=1,Q581/H581,0)</f>
        <v>0</v>
      </c>
      <c r="AD581" s="44" t="n">
        <f aca="false">IF(AA581=1,R581/H581,0)</f>
        <v>0</v>
      </c>
      <c r="AE581" s="44" t="n">
        <f aca="false">IF(AA581=1,O581/H581,0)</f>
        <v>0</v>
      </c>
      <c r="AF581" s="44" t="n">
        <f aca="false">IF(AA581=1,K581/H581,0)</f>
        <v>0</v>
      </c>
      <c r="AG581" s="45" t="str">
        <f aca="false">IF(AA581=1,D581&amp;"|"&amp;TEXT(B581,"0"),"")</f>
        <v/>
      </c>
      <c r="AH581" s="43" t="n">
        <f aca="false">IF(AA581=1,H581,0)</f>
        <v>0</v>
      </c>
    </row>
    <row r="582" customFormat="false" ht="15" hidden="false" customHeight="false" outlineLevel="0" collapsed="false">
      <c r="A582" s="23" t="str">
        <f aca="false">IF(B582="","","B-"&amp;TEXT(ROW()-4,"0000"))</f>
        <v/>
      </c>
      <c r="B582" s="38"/>
      <c r="C582" s="38"/>
      <c r="D582" s="6"/>
      <c r="E582" s="6"/>
      <c r="F582" s="6"/>
      <c r="G582" s="11"/>
      <c r="H582" s="24" t="str">
        <f aca="false">IF(AND(ISNUMBER(B582),ISNUMBER(C582)),MAX(0,C582-B582),"")</f>
        <v/>
      </c>
      <c r="I582" s="37"/>
      <c r="J582" s="46" t="str">
        <f aca="false">IF(OR(D582="",N(H582)=0),"",IFERROR(IF(I582&lt;&gt;"",H582*I582,ROUND(((H582-(INT((WEEKDAY(B582-6)+H582-1)/7)+INT((WEEKDAY(B582-7)+H582-1)/7)))*INDEX(Properties!$E$5:$E$24,MATCH(D582,Properties!$A$5:$A$24,0))+(INT((WEEKDAY(B582-6)+H582-1)/7)+INT((WEEKDAY(B582-7)+H582-1)/7))*INDEX(Properties!$F$5:$F$24,MATCH(D582,Properties!$A$5:$A$24,0)))*(1-IF(H582&gt;=28,Settings!$B$10,IF(H582&gt;=7,Settings!$B$9,0))),2)),0))</f>
        <v/>
      </c>
      <c r="K582" s="46" t="str">
        <f aca="false">IF(J582="","",IFERROR(N(INDEX(Properties!$G$5:$G$24,MATCH(D582,Properties!$A$5:$A$24,0))),0))</f>
        <v/>
      </c>
      <c r="L582" s="46" t="str">
        <f aca="false">IF(J582="","",IFERROR(MAX(0,N(G582)-INDEX(Properties!$I$5:$I$24,MATCH(D582,Properties!$A$5:$A$24,0)))*N(INDEX(Properties!$J$5:$J$24,MATCH(D582,Properties!$A$5:$A$24,0)))*H582,0))</f>
        <v/>
      </c>
      <c r="M582" s="37"/>
      <c r="N582" s="46" t="str">
        <f aca="false">IF(J582="","",J582+K582+L582+N(M582))</f>
        <v/>
      </c>
      <c r="O582" s="46" t="str">
        <f aca="false">IF(N582="","",IF(P582&lt;&gt;"",N582-P582,ROUND(N582*IFERROR(INDEX(Settings!$E$5:$E$12,MATCH(F582,Settings!$D$5:$D$12,0)),0),2)))</f>
        <v/>
      </c>
      <c r="P582" s="37"/>
      <c r="Q582" s="46" t="str">
        <f aca="false">IF(N582="","",IF(P582&lt;&gt;"",P582,N582-O582))</f>
        <v/>
      </c>
      <c r="R582" s="46" t="str">
        <f aca="false">IF(J582="","",IFERROR(N(INDEX(Properties!$H$5:$H$24,MATCH(D582,Properties!$A$5:$A$24,0))),0))</f>
        <v/>
      </c>
      <c r="S582" s="46" t="str">
        <f aca="false">IF(Q582="","",Q582-R582)</f>
        <v/>
      </c>
      <c r="T582" s="6"/>
      <c r="U582" s="6"/>
      <c r="V582" s="6"/>
      <c r="W582" s="6"/>
      <c r="X582" s="6"/>
      <c r="Y582" s="8" t="str">
        <f aca="false">IF(OR(D582="",B582="",C582=""),"",IF(N(C582)&lt;=N(B582),"Check dates",IF(T582="Cancelled","",IF(COUNTIFS($D$5:$D$1004,D582,$B$5:$B$1004,"&lt;"&amp;C582,$C$5:$C$1004,"&gt;"&amp;B582,$T$5:$T$1004,"&lt;&gt;Cancelled")&gt;1,"Double-booked",""))))</f>
        <v/>
      </c>
      <c r="Z582" s="42" t="str">
        <f aca="false">IF(AND(AA582=1,ISNUMBER(C582)),C582+ROW()/100000,"")</f>
        <v/>
      </c>
      <c r="AA582" s="43" t="n">
        <f aca="false">IF(AND(D582&lt;&gt;"",ISNUMBER(B582),ISNUMBER(C582),N(H582)&gt;0,T582&lt;&gt;"Cancelled",J582&lt;&gt;""),1,0)</f>
        <v>0</v>
      </c>
      <c r="AB582" s="44" t="n">
        <f aca="false">IF(AA582=1,J582/H582,0)</f>
        <v>0</v>
      </c>
      <c r="AC582" s="44" t="n">
        <f aca="false">IF(AA582=1,Q582/H582,0)</f>
        <v>0</v>
      </c>
      <c r="AD582" s="44" t="n">
        <f aca="false">IF(AA582=1,R582/H582,0)</f>
        <v>0</v>
      </c>
      <c r="AE582" s="44" t="n">
        <f aca="false">IF(AA582=1,O582/H582,0)</f>
        <v>0</v>
      </c>
      <c r="AF582" s="44" t="n">
        <f aca="false">IF(AA582=1,K582/H582,0)</f>
        <v>0</v>
      </c>
      <c r="AG582" s="45" t="str">
        <f aca="false">IF(AA582=1,D582&amp;"|"&amp;TEXT(B582,"0"),"")</f>
        <v/>
      </c>
      <c r="AH582" s="43" t="n">
        <f aca="false">IF(AA582=1,H582,0)</f>
        <v>0</v>
      </c>
    </row>
    <row r="583" customFormat="false" ht="15" hidden="false" customHeight="false" outlineLevel="0" collapsed="false">
      <c r="A583" s="8" t="str">
        <f aca="false">IF(B583="","","B-"&amp;TEXT(ROW()-4,"0000"))</f>
        <v/>
      </c>
      <c r="B583" s="38"/>
      <c r="C583" s="38"/>
      <c r="D583" s="6"/>
      <c r="E583" s="6"/>
      <c r="F583" s="6"/>
      <c r="G583" s="11"/>
      <c r="H583" s="18" t="str">
        <f aca="false">IF(AND(ISNUMBER(B583),ISNUMBER(C583)),MAX(0,C583-B583),"")</f>
        <v/>
      </c>
      <c r="I583" s="37"/>
      <c r="J583" s="41" t="str">
        <f aca="false">IF(OR(D583="",N(H583)=0),"",IFERROR(IF(I583&lt;&gt;"",H583*I583,ROUND(((H583-(INT((WEEKDAY(B583-6)+H583-1)/7)+INT((WEEKDAY(B583-7)+H583-1)/7)))*INDEX(Properties!$E$5:$E$24,MATCH(D583,Properties!$A$5:$A$24,0))+(INT((WEEKDAY(B583-6)+H583-1)/7)+INT((WEEKDAY(B583-7)+H583-1)/7))*INDEX(Properties!$F$5:$F$24,MATCH(D583,Properties!$A$5:$A$24,0)))*(1-IF(H583&gt;=28,Settings!$B$10,IF(H583&gt;=7,Settings!$B$9,0))),2)),0))</f>
        <v/>
      </c>
      <c r="K583" s="41" t="str">
        <f aca="false">IF(J583="","",IFERROR(N(INDEX(Properties!$G$5:$G$24,MATCH(D583,Properties!$A$5:$A$24,0))),0))</f>
        <v/>
      </c>
      <c r="L583" s="41" t="str">
        <f aca="false">IF(J583="","",IFERROR(MAX(0,N(G583)-INDEX(Properties!$I$5:$I$24,MATCH(D583,Properties!$A$5:$A$24,0)))*N(INDEX(Properties!$J$5:$J$24,MATCH(D583,Properties!$A$5:$A$24,0)))*H583,0))</f>
        <v/>
      </c>
      <c r="M583" s="37"/>
      <c r="N583" s="41" t="str">
        <f aca="false">IF(J583="","",J583+K583+L583+N(M583))</f>
        <v/>
      </c>
      <c r="O583" s="41" t="str">
        <f aca="false">IF(N583="","",IF(P583&lt;&gt;"",N583-P583,ROUND(N583*IFERROR(INDEX(Settings!$E$5:$E$12,MATCH(F583,Settings!$D$5:$D$12,0)),0),2)))</f>
        <v/>
      </c>
      <c r="P583" s="37"/>
      <c r="Q583" s="41" t="str">
        <f aca="false">IF(N583="","",IF(P583&lt;&gt;"",P583,N583-O583))</f>
        <v/>
      </c>
      <c r="R583" s="41" t="str">
        <f aca="false">IF(J583="","",IFERROR(N(INDEX(Properties!$H$5:$H$24,MATCH(D583,Properties!$A$5:$A$24,0))),0))</f>
        <v/>
      </c>
      <c r="S583" s="41" t="str">
        <f aca="false">IF(Q583="","",Q583-R583)</f>
        <v/>
      </c>
      <c r="T583" s="6"/>
      <c r="U583" s="6"/>
      <c r="V583" s="6"/>
      <c r="W583" s="6"/>
      <c r="X583" s="6"/>
      <c r="Y583" s="8" t="str">
        <f aca="false">IF(OR(D583="",B583="",C583=""),"",IF(N(C583)&lt;=N(B583),"Check dates",IF(T583="Cancelled","",IF(COUNTIFS($D$5:$D$1004,D583,$B$5:$B$1004,"&lt;"&amp;C583,$C$5:$C$1004,"&gt;"&amp;B583,$T$5:$T$1004,"&lt;&gt;Cancelled")&gt;1,"Double-booked",""))))</f>
        <v/>
      </c>
      <c r="Z583" s="42" t="str">
        <f aca="false">IF(AND(AA583=1,ISNUMBER(C583)),C583+ROW()/100000,"")</f>
        <v/>
      </c>
      <c r="AA583" s="43" t="n">
        <f aca="false">IF(AND(D583&lt;&gt;"",ISNUMBER(B583),ISNUMBER(C583),N(H583)&gt;0,T583&lt;&gt;"Cancelled",J583&lt;&gt;""),1,0)</f>
        <v>0</v>
      </c>
      <c r="AB583" s="44" t="n">
        <f aca="false">IF(AA583=1,J583/H583,0)</f>
        <v>0</v>
      </c>
      <c r="AC583" s="44" t="n">
        <f aca="false">IF(AA583=1,Q583/H583,0)</f>
        <v>0</v>
      </c>
      <c r="AD583" s="44" t="n">
        <f aca="false">IF(AA583=1,R583/H583,0)</f>
        <v>0</v>
      </c>
      <c r="AE583" s="44" t="n">
        <f aca="false">IF(AA583=1,O583/H583,0)</f>
        <v>0</v>
      </c>
      <c r="AF583" s="44" t="n">
        <f aca="false">IF(AA583=1,K583/H583,0)</f>
        <v>0</v>
      </c>
      <c r="AG583" s="45" t="str">
        <f aca="false">IF(AA583=1,D583&amp;"|"&amp;TEXT(B583,"0"),"")</f>
        <v/>
      </c>
      <c r="AH583" s="43" t="n">
        <f aca="false">IF(AA583=1,H583,0)</f>
        <v>0</v>
      </c>
    </row>
    <row r="584" customFormat="false" ht="15" hidden="false" customHeight="false" outlineLevel="0" collapsed="false">
      <c r="A584" s="23" t="str">
        <f aca="false">IF(B584="","","B-"&amp;TEXT(ROW()-4,"0000"))</f>
        <v/>
      </c>
      <c r="B584" s="38"/>
      <c r="C584" s="38"/>
      <c r="D584" s="6"/>
      <c r="E584" s="6"/>
      <c r="F584" s="6"/>
      <c r="G584" s="11"/>
      <c r="H584" s="24" t="str">
        <f aca="false">IF(AND(ISNUMBER(B584),ISNUMBER(C584)),MAX(0,C584-B584),"")</f>
        <v/>
      </c>
      <c r="I584" s="37"/>
      <c r="J584" s="46" t="str">
        <f aca="false">IF(OR(D584="",N(H584)=0),"",IFERROR(IF(I584&lt;&gt;"",H584*I584,ROUND(((H584-(INT((WEEKDAY(B584-6)+H584-1)/7)+INT((WEEKDAY(B584-7)+H584-1)/7)))*INDEX(Properties!$E$5:$E$24,MATCH(D584,Properties!$A$5:$A$24,0))+(INT((WEEKDAY(B584-6)+H584-1)/7)+INT((WEEKDAY(B584-7)+H584-1)/7))*INDEX(Properties!$F$5:$F$24,MATCH(D584,Properties!$A$5:$A$24,0)))*(1-IF(H584&gt;=28,Settings!$B$10,IF(H584&gt;=7,Settings!$B$9,0))),2)),0))</f>
        <v/>
      </c>
      <c r="K584" s="46" t="str">
        <f aca="false">IF(J584="","",IFERROR(N(INDEX(Properties!$G$5:$G$24,MATCH(D584,Properties!$A$5:$A$24,0))),0))</f>
        <v/>
      </c>
      <c r="L584" s="46" t="str">
        <f aca="false">IF(J584="","",IFERROR(MAX(0,N(G584)-INDEX(Properties!$I$5:$I$24,MATCH(D584,Properties!$A$5:$A$24,0)))*N(INDEX(Properties!$J$5:$J$24,MATCH(D584,Properties!$A$5:$A$24,0)))*H584,0))</f>
        <v/>
      </c>
      <c r="M584" s="37"/>
      <c r="N584" s="46" t="str">
        <f aca="false">IF(J584="","",J584+K584+L584+N(M584))</f>
        <v/>
      </c>
      <c r="O584" s="46" t="str">
        <f aca="false">IF(N584="","",IF(P584&lt;&gt;"",N584-P584,ROUND(N584*IFERROR(INDEX(Settings!$E$5:$E$12,MATCH(F584,Settings!$D$5:$D$12,0)),0),2)))</f>
        <v/>
      </c>
      <c r="P584" s="37"/>
      <c r="Q584" s="46" t="str">
        <f aca="false">IF(N584="","",IF(P584&lt;&gt;"",P584,N584-O584))</f>
        <v/>
      </c>
      <c r="R584" s="46" t="str">
        <f aca="false">IF(J584="","",IFERROR(N(INDEX(Properties!$H$5:$H$24,MATCH(D584,Properties!$A$5:$A$24,0))),0))</f>
        <v/>
      </c>
      <c r="S584" s="46" t="str">
        <f aca="false">IF(Q584="","",Q584-R584)</f>
        <v/>
      </c>
      <c r="T584" s="6"/>
      <c r="U584" s="6"/>
      <c r="V584" s="6"/>
      <c r="W584" s="6"/>
      <c r="X584" s="6"/>
      <c r="Y584" s="8" t="str">
        <f aca="false">IF(OR(D584="",B584="",C584=""),"",IF(N(C584)&lt;=N(B584),"Check dates",IF(T584="Cancelled","",IF(COUNTIFS($D$5:$D$1004,D584,$B$5:$B$1004,"&lt;"&amp;C584,$C$5:$C$1004,"&gt;"&amp;B584,$T$5:$T$1004,"&lt;&gt;Cancelled")&gt;1,"Double-booked",""))))</f>
        <v/>
      </c>
      <c r="Z584" s="42" t="str">
        <f aca="false">IF(AND(AA584=1,ISNUMBER(C584)),C584+ROW()/100000,"")</f>
        <v/>
      </c>
      <c r="AA584" s="43" t="n">
        <f aca="false">IF(AND(D584&lt;&gt;"",ISNUMBER(B584),ISNUMBER(C584),N(H584)&gt;0,T584&lt;&gt;"Cancelled",J584&lt;&gt;""),1,0)</f>
        <v>0</v>
      </c>
      <c r="AB584" s="44" t="n">
        <f aca="false">IF(AA584=1,J584/H584,0)</f>
        <v>0</v>
      </c>
      <c r="AC584" s="44" t="n">
        <f aca="false">IF(AA584=1,Q584/H584,0)</f>
        <v>0</v>
      </c>
      <c r="AD584" s="44" t="n">
        <f aca="false">IF(AA584=1,R584/H584,0)</f>
        <v>0</v>
      </c>
      <c r="AE584" s="44" t="n">
        <f aca="false">IF(AA584=1,O584/H584,0)</f>
        <v>0</v>
      </c>
      <c r="AF584" s="44" t="n">
        <f aca="false">IF(AA584=1,K584/H584,0)</f>
        <v>0</v>
      </c>
      <c r="AG584" s="45" t="str">
        <f aca="false">IF(AA584=1,D584&amp;"|"&amp;TEXT(B584,"0"),"")</f>
        <v/>
      </c>
      <c r="AH584" s="43" t="n">
        <f aca="false">IF(AA584=1,H584,0)</f>
        <v>0</v>
      </c>
    </row>
    <row r="585" customFormat="false" ht="15" hidden="false" customHeight="false" outlineLevel="0" collapsed="false">
      <c r="A585" s="8" t="str">
        <f aca="false">IF(B585="","","B-"&amp;TEXT(ROW()-4,"0000"))</f>
        <v/>
      </c>
      <c r="B585" s="38"/>
      <c r="C585" s="38"/>
      <c r="D585" s="6"/>
      <c r="E585" s="6"/>
      <c r="F585" s="6"/>
      <c r="G585" s="11"/>
      <c r="H585" s="18" t="str">
        <f aca="false">IF(AND(ISNUMBER(B585),ISNUMBER(C585)),MAX(0,C585-B585),"")</f>
        <v/>
      </c>
      <c r="I585" s="37"/>
      <c r="J585" s="41" t="str">
        <f aca="false">IF(OR(D585="",N(H585)=0),"",IFERROR(IF(I585&lt;&gt;"",H585*I585,ROUND(((H585-(INT((WEEKDAY(B585-6)+H585-1)/7)+INT((WEEKDAY(B585-7)+H585-1)/7)))*INDEX(Properties!$E$5:$E$24,MATCH(D585,Properties!$A$5:$A$24,0))+(INT((WEEKDAY(B585-6)+H585-1)/7)+INT((WEEKDAY(B585-7)+H585-1)/7))*INDEX(Properties!$F$5:$F$24,MATCH(D585,Properties!$A$5:$A$24,0)))*(1-IF(H585&gt;=28,Settings!$B$10,IF(H585&gt;=7,Settings!$B$9,0))),2)),0))</f>
        <v/>
      </c>
      <c r="K585" s="41" t="str">
        <f aca="false">IF(J585="","",IFERROR(N(INDEX(Properties!$G$5:$G$24,MATCH(D585,Properties!$A$5:$A$24,0))),0))</f>
        <v/>
      </c>
      <c r="L585" s="41" t="str">
        <f aca="false">IF(J585="","",IFERROR(MAX(0,N(G585)-INDEX(Properties!$I$5:$I$24,MATCH(D585,Properties!$A$5:$A$24,0)))*N(INDEX(Properties!$J$5:$J$24,MATCH(D585,Properties!$A$5:$A$24,0)))*H585,0))</f>
        <v/>
      </c>
      <c r="M585" s="37"/>
      <c r="N585" s="41" t="str">
        <f aca="false">IF(J585="","",J585+K585+L585+N(M585))</f>
        <v/>
      </c>
      <c r="O585" s="41" t="str">
        <f aca="false">IF(N585="","",IF(P585&lt;&gt;"",N585-P585,ROUND(N585*IFERROR(INDEX(Settings!$E$5:$E$12,MATCH(F585,Settings!$D$5:$D$12,0)),0),2)))</f>
        <v/>
      </c>
      <c r="P585" s="37"/>
      <c r="Q585" s="41" t="str">
        <f aca="false">IF(N585="","",IF(P585&lt;&gt;"",P585,N585-O585))</f>
        <v/>
      </c>
      <c r="R585" s="41" t="str">
        <f aca="false">IF(J585="","",IFERROR(N(INDEX(Properties!$H$5:$H$24,MATCH(D585,Properties!$A$5:$A$24,0))),0))</f>
        <v/>
      </c>
      <c r="S585" s="41" t="str">
        <f aca="false">IF(Q585="","",Q585-R585)</f>
        <v/>
      </c>
      <c r="T585" s="6"/>
      <c r="U585" s="6"/>
      <c r="V585" s="6"/>
      <c r="W585" s="6"/>
      <c r="X585" s="6"/>
      <c r="Y585" s="8" t="str">
        <f aca="false">IF(OR(D585="",B585="",C585=""),"",IF(N(C585)&lt;=N(B585),"Check dates",IF(T585="Cancelled","",IF(COUNTIFS($D$5:$D$1004,D585,$B$5:$B$1004,"&lt;"&amp;C585,$C$5:$C$1004,"&gt;"&amp;B585,$T$5:$T$1004,"&lt;&gt;Cancelled")&gt;1,"Double-booked",""))))</f>
        <v/>
      </c>
      <c r="Z585" s="42" t="str">
        <f aca="false">IF(AND(AA585=1,ISNUMBER(C585)),C585+ROW()/100000,"")</f>
        <v/>
      </c>
      <c r="AA585" s="43" t="n">
        <f aca="false">IF(AND(D585&lt;&gt;"",ISNUMBER(B585),ISNUMBER(C585),N(H585)&gt;0,T585&lt;&gt;"Cancelled",J585&lt;&gt;""),1,0)</f>
        <v>0</v>
      </c>
      <c r="AB585" s="44" t="n">
        <f aca="false">IF(AA585=1,J585/H585,0)</f>
        <v>0</v>
      </c>
      <c r="AC585" s="44" t="n">
        <f aca="false">IF(AA585=1,Q585/H585,0)</f>
        <v>0</v>
      </c>
      <c r="AD585" s="44" t="n">
        <f aca="false">IF(AA585=1,R585/H585,0)</f>
        <v>0</v>
      </c>
      <c r="AE585" s="44" t="n">
        <f aca="false">IF(AA585=1,O585/H585,0)</f>
        <v>0</v>
      </c>
      <c r="AF585" s="44" t="n">
        <f aca="false">IF(AA585=1,K585/H585,0)</f>
        <v>0</v>
      </c>
      <c r="AG585" s="45" t="str">
        <f aca="false">IF(AA585=1,D585&amp;"|"&amp;TEXT(B585,"0"),"")</f>
        <v/>
      </c>
      <c r="AH585" s="43" t="n">
        <f aca="false">IF(AA585=1,H585,0)</f>
        <v>0</v>
      </c>
    </row>
    <row r="586" customFormat="false" ht="15" hidden="false" customHeight="false" outlineLevel="0" collapsed="false">
      <c r="A586" s="23" t="str">
        <f aca="false">IF(B586="","","B-"&amp;TEXT(ROW()-4,"0000"))</f>
        <v/>
      </c>
      <c r="B586" s="38"/>
      <c r="C586" s="38"/>
      <c r="D586" s="6"/>
      <c r="E586" s="6"/>
      <c r="F586" s="6"/>
      <c r="G586" s="11"/>
      <c r="H586" s="24" t="str">
        <f aca="false">IF(AND(ISNUMBER(B586),ISNUMBER(C586)),MAX(0,C586-B586),"")</f>
        <v/>
      </c>
      <c r="I586" s="37"/>
      <c r="J586" s="46" t="str">
        <f aca="false">IF(OR(D586="",N(H586)=0),"",IFERROR(IF(I586&lt;&gt;"",H586*I586,ROUND(((H586-(INT((WEEKDAY(B586-6)+H586-1)/7)+INT((WEEKDAY(B586-7)+H586-1)/7)))*INDEX(Properties!$E$5:$E$24,MATCH(D586,Properties!$A$5:$A$24,0))+(INT((WEEKDAY(B586-6)+H586-1)/7)+INT((WEEKDAY(B586-7)+H586-1)/7))*INDEX(Properties!$F$5:$F$24,MATCH(D586,Properties!$A$5:$A$24,0)))*(1-IF(H586&gt;=28,Settings!$B$10,IF(H586&gt;=7,Settings!$B$9,0))),2)),0))</f>
        <v/>
      </c>
      <c r="K586" s="46" t="str">
        <f aca="false">IF(J586="","",IFERROR(N(INDEX(Properties!$G$5:$G$24,MATCH(D586,Properties!$A$5:$A$24,0))),0))</f>
        <v/>
      </c>
      <c r="L586" s="46" t="str">
        <f aca="false">IF(J586="","",IFERROR(MAX(0,N(G586)-INDEX(Properties!$I$5:$I$24,MATCH(D586,Properties!$A$5:$A$24,0)))*N(INDEX(Properties!$J$5:$J$24,MATCH(D586,Properties!$A$5:$A$24,0)))*H586,0))</f>
        <v/>
      </c>
      <c r="M586" s="37"/>
      <c r="N586" s="46" t="str">
        <f aca="false">IF(J586="","",J586+K586+L586+N(M586))</f>
        <v/>
      </c>
      <c r="O586" s="46" t="str">
        <f aca="false">IF(N586="","",IF(P586&lt;&gt;"",N586-P586,ROUND(N586*IFERROR(INDEX(Settings!$E$5:$E$12,MATCH(F586,Settings!$D$5:$D$12,0)),0),2)))</f>
        <v/>
      </c>
      <c r="P586" s="37"/>
      <c r="Q586" s="46" t="str">
        <f aca="false">IF(N586="","",IF(P586&lt;&gt;"",P586,N586-O586))</f>
        <v/>
      </c>
      <c r="R586" s="46" t="str">
        <f aca="false">IF(J586="","",IFERROR(N(INDEX(Properties!$H$5:$H$24,MATCH(D586,Properties!$A$5:$A$24,0))),0))</f>
        <v/>
      </c>
      <c r="S586" s="46" t="str">
        <f aca="false">IF(Q586="","",Q586-R586)</f>
        <v/>
      </c>
      <c r="T586" s="6"/>
      <c r="U586" s="6"/>
      <c r="V586" s="6"/>
      <c r="W586" s="6"/>
      <c r="X586" s="6"/>
      <c r="Y586" s="8" t="str">
        <f aca="false">IF(OR(D586="",B586="",C586=""),"",IF(N(C586)&lt;=N(B586),"Check dates",IF(T586="Cancelled","",IF(COUNTIFS($D$5:$D$1004,D586,$B$5:$B$1004,"&lt;"&amp;C586,$C$5:$C$1004,"&gt;"&amp;B586,$T$5:$T$1004,"&lt;&gt;Cancelled")&gt;1,"Double-booked",""))))</f>
        <v/>
      </c>
      <c r="Z586" s="42" t="str">
        <f aca="false">IF(AND(AA586=1,ISNUMBER(C586)),C586+ROW()/100000,"")</f>
        <v/>
      </c>
      <c r="AA586" s="43" t="n">
        <f aca="false">IF(AND(D586&lt;&gt;"",ISNUMBER(B586),ISNUMBER(C586),N(H586)&gt;0,T586&lt;&gt;"Cancelled",J586&lt;&gt;""),1,0)</f>
        <v>0</v>
      </c>
      <c r="AB586" s="44" t="n">
        <f aca="false">IF(AA586=1,J586/H586,0)</f>
        <v>0</v>
      </c>
      <c r="AC586" s="44" t="n">
        <f aca="false">IF(AA586=1,Q586/H586,0)</f>
        <v>0</v>
      </c>
      <c r="AD586" s="44" t="n">
        <f aca="false">IF(AA586=1,R586/H586,0)</f>
        <v>0</v>
      </c>
      <c r="AE586" s="44" t="n">
        <f aca="false">IF(AA586=1,O586/H586,0)</f>
        <v>0</v>
      </c>
      <c r="AF586" s="44" t="n">
        <f aca="false">IF(AA586=1,K586/H586,0)</f>
        <v>0</v>
      </c>
      <c r="AG586" s="45" t="str">
        <f aca="false">IF(AA586=1,D586&amp;"|"&amp;TEXT(B586,"0"),"")</f>
        <v/>
      </c>
      <c r="AH586" s="43" t="n">
        <f aca="false">IF(AA586=1,H586,0)</f>
        <v>0</v>
      </c>
    </row>
    <row r="587" customFormat="false" ht="15" hidden="false" customHeight="false" outlineLevel="0" collapsed="false">
      <c r="A587" s="8" t="str">
        <f aca="false">IF(B587="","","B-"&amp;TEXT(ROW()-4,"0000"))</f>
        <v/>
      </c>
      <c r="B587" s="38"/>
      <c r="C587" s="38"/>
      <c r="D587" s="6"/>
      <c r="E587" s="6"/>
      <c r="F587" s="6"/>
      <c r="G587" s="11"/>
      <c r="H587" s="18" t="str">
        <f aca="false">IF(AND(ISNUMBER(B587),ISNUMBER(C587)),MAX(0,C587-B587),"")</f>
        <v/>
      </c>
      <c r="I587" s="37"/>
      <c r="J587" s="41" t="str">
        <f aca="false">IF(OR(D587="",N(H587)=0),"",IFERROR(IF(I587&lt;&gt;"",H587*I587,ROUND(((H587-(INT((WEEKDAY(B587-6)+H587-1)/7)+INT((WEEKDAY(B587-7)+H587-1)/7)))*INDEX(Properties!$E$5:$E$24,MATCH(D587,Properties!$A$5:$A$24,0))+(INT((WEEKDAY(B587-6)+H587-1)/7)+INT((WEEKDAY(B587-7)+H587-1)/7))*INDEX(Properties!$F$5:$F$24,MATCH(D587,Properties!$A$5:$A$24,0)))*(1-IF(H587&gt;=28,Settings!$B$10,IF(H587&gt;=7,Settings!$B$9,0))),2)),0))</f>
        <v/>
      </c>
      <c r="K587" s="41" t="str">
        <f aca="false">IF(J587="","",IFERROR(N(INDEX(Properties!$G$5:$G$24,MATCH(D587,Properties!$A$5:$A$24,0))),0))</f>
        <v/>
      </c>
      <c r="L587" s="41" t="str">
        <f aca="false">IF(J587="","",IFERROR(MAX(0,N(G587)-INDEX(Properties!$I$5:$I$24,MATCH(D587,Properties!$A$5:$A$24,0)))*N(INDEX(Properties!$J$5:$J$24,MATCH(D587,Properties!$A$5:$A$24,0)))*H587,0))</f>
        <v/>
      </c>
      <c r="M587" s="37"/>
      <c r="N587" s="41" t="str">
        <f aca="false">IF(J587="","",J587+K587+L587+N(M587))</f>
        <v/>
      </c>
      <c r="O587" s="41" t="str">
        <f aca="false">IF(N587="","",IF(P587&lt;&gt;"",N587-P587,ROUND(N587*IFERROR(INDEX(Settings!$E$5:$E$12,MATCH(F587,Settings!$D$5:$D$12,0)),0),2)))</f>
        <v/>
      </c>
      <c r="P587" s="37"/>
      <c r="Q587" s="41" t="str">
        <f aca="false">IF(N587="","",IF(P587&lt;&gt;"",P587,N587-O587))</f>
        <v/>
      </c>
      <c r="R587" s="41" t="str">
        <f aca="false">IF(J587="","",IFERROR(N(INDEX(Properties!$H$5:$H$24,MATCH(D587,Properties!$A$5:$A$24,0))),0))</f>
        <v/>
      </c>
      <c r="S587" s="41" t="str">
        <f aca="false">IF(Q587="","",Q587-R587)</f>
        <v/>
      </c>
      <c r="T587" s="6"/>
      <c r="U587" s="6"/>
      <c r="V587" s="6"/>
      <c r="W587" s="6"/>
      <c r="X587" s="6"/>
      <c r="Y587" s="8" t="str">
        <f aca="false">IF(OR(D587="",B587="",C587=""),"",IF(N(C587)&lt;=N(B587),"Check dates",IF(T587="Cancelled","",IF(COUNTIFS($D$5:$D$1004,D587,$B$5:$B$1004,"&lt;"&amp;C587,$C$5:$C$1004,"&gt;"&amp;B587,$T$5:$T$1004,"&lt;&gt;Cancelled")&gt;1,"Double-booked",""))))</f>
        <v/>
      </c>
      <c r="Z587" s="42" t="str">
        <f aca="false">IF(AND(AA587=1,ISNUMBER(C587)),C587+ROW()/100000,"")</f>
        <v/>
      </c>
      <c r="AA587" s="43" t="n">
        <f aca="false">IF(AND(D587&lt;&gt;"",ISNUMBER(B587),ISNUMBER(C587),N(H587)&gt;0,T587&lt;&gt;"Cancelled",J587&lt;&gt;""),1,0)</f>
        <v>0</v>
      </c>
      <c r="AB587" s="44" t="n">
        <f aca="false">IF(AA587=1,J587/H587,0)</f>
        <v>0</v>
      </c>
      <c r="AC587" s="44" t="n">
        <f aca="false">IF(AA587=1,Q587/H587,0)</f>
        <v>0</v>
      </c>
      <c r="AD587" s="44" t="n">
        <f aca="false">IF(AA587=1,R587/H587,0)</f>
        <v>0</v>
      </c>
      <c r="AE587" s="44" t="n">
        <f aca="false">IF(AA587=1,O587/H587,0)</f>
        <v>0</v>
      </c>
      <c r="AF587" s="44" t="n">
        <f aca="false">IF(AA587=1,K587/H587,0)</f>
        <v>0</v>
      </c>
      <c r="AG587" s="45" t="str">
        <f aca="false">IF(AA587=1,D587&amp;"|"&amp;TEXT(B587,"0"),"")</f>
        <v/>
      </c>
      <c r="AH587" s="43" t="n">
        <f aca="false">IF(AA587=1,H587,0)</f>
        <v>0</v>
      </c>
    </row>
    <row r="588" customFormat="false" ht="15" hidden="false" customHeight="false" outlineLevel="0" collapsed="false">
      <c r="A588" s="23" t="str">
        <f aca="false">IF(B588="","","B-"&amp;TEXT(ROW()-4,"0000"))</f>
        <v/>
      </c>
      <c r="B588" s="38"/>
      <c r="C588" s="38"/>
      <c r="D588" s="6"/>
      <c r="E588" s="6"/>
      <c r="F588" s="6"/>
      <c r="G588" s="11"/>
      <c r="H588" s="24" t="str">
        <f aca="false">IF(AND(ISNUMBER(B588),ISNUMBER(C588)),MAX(0,C588-B588),"")</f>
        <v/>
      </c>
      <c r="I588" s="37"/>
      <c r="J588" s="46" t="str">
        <f aca="false">IF(OR(D588="",N(H588)=0),"",IFERROR(IF(I588&lt;&gt;"",H588*I588,ROUND(((H588-(INT((WEEKDAY(B588-6)+H588-1)/7)+INT((WEEKDAY(B588-7)+H588-1)/7)))*INDEX(Properties!$E$5:$E$24,MATCH(D588,Properties!$A$5:$A$24,0))+(INT((WEEKDAY(B588-6)+H588-1)/7)+INT((WEEKDAY(B588-7)+H588-1)/7))*INDEX(Properties!$F$5:$F$24,MATCH(D588,Properties!$A$5:$A$24,0)))*(1-IF(H588&gt;=28,Settings!$B$10,IF(H588&gt;=7,Settings!$B$9,0))),2)),0))</f>
        <v/>
      </c>
      <c r="K588" s="46" t="str">
        <f aca="false">IF(J588="","",IFERROR(N(INDEX(Properties!$G$5:$G$24,MATCH(D588,Properties!$A$5:$A$24,0))),0))</f>
        <v/>
      </c>
      <c r="L588" s="46" t="str">
        <f aca="false">IF(J588="","",IFERROR(MAX(0,N(G588)-INDEX(Properties!$I$5:$I$24,MATCH(D588,Properties!$A$5:$A$24,0)))*N(INDEX(Properties!$J$5:$J$24,MATCH(D588,Properties!$A$5:$A$24,0)))*H588,0))</f>
        <v/>
      </c>
      <c r="M588" s="37"/>
      <c r="N588" s="46" t="str">
        <f aca="false">IF(J588="","",J588+K588+L588+N(M588))</f>
        <v/>
      </c>
      <c r="O588" s="46" t="str">
        <f aca="false">IF(N588="","",IF(P588&lt;&gt;"",N588-P588,ROUND(N588*IFERROR(INDEX(Settings!$E$5:$E$12,MATCH(F588,Settings!$D$5:$D$12,0)),0),2)))</f>
        <v/>
      </c>
      <c r="P588" s="37"/>
      <c r="Q588" s="46" t="str">
        <f aca="false">IF(N588="","",IF(P588&lt;&gt;"",P588,N588-O588))</f>
        <v/>
      </c>
      <c r="R588" s="46" t="str">
        <f aca="false">IF(J588="","",IFERROR(N(INDEX(Properties!$H$5:$H$24,MATCH(D588,Properties!$A$5:$A$24,0))),0))</f>
        <v/>
      </c>
      <c r="S588" s="46" t="str">
        <f aca="false">IF(Q588="","",Q588-R588)</f>
        <v/>
      </c>
      <c r="T588" s="6"/>
      <c r="U588" s="6"/>
      <c r="V588" s="6"/>
      <c r="W588" s="6"/>
      <c r="X588" s="6"/>
      <c r="Y588" s="8" t="str">
        <f aca="false">IF(OR(D588="",B588="",C588=""),"",IF(N(C588)&lt;=N(B588),"Check dates",IF(T588="Cancelled","",IF(COUNTIFS($D$5:$D$1004,D588,$B$5:$B$1004,"&lt;"&amp;C588,$C$5:$C$1004,"&gt;"&amp;B588,$T$5:$T$1004,"&lt;&gt;Cancelled")&gt;1,"Double-booked",""))))</f>
        <v/>
      </c>
      <c r="Z588" s="42" t="str">
        <f aca="false">IF(AND(AA588=1,ISNUMBER(C588)),C588+ROW()/100000,"")</f>
        <v/>
      </c>
      <c r="AA588" s="43" t="n">
        <f aca="false">IF(AND(D588&lt;&gt;"",ISNUMBER(B588),ISNUMBER(C588),N(H588)&gt;0,T588&lt;&gt;"Cancelled",J588&lt;&gt;""),1,0)</f>
        <v>0</v>
      </c>
      <c r="AB588" s="44" t="n">
        <f aca="false">IF(AA588=1,J588/H588,0)</f>
        <v>0</v>
      </c>
      <c r="AC588" s="44" t="n">
        <f aca="false">IF(AA588=1,Q588/H588,0)</f>
        <v>0</v>
      </c>
      <c r="AD588" s="44" t="n">
        <f aca="false">IF(AA588=1,R588/H588,0)</f>
        <v>0</v>
      </c>
      <c r="AE588" s="44" t="n">
        <f aca="false">IF(AA588=1,O588/H588,0)</f>
        <v>0</v>
      </c>
      <c r="AF588" s="44" t="n">
        <f aca="false">IF(AA588=1,K588/H588,0)</f>
        <v>0</v>
      </c>
      <c r="AG588" s="45" t="str">
        <f aca="false">IF(AA588=1,D588&amp;"|"&amp;TEXT(B588,"0"),"")</f>
        <v/>
      </c>
      <c r="AH588" s="43" t="n">
        <f aca="false">IF(AA588=1,H588,0)</f>
        <v>0</v>
      </c>
    </row>
    <row r="589" customFormat="false" ht="15" hidden="false" customHeight="false" outlineLevel="0" collapsed="false">
      <c r="A589" s="8" t="str">
        <f aca="false">IF(B589="","","B-"&amp;TEXT(ROW()-4,"0000"))</f>
        <v/>
      </c>
      <c r="B589" s="38"/>
      <c r="C589" s="38"/>
      <c r="D589" s="6"/>
      <c r="E589" s="6"/>
      <c r="F589" s="6"/>
      <c r="G589" s="11"/>
      <c r="H589" s="18" t="str">
        <f aca="false">IF(AND(ISNUMBER(B589),ISNUMBER(C589)),MAX(0,C589-B589),"")</f>
        <v/>
      </c>
      <c r="I589" s="37"/>
      <c r="J589" s="41" t="str">
        <f aca="false">IF(OR(D589="",N(H589)=0),"",IFERROR(IF(I589&lt;&gt;"",H589*I589,ROUND(((H589-(INT((WEEKDAY(B589-6)+H589-1)/7)+INT((WEEKDAY(B589-7)+H589-1)/7)))*INDEX(Properties!$E$5:$E$24,MATCH(D589,Properties!$A$5:$A$24,0))+(INT((WEEKDAY(B589-6)+H589-1)/7)+INT((WEEKDAY(B589-7)+H589-1)/7))*INDEX(Properties!$F$5:$F$24,MATCH(D589,Properties!$A$5:$A$24,0)))*(1-IF(H589&gt;=28,Settings!$B$10,IF(H589&gt;=7,Settings!$B$9,0))),2)),0))</f>
        <v/>
      </c>
      <c r="K589" s="41" t="str">
        <f aca="false">IF(J589="","",IFERROR(N(INDEX(Properties!$G$5:$G$24,MATCH(D589,Properties!$A$5:$A$24,0))),0))</f>
        <v/>
      </c>
      <c r="L589" s="41" t="str">
        <f aca="false">IF(J589="","",IFERROR(MAX(0,N(G589)-INDEX(Properties!$I$5:$I$24,MATCH(D589,Properties!$A$5:$A$24,0)))*N(INDEX(Properties!$J$5:$J$24,MATCH(D589,Properties!$A$5:$A$24,0)))*H589,0))</f>
        <v/>
      </c>
      <c r="M589" s="37"/>
      <c r="N589" s="41" t="str">
        <f aca="false">IF(J589="","",J589+K589+L589+N(M589))</f>
        <v/>
      </c>
      <c r="O589" s="41" t="str">
        <f aca="false">IF(N589="","",IF(P589&lt;&gt;"",N589-P589,ROUND(N589*IFERROR(INDEX(Settings!$E$5:$E$12,MATCH(F589,Settings!$D$5:$D$12,0)),0),2)))</f>
        <v/>
      </c>
      <c r="P589" s="37"/>
      <c r="Q589" s="41" t="str">
        <f aca="false">IF(N589="","",IF(P589&lt;&gt;"",P589,N589-O589))</f>
        <v/>
      </c>
      <c r="R589" s="41" t="str">
        <f aca="false">IF(J589="","",IFERROR(N(INDEX(Properties!$H$5:$H$24,MATCH(D589,Properties!$A$5:$A$24,0))),0))</f>
        <v/>
      </c>
      <c r="S589" s="41" t="str">
        <f aca="false">IF(Q589="","",Q589-R589)</f>
        <v/>
      </c>
      <c r="T589" s="6"/>
      <c r="U589" s="6"/>
      <c r="V589" s="6"/>
      <c r="W589" s="6"/>
      <c r="X589" s="6"/>
      <c r="Y589" s="8" t="str">
        <f aca="false">IF(OR(D589="",B589="",C589=""),"",IF(N(C589)&lt;=N(B589),"Check dates",IF(T589="Cancelled","",IF(COUNTIFS($D$5:$D$1004,D589,$B$5:$B$1004,"&lt;"&amp;C589,$C$5:$C$1004,"&gt;"&amp;B589,$T$5:$T$1004,"&lt;&gt;Cancelled")&gt;1,"Double-booked",""))))</f>
        <v/>
      </c>
      <c r="Z589" s="42" t="str">
        <f aca="false">IF(AND(AA589=1,ISNUMBER(C589)),C589+ROW()/100000,"")</f>
        <v/>
      </c>
      <c r="AA589" s="43" t="n">
        <f aca="false">IF(AND(D589&lt;&gt;"",ISNUMBER(B589),ISNUMBER(C589),N(H589)&gt;0,T589&lt;&gt;"Cancelled",J589&lt;&gt;""),1,0)</f>
        <v>0</v>
      </c>
      <c r="AB589" s="44" t="n">
        <f aca="false">IF(AA589=1,J589/H589,0)</f>
        <v>0</v>
      </c>
      <c r="AC589" s="44" t="n">
        <f aca="false">IF(AA589=1,Q589/H589,0)</f>
        <v>0</v>
      </c>
      <c r="AD589" s="44" t="n">
        <f aca="false">IF(AA589=1,R589/H589,0)</f>
        <v>0</v>
      </c>
      <c r="AE589" s="44" t="n">
        <f aca="false">IF(AA589=1,O589/H589,0)</f>
        <v>0</v>
      </c>
      <c r="AF589" s="44" t="n">
        <f aca="false">IF(AA589=1,K589/H589,0)</f>
        <v>0</v>
      </c>
      <c r="AG589" s="45" t="str">
        <f aca="false">IF(AA589=1,D589&amp;"|"&amp;TEXT(B589,"0"),"")</f>
        <v/>
      </c>
      <c r="AH589" s="43" t="n">
        <f aca="false">IF(AA589=1,H589,0)</f>
        <v>0</v>
      </c>
    </row>
    <row r="590" customFormat="false" ht="15" hidden="false" customHeight="false" outlineLevel="0" collapsed="false">
      <c r="A590" s="23" t="str">
        <f aca="false">IF(B590="","","B-"&amp;TEXT(ROW()-4,"0000"))</f>
        <v/>
      </c>
      <c r="B590" s="38"/>
      <c r="C590" s="38"/>
      <c r="D590" s="6"/>
      <c r="E590" s="6"/>
      <c r="F590" s="6"/>
      <c r="G590" s="11"/>
      <c r="H590" s="24" t="str">
        <f aca="false">IF(AND(ISNUMBER(B590),ISNUMBER(C590)),MAX(0,C590-B590),"")</f>
        <v/>
      </c>
      <c r="I590" s="37"/>
      <c r="J590" s="46" t="str">
        <f aca="false">IF(OR(D590="",N(H590)=0),"",IFERROR(IF(I590&lt;&gt;"",H590*I590,ROUND(((H590-(INT((WEEKDAY(B590-6)+H590-1)/7)+INT((WEEKDAY(B590-7)+H590-1)/7)))*INDEX(Properties!$E$5:$E$24,MATCH(D590,Properties!$A$5:$A$24,0))+(INT((WEEKDAY(B590-6)+H590-1)/7)+INT((WEEKDAY(B590-7)+H590-1)/7))*INDEX(Properties!$F$5:$F$24,MATCH(D590,Properties!$A$5:$A$24,0)))*(1-IF(H590&gt;=28,Settings!$B$10,IF(H590&gt;=7,Settings!$B$9,0))),2)),0))</f>
        <v/>
      </c>
      <c r="K590" s="46" t="str">
        <f aca="false">IF(J590="","",IFERROR(N(INDEX(Properties!$G$5:$G$24,MATCH(D590,Properties!$A$5:$A$24,0))),0))</f>
        <v/>
      </c>
      <c r="L590" s="46" t="str">
        <f aca="false">IF(J590="","",IFERROR(MAX(0,N(G590)-INDEX(Properties!$I$5:$I$24,MATCH(D590,Properties!$A$5:$A$24,0)))*N(INDEX(Properties!$J$5:$J$24,MATCH(D590,Properties!$A$5:$A$24,0)))*H590,0))</f>
        <v/>
      </c>
      <c r="M590" s="37"/>
      <c r="N590" s="46" t="str">
        <f aca="false">IF(J590="","",J590+K590+L590+N(M590))</f>
        <v/>
      </c>
      <c r="O590" s="46" t="str">
        <f aca="false">IF(N590="","",IF(P590&lt;&gt;"",N590-P590,ROUND(N590*IFERROR(INDEX(Settings!$E$5:$E$12,MATCH(F590,Settings!$D$5:$D$12,0)),0),2)))</f>
        <v/>
      </c>
      <c r="P590" s="37"/>
      <c r="Q590" s="46" t="str">
        <f aca="false">IF(N590="","",IF(P590&lt;&gt;"",P590,N590-O590))</f>
        <v/>
      </c>
      <c r="R590" s="46" t="str">
        <f aca="false">IF(J590="","",IFERROR(N(INDEX(Properties!$H$5:$H$24,MATCH(D590,Properties!$A$5:$A$24,0))),0))</f>
        <v/>
      </c>
      <c r="S590" s="46" t="str">
        <f aca="false">IF(Q590="","",Q590-R590)</f>
        <v/>
      </c>
      <c r="T590" s="6"/>
      <c r="U590" s="6"/>
      <c r="V590" s="6"/>
      <c r="W590" s="6"/>
      <c r="X590" s="6"/>
      <c r="Y590" s="8" t="str">
        <f aca="false">IF(OR(D590="",B590="",C590=""),"",IF(N(C590)&lt;=N(B590),"Check dates",IF(T590="Cancelled","",IF(COUNTIFS($D$5:$D$1004,D590,$B$5:$B$1004,"&lt;"&amp;C590,$C$5:$C$1004,"&gt;"&amp;B590,$T$5:$T$1004,"&lt;&gt;Cancelled")&gt;1,"Double-booked",""))))</f>
        <v/>
      </c>
      <c r="Z590" s="42" t="str">
        <f aca="false">IF(AND(AA590=1,ISNUMBER(C590)),C590+ROW()/100000,"")</f>
        <v/>
      </c>
      <c r="AA590" s="43" t="n">
        <f aca="false">IF(AND(D590&lt;&gt;"",ISNUMBER(B590),ISNUMBER(C590),N(H590)&gt;0,T590&lt;&gt;"Cancelled",J590&lt;&gt;""),1,0)</f>
        <v>0</v>
      </c>
      <c r="AB590" s="44" t="n">
        <f aca="false">IF(AA590=1,J590/H590,0)</f>
        <v>0</v>
      </c>
      <c r="AC590" s="44" t="n">
        <f aca="false">IF(AA590=1,Q590/H590,0)</f>
        <v>0</v>
      </c>
      <c r="AD590" s="44" t="n">
        <f aca="false">IF(AA590=1,R590/H590,0)</f>
        <v>0</v>
      </c>
      <c r="AE590" s="44" t="n">
        <f aca="false">IF(AA590=1,O590/H590,0)</f>
        <v>0</v>
      </c>
      <c r="AF590" s="44" t="n">
        <f aca="false">IF(AA590=1,K590/H590,0)</f>
        <v>0</v>
      </c>
      <c r="AG590" s="45" t="str">
        <f aca="false">IF(AA590=1,D590&amp;"|"&amp;TEXT(B590,"0"),"")</f>
        <v/>
      </c>
      <c r="AH590" s="43" t="n">
        <f aca="false">IF(AA590=1,H590,0)</f>
        <v>0</v>
      </c>
    </row>
    <row r="591" customFormat="false" ht="15" hidden="false" customHeight="false" outlineLevel="0" collapsed="false">
      <c r="A591" s="8" t="str">
        <f aca="false">IF(B591="","","B-"&amp;TEXT(ROW()-4,"0000"))</f>
        <v/>
      </c>
      <c r="B591" s="38"/>
      <c r="C591" s="38"/>
      <c r="D591" s="6"/>
      <c r="E591" s="6"/>
      <c r="F591" s="6"/>
      <c r="G591" s="11"/>
      <c r="H591" s="18" t="str">
        <f aca="false">IF(AND(ISNUMBER(B591),ISNUMBER(C591)),MAX(0,C591-B591),"")</f>
        <v/>
      </c>
      <c r="I591" s="37"/>
      <c r="J591" s="41" t="str">
        <f aca="false">IF(OR(D591="",N(H591)=0),"",IFERROR(IF(I591&lt;&gt;"",H591*I591,ROUND(((H591-(INT((WEEKDAY(B591-6)+H591-1)/7)+INT((WEEKDAY(B591-7)+H591-1)/7)))*INDEX(Properties!$E$5:$E$24,MATCH(D591,Properties!$A$5:$A$24,0))+(INT((WEEKDAY(B591-6)+H591-1)/7)+INT((WEEKDAY(B591-7)+H591-1)/7))*INDEX(Properties!$F$5:$F$24,MATCH(D591,Properties!$A$5:$A$24,0)))*(1-IF(H591&gt;=28,Settings!$B$10,IF(H591&gt;=7,Settings!$B$9,0))),2)),0))</f>
        <v/>
      </c>
      <c r="K591" s="41" t="str">
        <f aca="false">IF(J591="","",IFERROR(N(INDEX(Properties!$G$5:$G$24,MATCH(D591,Properties!$A$5:$A$24,0))),0))</f>
        <v/>
      </c>
      <c r="L591" s="41" t="str">
        <f aca="false">IF(J591="","",IFERROR(MAX(0,N(G591)-INDEX(Properties!$I$5:$I$24,MATCH(D591,Properties!$A$5:$A$24,0)))*N(INDEX(Properties!$J$5:$J$24,MATCH(D591,Properties!$A$5:$A$24,0)))*H591,0))</f>
        <v/>
      </c>
      <c r="M591" s="37"/>
      <c r="N591" s="41" t="str">
        <f aca="false">IF(J591="","",J591+K591+L591+N(M591))</f>
        <v/>
      </c>
      <c r="O591" s="41" t="str">
        <f aca="false">IF(N591="","",IF(P591&lt;&gt;"",N591-P591,ROUND(N591*IFERROR(INDEX(Settings!$E$5:$E$12,MATCH(F591,Settings!$D$5:$D$12,0)),0),2)))</f>
        <v/>
      </c>
      <c r="P591" s="37"/>
      <c r="Q591" s="41" t="str">
        <f aca="false">IF(N591="","",IF(P591&lt;&gt;"",P591,N591-O591))</f>
        <v/>
      </c>
      <c r="R591" s="41" t="str">
        <f aca="false">IF(J591="","",IFERROR(N(INDEX(Properties!$H$5:$H$24,MATCH(D591,Properties!$A$5:$A$24,0))),0))</f>
        <v/>
      </c>
      <c r="S591" s="41" t="str">
        <f aca="false">IF(Q591="","",Q591-R591)</f>
        <v/>
      </c>
      <c r="T591" s="6"/>
      <c r="U591" s="6"/>
      <c r="V591" s="6"/>
      <c r="W591" s="6"/>
      <c r="X591" s="6"/>
      <c r="Y591" s="8" t="str">
        <f aca="false">IF(OR(D591="",B591="",C591=""),"",IF(N(C591)&lt;=N(B591),"Check dates",IF(T591="Cancelled","",IF(COUNTIFS($D$5:$D$1004,D591,$B$5:$B$1004,"&lt;"&amp;C591,$C$5:$C$1004,"&gt;"&amp;B591,$T$5:$T$1004,"&lt;&gt;Cancelled")&gt;1,"Double-booked",""))))</f>
        <v/>
      </c>
      <c r="Z591" s="42" t="str">
        <f aca="false">IF(AND(AA591=1,ISNUMBER(C591)),C591+ROW()/100000,"")</f>
        <v/>
      </c>
      <c r="AA591" s="43" t="n">
        <f aca="false">IF(AND(D591&lt;&gt;"",ISNUMBER(B591),ISNUMBER(C591),N(H591)&gt;0,T591&lt;&gt;"Cancelled",J591&lt;&gt;""),1,0)</f>
        <v>0</v>
      </c>
      <c r="AB591" s="44" t="n">
        <f aca="false">IF(AA591=1,J591/H591,0)</f>
        <v>0</v>
      </c>
      <c r="AC591" s="44" t="n">
        <f aca="false">IF(AA591=1,Q591/H591,0)</f>
        <v>0</v>
      </c>
      <c r="AD591" s="44" t="n">
        <f aca="false">IF(AA591=1,R591/H591,0)</f>
        <v>0</v>
      </c>
      <c r="AE591" s="44" t="n">
        <f aca="false">IF(AA591=1,O591/H591,0)</f>
        <v>0</v>
      </c>
      <c r="AF591" s="44" t="n">
        <f aca="false">IF(AA591=1,K591/H591,0)</f>
        <v>0</v>
      </c>
      <c r="AG591" s="45" t="str">
        <f aca="false">IF(AA591=1,D591&amp;"|"&amp;TEXT(B591,"0"),"")</f>
        <v/>
      </c>
      <c r="AH591" s="43" t="n">
        <f aca="false">IF(AA591=1,H591,0)</f>
        <v>0</v>
      </c>
    </row>
    <row r="592" customFormat="false" ht="15" hidden="false" customHeight="false" outlineLevel="0" collapsed="false">
      <c r="A592" s="23" t="str">
        <f aca="false">IF(B592="","","B-"&amp;TEXT(ROW()-4,"0000"))</f>
        <v/>
      </c>
      <c r="B592" s="38"/>
      <c r="C592" s="38"/>
      <c r="D592" s="6"/>
      <c r="E592" s="6"/>
      <c r="F592" s="6"/>
      <c r="G592" s="11"/>
      <c r="H592" s="24" t="str">
        <f aca="false">IF(AND(ISNUMBER(B592),ISNUMBER(C592)),MAX(0,C592-B592),"")</f>
        <v/>
      </c>
      <c r="I592" s="37"/>
      <c r="J592" s="46" t="str">
        <f aca="false">IF(OR(D592="",N(H592)=0),"",IFERROR(IF(I592&lt;&gt;"",H592*I592,ROUND(((H592-(INT((WEEKDAY(B592-6)+H592-1)/7)+INT((WEEKDAY(B592-7)+H592-1)/7)))*INDEX(Properties!$E$5:$E$24,MATCH(D592,Properties!$A$5:$A$24,0))+(INT((WEEKDAY(B592-6)+H592-1)/7)+INT((WEEKDAY(B592-7)+H592-1)/7))*INDEX(Properties!$F$5:$F$24,MATCH(D592,Properties!$A$5:$A$24,0)))*(1-IF(H592&gt;=28,Settings!$B$10,IF(H592&gt;=7,Settings!$B$9,0))),2)),0))</f>
        <v/>
      </c>
      <c r="K592" s="46" t="str">
        <f aca="false">IF(J592="","",IFERROR(N(INDEX(Properties!$G$5:$G$24,MATCH(D592,Properties!$A$5:$A$24,0))),0))</f>
        <v/>
      </c>
      <c r="L592" s="46" t="str">
        <f aca="false">IF(J592="","",IFERROR(MAX(0,N(G592)-INDEX(Properties!$I$5:$I$24,MATCH(D592,Properties!$A$5:$A$24,0)))*N(INDEX(Properties!$J$5:$J$24,MATCH(D592,Properties!$A$5:$A$24,0)))*H592,0))</f>
        <v/>
      </c>
      <c r="M592" s="37"/>
      <c r="N592" s="46" t="str">
        <f aca="false">IF(J592="","",J592+K592+L592+N(M592))</f>
        <v/>
      </c>
      <c r="O592" s="46" t="str">
        <f aca="false">IF(N592="","",IF(P592&lt;&gt;"",N592-P592,ROUND(N592*IFERROR(INDEX(Settings!$E$5:$E$12,MATCH(F592,Settings!$D$5:$D$12,0)),0),2)))</f>
        <v/>
      </c>
      <c r="P592" s="37"/>
      <c r="Q592" s="46" t="str">
        <f aca="false">IF(N592="","",IF(P592&lt;&gt;"",P592,N592-O592))</f>
        <v/>
      </c>
      <c r="R592" s="46" t="str">
        <f aca="false">IF(J592="","",IFERROR(N(INDEX(Properties!$H$5:$H$24,MATCH(D592,Properties!$A$5:$A$24,0))),0))</f>
        <v/>
      </c>
      <c r="S592" s="46" t="str">
        <f aca="false">IF(Q592="","",Q592-R592)</f>
        <v/>
      </c>
      <c r="T592" s="6"/>
      <c r="U592" s="6"/>
      <c r="V592" s="6"/>
      <c r="W592" s="6"/>
      <c r="X592" s="6"/>
      <c r="Y592" s="8" t="str">
        <f aca="false">IF(OR(D592="",B592="",C592=""),"",IF(N(C592)&lt;=N(B592),"Check dates",IF(T592="Cancelled","",IF(COUNTIFS($D$5:$D$1004,D592,$B$5:$B$1004,"&lt;"&amp;C592,$C$5:$C$1004,"&gt;"&amp;B592,$T$5:$T$1004,"&lt;&gt;Cancelled")&gt;1,"Double-booked",""))))</f>
        <v/>
      </c>
      <c r="Z592" s="42" t="str">
        <f aca="false">IF(AND(AA592=1,ISNUMBER(C592)),C592+ROW()/100000,"")</f>
        <v/>
      </c>
      <c r="AA592" s="43" t="n">
        <f aca="false">IF(AND(D592&lt;&gt;"",ISNUMBER(B592),ISNUMBER(C592),N(H592)&gt;0,T592&lt;&gt;"Cancelled",J592&lt;&gt;""),1,0)</f>
        <v>0</v>
      </c>
      <c r="AB592" s="44" t="n">
        <f aca="false">IF(AA592=1,J592/H592,0)</f>
        <v>0</v>
      </c>
      <c r="AC592" s="44" t="n">
        <f aca="false">IF(AA592=1,Q592/H592,0)</f>
        <v>0</v>
      </c>
      <c r="AD592" s="44" t="n">
        <f aca="false">IF(AA592=1,R592/H592,0)</f>
        <v>0</v>
      </c>
      <c r="AE592" s="44" t="n">
        <f aca="false">IF(AA592=1,O592/H592,0)</f>
        <v>0</v>
      </c>
      <c r="AF592" s="44" t="n">
        <f aca="false">IF(AA592=1,K592/H592,0)</f>
        <v>0</v>
      </c>
      <c r="AG592" s="45" t="str">
        <f aca="false">IF(AA592=1,D592&amp;"|"&amp;TEXT(B592,"0"),"")</f>
        <v/>
      </c>
      <c r="AH592" s="43" t="n">
        <f aca="false">IF(AA592=1,H592,0)</f>
        <v>0</v>
      </c>
    </row>
    <row r="593" customFormat="false" ht="15" hidden="false" customHeight="false" outlineLevel="0" collapsed="false">
      <c r="A593" s="8" t="str">
        <f aca="false">IF(B593="","","B-"&amp;TEXT(ROW()-4,"0000"))</f>
        <v/>
      </c>
      <c r="B593" s="38"/>
      <c r="C593" s="38"/>
      <c r="D593" s="6"/>
      <c r="E593" s="6"/>
      <c r="F593" s="6"/>
      <c r="G593" s="11"/>
      <c r="H593" s="18" t="str">
        <f aca="false">IF(AND(ISNUMBER(B593),ISNUMBER(C593)),MAX(0,C593-B593),"")</f>
        <v/>
      </c>
      <c r="I593" s="37"/>
      <c r="J593" s="41" t="str">
        <f aca="false">IF(OR(D593="",N(H593)=0),"",IFERROR(IF(I593&lt;&gt;"",H593*I593,ROUND(((H593-(INT((WEEKDAY(B593-6)+H593-1)/7)+INT((WEEKDAY(B593-7)+H593-1)/7)))*INDEX(Properties!$E$5:$E$24,MATCH(D593,Properties!$A$5:$A$24,0))+(INT((WEEKDAY(B593-6)+H593-1)/7)+INT((WEEKDAY(B593-7)+H593-1)/7))*INDEX(Properties!$F$5:$F$24,MATCH(D593,Properties!$A$5:$A$24,0)))*(1-IF(H593&gt;=28,Settings!$B$10,IF(H593&gt;=7,Settings!$B$9,0))),2)),0))</f>
        <v/>
      </c>
      <c r="K593" s="41" t="str">
        <f aca="false">IF(J593="","",IFERROR(N(INDEX(Properties!$G$5:$G$24,MATCH(D593,Properties!$A$5:$A$24,0))),0))</f>
        <v/>
      </c>
      <c r="L593" s="41" t="str">
        <f aca="false">IF(J593="","",IFERROR(MAX(0,N(G593)-INDEX(Properties!$I$5:$I$24,MATCH(D593,Properties!$A$5:$A$24,0)))*N(INDEX(Properties!$J$5:$J$24,MATCH(D593,Properties!$A$5:$A$24,0)))*H593,0))</f>
        <v/>
      </c>
      <c r="M593" s="37"/>
      <c r="N593" s="41" t="str">
        <f aca="false">IF(J593="","",J593+K593+L593+N(M593))</f>
        <v/>
      </c>
      <c r="O593" s="41" t="str">
        <f aca="false">IF(N593="","",IF(P593&lt;&gt;"",N593-P593,ROUND(N593*IFERROR(INDEX(Settings!$E$5:$E$12,MATCH(F593,Settings!$D$5:$D$12,0)),0),2)))</f>
        <v/>
      </c>
      <c r="P593" s="37"/>
      <c r="Q593" s="41" t="str">
        <f aca="false">IF(N593="","",IF(P593&lt;&gt;"",P593,N593-O593))</f>
        <v/>
      </c>
      <c r="R593" s="41" t="str">
        <f aca="false">IF(J593="","",IFERROR(N(INDEX(Properties!$H$5:$H$24,MATCH(D593,Properties!$A$5:$A$24,0))),0))</f>
        <v/>
      </c>
      <c r="S593" s="41" t="str">
        <f aca="false">IF(Q593="","",Q593-R593)</f>
        <v/>
      </c>
      <c r="T593" s="6"/>
      <c r="U593" s="6"/>
      <c r="V593" s="6"/>
      <c r="W593" s="6"/>
      <c r="X593" s="6"/>
      <c r="Y593" s="8" t="str">
        <f aca="false">IF(OR(D593="",B593="",C593=""),"",IF(N(C593)&lt;=N(B593),"Check dates",IF(T593="Cancelled","",IF(COUNTIFS($D$5:$D$1004,D593,$B$5:$B$1004,"&lt;"&amp;C593,$C$5:$C$1004,"&gt;"&amp;B593,$T$5:$T$1004,"&lt;&gt;Cancelled")&gt;1,"Double-booked",""))))</f>
        <v/>
      </c>
      <c r="Z593" s="42" t="str">
        <f aca="false">IF(AND(AA593=1,ISNUMBER(C593)),C593+ROW()/100000,"")</f>
        <v/>
      </c>
      <c r="AA593" s="43" t="n">
        <f aca="false">IF(AND(D593&lt;&gt;"",ISNUMBER(B593),ISNUMBER(C593),N(H593)&gt;0,T593&lt;&gt;"Cancelled",J593&lt;&gt;""),1,0)</f>
        <v>0</v>
      </c>
      <c r="AB593" s="44" t="n">
        <f aca="false">IF(AA593=1,J593/H593,0)</f>
        <v>0</v>
      </c>
      <c r="AC593" s="44" t="n">
        <f aca="false">IF(AA593=1,Q593/H593,0)</f>
        <v>0</v>
      </c>
      <c r="AD593" s="44" t="n">
        <f aca="false">IF(AA593=1,R593/H593,0)</f>
        <v>0</v>
      </c>
      <c r="AE593" s="44" t="n">
        <f aca="false">IF(AA593=1,O593/H593,0)</f>
        <v>0</v>
      </c>
      <c r="AF593" s="44" t="n">
        <f aca="false">IF(AA593=1,K593/H593,0)</f>
        <v>0</v>
      </c>
      <c r="AG593" s="45" t="str">
        <f aca="false">IF(AA593=1,D593&amp;"|"&amp;TEXT(B593,"0"),"")</f>
        <v/>
      </c>
      <c r="AH593" s="43" t="n">
        <f aca="false">IF(AA593=1,H593,0)</f>
        <v>0</v>
      </c>
    </row>
    <row r="594" customFormat="false" ht="15" hidden="false" customHeight="false" outlineLevel="0" collapsed="false">
      <c r="A594" s="23" t="str">
        <f aca="false">IF(B594="","","B-"&amp;TEXT(ROW()-4,"0000"))</f>
        <v/>
      </c>
      <c r="B594" s="38"/>
      <c r="C594" s="38"/>
      <c r="D594" s="6"/>
      <c r="E594" s="6"/>
      <c r="F594" s="6"/>
      <c r="G594" s="11"/>
      <c r="H594" s="24" t="str">
        <f aca="false">IF(AND(ISNUMBER(B594),ISNUMBER(C594)),MAX(0,C594-B594),"")</f>
        <v/>
      </c>
      <c r="I594" s="37"/>
      <c r="J594" s="46" t="str">
        <f aca="false">IF(OR(D594="",N(H594)=0),"",IFERROR(IF(I594&lt;&gt;"",H594*I594,ROUND(((H594-(INT((WEEKDAY(B594-6)+H594-1)/7)+INT((WEEKDAY(B594-7)+H594-1)/7)))*INDEX(Properties!$E$5:$E$24,MATCH(D594,Properties!$A$5:$A$24,0))+(INT((WEEKDAY(B594-6)+H594-1)/7)+INT((WEEKDAY(B594-7)+H594-1)/7))*INDEX(Properties!$F$5:$F$24,MATCH(D594,Properties!$A$5:$A$24,0)))*(1-IF(H594&gt;=28,Settings!$B$10,IF(H594&gt;=7,Settings!$B$9,0))),2)),0))</f>
        <v/>
      </c>
      <c r="K594" s="46" t="str">
        <f aca="false">IF(J594="","",IFERROR(N(INDEX(Properties!$G$5:$G$24,MATCH(D594,Properties!$A$5:$A$24,0))),0))</f>
        <v/>
      </c>
      <c r="L594" s="46" t="str">
        <f aca="false">IF(J594="","",IFERROR(MAX(0,N(G594)-INDEX(Properties!$I$5:$I$24,MATCH(D594,Properties!$A$5:$A$24,0)))*N(INDEX(Properties!$J$5:$J$24,MATCH(D594,Properties!$A$5:$A$24,0)))*H594,0))</f>
        <v/>
      </c>
      <c r="M594" s="37"/>
      <c r="N594" s="46" t="str">
        <f aca="false">IF(J594="","",J594+K594+L594+N(M594))</f>
        <v/>
      </c>
      <c r="O594" s="46" t="str">
        <f aca="false">IF(N594="","",IF(P594&lt;&gt;"",N594-P594,ROUND(N594*IFERROR(INDEX(Settings!$E$5:$E$12,MATCH(F594,Settings!$D$5:$D$12,0)),0),2)))</f>
        <v/>
      </c>
      <c r="P594" s="37"/>
      <c r="Q594" s="46" t="str">
        <f aca="false">IF(N594="","",IF(P594&lt;&gt;"",P594,N594-O594))</f>
        <v/>
      </c>
      <c r="R594" s="46" t="str">
        <f aca="false">IF(J594="","",IFERROR(N(INDEX(Properties!$H$5:$H$24,MATCH(D594,Properties!$A$5:$A$24,0))),0))</f>
        <v/>
      </c>
      <c r="S594" s="46" t="str">
        <f aca="false">IF(Q594="","",Q594-R594)</f>
        <v/>
      </c>
      <c r="T594" s="6"/>
      <c r="U594" s="6"/>
      <c r="V594" s="6"/>
      <c r="W594" s="6"/>
      <c r="X594" s="6"/>
      <c r="Y594" s="8" t="str">
        <f aca="false">IF(OR(D594="",B594="",C594=""),"",IF(N(C594)&lt;=N(B594),"Check dates",IF(T594="Cancelled","",IF(COUNTIFS($D$5:$D$1004,D594,$B$5:$B$1004,"&lt;"&amp;C594,$C$5:$C$1004,"&gt;"&amp;B594,$T$5:$T$1004,"&lt;&gt;Cancelled")&gt;1,"Double-booked",""))))</f>
        <v/>
      </c>
      <c r="Z594" s="42" t="str">
        <f aca="false">IF(AND(AA594=1,ISNUMBER(C594)),C594+ROW()/100000,"")</f>
        <v/>
      </c>
      <c r="AA594" s="43" t="n">
        <f aca="false">IF(AND(D594&lt;&gt;"",ISNUMBER(B594),ISNUMBER(C594),N(H594)&gt;0,T594&lt;&gt;"Cancelled",J594&lt;&gt;""),1,0)</f>
        <v>0</v>
      </c>
      <c r="AB594" s="44" t="n">
        <f aca="false">IF(AA594=1,J594/H594,0)</f>
        <v>0</v>
      </c>
      <c r="AC594" s="44" t="n">
        <f aca="false">IF(AA594=1,Q594/H594,0)</f>
        <v>0</v>
      </c>
      <c r="AD594" s="44" t="n">
        <f aca="false">IF(AA594=1,R594/H594,0)</f>
        <v>0</v>
      </c>
      <c r="AE594" s="44" t="n">
        <f aca="false">IF(AA594=1,O594/H594,0)</f>
        <v>0</v>
      </c>
      <c r="AF594" s="44" t="n">
        <f aca="false">IF(AA594=1,K594/H594,0)</f>
        <v>0</v>
      </c>
      <c r="AG594" s="45" t="str">
        <f aca="false">IF(AA594=1,D594&amp;"|"&amp;TEXT(B594,"0"),"")</f>
        <v/>
      </c>
      <c r="AH594" s="43" t="n">
        <f aca="false">IF(AA594=1,H594,0)</f>
        <v>0</v>
      </c>
    </row>
    <row r="595" customFormat="false" ht="15" hidden="false" customHeight="false" outlineLevel="0" collapsed="false">
      <c r="A595" s="8" t="str">
        <f aca="false">IF(B595="","","B-"&amp;TEXT(ROW()-4,"0000"))</f>
        <v/>
      </c>
      <c r="B595" s="38"/>
      <c r="C595" s="38"/>
      <c r="D595" s="6"/>
      <c r="E595" s="6"/>
      <c r="F595" s="6"/>
      <c r="G595" s="11"/>
      <c r="H595" s="18" t="str">
        <f aca="false">IF(AND(ISNUMBER(B595),ISNUMBER(C595)),MAX(0,C595-B595),"")</f>
        <v/>
      </c>
      <c r="I595" s="37"/>
      <c r="J595" s="41" t="str">
        <f aca="false">IF(OR(D595="",N(H595)=0),"",IFERROR(IF(I595&lt;&gt;"",H595*I595,ROUND(((H595-(INT((WEEKDAY(B595-6)+H595-1)/7)+INT((WEEKDAY(B595-7)+H595-1)/7)))*INDEX(Properties!$E$5:$E$24,MATCH(D595,Properties!$A$5:$A$24,0))+(INT((WEEKDAY(B595-6)+H595-1)/7)+INT((WEEKDAY(B595-7)+H595-1)/7))*INDEX(Properties!$F$5:$F$24,MATCH(D595,Properties!$A$5:$A$24,0)))*(1-IF(H595&gt;=28,Settings!$B$10,IF(H595&gt;=7,Settings!$B$9,0))),2)),0))</f>
        <v/>
      </c>
      <c r="K595" s="41" t="str">
        <f aca="false">IF(J595="","",IFERROR(N(INDEX(Properties!$G$5:$G$24,MATCH(D595,Properties!$A$5:$A$24,0))),0))</f>
        <v/>
      </c>
      <c r="L595" s="41" t="str">
        <f aca="false">IF(J595="","",IFERROR(MAX(0,N(G595)-INDEX(Properties!$I$5:$I$24,MATCH(D595,Properties!$A$5:$A$24,0)))*N(INDEX(Properties!$J$5:$J$24,MATCH(D595,Properties!$A$5:$A$24,0)))*H595,0))</f>
        <v/>
      </c>
      <c r="M595" s="37"/>
      <c r="N595" s="41" t="str">
        <f aca="false">IF(J595="","",J595+K595+L595+N(M595))</f>
        <v/>
      </c>
      <c r="O595" s="41" t="str">
        <f aca="false">IF(N595="","",IF(P595&lt;&gt;"",N595-P595,ROUND(N595*IFERROR(INDEX(Settings!$E$5:$E$12,MATCH(F595,Settings!$D$5:$D$12,0)),0),2)))</f>
        <v/>
      </c>
      <c r="P595" s="37"/>
      <c r="Q595" s="41" t="str">
        <f aca="false">IF(N595="","",IF(P595&lt;&gt;"",P595,N595-O595))</f>
        <v/>
      </c>
      <c r="R595" s="41" t="str">
        <f aca="false">IF(J595="","",IFERROR(N(INDEX(Properties!$H$5:$H$24,MATCH(D595,Properties!$A$5:$A$24,0))),0))</f>
        <v/>
      </c>
      <c r="S595" s="41" t="str">
        <f aca="false">IF(Q595="","",Q595-R595)</f>
        <v/>
      </c>
      <c r="T595" s="6"/>
      <c r="U595" s="6"/>
      <c r="V595" s="6"/>
      <c r="W595" s="6"/>
      <c r="X595" s="6"/>
      <c r="Y595" s="8" t="str">
        <f aca="false">IF(OR(D595="",B595="",C595=""),"",IF(N(C595)&lt;=N(B595),"Check dates",IF(T595="Cancelled","",IF(COUNTIFS($D$5:$D$1004,D595,$B$5:$B$1004,"&lt;"&amp;C595,$C$5:$C$1004,"&gt;"&amp;B595,$T$5:$T$1004,"&lt;&gt;Cancelled")&gt;1,"Double-booked",""))))</f>
        <v/>
      </c>
      <c r="Z595" s="42" t="str">
        <f aca="false">IF(AND(AA595=1,ISNUMBER(C595)),C595+ROW()/100000,"")</f>
        <v/>
      </c>
      <c r="AA595" s="43" t="n">
        <f aca="false">IF(AND(D595&lt;&gt;"",ISNUMBER(B595),ISNUMBER(C595),N(H595)&gt;0,T595&lt;&gt;"Cancelled",J595&lt;&gt;""),1,0)</f>
        <v>0</v>
      </c>
      <c r="AB595" s="44" t="n">
        <f aca="false">IF(AA595=1,J595/H595,0)</f>
        <v>0</v>
      </c>
      <c r="AC595" s="44" t="n">
        <f aca="false">IF(AA595=1,Q595/H595,0)</f>
        <v>0</v>
      </c>
      <c r="AD595" s="44" t="n">
        <f aca="false">IF(AA595=1,R595/H595,0)</f>
        <v>0</v>
      </c>
      <c r="AE595" s="44" t="n">
        <f aca="false">IF(AA595=1,O595/H595,0)</f>
        <v>0</v>
      </c>
      <c r="AF595" s="44" t="n">
        <f aca="false">IF(AA595=1,K595/H595,0)</f>
        <v>0</v>
      </c>
      <c r="AG595" s="45" t="str">
        <f aca="false">IF(AA595=1,D595&amp;"|"&amp;TEXT(B595,"0"),"")</f>
        <v/>
      </c>
      <c r="AH595" s="43" t="n">
        <f aca="false">IF(AA595=1,H595,0)</f>
        <v>0</v>
      </c>
    </row>
    <row r="596" customFormat="false" ht="15" hidden="false" customHeight="false" outlineLevel="0" collapsed="false">
      <c r="A596" s="23" t="str">
        <f aca="false">IF(B596="","","B-"&amp;TEXT(ROW()-4,"0000"))</f>
        <v/>
      </c>
      <c r="B596" s="38"/>
      <c r="C596" s="38"/>
      <c r="D596" s="6"/>
      <c r="E596" s="6"/>
      <c r="F596" s="6"/>
      <c r="G596" s="11"/>
      <c r="H596" s="24" t="str">
        <f aca="false">IF(AND(ISNUMBER(B596),ISNUMBER(C596)),MAX(0,C596-B596),"")</f>
        <v/>
      </c>
      <c r="I596" s="37"/>
      <c r="J596" s="46" t="str">
        <f aca="false">IF(OR(D596="",N(H596)=0),"",IFERROR(IF(I596&lt;&gt;"",H596*I596,ROUND(((H596-(INT((WEEKDAY(B596-6)+H596-1)/7)+INT((WEEKDAY(B596-7)+H596-1)/7)))*INDEX(Properties!$E$5:$E$24,MATCH(D596,Properties!$A$5:$A$24,0))+(INT((WEEKDAY(B596-6)+H596-1)/7)+INT((WEEKDAY(B596-7)+H596-1)/7))*INDEX(Properties!$F$5:$F$24,MATCH(D596,Properties!$A$5:$A$24,0)))*(1-IF(H596&gt;=28,Settings!$B$10,IF(H596&gt;=7,Settings!$B$9,0))),2)),0))</f>
        <v/>
      </c>
      <c r="K596" s="46" t="str">
        <f aca="false">IF(J596="","",IFERROR(N(INDEX(Properties!$G$5:$G$24,MATCH(D596,Properties!$A$5:$A$24,0))),0))</f>
        <v/>
      </c>
      <c r="L596" s="46" t="str">
        <f aca="false">IF(J596="","",IFERROR(MAX(0,N(G596)-INDEX(Properties!$I$5:$I$24,MATCH(D596,Properties!$A$5:$A$24,0)))*N(INDEX(Properties!$J$5:$J$24,MATCH(D596,Properties!$A$5:$A$24,0)))*H596,0))</f>
        <v/>
      </c>
      <c r="M596" s="37"/>
      <c r="N596" s="46" t="str">
        <f aca="false">IF(J596="","",J596+K596+L596+N(M596))</f>
        <v/>
      </c>
      <c r="O596" s="46" t="str">
        <f aca="false">IF(N596="","",IF(P596&lt;&gt;"",N596-P596,ROUND(N596*IFERROR(INDEX(Settings!$E$5:$E$12,MATCH(F596,Settings!$D$5:$D$12,0)),0),2)))</f>
        <v/>
      </c>
      <c r="P596" s="37"/>
      <c r="Q596" s="46" t="str">
        <f aca="false">IF(N596="","",IF(P596&lt;&gt;"",P596,N596-O596))</f>
        <v/>
      </c>
      <c r="R596" s="46" t="str">
        <f aca="false">IF(J596="","",IFERROR(N(INDEX(Properties!$H$5:$H$24,MATCH(D596,Properties!$A$5:$A$24,0))),0))</f>
        <v/>
      </c>
      <c r="S596" s="46" t="str">
        <f aca="false">IF(Q596="","",Q596-R596)</f>
        <v/>
      </c>
      <c r="T596" s="6"/>
      <c r="U596" s="6"/>
      <c r="V596" s="6"/>
      <c r="W596" s="6"/>
      <c r="X596" s="6"/>
      <c r="Y596" s="8" t="str">
        <f aca="false">IF(OR(D596="",B596="",C596=""),"",IF(N(C596)&lt;=N(B596),"Check dates",IF(T596="Cancelled","",IF(COUNTIFS($D$5:$D$1004,D596,$B$5:$B$1004,"&lt;"&amp;C596,$C$5:$C$1004,"&gt;"&amp;B596,$T$5:$T$1004,"&lt;&gt;Cancelled")&gt;1,"Double-booked",""))))</f>
        <v/>
      </c>
      <c r="Z596" s="42" t="str">
        <f aca="false">IF(AND(AA596=1,ISNUMBER(C596)),C596+ROW()/100000,"")</f>
        <v/>
      </c>
      <c r="AA596" s="43" t="n">
        <f aca="false">IF(AND(D596&lt;&gt;"",ISNUMBER(B596),ISNUMBER(C596),N(H596)&gt;0,T596&lt;&gt;"Cancelled",J596&lt;&gt;""),1,0)</f>
        <v>0</v>
      </c>
      <c r="AB596" s="44" t="n">
        <f aca="false">IF(AA596=1,J596/H596,0)</f>
        <v>0</v>
      </c>
      <c r="AC596" s="44" t="n">
        <f aca="false">IF(AA596=1,Q596/H596,0)</f>
        <v>0</v>
      </c>
      <c r="AD596" s="44" t="n">
        <f aca="false">IF(AA596=1,R596/H596,0)</f>
        <v>0</v>
      </c>
      <c r="AE596" s="44" t="n">
        <f aca="false">IF(AA596=1,O596/H596,0)</f>
        <v>0</v>
      </c>
      <c r="AF596" s="44" t="n">
        <f aca="false">IF(AA596=1,K596/H596,0)</f>
        <v>0</v>
      </c>
      <c r="AG596" s="45" t="str">
        <f aca="false">IF(AA596=1,D596&amp;"|"&amp;TEXT(B596,"0"),"")</f>
        <v/>
      </c>
      <c r="AH596" s="43" t="n">
        <f aca="false">IF(AA596=1,H596,0)</f>
        <v>0</v>
      </c>
    </row>
    <row r="597" customFormat="false" ht="15" hidden="false" customHeight="false" outlineLevel="0" collapsed="false">
      <c r="A597" s="8" t="str">
        <f aca="false">IF(B597="","","B-"&amp;TEXT(ROW()-4,"0000"))</f>
        <v/>
      </c>
      <c r="B597" s="38"/>
      <c r="C597" s="38"/>
      <c r="D597" s="6"/>
      <c r="E597" s="6"/>
      <c r="F597" s="6"/>
      <c r="G597" s="11"/>
      <c r="H597" s="18" t="str">
        <f aca="false">IF(AND(ISNUMBER(B597),ISNUMBER(C597)),MAX(0,C597-B597),"")</f>
        <v/>
      </c>
      <c r="I597" s="37"/>
      <c r="J597" s="41" t="str">
        <f aca="false">IF(OR(D597="",N(H597)=0),"",IFERROR(IF(I597&lt;&gt;"",H597*I597,ROUND(((H597-(INT((WEEKDAY(B597-6)+H597-1)/7)+INT((WEEKDAY(B597-7)+H597-1)/7)))*INDEX(Properties!$E$5:$E$24,MATCH(D597,Properties!$A$5:$A$24,0))+(INT((WEEKDAY(B597-6)+H597-1)/7)+INT((WEEKDAY(B597-7)+H597-1)/7))*INDEX(Properties!$F$5:$F$24,MATCH(D597,Properties!$A$5:$A$24,0)))*(1-IF(H597&gt;=28,Settings!$B$10,IF(H597&gt;=7,Settings!$B$9,0))),2)),0))</f>
        <v/>
      </c>
      <c r="K597" s="41" t="str">
        <f aca="false">IF(J597="","",IFERROR(N(INDEX(Properties!$G$5:$G$24,MATCH(D597,Properties!$A$5:$A$24,0))),0))</f>
        <v/>
      </c>
      <c r="L597" s="41" t="str">
        <f aca="false">IF(J597="","",IFERROR(MAX(0,N(G597)-INDEX(Properties!$I$5:$I$24,MATCH(D597,Properties!$A$5:$A$24,0)))*N(INDEX(Properties!$J$5:$J$24,MATCH(D597,Properties!$A$5:$A$24,0)))*H597,0))</f>
        <v/>
      </c>
      <c r="M597" s="37"/>
      <c r="N597" s="41" t="str">
        <f aca="false">IF(J597="","",J597+K597+L597+N(M597))</f>
        <v/>
      </c>
      <c r="O597" s="41" t="str">
        <f aca="false">IF(N597="","",IF(P597&lt;&gt;"",N597-P597,ROUND(N597*IFERROR(INDEX(Settings!$E$5:$E$12,MATCH(F597,Settings!$D$5:$D$12,0)),0),2)))</f>
        <v/>
      </c>
      <c r="P597" s="37"/>
      <c r="Q597" s="41" t="str">
        <f aca="false">IF(N597="","",IF(P597&lt;&gt;"",P597,N597-O597))</f>
        <v/>
      </c>
      <c r="R597" s="41" t="str">
        <f aca="false">IF(J597="","",IFERROR(N(INDEX(Properties!$H$5:$H$24,MATCH(D597,Properties!$A$5:$A$24,0))),0))</f>
        <v/>
      </c>
      <c r="S597" s="41" t="str">
        <f aca="false">IF(Q597="","",Q597-R597)</f>
        <v/>
      </c>
      <c r="T597" s="6"/>
      <c r="U597" s="6"/>
      <c r="V597" s="6"/>
      <c r="W597" s="6"/>
      <c r="X597" s="6"/>
      <c r="Y597" s="8" t="str">
        <f aca="false">IF(OR(D597="",B597="",C597=""),"",IF(N(C597)&lt;=N(B597),"Check dates",IF(T597="Cancelled","",IF(COUNTIFS($D$5:$D$1004,D597,$B$5:$B$1004,"&lt;"&amp;C597,$C$5:$C$1004,"&gt;"&amp;B597,$T$5:$T$1004,"&lt;&gt;Cancelled")&gt;1,"Double-booked",""))))</f>
        <v/>
      </c>
      <c r="Z597" s="42" t="str">
        <f aca="false">IF(AND(AA597=1,ISNUMBER(C597)),C597+ROW()/100000,"")</f>
        <v/>
      </c>
      <c r="AA597" s="43" t="n">
        <f aca="false">IF(AND(D597&lt;&gt;"",ISNUMBER(B597),ISNUMBER(C597),N(H597)&gt;0,T597&lt;&gt;"Cancelled",J597&lt;&gt;""),1,0)</f>
        <v>0</v>
      </c>
      <c r="AB597" s="44" t="n">
        <f aca="false">IF(AA597=1,J597/H597,0)</f>
        <v>0</v>
      </c>
      <c r="AC597" s="44" t="n">
        <f aca="false">IF(AA597=1,Q597/H597,0)</f>
        <v>0</v>
      </c>
      <c r="AD597" s="44" t="n">
        <f aca="false">IF(AA597=1,R597/H597,0)</f>
        <v>0</v>
      </c>
      <c r="AE597" s="44" t="n">
        <f aca="false">IF(AA597=1,O597/H597,0)</f>
        <v>0</v>
      </c>
      <c r="AF597" s="44" t="n">
        <f aca="false">IF(AA597=1,K597/H597,0)</f>
        <v>0</v>
      </c>
      <c r="AG597" s="45" t="str">
        <f aca="false">IF(AA597=1,D597&amp;"|"&amp;TEXT(B597,"0"),"")</f>
        <v/>
      </c>
      <c r="AH597" s="43" t="n">
        <f aca="false">IF(AA597=1,H597,0)</f>
        <v>0</v>
      </c>
    </row>
    <row r="598" customFormat="false" ht="15" hidden="false" customHeight="false" outlineLevel="0" collapsed="false">
      <c r="A598" s="23" t="str">
        <f aca="false">IF(B598="","","B-"&amp;TEXT(ROW()-4,"0000"))</f>
        <v/>
      </c>
      <c r="B598" s="38"/>
      <c r="C598" s="38"/>
      <c r="D598" s="6"/>
      <c r="E598" s="6"/>
      <c r="F598" s="6"/>
      <c r="G598" s="11"/>
      <c r="H598" s="24" t="str">
        <f aca="false">IF(AND(ISNUMBER(B598),ISNUMBER(C598)),MAX(0,C598-B598),"")</f>
        <v/>
      </c>
      <c r="I598" s="37"/>
      <c r="J598" s="46" t="str">
        <f aca="false">IF(OR(D598="",N(H598)=0),"",IFERROR(IF(I598&lt;&gt;"",H598*I598,ROUND(((H598-(INT((WEEKDAY(B598-6)+H598-1)/7)+INT((WEEKDAY(B598-7)+H598-1)/7)))*INDEX(Properties!$E$5:$E$24,MATCH(D598,Properties!$A$5:$A$24,0))+(INT((WEEKDAY(B598-6)+H598-1)/7)+INT((WEEKDAY(B598-7)+H598-1)/7))*INDEX(Properties!$F$5:$F$24,MATCH(D598,Properties!$A$5:$A$24,0)))*(1-IF(H598&gt;=28,Settings!$B$10,IF(H598&gt;=7,Settings!$B$9,0))),2)),0))</f>
        <v/>
      </c>
      <c r="K598" s="46" t="str">
        <f aca="false">IF(J598="","",IFERROR(N(INDEX(Properties!$G$5:$G$24,MATCH(D598,Properties!$A$5:$A$24,0))),0))</f>
        <v/>
      </c>
      <c r="L598" s="46" t="str">
        <f aca="false">IF(J598="","",IFERROR(MAX(0,N(G598)-INDEX(Properties!$I$5:$I$24,MATCH(D598,Properties!$A$5:$A$24,0)))*N(INDEX(Properties!$J$5:$J$24,MATCH(D598,Properties!$A$5:$A$24,0)))*H598,0))</f>
        <v/>
      </c>
      <c r="M598" s="37"/>
      <c r="N598" s="46" t="str">
        <f aca="false">IF(J598="","",J598+K598+L598+N(M598))</f>
        <v/>
      </c>
      <c r="O598" s="46" t="str">
        <f aca="false">IF(N598="","",IF(P598&lt;&gt;"",N598-P598,ROUND(N598*IFERROR(INDEX(Settings!$E$5:$E$12,MATCH(F598,Settings!$D$5:$D$12,0)),0),2)))</f>
        <v/>
      </c>
      <c r="P598" s="37"/>
      <c r="Q598" s="46" t="str">
        <f aca="false">IF(N598="","",IF(P598&lt;&gt;"",P598,N598-O598))</f>
        <v/>
      </c>
      <c r="R598" s="46" t="str">
        <f aca="false">IF(J598="","",IFERROR(N(INDEX(Properties!$H$5:$H$24,MATCH(D598,Properties!$A$5:$A$24,0))),0))</f>
        <v/>
      </c>
      <c r="S598" s="46" t="str">
        <f aca="false">IF(Q598="","",Q598-R598)</f>
        <v/>
      </c>
      <c r="T598" s="6"/>
      <c r="U598" s="6"/>
      <c r="V598" s="6"/>
      <c r="W598" s="6"/>
      <c r="X598" s="6"/>
      <c r="Y598" s="8" t="str">
        <f aca="false">IF(OR(D598="",B598="",C598=""),"",IF(N(C598)&lt;=N(B598),"Check dates",IF(T598="Cancelled","",IF(COUNTIFS($D$5:$D$1004,D598,$B$5:$B$1004,"&lt;"&amp;C598,$C$5:$C$1004,"&gt;"&amp;B598,$T$5:$T$1004,"&lt;&gt;Cancelled")&gt;1,"Double-booked",""))))</f>
        <v/>
      </c>
      <c r="Z598" s="42" t="str">
        <f aca="false">IF(AND(AA598=1,ISNUMBER(C598)),C598+ROW()/100000,"")</f>
        <v/>
      </c>
      <c r="AA598" s="43" t="n">
        <f aca="false">IF(AND(D598&lt;&gt;"",ISNUMBER(B598),ISNUMBER(C598),N(H598)&gt;0,T598&lt;&gt;"Cancelled",J598&lt;&gt;""),1,0)</f>
        <v>0</v>
      </c>
      <c r="AB598" s="44" t="n">
        <f aca="false">IF(AA598=1,J598/H598,0)</f>
        <v>0</v>
      </c>
      <c r="AC598" s="44" t="n">
        <f aca="false">IF(AA598=1,Q598/H598,0)</f>
        <v>0</v>
      </c>
      <c r="AD598" s="44" t="n">
        <f aca="false">IF(AA598=1,R598/H598,0)</f>
        <v>0</v>
      </c>
      <c r="AE598" s="44" t="n">
        <f aca="false">IF(AA598=1,O598/H598,0)</f>
        <v>0</v>
      </c>
      <c r="AF598" s="44" t="n">
        <f aca="false">IF(AA598=1,K598/H598,0)</f>
        <v>0</v>
      </c>
      <c r="AG598" s="45" t="str">
        <f aca="false">IF(AA598=1,D598&amp;"|"&amp;TEXT(B598,"0"),"")</f>
        <v/>
      </c>
      <c r="AH598" s="43" t="n">
        <f aca="false">IF(AA598=1,H598,0)</f>
        <v>0</v>
      </c>
    </row>
    <row r="599" customFormat="false" ht="15" hidden="false" customHeight="false" outlineLevel="0" collapsed="false">
      <c r="A599" s="8" t="str">
        <f aca="false">IF(B599="","","B-"&amp;TEXT(ROW()-4,"0000"))</f>
        <v/>
      </c>
      <c r="B599" s="38"/>
      <c r="C599" s="38"/>
      <c r="D599" s="6"/>
      <c r="E599" s="6"/>
      <c r="F599" s="6"/>
      <c r="G599" s="11"/>
      <c r="H599" s="18" t="str">
        <f aca="false">IF(AND(ISNUMBER(B599),ISNUMBER(C599)),MAX(0,C599-B599),"")</f>
        <v/>
      </c>
      <c r="I599" s="37"/>
      <c r="J599" s="41" t="str">
        <f aca="false">IF(OR(D599="",N(H599)=0),"",IFERROR(IF(I599&lt;&gt;"",H599*I599,ROUND(((H599-(INT((WEEKDAY(B599-6)+H599-1)/7)+INT((WEEKDAY(B599-7)+H599-1)/7)))*INDEX(Properties!$E$5:$E$24,MATCH(D599,Properties!$A$5:$A$24,0))+(INT((WEEKDAY(B599-6)+H599-1)/7)+INT((WEEKDAY(B599-7)+H599-1)/7))*INDEX(Properties!$F$5:$F$24,MATCH(D599,Properties!$A$5:$A$24,0)))*(1-IF(H599&gt;=28,Settings!$B$10,IF(H599&gt;=7,Settings!$B$9,0))),2)),0))</f>
        <v/>
      </c>
      <c r="K599" s="41" t="str">
        <f aca="false">IF(J599="","",IFERROR(N(INDEX(Properties!$G$5:$G$24,MATCH(D599,Properties!$A$5:$A$24,0))),0))</f>
        <v/>
      </c>
      <c r="L599" s="41" t="str">
        <f aca="false">IF(J599="","",IFERROR(MAX(0,N(G599)-INDEX(Properties!$I$5:$I$24,MATCH(D599,Properties!$A$5:$A$24,0)))*N(INDEX(Properties!$J$5:$J$24,MATCH(D599,Properties!$A$5:$A$24,0)))*H599,0))</f>
        <v/>
      </c>
      <c r="M599" s="37"/>
      <c r="N599" s="41" t="str">
        <f aca="false">IF(J599="","",J599+K599+L599+N(M599))</f>
        <v/>
      </c>
      <c r="O599" s="41" t="str">
        <f aca="false">IF(N599="","",IF(P599&lt;&gt;"",N599-P599,ROUND(N599*IFERROR(INDEX(Settings!$E$5:$E$12,MATCH(F599,Settings!$D$5:$D$12,0)),0),2)))</f>
        <v/>
      </c>
      <c r="P599" s="37"/>
      <c r="Q599" s="41" t="str">
        <f aca="false">IF(N599="","",IF(P599&lt;&gt;"",P599,N599-O599))</f>
        <v/>
      </c>
      <c r="R599" s="41" t="str">
        <f aca="false">IF(J599="","",IFERROR(N(INDEX(Properties!$H$5:$H$24,MATCH(D599,Properties!$A$5:$A$24,0))),0))</f>
        <v/>
      </c>
      <c r="S599" s="41" t="str">
        <f aca="false">IF(Q599="","",Q599-R599)</f>
        <v/>
      </c>
      <c r="T599" s="6"/>
      <c r="U599" s="6"/>
      <c r="V599" s="6"/>
      <c r="W599" s="6"/>
      <c r="X599" s="6"/>
      <c r="Y599" s="8" t="str">
        <f aca="false">IF(OR(D599="",B599="",C599=""),"",IF(N(C599)&lt;=N(B599),"Check dates",IF(T599="Cancelled","",IF(COUNTIFS($D$5:$D$1004,D599,$B$5:$B$1004,"&lt;"&amp;C599,$C$5:$C$1004,"&gt;"&amp;B599,$T$5:$T$1004,"&lt;&gt;Cancelled")&gt;1,"Double-booked",""))))</f>
        <v/>
      </c>
      <c r="Z599" s="42" t="str">
        <f aca="false">IF(AND(AA599=1,ISNUMBER(C599)),C599+ROW()/100000,"")</f>
        <v/>
      </c>
      <c r="AA599" s="43" t="n">
        <f aca="false">IF(AND(D599&lt;&gt;"",ISNUMBER(B599),ISNUMBER(C599),N(H599)&gt;0,T599&lt;&gt;"Cancelled",J599&lt;&gt;""),1,0)</f>
        <v>0</v>
      </c>
      <c r="AB599" s="44" t="n">
        <f aca="false">IF(AA599=1,J599/H599,0)</f>
        <v>0</v>
      </c>
      <c r="AC599" s="44" t="n">
        <f aca="false">IF(AA599=1,Q599/H599,0)</f>
        <v>0</v>
      </c>
      <c r="AD599" s="44" t="n">
        <f aca="false">IF(AA599=1,R599/H599,0)</f>
        <v>0</v>
      </c>
      <c r="AE599" s="44" t="n">
        <f aca="false">IF(AA599=1,O599/H599,0)</f>
        <v>0</v>
      </c>
      <c r="AF599" s="44" t="n">
        <f aca="false">IF(AA599=1,K599/H599,0)</f>
        <v>0</v>
      </c>
      <c r="AG599" s="45" t="str">
        <f aca="false">IF(AA599=1,D599&amp;"|"&amp;TEXT(B599,"0"),"")</f>
        <v/>
      </c>
      <c r="AH599" s="43" t="n">
        <f aca="false">IF(AA599=1,H599,0)</f>
        <v>0</v>
      </c>
    </row>
    <row r="600" customFormat="false" ht="15" hidden="false" customHeight="false" outlineLevel="0" collapsed="false">
      <c r="A600" s="23" t="str">
        <f aca="false">IF(B600="","","B-"&amp;TEXT(ROW()-4,"0000"))</f>
        <v/>
      </c>
      <c r="B600" s="38"/>
      <c r="C600" s="38"/>
      <c r="D600" s="6"/>
      <c r="E600" s="6"/>
      <c r="F600" s="6"/>
      <c r="G600" s="11"/>
      <c r="H600" s="24" t="str">
        <f aca="false">IF(AND(ISNUMBER(B600),ISNUMBER(C600)),MAX(0,C600-B600),"")</f>
        <v/>
      </c>
      <c r="I600" s="37"/>
      <c r="J600" s="46" t="str">
        <f aca="false">IF(OR(D600="",N(H600)=0),"",IFERROR(IF(I600&lt;&gt;"",H600*I600,ROUND(((H600-(INT((WEEKDAY(B600-6)+H600-1)/7)+INT((WEEKDAY(B600-7)+H600-1)/7)))*INDEX(Properties!$E$5:$E$24,MATCH(D600,Properties!$A$5:$A$24,0))+(INT((WEEKDAY(B600-6)+H600-1)/7)+INT((WEEKDAY(B600-7)+H600-1)/7))*INDEX(Properties!$F$5:$F$24,MATCH(D600,Properties!$A$5:$A$24,0)))*(1-IF(H600&gt;=28,Settings!$B$10,IF(H600&gt;=7,Settings!$B$9,0))),2)),0))</f>
        <v/>
      </c>
      <c r="K600" s="46" t="str">
        <f aca="false">IF(J600="","",IFERROR(N(INDEX(Properties!$G$5:$G$24,MATCH(D600,Properties!$A$5:$A$24,0))),0))</f>
        <v/>
      </c>
      <c r="L600" s="46" t="str">
        <f aca="false">IF(J600="","",IFERROR(MAX(0,N(G600)-INDEX(Properties!$I$5:$I$24,MATCH(D600,Properties!$A$5:$A$24,0)))*N(INDEX(Properties!$J$5:$J$24,MATCH(D600,Properties!$A$5:$A$24,0)))*H600,0))</f>
        <v/>
      </c>
      <c r="M600" s="37"/>
      <c r="N600" s="46" t="str">
        <f aca="false">IF(J600="","",J600+K600+L600+N(M600))</f>
        <v/>
      </c>
      <c r="O600" s="46" t="str">
        <f aca="false">IF(N600="","",IF(P600&lt;&gt;"",N600-P600,ROUND(N600*IFERROR(INDEX(Settings!$E$5:$E$12,MATCH(F600,Settings!$D$5:$D$12,0)),0),2)))</f>
        <v/>
      </c>
      <c r="P600" s="37"/>
      <c r="Q600" s="46" t="str">
        <f aca="false">IF(N600="","",IF(P600&lt;&gt;"",P600,N600-O600))</f>
        <v/>
      </c>
      <c r="R600" s="46" t="str">
        <f aca="false">IF(J600="","",IFERROR(N(INDEX(Properties!$H$5:$H$24,MATCH(D600,Properties!$A$5:$A$24,0))),0))</f>
        <v/>
      </c>
      <c r="S600" s="46" t="str">
        <f aca="false">IF(Q600="","",Q600-R600)</f>
        <v/>
      </c>
      <c r="T600" s="6"/>
      <c r="U600" s="6"/>
      <c r="V600" s="6"/>
      <c r="W600" s="6"/>
      <c r="X600" s="6"/>
      <c r="Y600" s="8" t="str">
        <f aca="false">IF(OR(D600="",B600="",C600=""),"",IF(N(C600)&lt;=N(B600),"Check dates",IF(T600="Cancelled","",IF(COUNTIFS($D$5:$D$1004,D600,$B$5:$B$1004,"&lt;"&amp;C600,$C$5:$C$1004,"&gt;"&amp;B600,$T$5:$T$1004,"&lt;&gt;Cancelled")&gt;1,"Double-booked",""))))</f>
        <v/>
      </c>
      <c r="Z600" s="42" t="str">
        <f aca="false">IF(AND(AA600=1,ISNUMBER(C600)),C600+ROW()/100000,"")</f>
        <v/>
      </c>
      <c r="AA600" s="43" t="n">
        <f aca="false">IF(AND(D600&lt;&gt;"",ISNUMBER(B600),ISNUMBER(C600),N(H600)&gt;0,T600&lt;&gt;"Cancelled",J600&lt;&gt;""),1,0)</f>
        <v>0</v>
      </c>
      <c r="AB600" s="44" t="n">
        <f aca="false">IF(AA600=1,J600/H600,0)</f>
        <v>0</v>
      </c>
      <c r="AC600" s="44" t="n">
        <f aca="false">IF(AA600=1,Q600/H600,0)</f>
        <v>0</v>
      </c>
      <c r="AD600" s="44" t="n">
        <f aca="false">IF(AA600=1,R600/H600,0)</f>
        <v>0</v>
      </c>
      <c r="AE600" s="44" t="n">
        <f aca="false">IF(AA600=1,O600/H600,0)</f>
        <v>0</v>
      </c>
      <c r="AF600" s="44" t="n">
        <f aca="false">IF(AA600=1,K600/H600,0)</f>
        <v>0</v>
      </c>
      <c r="AG600" s="45" t="str">
        <f aca="false">IF(AA600=1,D600&amp;"|"&amp;TEXT(B600,"0"),"")</f>
        <v/>
      </c>
      <c r="AH600" s="43" t="n">
        <f aca="false">IF(AA600=1,H600,0)</f>
        <v>0</v>
      </c>
    </row>
    <row r="601" customFormat="false" ht="15" hidden="false" customHeight="false" outlineLevel="0" collapsed="false">
      <c r="A601" s="8" t="str">
        <f aca="false">IF(B601="","","B-"&amp;TEXT(ROW()-4,"0000"))</f>
        <v/>
      </c>
      <c r="B601" s="38"/>
      <c r="C601" s="38"/>
      <c r="D601" s="6"/>
      <c r="E601" s="6"/>
      <c r="F601" s="6"/>
      <c r="G601" s="11"/>
      <c r="H601" s="18" t="str">
        <f aca="false">IF(AND(ISNUMBER(B601),ISNUMBER(C601)),MAX(0,C601-B601),"")</f>
        <v/>
      </c>
      <c r="I601" s="37"/>
      <c r="J601" s="41" t="str">
        <f aca="false">IF(OR(D601="",N(H601)=0),"",IFERROR(IF(I601&lt;&gt;"",H601*I601,ROUND(((H601-(INT((WEEKDAY(B601-6)+H601-1)/7)+INT((WEEKDAY(B601-7)+H601-1)/7)))*INDEX(Properties!$E$5:$E$24,MATCH(D601,Properties!$A$5:$A$24,0))+(INT((WEEKDAY(B601-6)+H601-1)/7)+INT((WEEKDAY(B601-7)+H601-1)/7))*INDEX(Properties!$F$5:$F$24,MATCH(D601,Properties!$A$5:$A$24,0)))*(1-IF(H601&gt;=28,Settings!$B$10,IF(H601&gt;=7,Settings!$B$9,0))),2)),0))</f>
        <v/>
      </c>
      <c r="K601" s="41" t="str">
        <f aca="false">IF(J601="","",IFERROR(N(INDEX(Properties!$G$5:$G$24,MATCH(D601,Properties!$A$5:$A$24,0))),0))</f>
        <v/>
      </c>
      <c r="L601" s="41" t="str">
        <f aca="false">IF(J601="","",IFERROR(MAX(0,N(G601)-INDEX(Properties!$I$5:$I$24,MATCH(D601,Properties!$A$5:$A$24,0)))*N(INDEX(Properties!$J$5:$J$24,MATCH(D601,Properties!$A$5:$A$24,0)))*H601,0))</f>
        <v/>
      </c>
      <c r="M601" s="37"/>
      <c r="N601" s="41" t="str">
        <f aca="false">IF(J601="","",J601+K601+L601+N(M601))</f>
        <v/>
      </c>
      <c r="O601" s="41" t="str">
        <f aca="false">IF(N601="","",IF(P601&lt;&gt;"",N601-P601,ROUND(N601*IFERROR(INDEX(Settings!$E$5:$E$12,MATCH(F601,Settings!$D$5:$D$12,0)),0),2)))</f>
        <v/>
      </c>
      <c r="P601" s="37"/>
      <c r="Q601" s="41" t="str">
        <f aca="false">IF(N601="","",IF(P601&lt;&gt;"",P601,N601-O601))</f>
        <v/>
      </c>
      <c r="R601" s="41" t="str">
        <f aca="false">IF(J601="","",IFERROR(N(INDEX(Properties!$H$5:$H$24,MATCH(D601,Properties!$A$5:$A$24,0))),0))</f>
        <v/>
      </c>
      <c r="S601" s="41" t="str">
        <f aca="false">IF(Q601="","",Q601-R601)</f>
        <v/>
      </c>
      <c r="T601" s="6"/>
      <c r="U601" s="6"/>
      <c r="V601" s="6"/>
      <c r="W601" s="6"/>
      <c r="X601" s="6"/>
      <c r="Y601" s="8" t="str">
        <f aca="false">IF(OR(D601="",B601="",C601=""),"",IF(N(C601)&lt;=N(B601),"Check dates",IF(T601="Cancelled","",IF(COUNTIFS($D$5:$D$1004,D601,$B$5:$B$1004,"&lt;"&amp;C601,$C$5:$C$1004,"&gt;"&amp;B601,$T$5:$T$1004,"&lt;&gt;Cancelled")&gt;1,"Double-booked",""))))</f>
        <v/>
      </c>
      <c r="Z601" s="42" t="str">
        <f aca="false">IF(AND(AA601=1,ISNUMBER(C601)),C601+ROW()/100000,"")</f>
        <v/>
      </c>
      <c r="AA601" s="43" t="n">
        <f aca="false">IF(AND(D601&lt;&gt;"",ISNUMBER(B601),ISNUMBER(C601),N(H601)&gt;0,T601&lt;&gt;"Cancelled",J601&lt;&gt;""),1,0)</f>
        <v>0</v>
      </c>
      <c r="AB601" s="44" t="n">
        <f aca="false">IF(AA601=1,J601/H601,0)</f>
        <v>0</v>
      </c>
      <c r="AC601" s="44" t="n">
        <f aca="false">IF(AA601=1,Q601/H601,0)</f>
        <v>0</v>
      </c>
      <c r="AD601" s="44" t="n">
        <f aca="false">IF(AA601=1,R601/H601,0)</f>
        <v>0</v>
      </c>
      <c r="AE601" s="44" t="n">
        <f aca="false">IF(AA601=1,O601/H601,0)</f>
        <v>0</v>
      </c>
      <c r="AF601" s="44" t="n">
        <f aca="false">IF(AA601=1,K601/H601,0)</f>
        <v>0</v>
      </c>
      <c r="AG601" s="45" t="str">
        <f aca="false">IF(AA601=1,D601&amp;"|"&amp;TEXT(B601,"0"),"")</f>
        <v/>
      </c>
      <c r="AH601" s="43" t="n">
        <f aca="false">IF(AA601=1,H601,0)</f>
        <v>0</v>
      </c>
    </row>
    <row r="602" customFormat="false" ht="15" hidden="false" customHeight="false" outlineLevel="0" collapsed="false">
      <c r="A602" s="23" t="str">
        <f aca="false">IF(B602="","","B-"&amp;TEXT(ROW()-4,"0000"))</f>
        <v/>
      </c>
      <c r="B602" s="38"/>
      <c r="C602" s="38"/>
      <c r="D602" s="6"/>
      <c r="E602" s="6"/>
      <c r="F602" s="6"/>
      <c r="G602" s="11"/>
      <c r="H602" s="24" t="str">
        <f aca="false">IF(AND(ISNUMBER(B602),ISNUMBER(C602)),MAX(0,C602-B602),"")</f>
        <v/>
      </c>
      <c r="I602" s="37"/>
      <c r="J602" s="46" t="str">
        <f aca="false">IF(OR(D602="",N(H602)=0),"",IFERROR(IF(I602&lt;&gt;"",H602*I602,ROUND(((H602-(INT((WEEKDAY(B602-6)+H602-1)/7)+INT((WEEKDAY(B602-7)+H602-1)/7)))*INDEX(Properties!$E$5:$E$24,MATCH(D602,Properties!$A$5:$A$24,0))+(INT((WEEKDAY(B602-6)+H602-1)/7)+INT((WEEKDAY(B602-7)+H602-1)/7))*INDEX(Properties!$F$5:$F$24,MATCH(D602,Properties!$A$5:$A$24,0)))*(1-IF(H602&gt;=28,Settings!$B$10,IF(H602&gt;=7,Settings!$B$9,0))),2)),0))</f>
        <v/>
      </c>
      <c r="K602" s="46" t="str">
        <f aca="false">IF(J602="","",IFERROR(N(INDEX(Properties!$G$5:$G$24,MATCH(D602,Properties!$A$5:$A$24,0))),0))</f>
        <v/>
      </c>
      <c r="L602" s="46" t="str">
        <f aca="false">IF(J602="","",IFERROR(MAX(0,N(G602)-INDEX(Properties!$I$5:$I$24,MATCH(D602,Properties!$A$5:$A$24,0)))*N(INDEX(Properties!$J$5:$J$24,MATCH(D602,Properties!$A$5:$A$24,0)))*H602,0))</f>
        <v/>
      </c>
      <c r="M602" s="37"/>
      <c r="N602" s="46" t="str">
        <f aca="false">IF(J602="","",J602+K602+L602+N(M602))</f>
        <v/>
      </c>
      <c r="O602" s="46" t="str">
        <f aca="false">IF(N602="","",IF(P602&lt;&gt;"",N602-P602,ROUND(N602*IFERROR(INDEX(Settings!$E$5:$E$12,MATCH(F602,Settings!$D$5:$D$12,0)),0),2)))</f>
        <v/>
      </c>
      <c r="P602" s="37"/>
      <c r="Q602" s="46" t="str">
        <f aca="false">IF(N602="","",IF(P602&lt;&gt;"",P602,N602-O602))</f>
        <v/>
      </c>
      <c r="R602" s="46" t="str">
        <f aca="false">IF(J602="","",IFERROR(N(INDEX(Properties!$H$5:$H$24,MATCH(D602,Properties!$A$5:$A$24,0))),0))</f>
        <v/>
      </c>
      <c r="S602" s="46" t="str">
        <f aca="false">IF(Q602="","",Q602-R602)</f>
        <v/>
      </c>
      <c r="T602" s="6"/>
      <c r="U602" s="6"/>
      <c r="V602" s="6"/>
      <c r="W602" s="6"/>
      <c r="X602" s="6"/>
      <c r="Y602" s="8" t="str">
        <f aca="false">IF(OR(D602="",B602="",C602=""),"",IF(N(C602)&lt;=N(B602),"Check dates",IF(T602="Cancelled","",IF(COUNTIFS($D$5:$D$1004,D602,$B$5:$B$1004,"&lt;"&amp;C602,$C$5:$C$1004,"&gt;"&amp;B602,$T$5:$T$1004,"&lt;&gt;Cancelled")&gt;1,"Double-booked",""))))</f>
        <v/>
      </c>
      <c r="Z602" s="42" t="str">
        <f aca="false">IF(AND(AA602=1,ISNUMBER(C602)),C602+ROW()/100000,"")</f>
        <v/>
      </c>
      <c r="AA602" s="43" t="n">
        <f aca="false">IF(AND(D602&lt;&gt;"",ISNUMBER(B602),ISNUMBER(C602),N(H602)&gt;0,T602&lt;&gt;"Cancelled",J602&lt;&gt;""),1,0)</f>
        <v>0</v>
      </c>
      <c r="AB602" s="44" t="n">
        <f aca="false">IF(AA602=1,J602/H602,0)</f>
        <v>0</v>
      </c>
      <c r="AC602" s="44" t="n">
        <f aca="false">IF(AA602=1,Q602/H602,0)</f>
        <v>0</v>
      </c>
      <c r="AD602" s="44" t="n">
        <f aca="false">IF(AA602=1,R602/H602,0)</f>
        <v>0</v>
      </c>
      <c r="AE602" s="44" t="n">
        <f aca="false">IF(AA602=1,O602/H602,0)</f>
        <v>0</v>
      </c>
      <c r="AF602" s="44" t="n">
        <f aca="false">IF(AA602=1,K602/H602,0)</f>
        <v>0</v>
      </c>
      <c r="AG602" s="45" t="str">
        <f aca="false">IF(AA602=1,D602&amp;"|"&amp;TEXT(B602,"0"),"")</f>
        <v/>
      </c>
      <c r="AH602" s="43" t="n">
        <f aca="false">IF(AA602=1,H602,0)</f>
        <v>0</v>
      </c>
    </row>
    <row r="603" customFormat="false" ht="15" hidden="false" customHeight="false" outlineLevel="0" collapsed="false">
      <c r="A603" s="8" t="str">
        <f aca="false">IF(B603="","","B-"&amp;TEXT(ROW()-4,"0000"))</f>
        <v/>
      </c>
      <c r="B603" s="38"/>
      <c r="C603" s="38"/>
      <c r="D603" s="6"/>
      <c r="E603" s="6"/>
      <c r="F603" s="6"/>
      <c r="G603" s="11"/>
      <c r="H603" s="18" t="str">
        <f aca="false">IF(AND(ISNUMBER(B603),ISNUMBER(C603)),MAX(0,C603-B603),"")</f>
        <v/>
      </c>
      <c r="I603" s="37"/>
      <c r="J603" s="41" t="str">
        <f aca="false">IF(OR(D603="",N(H603)=0),"",IFERROR(IF(I603&lt;&gt;"",H603*I603,ROUND(((H603-(INT((WEEKDAY(B603-6)+H603-1)/7)+INT((WEEKDAY(B603-7)+H603-1)/7)))*INDEX(Properties!$E$5:$E$24,MATCH(D603,Properties!$A$5:$A$24,0))+(INT((WEEKDAY(B603-6)+H603-1)/7)+INT((WEEKDAY(B603-7)+H603-1)/7))*INDEX(Properties!$F$5:$F$24,MATCH(D603,Properties!$A$5:$A$24,0)))*(1-IF(H603&gt;=28,Settings!$B$10,IF(H603&gt;=7,Settings!$B$9,0))),2)),0))</f>
        <v/>
      </c>
      <c r="K603" s="41" t="str">
        <f aca="false">IF(J603="","",IFERROR(N(INDEX(Properties!$G$5:$G$24,MATCH(D603,Properties!$A$5:$A$24,0))),0))</f>
        <v/>
      </c>
      <c r="L603" s="41" t="str">
        <f aca="false">IF(J603="","",IFERROR(MAX(0,N(G603)-INDEX(Properties!$I$5:$I$24,MATCH(D603,Properties!$A$5:$A$24,0)))*N(INDEX(Properties!$J$5:$J$24,MATCH(D603,Properties!$A$5:$A$24,0)))*H603,0))</f>
        <v/>
      </c>
      <c r="M603" s="37"/>
      <c r="N603" s="41" t="str">
        <f aca="false">IF(J603="","",J603+K603+L603+N(M603))</f>
        <v/>
      </c>
      <c r="O603" s="41" t="str">
        <f aca="false">IF(N603="","",IF(P603&lt;&gt;"",N603-P603,ROUND(N603*IFERROR(INDEX(Settings!$E$5:$E$12,MATCH(F603,Settings!$D$5:$D$12,0)),0),2)))</f>
        <v/>
      </c>
      <c r="P603" s="37"/>
      <c r="Q603" s="41" t="str">
        <f aca="false">IF(N603="","",IF(P603&lt;&gt;"",P603,N603-O603))</f>
        <v/>
      </c>
      <c r="R603" s="41" t="str">
        <f aca="false">IF(J603="","",IFERROR(N(INDEX(Properties!$H$5:$H$24,MATCH(D603,Properties!$A$5:$A$24,0))),0))</f>
        <v/>
      </c>
      <c r="S603" s="41" t="str">
        <f aca="false">IF(Q603="","",Q603-R603)</f>
        <v/>
      </c>
      <c r="T603" s="6"/>
      <c r="U603" s="6"/>
      <c r="V603" s="6"/>
      <c r="W603" s="6"/>
      <c r="X603" s="6"/>
      <c r="Y603" s="8" t="str">
        <f aca="false">IF(OR(D603="",B603="",C603=""),"",IF(N(C603)&lt;=N(B603),"Check dates",IF(T603="Cancelled","",IF(COUNTIFS($D$5:$D$1004,D603,$B$5:$B$1004,"&lt;"&amp;C603,$C$5:$C$1004,"&gt;"&amp;B603,$T$5:$T$1004,"&lt;&gt;Cancelled")&gt;1,"Double-booked",""))))</f>
        <v/>
      </c>
      <c r="Z603" s="42" t="str">
        <f aca="false">IF(AND(AA603=1,ISNUMBER(C603)),C603+ROW()/100000,"")</f>
        <v/>
      </c>
      <c r="AA603" s="43" t="n">
        <f aca="false">IF(AND(D603&lt;&gt;"",ISNUMBER(B603),ISNUMBER(C603),N(H603)&gt;0,T603&lt;&gt;"Cancelled",J603&lt;&gt;""),1,0)</f>
        <v>0</v>
      </c>
      <c r="AB603" s="44" t="n">
        <f aca="false">IF(AA603=1,J603/H603,0)</f>
        <v>0</v>
      </c>
      <c r="AC603" s="44" t="n">
        <f aca="false">IF(AA603=1,Q603/H603,0)</f>
        <v>0</v>
      </c>
      <c r="AD603" s="44" t="n">
        <f aca="false">IF(AA603=1,R603/H603,0)</f>
        <v>0</v>
      </c>
      <c r="AE603" s="44" t="n">
        <f aca="false">IF(AA603=1,O603/H603,0)</f>
        <v>0</v>
      </c>
      <c r="AF603" s="44" t="n">
        <f aca="false">IF(AA603=1,K603/H603,0)</f>
        <v>0</v>
      </c>
      <c r="AG603" s="45" t="str">
        <f aca="false">IF(AA603=1,D603&amp;"|"&amp;TEXT(B603,"0"),"")</f>
        <v/>
      </c>
      <c r="AH603" s="43" t="n">
        <f aca="false">IF(AA603=1,H603,0)</f>
        <v>0</v>
      </c>
    </row>
    <row r="604" customFormat="false" ht="15" hidden="false" customHeight="false" outlineLevel="0" collapsed="false">
      <c r="A604" s="23" t="str">
        <f aca="false">IF(B604="","","B-"&amp;TEXT(ROW()-4,"0000"))</f>
        <v/>
      </c>
      <c r="B604" s="38"/>
      <c r="C604" s="38"/>
      <c r="D604" s="6"/>
      <c r="E604" s="6"/>
      <c r="F604" s="6"/>
      <c r="G604" s="11"/>
      <c r="H604" s="24" t="str">
        <f aca="false">IF(AND(ISNUMBER(B604),ISNUMBER(C604)),MAX(0,C604-B604),"")</f>
        <v/>
      </c>
      <c r="I604" s="37"/>
      <c r="J604" s="46" t="str">
        <f aca="false">IF(OR(D604="",N(H604)=0),"",IFERROR(IF(I604&lt;&gt;"",H604*I604,ROUND(((H604-(INT((WEEKDAY(B604-6)+H604-1)/7)+INT((WEEKDAY(B604-7)+H604-1)/7)))*INDEX(Properties!$E$5:$E$24,MATCH(D604,Properties!$A$5:$A$24,0))+(INT((WEEKDAY(B604-6)+H604-1)/7)+INT((WEEKDAY(B604-7)+H604-1)/7))*INDEX(Properties!$F$5:$F$24,MATCH(D604,Properties!$A$5:$A$24,0)))*(1-IF(H604&gt;=28,Settings!$B$10,IF(H604&gt;=7,Settings!$B$9,0))),2)),0))</f>
        <v/>
      </c>
      <c r="K604" s="46" t="str">
        <f aca="false">IF(J604="","",IFERROR(N(INDEX(Properties!$G$5:$G$24,MATCH(D604,Properties!$A$5:$A$24,0))),0))</f>
        <v/>
      </c>
      <c r="L604" s="46" t="str">
        <f aca="false">IF(J604="","",IFERROR(MAX(0,N(G604)-INDEX(Properties!$I$5:$I$24,MATCH(D604,Properties!$A$5:$A$24,0)))*N(INDEX(Properties!$J$5:$J$24,MATCH(D604,Properties!$A$5:$A$24,0)))*H604,0))</f>
        <v/>
      </c>
      <c r="M604" s="37"/>
      <c r="N604" s="46" t="str">
        <f aca="false">IF(J604="","",J604+K604+L604+N(M604))</f>
        <v/>
      </c>
      <c r="O604" s="46" t="str">
        <f aca="false">IF(N604="","",IF(P604&lt;&gt;"",N604-P604,ROUND(N604*IFERROR(INDEX(Settings!$E$5:$E$12,MATCH(F604,Settings!$D$5:$D$12,0)),0),2)))</f>
        <v/>
      </c>
      <c r="P604" s="37"/>
      <c r="Q604" s="46" t="str">
        <f aca="false">IF(N604="","",IF(P604&lt;&gt;"",P604,N604-O604))</f>
        <v/>
      </c>
      <c r="R604" s="46" t="str">
        <f aca="false">IF(J604="","",IFERROR(N(INDEX(Properties!$H$5:$H$24,MATCH(D604,Properties!$A$5:$A$24,0))),0))</f>
        <v/>
      </c>
      <c r="S604" s="46" t="str">
        <f aca="false">IF(Q604="","",Q604-R604)</f>
        <v/>
      </c>
      <c r="T604" s="6"/>
      <c r="U604" s="6"/>
      <c r="V604" s="6"/>
      <c r="W604" s="6"/>
      <c r="X604" s="6"/>
      <c r="Y604" s="8" t="str">
        <f aca="false">IF(OR(D604="",B604="",C604=""),"",IF(N(C604)&lt;=N(B604),"Check dates",IF(T604="Cancelled","",IF(COUNTIFS($D$5:$D$1004,D604,$B$5:$B$1004,"&lt;"&amp;C604,$C$5:$C$1004,"&gt;"&amp;B604,$T$5:$T$1004,"&lt;&gt;Cancelled")&gt;1,"Double-booked",""))))</f>
        <v/>
      </c>
      <c r="Z604" s="42" t="str">
        <f aca="false">IF(AND(AA604=1,ISNUMBER(C604)),C604+ROW()/100000,"")</f>
        <v/>
      </c>
      <c r="AA604" s="43" t="n">
        <f aca="false">IF(AND(D604&lt;&gt;"",ISNUMBER(B604),ISNUMBER(C604),N(H604)&gt;0,T604&lt;&gt;"Cancelled",J604&lt;&gt;""),1,0)</f>
        <v>0</v>
      </c>
      <c r="AB604" s="44" t="n">
        <f aca="false">IF(AA604=1,J604/H604,0)</f>
        <v>0</v>
      </c>
      <c r="AC604" s="44" t="n">
        <f aca="false">IF(AA604=1,Q604/H604,0)</f>
        <v>0</v>
      </c>
      <c r="AD604" s="44" t="n">
        <f aca="false">IF(AA604=1,R604/H604,0)</f>
        <v>0</v>
      </c>
      <c r="AE604" s="44" t="n">
        <f aca="false">IF(AA604=1,O604/H604,0)</f>
        <v>0</v>
      </c>
      <c r="AF604" s="44" t="n">
        <f aca="false">IF(AA604=1,K604/H604,0)</f>
        <v>0</v>
      </c>
      <c r="AG604" s="45" t="str">
        <f aca="false">IF(AA604=1,D604&amp;"|"&amp;TEXT(B604,"0"),"")</f>
        <v/>
      </c>
      <c r="AH604" s="43" t="n">
        <f aca="false">IF(AA604=1,H604,0)</f>
        <v>0</v>
      </c>
    </row>
    <row r="605" customFormat="false" ht="15" hidden="false" customHeight="false" outlineLevel="0" collapsed="false">
      <c r="A605" s="8" t="str">
        <f aca="false">IF(B605="","","B-"&amp;TEXT(ROW()-4,"0000"))</f>
        <v/>
      </c>
      <c r="B605" s="38"/>
      <c r="C605" s="38"/>
      <c r="D605" s="6"/>
      <c r="E605" s="6"/>
      <c r="F605" s="6"/>
      <c r="G605" s="11"/>
      <c r="H605" s="18" t="str">
        <f aca="false">IF(AND(ISNUMBER(B605),ISNUMBER(C605)),MAX(0,C605-B605),"")</f>
        <v/>
      </c>
      <c r="I605" s="37"/>
      <c r="J605" s="41" t="str">
        <f aca="false">IF(OR(D605="",N(H605)=0),"",IFERROR(IF(I605&lt;&gt;"",H605*I605,ROUND(((H605-(INT((WEEKDAY(B605-6)+H605-1)/7)+INT((WEEKDAY(B605-7)+H605-1)/7)))*INDEX(Properties!$E$5:$E$24,MATCH(D605,Properties!$A$5:$A$24,0))+(INT((WEEKDAY(B605-6)+H605-1)/7)+INT((WEEKDAY(B605-7)+H605-1)/7))*INDEX(Properties!$F$5:$F$24,MATCH(D605,Properties!$A$5:$A$24,0)))*(1-IF(H605&gt;=28,Settings!$B$10,IF(H605&gt;=7,Settings!$B$9,0))),2)),0))</f>
        <v/>
      </c>
      <c r="K605" s="41" t="str">
        <f aca="false">IF(J605="","",IFERROR(N(INDEX(Properties!$G$5:$G$24,MATCH(D605,Properties!$A$5:$A$24,0))),0))</f>
        <v/>
      </c>
      <c r="L605" s="41" t="str">
        <f aca="false">IF(J605="","",IFERROR(MAX(0,N(G605)-INDEX(Properties!$I$5:$I$24,MATCH(D605,Properties!$A$5:$A$24,0)))*N(INDEX(Properties!$J$5:$J$24,MATCH(D605,Properties!$A$5:$A$24,0)))*H605,0))</f>
        <v/>
      </c>
      <c r="M605" s="37"/>
      <c r="N605" s="41" t="str">
        <f aca="false">IF(J605="","",J605+K605+L605+N(M605))</f>
        <v/>
      </c>
      <c r="O605" s="41" t="str">
        <f aca="false">IF(N605="","",IF(P605&lt;&gt;"",N605-P605,ROUND(N605*IFERROR(INDEX(Settings!$E$5:$E$12,MATCH(F605,Settings!$D$5:$D$12,0)),0),2)))</f>
        <v/>
      </c>
      <c r="P605" s="37"/>
      <c r="Q605" s="41" t="str">
        <f aca="false">IF(N605="","",IF(P605&lt;&gt;"",P605,N605-O605))</f>
        <v/>
      </c>
      <c r="R605" s="41" t="str">
        <f aca="false">IF(J605="","",IFERROR(N(INDEX(Properties!$H$5:$H$24,MATCH(D605,Properties!$A$5:$A$24,0))),0))</f>
        <v/>
      </c>
      <c r="S605" s="41" t="str">
        <f aca="false">IF(Q605="","",Q605-R605)</f>
        <v/>
      </c>
      <c r="T605" s="6"/>
      <c r="U605" s="6"/>
      <c r="V605" s="6"/>
      <c r="W605" s="6"/>
      <c r="X605" s="6"/>
      <c r="Y605" s="8" t="str">
        <f aca="false">IF(OR(D605="",B605="",C605=""),"",IF(N(C605)&lt;=N(B605),"Check dates",IF(T605="Cancelled","",IF(COUNTIFS($D$5:$D$1004,D605,$B$5:$B$1004,"&lt;"&amp;C605,$C$5:$C$1004,"&gt;"&amp;B605,$T$5:$T$1004,"&lt;&gt;Cancelled")&gt;1,"Double-booked",""))))</f>
        <v/>
      </c>
      <c r="Z605" s="42" t="str">
        <f aca="false">IF(AND(AA605=1,ISNUMBER(C605)),C605+ROW()/100000,"")</f>
        <v/>
      </c>
      <c r="AA605" s="43" t="n">
        <f aca="false">IF(AND(D605&lt;&gt;"",ISNUMBER(B605),ISNUMBER(C605),N(H605)&gt;0,T605&lt;&gt;"Cancelled",J605&lt;&gt;""),1,0)</f>
        <v>0</v>
      </c>
      <c r="AB605" s="44" t="n">
        <f aca="false">IF(AA605=1,J605/H605,0)</f>
        <v>0</v>
      </c>
      <c r="AC605" s="44" t="n">
        <f aca="false">IF(AA605=1,Q605/H605,0)</f>
        <v>0</v>
      </c>
      <c r="AD605" s="44" t="n">
        <f aca="false">IF(AA605=1,R605/H605,0)</f>
        <v>0</v>
      </c>
      <c r="AE605" s="44" t="n">
        <f aca="false">IF(AA605=1,O605/H605,0)</f>
        <v>0</v>
      </c>
      <c r="AF605" s="44" t="n">
        <f aca="false">IF(AA605=1,K605/H605,0)</f>
        <v>0</v>
      </c>
      <c r="AG605" s="45" t="str">
        <f aca="false">IF(AA605=1,D605&amp;"|"&amp;TEXT(B605,"0"),"")</f>
        <v/>
      </c>
      <c r="AH605" s="43" t="n">
        <f aca="false">IF(AA605=1,H605,0)</f>
        <v>0</v>
      </c>
    </row>
    <row r="606" customFormat="false" ht="15" hidden="false" customHeight="false" outlineLevel="0" collapsed="false">
      <c r="A606" s="23" t="str">
        <f aca="false">IF(B606="","","B-"&amp;TEXT(ROW()-4,"0000"))</f>
        <v/>
      </c>
      <c r="B606" s="38"/>
      <c r="C606" s="38"/>
      <c r="D606" s="6"/>
      <c r="E606" s="6"/>
      <c r="F606" s="6"/>
      <c r="G606" s="11"/>
      <c r="H606" s="24" t="str">
        <f aca="false">IF(AND(ISNUMBER(B606),ISNUMBER(C606)),MAX(0,C606-B606),"")</f>
        <v/>
      </c>
      <c r="I606" s="37"/>
      <c r="J606" s="46" t="str">
        <f aca="false">IF(OR(D606="",N(H606)=0),"",IFERROR(IF(I606&lt;&gt;"",H606*I606,ROUND(((H606-(INT((WEEKDAY(B606-6)+H606-1)/7)+INT((WEEKDAY(B606-7)+H606-1)/7)))*INDEX(Properties!$E$5:$E$24,MATCH(D606,Properties!$A$5:$A$24,0))+(INT((WEEKDAY(B606-6)+H606-1)/7)+INT((WEEKDAY(B606-7)+H606-1)/7))*INDEX(Properties!$F$5:$F$24,MATCH(D606,Properties!$A$5:$A$24,0)))*(1-IF(H606&gt;=28,Settings!$B$10,IF(H606&gt;=7,Settings!$B$9,0))),2)),0))</f>
        <v/>
      </c>
      <c r="K606" s="46" t="str">
        <f aca="false">IF(J606="","",IFERROR(N(INDEX(Properties!$G$5:$G$24,MATCH(D606,Properties!$A$5:$A$24,0))),0))</f>
        <v/>
      </c>
      <c r="L606" s="46" t="str">
        <f aca="false">IF(J606="","",IFERROR(MAX(0,N(G606)-INDEX(Properties!$I$5:$I$24,MATCH(D606,Properties!$A$5:$A$24,0)))*N(INDEX(Properties!$J$5:$J$24,MATCH(D606,Properties!$A$5:$A$24,0)))*H606,0))</f>
        <v/>
      </c>
      <c r="M606" s="37"/>
      <c r="N606" s="46" t="str">
        <f aca="false">IF(J606="","",J606+K606+L606+N(M606))</f>
        <v/>
      </c>
      <c r="O606" s="46" t="str">
        <f aca="false">IF(N606="","",IF(P606&lt;&gt;"",N606-P606,ROUND(N606*IFERROR(INDEX(Settings!$E$5:$E$12,MATCH(F606,Settings!$D$5:$D$12,0)),0),2)))</f>
        <v/>
      </c>
      <c r="P606" s="37"/>
      <c r="Q606" s="46" t="str">
        <f aca="false">IF(N606="","",IF(P606&lt;&gt;"",P606,N606-O606))</f>
        <v/>
      </c>
      <c r="R606" s="46" t="str">
        <f aca="false">IF(J606="","",IFERROR(N(INDEX(Properties!$H$5:$H$24,MATCH(D606,Properties!$A$5:$A$24,0))),0))</f>
        <v/>
      </c>
      <c r="S606" s="46" t="str">
        <f aca="false">IF(Q606="","",Q606-R606)</f>
        <v/>
      </c>
      <c r="T606" s="6"/>
      <c r="U606" s="6"/>
      <c r="V606" s="6"/>
      <c r="W606" s="6"/>
      <c r="X606" s="6"/>
      <c r="Y606" s="8" t="str">
        <f aca="false">IF(OR(D606="",B606="",C606=""),"",IF(N(C606)&lt;=N(B606),"Check dates",IF(T606="Cancelled","",IF(COUNTIFS($D$5:$D$1004,D606,$B$5:$B$1004,"&lt;"&amp;C606,$C$5:$C$1004,"&gt;"&amp;B606,$T$5:$T$1004,"&lt;&gt;Cancelled")&gt;1,"Double-booked",""))))</f>
        <v/>
      </c>
      <c r="Z606" s="42" t="str">
        <f aca="false">IF(AND(AA606=1,ISNUMBER(C606)),C606+ROW()/100000,"")</f>
        <v/>
      </c>
      <c r="AA606" s="43" t="n">
        <f aca="false">IF(AND(D606&lt;&gt;"",ISNUMBER(B606),ISNUMBER(C606),N(H606)&gt;0,T606&lt;&gt;"Cancelled",J606&lt;&gt;""),1,0)</f>
        <v>0</v>
      </c>
      <c r="AB606" s="44" t="n">
        <f aca="false">IF(AA606=1,J606/H606,0)</f>
        <v>0</v>
      </c>
      <c r="AC606" s="44" t="n">
        <f aca="false">IF(AA606=1,Q606/H606,0)</f>
        <v>0</v>
      </c>
      <c r="AD606" s="44" t="n">
        <f aca="false">IF(AA606=1,R606/H606,0)</f>
        <v>0</v>
      </c>
      <c r="AE606" s="44" t="n">
        <f aca="false">IF(AA606=1,O606/H606,0)</f>
        <v>0</v>
      </c>
      <c r="AF606" s="44" t="n">
        <f aca="false">IF(AA606=1,K606/H606,0)</f>
        <v>0</v>
      </c>
      <c r="AG606" s="45" t="str">
        <f aca="false">IF(AA606=1,D606&amp;"|"&amp;TEXT(B606,"0"),"")</f>
        <v/>
      </c>
      <c r="AH606" s="43" t="n">
        <f aca="false">IF(AA606=1,H606,0)</f>
        <v>0</v>
      </c>
    </row>
    <row r="607" customFormat="false" ht="15" hidden="false" customHeight="false" outlineLevel="0" collapsed="false">
      <c r="A607" s="8" t="str">
        <f aca="false">IF(B607="","","B-"&amp;TEXT(ROW()-4,"0000"))</f>
        <v/>
      </c>
      <c r="B607" s="38"/>
      <c r="C607" s="38"/>
      <c r="D607" s="6"/>
      <c r="E607" s="6"/>
      <c r="F607" s="6"/>
      <c r="G607" s="11"/>
      <c r="H607" s="18" t="str">
        <f aca="false">IF(AND(ISNUMBER(B607),ISNUMBER(C607)),MAX(0,C607-B607),"")</f>
        <v/>
      </c>
      <c r="I607" s="37"/>
      <c r="J607" s="41" t="str">
        <f aca="false">IF(OR(D607="",N(H607)=0),"",IFERROR(IF(I607&lt;&gt;"",H607*I607,ROUND(((H607-(INT((WEEKDAY(B607-6)+H607-1)/7)+INT((WEEKDAY(B607-7)+H607-1)/7)))*INDEX(Properties!$E$5:$E$24,MATCH(D607,Properties!$A$5:$A$24,0))+(INT((WEEKDAY(B607-6)+H607-1)/7)+INT((WEEKDAY(B607-7)+H607-1)/7))*INDEX(Properties!$F$5:$F$24,MATCH(D607,Properties!$A$5:$A$24,0)))*(1-IF(H607&gt;=28,Settings!$B$10,IF(H607&gt;=7,Settings!$B$9,0))),2)),0))</f>
        <v/>
      </c>
      <c r="K607" s="41" t="str">
        <f aca="false">IF(J607="","",IFERROR(N(INDEX(Properties!$G$5:$G$24,MATCH(D607,Properties!$A$5:$A$24,0))),0))</f>
        <v/>
      </c>
      <c r="L607" s="41" t="str">
        <f aca="false">IF(J607="","",IFERROR(MAX(0,N(G607)-INDEX(Properties!$I$5:$I$24,MATCH(D607,Properties!$A$5:$A$24,0)))*N(INDEX(Properties!$J$5:$J$24,MATCH(D607,Properties!$A$5:$A$24,0)))*H607,0))</f>
        <v/>
      </c>
      <c r="M607" s="37"/>
      <c r="N607" s="41" t="str">
        <f aca="false">IF(J607="","",J607+K607+L607+N(M607))</f>
        <v/>
      </c>
      <c r="O607" s="41" t="str">
        <f aca="false">IF(N607="","",IF(P607&lt;&gt;"",N607-P607,ROUND(N607*IFERROR(INDEX(Settings!$E$5:$E$12,MATCH(F607,Settings!$D$5:$D$12,0)),0),2)))</f>
        <v/>
      </c>
      <c r="P607" s="37"/>
      <c r="Q607" s="41" t="str">
        <f aca="false">IF(N607="","",IF(P607&lt;&gt;"",P607,N607-O607))</f>
        <v/>
      </c>
      <c r="R607" s="41" t="str">
        <f aca="false">IF(J607="","",IFERROR(N(INDEX(Properties!$H$5:$H$24,MATCH(D607,Properties!$A$5:$A$24,0))),0))</f>
        <v/>
      </c>
      <c r="S607" s="41" t="str">
        <f aca="false">IF(Q607="","",Q607-R607)</f>
        <v/>
      </c>
      <c r="T607" s="6"/>
      <c r="U607" s="6"/>
      <c r="V607" s="6"/>
      <c r="W607" s="6"/>
      <c r="X607" s="6"/>
      <c r="Y607" s="8" t="str">
        <f aca="false">IF(OR(D607="",B607="",C607=""),"",IF(N(C607)&lt;=N(B607),"Check dates",IF(T607="Cancelled","",IF(COUNTIFS($D$5:$D$1004,D607,$B$5:$B$1004,"&lt;"&amp;C607,$C$5:$C$1004,"&gt;"&amp;B607,$T$5:$T$1004,"&lt;&gt;Cancelled")&gt;1,"Double-booked",""))))</f>
        <v/>
      </c>
      <c r="Z607" s="42" t="str">
        <f aca="false">IF(AND(AA607=1,ISNUMBER(C607)),C607+ROW()/100000,"")</f>
        <v/>
      </c>
      <c r="AA607" s="43" t="n">
        <f aca="false">IF(AND(D607&lt;&gt;"",ISNUMBER(B607),ISNUMBER(C607),N(H607)&gt;0,T607&lt;&gt;"Cancelled",J607&lt;&gt;""),1,0)</f>
        <v>0</v>
      </c>
      <c r="AB607" s="44" t="n">
        <f aca="false">IF(AA607=1,J607/H607,0)</f>
        <v>0</v>
      </c>
      <c r="AC607" s="44" t="n">
        <f aca="false">IF(AA607=1,Q607/H607,0)</f>
        <v>0</v>
      </c>
      <c r="AD607" s="44" t="n">
        <f aca="false">IF(AA607=1,R607/H607,0)</f>
        <v>0</v>
      </c>
      <c r="AE607" s="44" t="n">
        <f aca="false">IF(AA607=1,O607/H607,0)</f>
        <v>0</v>
      </c>
      <c r="AF607" s="44" t="n">
        <f aca="false">IF(AA607=1,K607/H607,0)</f>
        <v>0</v>
      </c>
      <c r="AG607" s="45" t="str">
        <f aca="false">IF(AA607=1,D607&amp;"|"&amp;TEXT(B607,"0"),"")</f>
        <v/>
      </c>
      <c r="AH607" s="43" t="n">
        <f aca="false">IF(AA607=1,H607,0)</f>
        <v>0</v>
      </c>
    </row>
    <row r="608" customFormat="false" ht="15" hidden="false" customHeight="false" outlineLevel="0" collapsed="false">
      <c r="A608" s="23" t="str">
        <f aca="false">IF(B608="","","B-"&amp;TEXT(ROW()-4,"0000"))</f>
        <v/>
      </c>
      <c r="B608" s="38"/>
      <c r="C608" s="38"/>
      <c r="D608" s="6"/>
      <c r="E608" s="6"/>
      <c r="F608" s="6"/>
      <c r="G608" s="11"/>
      <c r="H608" s="24" t="str">
        <f aca="false">IF(AND(ISNUMBER(B608),ISNUMBER(C608)),MAX(0,C608-B608),"")</f>
        <v/>
      </c>
      <c r="I608" s="37"/>
      <c r="J608" s="46" t="str">
        <f aca="false">IF(OR(D608="",N(H608)=0),"",IFERROR(IF(I608&lt;&gt;"",H608*I608,ROUND(((H608-(INT((WEEKDAY(B608-6)+H608-1)/7)+INT((WEEKDAY(B608-7)+H608-1)/7)))*INDEX(Properties!$E$5:$E$24,MATCH(D608,Properties!$A$5:$A$24,0))+(INT((WEEKDAY(B608-6)+H608-1)/7)+INT((WEEKDAY(B608-7)+H608-1)/7))*INDEX(Properties!$F$5:$F$24,MATCH(D608,Properties!$A$5:$A$24,0)))*(1-IF(H608&gt;=28,Settings!$B$10,IF(H608&gt;=7,Settings!$B$9,0))),2)),0))</f>
        <v/>
      </c>
      <c r="K608" s="46" t="str">
        <f aca="false">IF(J608="","",IFERROR(N(INDEX(Properties!$G$5:$G$24,MATCH(D608,Properties!$A$5:$A$24,0))),0))</f>
        <v/>
      </c>
      <c r="L608" s="46" t="str">
        <f aca="false">IF(J608="","",IFERROR(MAX(0,N(G608)-INDEX(Properties!$I$5:$I$24,MATCH(D608,Properties!$A$5:$A$24,0)))*N(INDEX(Properties!$J$5:$J$24,MATCH(D608,Properties!$A$5:$A$24,0)))*H608,0))</f>
        <v/>
      </c>
      <c r="M608" s="37"/>
      <c r="N608" s="46" t="str">
        <f aca="false">IF(J608="","",J608+K608+L608+N(M608))</f>
        <v/>
      </c>
      <c r="O608" s="46" t="str">
        <f aca="false">IF(N608="","",IF(P608&lt;&gt;"",N608-P608,ROUND(N608*IFERROR(INDEX(Settings!$E$5:$E$12,MATCH(F608,Settings!$D$5:$D$12,0)),0),2)))</f>
        <v/>
      </c>
      <c r="P608" s="37"/>
      <c r="Q608" s="46" t="str">
        <f aca="false">IF(N608="","",IF(P608&lt;&gt;"",P608,N608-O608))</f>
        <v/>
      </c>
      <c r="R608" s="46" t="str">
        <f aca="false">IF(J608="","",IFERROR(N(INDEX(Properties!$H$5:$H$24,MATCH(D608,Properties!$A$5:$A$24,0))),0))</f>
        <v/>
      </c>
      <c r="S608" s="46" t="str">
        <f aca="false">IF(Q608="","",Q608-R608)</f>
        <v/>
      </c>
      <c r="T608" s="6"/>
      <c r="U608" s="6"/>
      <c r="V608" s="6"/>
      <c r="W608" s="6"/>
      <c r="X608" s="6"/>
      <c r="Y608" s="8" t="str">
        <f aca="false">IF(OR(D608="",B608="",C608=""),"",IF(N(C608)&lt;=N(B608),"Check dates",IF(T608="Cancelled","",IF(COUNTIFS($D$5:$D$1004,D608,$B$5:$B$1004,"&lt;"&amp;C608,$C$5:$C$1004,"&gt;"&amp;B608,$T$5:$T$1004,"&lt;&gt;Cancelled")&gt;1,"Double-booked",""))))</f>
        <v/>
      </c>
      <c r="Z608" s="42" t="str">
        <f aca="false">IF(AND(AA608=1,ISNUMBER(C608)),C608+ROW()/100000,"")</f>
        <v/>
      </c>
      <c r="AA608" s="43" t="n">
        <f aca="false">IF(AND(D608&lt;&gt;"",ISNUMBER(B608),ISNUMBER(C608),N(H608)&gt;0,T608&lt;&gt;"Cancelled",J608&lt;&gt;""),1,0)</f>
        <v>0</v>
      </c>
      <c r="AB608" s="44" t="n">
        <f aca="false">IF(AA608=1,J608/H608,0)</f>
        <v>0</v>
      </c>
      <c r="AC608" s="44" t="n">
        <f aca="false">IF(AA608=1,Q608/H608,0)</f>
        <v>0</v>
      </c>
      <c r="AD608" s="44" t="n">
        <f aca="false">IF(AA608=1,R608/H608,0)</f>
        <v>0</v>
      </c>
      <c r="AE608" s="44" t="n">
        <f aca="false">IF(AA608=1,O608/H608,0)</f>
        <v>0</v>
      </c>
      <c r="AF608" s="44" t="n">
        <f aca="false">IF(AA608=1,K608/H608,0)</f>
        <v>0</v>
      </c>
      <c r="AG608" s="45" t="str">
        <f aca="false">IF(AA608=1,D608&amp;"|"&amp;TEXT(B608,"0"),"")</f>
        <v/>
      </c>
      <c r="AH608" s="43" t="n">
        <f aca="false">IF(AA608=1,H608,0)</f>
        <v>0</v>
      </c>
    </row>
    <row r="609" customFormat="false" ht="15" hidden="false" customHeight="false" outlineLevel="0" collapsed="false">
      <c r="A609" s="8" t="str">
        <f aca="false">IF(B609="","","B-"&amp;TEXT(ROW()-4,"0000"))</f>
        <v/>
      </c>
      <c r="B609" s="38"/>
      <c r="C609" s="38"/>
      <c r="D609" s="6"/>
      <c r="E609" s="6"/>
      <c r="F609" s="6"/>
      <c r="G609" s="11"/>
      <c r="H609" s="18" t="str">
        <f aca="false">IF(AND(ISNUMBER(B609),ISNUMBER(C609)),MAX(0,C609-B609),"")</f>
        <v/>
      </c>
      <c r="I609" s="37"/>
      <c r="J609" s="41" t="str">
        <f aca="false">IF(OR(D609="",N(H609)=0),"",IFERROR(IF(I609&lt;&gt;"",H609*I609,ROUND(((H609-(INT((WEEKDAY(B609-6)+H609-1)/7)+INT((WEEKDAY(B609-7)+H609-1)/7)))*INDEX(Properties!$E$5:$E$24,MATCH(D609,Properties!$A$5:$A$24,0))+(INT((WEEKDAY(B609-6)+H609-1)/7)+INT((WEEKDAY(B609-7)+H609-1)/7))*INDEX(Properties!$F$5:$F$24,MATCH(D609,Properties!$A$5:$A$24,0)))*(1-IF(H609&gt;=28,Settings!$B$10,IF(H609&gt;=7,Settings!$B$9,0))),2)),0))</f>
        <v/>
      </c>
      <c r="K609" s="41" t="str">
        <f aca="false">IF(J609="","",IFERROR(N(INDEX(Properties!$G$5:$G$24,MATCH(D609,Properties!$A$5:$A$24,0))),0))</f>
        <v/>
      </c>
      <c r="L609" s="41" t="str">
        <f aca="false">IF(J609="","",IFERROR(MAX(0,N(G609)-INDEX(Properties!$I$5:$I$24,MATCH(D609,Properties!$A$5:$A$24,0)))*N(INDEX(Properties!$J$5:$J$24,MATCH(D609,Properties!$A$5:$A$24,0)))*H609,0))</f>
        <v/>
      </c>
      <c r="M609" s="37"/>
      <c r="N609" s="41" t="str">
        <f aca="false">IF(J609="","",J609+K609+L609+N(M609))</f>
        <v/>
      </c>
      <c r="O609" s="41" t="str">
        <f aca="false">IF(N609="","",IF(P609&lt;&gt;"",N609-P609,ROUND(N609*IFERROR(INDEX(Settings!$E$5:$E$12,MATCH(F609,Settings!$D$5:$D$12,0)),0),2)))</f>
        <v/>
      </c>
      <c r="P609" s="37"/>
      <c r="Q609" s="41" t="str">
        <f aca="false">IF(N609="","",IF(P609&lt;&gt;"",P609,N609-O609))</f>
        <v/>
      </c>
      <c r="R609" s="41" t="str">
        <f aca="false">IF(J609="","",IFERROR(N(INDEX(Properties!$H$5:$H$24,MATCH(D609,Properties!$A$5:$A$24,0))),0))</f>
        <v/>
      </c>
      <c r="S609" s="41" t="str">
        <f aca="false">IF(Q609="","",Q609-R609)</f>
        <v/>
      </c>
      <c r="T609" s="6"/>
      <c r="U609" s="6"/>
      <c r="V609" s="6"/>
      <c r="W609" s="6"/>
      <c r="X609" s="6"/>
      <c r="Y609" s="8" t="str">
        <f aca="false">IF(OR(D609="",B609="",C609=""),"",IF(N(C609)&lt;=N(B609),"Check dates",IF(T609="Cancelled","",IF(COUNTIFS($D$5:$D$1004,D609,$B$5:$B$1004,"&lt;"&amp;C609,$C$5:$C$1004,"&gt;"&amp;B609,$T$5:$T$1004,"&lt;&gt;Cancelled")&gt;1,"Double-booked",""))))</f>
        <v/>
      </c>
      <c r="Z609" s="42" t="str">
        <f aca="false">IF(AND(AA609=1,ISNUMBER(C609)),C609+ROW()/100000,"")</f>
        <v/>
      </c>
      <c r="AA609" s="43" t="n">
        <f aca="false">IF(AND(D609&lt;&gt;"",ISNUMBER(B609),ISNUMBER(C609),N(H609)&gt;0,T609&lt;&gt;"Cancelled",J609&lt;&gt;""),1,0)</f>
        <v>0</v>
      </c>
      <c r="AB609" s="44" t="n">
        <f aca="false">IF(AA609=1,J609/H609,0)</f>
        <v>0</v>
      </c>
      <c r="AC609" s="44" t="n">
        <f aca="false">IF(AA609=1,Q609/H609,0)</f>
        <v>0</v>
      </c>
      <c r="AD609" s="44" t="n">
        <f aca="false">IF(AA609=1,R609/H609,0)</f>
        <v>0</v>
      </c>
      <c r="AE609" s="44" t="n">
        <f aca="false">IF(AA609=1,O609/H609,0)</f>
        <v>0</v>
      </c>
      <c r="AF609" s="44" t="n">
        <f aca="false">IF(AA609=1,K609/H609,0)</f>
        <v>0</v>
      </c>
      <c r="AG609" s="45" t="str">
        <f aca="false">IF(AA609=1,D609&amp;"|"&amp;TEXT(B609,"0"),"")</f>
        <v/>
      </c>
      <c r="AH609" s="43" t="n">
        <f aca="false">IF(AA609=1,H609,0)</f>
        <v>0</v>
      </c>
    </row>
    <row r="610" customFormat="false" ht="15" hidden="false" customHeight="false" outlineLevel="0" collapsed="false">
      <c r="A610" s="23" t="str">
        <f aca="false">IF(B610="","","B-"&amp;TEXT(ROW()-4,"0000"))</f>
        <v/>
      </c>
      <c r="B610" s="38"/>
      <c r="C610" s="38"/>
      <c r="D610" s="6"/>
      <c r="E610" s="6"/>
      <c r="F610" s="6"/>
      <c r="G610" s="11"/>
      <c r="H610" s="24" t="str">
        <f aca="false">IF(AND(ISNUMBER(B610),ISNUMBER(C610)),MAX(0,C610-B610),"")</f>
        <v/>
      </c>
      <c r="I610" s="37"/>
      <c r="J610" s="46" t="str">
        <f aca="false">IF(OR(D610="",N(H610)=0),"",IFERROR(IF(I610&lt;&gt;"",H610*I610,ROUND(((H610-(INT((WEEKDAY(B610-6)+H610-1)/7)+INT((WEEKDAY(B610-7)+H610-1)/7)))*INDEX(Properties!$E$5:$E$24,MATCH(D610,Properties!$A$5:$A$24,0))+(INT((WEEKDAY(B610-6)+H610-1)/7)+INT((WEEKDAY(B610-7)+H610-1)/7))*INDEX(Properties!$F$5:$F$24,MATCH(D610,Properties!$A$5:$A$24,0)))*(1-IF(H610&gt;=28,Settings!$B$10,IF(H610&gt;=7,Settings!$B$9,0))),2)),0))</f>
        <v/>
      </c>
      <c r="K610" s="46" t="str">
        <f aca="false">IF(J610="","",IFERROR(N(INDEX(Properties!$G$5:$G$24,MATCH(D610,Properties!$A$5:$A$24,0))),0))</f>
        <v/>
      </c>
      <c r="L610" s="46" t="str">
        <f aca="false">IF(J610="","",IFERROR(MAX(0,N(G610)-INDEX(Properties!$I$5:$I$24,MATCH(D610,Properties!$A$5:$A$24,0)))*N(INDEX(Properties!$J$5:$J$24,MATCH(D610,Properties!$A$5:$A$24,0)))*H610,0))</f>
        <v/>
      </c>
      <c r="M610" s="37"/>
      <c r="N610" s="46" t="str">
        <f aca="false">IF(J610="","",J610+K610+L610+N(M610))</f>
        <v/>
      </c>
      <c r="O610" s="46" t="str">
        <f aca="false">IF(N610="","",IF(P610&lt;&gt;"",N610-P610,ROUND(N610*IFERROR(INDEX(Settings!$E$5:$E$12,MATCH(F610,Settings!$D$5:$D$12,0)),0),2)))</f>
        <v/>
      </c>
      <c r="P610" s="37"/>
      <c r="Q610" s="46" t="str">
        <f aca="false">IF(N610="","",IF(P610&lt;&gt;"",P610,N610-O610))</f>
        <v/>
      </c>
      <c r="R610" s="46" t="str">
        <f aca="false">IF(J610="","",IFERROR(N(INDEX(Properties!$H$5:$H$24,MATCH(D610,Properties!$A$5:$A$24,0))),0))</f>
        <v/>
      </c>
      <c r="S610" s="46" t="str">
        <f aca="false">IF(Q610="","",Q610-R610)</f>
        <v/>
      </c>
      <c r="T610" s="6"/>
      <c r="U610" s="6"/>
      <c r="V610" s="6"/>
      <c r="W610" s="6"/>
      <c r="X610" s="6"/>
      <c r="Y610" s="8" t="str">
        <f aca="false">IF(OR(D610="",B610="",C610=""),"",IF(N(C610)&lt;=N(B610),"Check dates",IF(T610="Cancelled","",IF(COUNTIFS($D$5:$D$1004,D610,$B$5:$B$1004,"&lt;"&amp;C610,$C$5:$C$1004,"&gt;"&amp;B610,$T$5:$T$1004,"&lt;&gt;Cancelled")&gt;1,"Double-booked",""))))</f>
        <v/>
      </c>
      <c r="Z610" s="42" t="str">
        <f aca="false">IF(AND(AA610=1,ISNUMBER(C610)),C610+ROW()/100000,"")</f>
        <v/>
      </c>
      <c r="AA610" s="43" t="n">
        <f aca="false">IF(AND(D610&lt;&gt;"",ISNUMBER(B610),ISNUMBER(C610),N(H610)&gt;0,T610&lt;&gt;"Cancelled",J610&lt;&gt;""),1,0)</f>
        <v>0</v>
      </c>
      <c r="AB610" s="44" t="n">
        <f aca="false">IF(AA610=1,J610/H610,0)</f>
        <v>0</v>
      </c>
      <c r="AC610" s="44" t="n">
        <f aca="false">IF(AA610=1,Q610/H610,0)</f>
        <v>0</v>
      </c>
      <c r="AD610" s="44" t="n">
        <f aca="false">IF(AA610=1,R610/H610,0)</f>
        <v>0</v>
      </c>
      <c r="AE610" s="44" t="n">
        <f aca="false">IF(AA610=1,O610/H610,0)</f>
        <v>0</v>
      </c>
      <c r="AF610" s="44" t="n">
        <f aca="false">IF(AA610=1,K610/H610,0)</f>
        <v>0</v>
      </c>
      <c r="AG610" s="45" t="str">
        <f aca="false">IF(AA610=1,D610&amp;"|"&amp;TEXT(B610,"0"),"")</f>
        <v/>
      </c>
      <c r="AH610" s="43" t="n">
        <f aca="false">IF(AA610=1,H610,0)</f>
        <v>0</v>
      </c>
    </row>
    <row r="611" customFormat="false" ht="15" hidden="false" customHeight="false" outlineLevel="0" collapsed="false">
      <c r="A611" s="8" t="str">
        <f aca="false">IF(B611="","","B-"&amp;TEXT(ROW()-4,"0000"))</f>
        <v/>
      </c>
      <c r="B611" s="38"/>
      <c r="C611" s="38"/>
      <c r="D611" s="6"/>
      <c r="E611" s="6"/>
      <c r="F611" s="6"/>
      <c r="G611" s="11"/>
      <c r="H611" s="18" t="str">
        <f aca="false">IF(AND(ISNUMBER(B611),ISNUMBER(C611)),MAX(0,C611-B611),"")</f>
        <v/>
      </c>
      <c r="I611" s="37"/>
      <c r="J611" s="41" t="str">
        <f aca="false">IF(OR(D611="",N(H611)=0),"",IFERROR(IF(I611&lt;&gt;"",H611*I611,ROUND(((H611-(INT((WEEKDAY(B611-6)+H611-1)/7)+INT((WEEKDAY(B611-7)+H611-1)/7)))*INDEX(Properties!$E$5:$E$24,MATCH(D611,Properties!$A$5:$A$24,0))+(INT((WEEKDAY(B611-6)+H611-1)/7)+INT((WEEKDAY(B611-7)+H611-1)/7))*INDEX(Properties!$F$5:$F$24,MATCH(D611,Properties!$A$5:$A$24,0)))*(1-IF(H611&gt;=28,Settings!$B$10,IF(H611&gt;=7,Settings!$B$9,0))),2)),0))</f>
        <v/>
      </c>
      <c r="K611" s="41" t="str">
        <f aca="false">IF(J611="","",IFERROR(N(INDEX(Properties!$G$5:$G$24,MATCH(D611,Properties!$A$5:$A$24,0))),0))</f>
        <v/>
      </c>
      <c r="L611" s="41" t="str">
        <f aca="false">IF(J611="","",IFERROR(MAX(0,N(G611)-INDEX(Properties!$I$5:$I$24,MATCH(D611,Properties!$A$5:$A$24,0)))*N(INDEX(Properties!$J$5:$J$24,MATCH(D611,Properties!$A$5:$A$24,0)))*H611,0))</f>
        <v/>
      </c>
      <c r="M611" s="37"/>
      <c r="N611" s="41" t="str">
        <f aca="false">IF(J611="","",J611+K611+L611+N(M611))</f>
        <v/>
      </c>
      <c r="O611" s="41" t="str">
        <f aca="false">IF(N611="","",IF(P611&lt;&gt;"",N611-P611,ROUND(N611*IFERROR(INDEX(Settings!$E$5:$E$12,MATCH(F611,Settings!$D$5:$D$12,0)),0),2)))</f>
        <v/>
      </c>
      <c r="P611" s="37"/>
      <c r="Q611" s="41" t="str">
        <f aca="false">IF(N611="","",IF(P611&lt;&gt;"",P611,N611-O611))</f>
        <v/>
      </c>
      <c r="R611" s="41" t="str">
        <f aca="false">IF(J611="","",IFERROR(N(INDEX(Properties!$H$5:$H$24,MATCH(D611,Properties!$A$5:$A$24,0))),0))</f>
        <v/>
      </c>
      <c r="S611" s="41" t="str">
        <f aca="false">IF(Q611="","",Q611-R611)</f>
        <v/>
      </c>
      <c r="T611" s="6"/>
      <c r="U611" s="6"/>
      <c r="V611" s="6"/>
      <c r="W611" s="6"/>
      <c r="X611" s="6"/>
      <c r="Y611" s="8" t="str">
        <f aca="false">IF(OR(D611="",B611="",C611=""),"",IF(N(C611)&lt;=N(B611),"Check dates",IF(T611="Cancelled","",IF(COUNTIFS($D$5:$D$1004,D611,$B$5:$B$1004,"&lt;"&amp;C611,$C$5:$C$1004,"&gt;"&amp;B611,$T$5:$T$1004,"&lt;&gt;Cancelled")&gt;1,"Double-booked",""))))</f>
        <v/>
      </c>
      <c r="Z611" s="42" t="str">
        <f aca="false">IF(AND(AA611=1,ISNUMBER(C611)),C611+ROW()/100000,"")</f>
        <v/>
      </c>
      <c r="AA611" s="43" t="n">
        <f aca="false">IF(AND(D611&lt;&gt;"",ISNUMBER(B611),ISNUMBER(C611),N(H611)&gt;0,T611&lt;&gt;"Cancelled",J611&lt;&gt;""),1,0)</f>
        <v>0</v>
      </c>
      <c r="AB611" s="44" t="n">
        <f aca="false">IF(AA611=1,J611/H611,0)</f>
        <v>0</v>
      </c>
      <c r="AC611" s="44" t="n">
        <f aca="false">IF(AA611=1,Q611/H611,0)</f>
        <v>0</v>
      </c>
      <c r="AD611" s="44" t="n">
        <f aca="false">IF(AA611=1,R611/H611,0)</f>
        <v>0</v>
      </c>
      <c r="AE611" s="44" t="n">
        <f aca="false">IF(AA611=1,O611/H611,0)</f>
        <v>0</v>
      </c>
      <c r="AF611" s="44" t="n">
        <f aca="false">IF(AA611=1,K611/H611,0)</f>
        <v>0</v>
      </c>
      <c r="AG611" s="45" t="str">
        <f aca="false">IF(AA611=1,D611&amp;"|"&amp;TEXT(B611,"0"),"")</f>
        <v/>
      </c>
      <c r="AH611" s="43" t="n">
        <f aca="false">IF(AA611=1,H611,0)</f>
        <v>0</v>
      </c>
    </row>
    <row r="612" customFormat="false" ht="15" hidden="false" customHeight="false" outlineLevel="0" collapsed="false">
      <c r="A612" s="23" t="str">
        <f aca="false">IF(B612="","","B-"&amp;TEXT(ROW()-4,"0000"))</f>
        <v/>
      </c>
      <c r="B612" s="38"/>
      <c r="C612" s="38"/>
      <c r="D612" s="6"/>
      <c r="E612" s="6"/>
      <c r="F612" s="6"/>
      <c r="G612" s="11"/>
      <c r="H612" s="24" t="str">
        <f aca="false">IF(AND(ISNUMBER(B612),ISNUMBER(C612)),MAX(0,C612-B612),"")</f>
        <v/>
      </c>
      <c r="I612" s="37"/>
      <c r="J612" s="46" t="str">
        <f aca="false">IF(OR(D612="",N(H612)=0),"",IFERROR(IF(I612&lt;&gt;"",H612*I612,ROUND(((H612-(INT((WEEKDAY(B612-6)+H612-1)/7)+INT((WEEKDAY(B612-7)+H612-1)/7)))*INDEX(Properties!$E$5:$E$24,MATCH(D612,Properties!$A$5:$A$24,0))+(INT((WEEKDAY(B612-6)+H612-1)/7)+INT((WEEKDAY(B612-7)+H612-1)/7))*INDEX(Properties!$F$5:$F$24,MATCH(D612,Properties!$A$5:$A$24,0)))*(1-IF(H612&gt;=28,Settings!$B$10,IF(H612&gt;=7,Settings!$B$9,0))),2)),0))</f>
        <v/>
      </c>
      <c r="K612" s="46" t="str">
        <f aca="false">IF(J612="","",IFERROR(N(INDEX(Properties!$G$5:$G$24,MATCH(D612,Properties!$A$5:$A$24,0))),0))</f>
        <v/>
      </c>
      <c r="L612" s="46" t="str">
        <f aca="false">IF(J612="","",IFERROR(MAX(0,N(G612)-INDEX(Properties!$I$5:$I$24,MATCH(D612,Properties!$A$5:$A$24,0)))*N(INDEX(Properties!$J$5:$J$24,MATCH(D612,Properties!$A$5:$A$24,0)))*H612,0))</f>
        <v/>
      </c>
      <c r="M612" s="37"/>
      <c r="N612" s="46" t="str">
        <f aca="false">IF(J612="","",J612+K612+L612+N(M612))</f>
        <v/>
      </c>
      <c r="O612" s="46" t="str">
        <f aca="false">IF(N612="","",IF(P612&lt;&gt;"",N612-P612,ROUND(N612*IFERROR(INDEX(Settings!$E$5:$E$12,MATCH(F612,Settings!$D$5:$D$12,0)),0),2)))</f>
        <v/>
      </c>
      <c r="P612" s="37"/>
      <c r="Q612" s="46" t="str">
        <f aca="false">IF(N612="","",IF(P612&lt;&gt;"",P612,N612-O612))</f>
        <v/>
      </c>
      <c r="R612" s="46" t="str">
        <f aca="false">IF(J612="","",IFERROR(N(INDEX(Properties!$H$5:$H$24,MATCH(D612,Properties!$A$5:$A$24,0))),0))</f>
        <v/>
      </c>
      <c r="S612" s="46" t="str">
        <f aca="false">IF(Q612="","",Q612-R612)</f>
        <v/>
      </c>
      <c r="T612" s="6"/>
      <c r="U612" s="6"/>
      <c r="V612" s="6"/>
      <c r="W612" s="6"/>
      <c r="X612" s="6"/>
      <c r="Y612" s="8" t="str">
        <f aca="false">IF(OR(D612="",B612="",C612=""),"",IF(N(C612)&lt;=N(B612),"Check dates",IF(T612="Cancelled","",IF(COUNTIFS($D$5:$D$1004,D612,$B$5:$B$1004,"&lt;"&amp;C612,$C$5:$C$1004,"&gt;"&amp;B612,$T$5:$T$1004,"&lt;&gt;Cancelled")&gt;1,"Double-booked",""))))</f>
        <v/>
      </c>
      <c r="Z612" s="42" t="str">
        <f aca="false">IF(AND(AA612=1,ISNUMBER(C612)),C612+ROW()/100000,"")</f>
        <v/>
      </c>
      <c r="AA612" s="43" t="n">
        <f aca="false">IF(AND(D612&lt;&gt;"",ISNUMBER(B612),ISNUMBER(C612),N(H612)&gt;0,T612&lt;&gt;"Cancelled",J612&lt;&gt;""),1,0)</f>
        <v>0</v>
      </c>
      <c r="AB612" s="44" t="n">
        <f aca="false">IF(AA612=1,J612/H612,0)</f>
        <v>0</v>
      </c>
      <c r="AC612" s="44" t="n">
        <f aca="false">IF(AA612=1,Q612/H612,0)</f>
        <v>0</v>
      </c>
      <c r="AD612" s="44" t="n">
        <f aca="false">IF(AA612=1,R612/H612,0)</f>
        <v>0</v>
      </c>
      <c r="AE612" s="44" t="n">
        <f aca="false">IF(AA612=1,O612/H612,0)</f>
        <v>0</v>
      </c>
      <c r="AF612" s="44" t="n">
        <f aca="false">IF(AA612=1,K612/H612,0)</f>
        <v>0</v>
      </c>
      <c r="AG612" s="45" t="str">
        <f aca="false">IF(AA612=1,D612&amp;"|"&amp;TEXT(B612,"0"),"")</f>
        <v/>
      </c>
      <c r="AH612" s="43" t="n">
        <f aca="false">IF(AA612=1,H612,0)</f>
        <v>0</v>
      </c>
    </row>
    <row r="613" customFormat="false" ht="15" hidden="false" customHeight="false" outlineLevel="0" collapsed="false">
      <c r="A613" s="8" t="str">
        <f aca="false">IF(B613="","","B-"&amp;TEXT(ROW()-4,"0000"))</f>
        <v/>
      </c>
      <c r="B613" s="38"/>
      <c r="C613" s="38"/>
      <c r="D613" s="6"/>
      <c r="E613" s="6"/>
      <c r="F613" s="6"/>
      <c r="G613" s="11"/>
      <c r="H613" s="18" t="str">
        <f aca="false">IF(AND(ISNUMBER(B613),ISNUMBER(C613)),MAX(0,C613-B613),"")</f>
        <v/>
      </c>
      <c r="I613" s="37"/>
      <c r="J613" s="41" t="str">
        <f aca="false">IF(OR(D613="",N(H613)=0),"",IFERROR(IF(I613&lt;&gt;"",H613*I613,ROUND(((H613-(INT((WEEKDAY(B613-6)+H613-1)/7)+INT((WEEKDAY(B613-7)+H613-1)/7)))*INDEX(Properties!$E$5:$E$24,MATCH(D613,Properties!$A$5:$A$24,0))+(INT((WEEKDAY(B613-6)+H613-1)/7)+INT((WEEKDAY(B613-7)+H613-1)/7))*INDEX(Properties!$F$5:$F$24,MATCH(D613,Properties!$A$5:$A$24,0)))*(1-IF(H613&gt;=28,Settings!$B$10,IF(H613&gt;=7,Settings!$B$9,0))),2)),0))</f>
        <v/>
      </c>
      <c r="K613" s="41" t="str">
        <f aca="false">IF(J613="","",IFERROR(N(INDEX(Properties!$G$5:$G$24,MATCH(D613,Properties!$A$5:$A$24,0))),0))</f>
        <v/>
      </c>
      <c r="L613" s="41" t="str">
        <f aca="false">IF(J613="","",IFERROR(MAX(0,N(G613)-INDEX(Properties!$I$5:$I$24,MATCH(D613,Properties!$A$5:$A$24,0)))*N(INDEX(Properties!$J$5:$J$24,MATCH(D613,Properties!$A$5:$A$24,0)))*H613,0))</f>
        <v/>
      </c>
      <c r="M613" s="37"/>
      <c r="N613" s="41" t="str">
        <f aca="false">IF(J613="","",J613+K613+L613+N(M613))</f>
        <v/>
      </c>
      <c r="O613" s="41" t="str">
        <f aca="false">IF(N613="","",IF(P613&lt;&gt;"",N613-P613,ROUND(N613*IFERROR(INDEX(Settings!$E$5:$E$12,MATCH(F613,Settings!$D$5:$D$12,0)),0),2)))</f>
        <v/>
      </c>
      <c r="P613" s="37"/>
      <c r="Q613" s="41" t="str">
        <f aca="false">IF(N613="","",IF(P613&lt;&gt;"",P613,N613-O613))</f>
        <v/>
      </c>
      <c r="R613" s="41" t="str">
        <f aca="false">IF(J613="","",IFERROR(N(INDEX(Properties!$H$5:$H$24,MATCH(D613,Properties!$A$5:$A$24,0))),0))</f>
        <v/>
      </c>
      <c r="S613" s="41" t="str">
        <f aca="false">IF(Q613="","",Q613-R613)</f>
        <v/>
      </c>
      <c r="T613" s="6"/>
      <c r="U613" s="6"/>
      <c r="V613" s="6"/>
      <c r="W613" s="6"/>
      <c r="X613" s="6"/>
      <c r="Y613" s="8" t="str">
        <f aca="false">IF(OR(D613="",B613="",C613=""),"",IF(N(C613)&lt;=N(B613),"Check dates",IF(T613="Cancelled","",IF(COUNTIFS($D$5:$D$1004,D613,$B$5:$B$1004,"&lt;"&amp;C613,$C$5:$C$1004,"&gt;"&amp;B613,$T$5:$T$1004,"&lt;&gt;Cancelled")&gt;1,"Double-booked",""))))</f>
        <v/>
      </c>
      <c r="Z613" s="42" t="str">
        <f aca="false">IF(AND(AA613=1,ISNUMBER(C613)),C613+ROW()/100000,"")</f>
        <v/>
      </c>
      <c r="AA613" s="43" t="n">
        <f aca="false">IF(AND(D613&lt;&gt;"",ISNUMBER(B613),ISNUMBER(C613),N(H613)&gt;0,T613&lt;&gt;"Cancelled",J613&lt;&gt;""),1,0)</f>
        <v>0</v>
      </c>
      <c r="AB613" s="44" t="n">
        <f aca="false">IF(AA613=1,J613/H613,0)</f>
        <v>0</v>
      </c>
      <c r="AC613" s="44" t="n">
        <f aca="false">IF(AA613=1,Q613/H613,0)</f>
        <v>0</v>
      </c>
      <c r="AD613" s="44" t="n">
        <f aca="false">IF(AA613=1,R613/H613,0)</f>
        <v>0</v>
      </c>
      <c r="AE613" s="44" t="n">
        <f aca="false">IF(AA613=1,O613/H613,0)</f>
        <v>0</v>
      </c>
      <c r="AF613" s="44" t="n">
        <f aca="false">IF(AA613=1,K613/H613,0)</f>
        <v>0</v>
      </c>
      <c r="AG613" s="45" t="str">
        <f aca="false">IF(AA613=1,D613&amp;"|"&amp;TEXT(B613,"0"),"")</f>
        <v/>
      </c>
      <c r="AH613" s="43" t="n">
        <f aca="false">IF(AA613=1,H613,0)</f>
        <v>0</v>
      </c>
    </row>
    <row r="614" customFormat="false" ht="15" hidden="false" customHeight="false" outlineLevel="0" collapsed="false">
      <c r="A614" s="23" t="str">
        <f aca="false">IF(B614="","","B-"&amp;TEXT(ROW()-4,"0000"))</f>
        <v/>
      </c>
      <c r="B614" s="38"/>
      <c r="C614" s="38"/>
      <c r="D614" s="6"/>
      <c r="E614" s="6"/>
      <c r="F614" s="6"/>
      <c r="G614" s="11"/>
      <c r="H614" s="24" t="str">
        <f aca="false">IF(AND(ISNUMBER(B614),ISNUMBER(C614)),MAX(0,C614-B614),"")</f>
        <v/>
      </c>
      <c r="I614" s="37"/>
      <c r="J614" s="46" t="str">
        <f aca="false">IF(OR(D614="",N(H614)=0),"",IFERROR(IF(I614&lt;&gt;"",H614*I614,ROUND(((H614-(INT((WEEKDAY(B614-6)+H614-1)/7)+INT((WEEKDAY(B614-7)+H614-1)/7)))*INDEX(Properties!$E$5:$E$24,MATCH(D614,Properties!$A$5:$A$24,0))+(INT((WEEKDAY(B614-6)+H614-1)/7)+INT((WEEKDAY(B614-7)+H614-1)/7))*INDEX(Properties!$F$5:$F$24,MATCH(D614,Properties!$A$5:$A$24,0)))*(1-IF(H614&gt;=28,Settings!$B$10,IF(H614&gt;=7,Settings!$B$9,0))),2)),0))</f>
        <v/>
      </c>
      <c r="K614" s="46" t="str">
        <f aca="false">IF(J614="","",IFERROR(N(INDEX(Properties!$G$5:$G$24,MATCH(D614,Properties!$A$5:$A$24,0))),0))</f>
        <v/>
      </c>
      <c r="L614" s="46" t="str">
        <f aca="false">IF(J614="","",IFERROR(MAX(0,N(G614)-INDEX(Properties!$I$5:$I$24,MATCH(D614,Properties!$A$5:$A$24,0)))*N(INDEX(Properties!$J$5:$J$24,MATCH(D614,Properties!$A$5:$A$24,0)))*H614,0))</f>
        <v/>
      </c>
      <c r="M614" s="37"/>
      <c r="N614" s="46" t="str">
        <f aca="false">IF(J614="","",J614+K614+L614+N(M614))</f>
        <v/>
      </c>
      <c r="O614" s="46" t="str">
        <f aca="false">IF(N614="","",IF(P614&lt;&gt;"",N614-P614,ROUND(N614*IFERROR(INDEX(Settings!$E$5:$E$12,MATCH(F614,Settings!$D$5:$D$12,0)),0),2)))</f>
        <v/>
      </c>
      <c r="P614" s="37"/>
      <c r="Q614" s="46" t="str">
        <f aca="false">IF(N614="","",IF(P614&lt;&gt;"",P614,N614-O614))</f>
        <v/>
      </c>
      <c r="R614" s="46" t="str">
        <f aca="false">IF(J614="","",IFERROR(N(INDEX(Properties!$H$5:$H$24,MATCH(D614,Properties!$A$5:$A$24,0))),0))</f>
        <v/>
      </c>
      <c r="S614" s="46" t="str">
        <f aca="false">IF(Q614="","",Q614-R614)</f>
        <v/>
      </c>
      <c r="T614" s="6"/>
      <c r="U614" s="6"/>
      <c r="V614" s="6"/>
      <c r="W614" s="6"/>
      <c r="X614" s="6"/>
      <c r="Y614" s="8" t="str">
        <f aca="false">IF(OR(D614="",B614="",C614=""),"",IF(N(C614)&lt;=N(B614),"Check dates",IF(T614="Cancelled","",IF(COUNTIFS($D$5:$D$1004,D614,$B$5:$B$1004,"&lt;"&amp;C614,$C$5:$C$1004,"&gt;"&amp;B614,$T$5:$T$1004,"&lt;&gt;Cancelled")&gt;1,"Double-booked",""))))</f>
        <v/>
      </c>
      <c r="Z614" s="42" t="str">
        <f aca="false">IF(AND(AA614=1,ISNUMBER(C614)),C614+ROW()/100000,"")</f>
        <v/>
      </c>
      <c r="AA614" s="43" t="n">
        <f aca="false">IF(AND(D614&lt;&gt;"",ISNUMBER(B614),ISNUMBER(C614),N(H614)&gt;0,T614&lt;&gt;"Cancelled",J614&lt;&gt;""),1,0)</f>
        <v>0</v>
      </c>
      <c r="AB614" s="44" t="n">
        <f aca="false">IF(AA614=1,J614/H614,0)</f>
        <v>0</v>
      </c>
      <c r="AC614" s="44" t="n">
        <f aca="false">IF(AA614=1,Q614/H614,0)</f>
        <v>0</v>
      </c>
      <c r="AD614" s="44" t="n">
        <f aca="false">IF(AA614=1,R614/H614,0)</f>
        <v>0</v>
      </c>
      <c r="AE614" s="44" t="n">
        <f aca="false">IF(AA614=1,O614/H614,0)</f>
        <v>0</v>
      </c>
      <c r="AF614" s="44" t="n">
        <f aca="false">IF(AA614=1,K614/H614,0)</f>
        <v>0</v>
      </c>
      <c r="AG614" s="45" t="str">
        <f aca="false">IF(AA614=1,D614&amp;"|"&amp;TEXT(B614,"0"),"")</f>
        <v/>
      </c>
      <c r="AH614" s="43" t="n">
        <f aca="false">IF(AA614=1,H614,0)</f>
        <v>0</v>
      </c>
    </row>
    <row r="615" customFormat="false" ht="15" hidden="false" customHeight="false" outlineLevel="0" collapsed="false">
      <c r="A615" s="8" t="str">
        <f aca="false">IF(B615="","","B-"&amp;TEXT(ROW()-4,"0000"))</f>
        <v/>
      </c>
      <c r="B615" s="38"/>
      <c r="C615" s="38"/>
      <c r="D615" s="6"/>
      <c r="E615" s="6"/>
      <c r="F615" s="6"/>
      <c r="G615" s="11"/>
      <c r="H615" s="18" t="str">
        <f aca="false">IF(AND(ISNUMBER(B615),ISNUMBER(C615)),MAX(0,C615-B615),"")</f>
        <v/>
      </c>
      <c r="I615" s="37"/>
      <c r="J615" s="41" t="str">
        <f aca="false">IF(OR(D615="",N(H615)=0),"",IFERROR(IF(I615&lt;&gt;"",H615*I615,ROUND(((H615-(INT((WEEKDAY(B615-6)+H615-1)/7)+INT((WEEKDAY(B615-7)+H615-1)/7)))*INDEX(Properties!$E$5:$E$24,MATCH(D615,Properties!$A$5:$A$24,0))+(INT((WEEKDAY(B615-6)+H615-1)/7)+INT((WEEKDAY(B615-7)+H615-1)/7))*INDEX(Properties!$F$5:$F$24,MATCH(D615,Properties!$A$5:$A$24,0)))*(1-IF(H615&gt;=28,Settings!$B$10,IF(H615&gt;=7,Settings!$B$9,0))),2)),0))</f>
        <v/>
      </c>
      <c r="K615" s="41" t="str">
        <f aca="false">IF(J615="","",IFERROR(N(INDEX(Properties!$G$5:$G$24,MATCH(D615,Properties!$A$5:$A$24,0))),0))</f>
        <v/>
      </c>
      <c r="L615" s="41" t="str">
        <f aca="false">IF(J615="","",IFERROR(MAX(0,N(G615)-INDEX(Properties!$I$5:$I$24,MATCH(D615,Properties!$A$5:$A$24,0)))*N(INDEX(Properties!$J$5:$J$24,MATCH(D615,Properties!$A$5:$A$24,0)))*H615,0))</f>
        <v/>
      </c>
      <c r="M615" s="37"/>
      <c r="N615" s="41" t="str">
        <f aca="false">IF(J615="","",J615+K615+L615+N(M615))</f>
        <v/>
      </c>
      <c r="O615" s="41" t="str">
        <f aca="false">IF(N615="","",IF(P615&lt;&gt;"",N615-P615,ROUND(N615*IFERROR(INDEX(Settings!$E$5:$E$12,MATCH(F615,Settings!$D$5:$D$12,0)),0),2)))</f>
        <v/>
      </c>
      <c r="P615" s="37"/>
      <c r="Q615" s="41" t="str">
        <f aca="false">IF(N615="","",IF(P615&lt;&gt;"",P615,N615-O615))</f>
        <v/>
      </c>
      <c r="R615" s="41" t="str">
        <f aca="false">IF(J615="","",IFERROR(N(INDEX(Properties!$H$5:$H$24,MATCH(D615,Properties!$A$5:$A$24,0))),0))</f>
        <v/>
      </c>
      <c r="S615" s="41" t="str">
        <f aca="false">IF(Q615="","",Q615-R615)</f>
        <v/>
      </c>
      <c r="T615" s="6"/>
      <c r="U615" s="6"/>
      <c r="V615" s="6"/>
      <c r="W615" s="6"/>
      <c r="X615" s="6"/>
      <c r="Y615" s="8" t="str">
        <f aca="false">IF(OR(D615="",B615="",C615=""),"",IF(N(C615)&lt;=N(B615),"Check dates",IF(T615="Cancelled","",IF(COUNTIFS($D$5:$D$1004,D615,$B$5:$B$1004,"&lt;"&amp;C615,$C$5:$C$1004,"&gt;"&amp;B615,$T$5:$T$1004,"&lt;&gt;Cancelled")&gt;1,"Double-booked",""))))</f>
        <v/>
      </c>
      <c r="Z615" s="42" t="str">
        <f aca="false">IF(AND(AA615=1,ISNUMBER(C615)),C615+ROW()/100000,"")</f>
        <v/>
      </c>
      <c r="AA615" s="43" t="n">
        <f aca="false">IF(AND(D615&lt;&gt;"",ISNUMBER(B615),ISNUMBER(C615),N(H615)&gt;0,T615&lt;&gt;"Cancelled",J615&lt;&gt;""),1,0)</f>
        <v>0</v>
      </c>
      <c r="AB615" s="44" t="n">
        <f aca="false">IF(AA615=1,J615/H615,0)</f>
        <v>0</v>
      </c>
      <c r="AC615" s="44" t="n">
        <f aca="false">IF(AA615=1,Q615/H615,0)</f>
        <v>0</v>
      </c>
      <c r="AD615" s="44" t="n">
        <f aca="false">IF(AA615=1,R615/H615,0)</f>
        <v>0</v>
      </c>
      <c r="AE615" s="44" t="n">
        <f aca="false">IF(AA615=1,O615/H615,0)</f>
        <v>0</v>
      </c>
      <c r="AF615" s="44" t="n">
        <f aca="false">IF(AA615=1,K615/H615,0)</f>
        <v>0</v>
      </c>
      <c r="AG615" s="45" t="str">
        <f aca="false">IF(AA615=1,D615&amp;"|"&amp;TEXT(B615,"0"),"")</f>
        <v/>
      </c>
      <c r="AH615" s="43" t="n">
        <f aca="false">IF(AA615=1,H615,0)</f>
        <v>0</v>
      </c>
    </row>
    <row r="616" customFormat="false" ht="15" hidden="false" customHeight="false" outlineLevel="0" collapsed="false">
      <c r="A616" s="23" t="str">
        <f aca="false">IF(B616="","","B-"&amp;TEXT(ROW()-4,"0000"))</f>
        <v/>
      </c>
      <c r="B616" s="38"/>
      <c r="C616" s="38"/>
      <c r="D616" s="6"/>
      <c r="E616" s="6"/>
      <c r="F616" s="6"/>
      <c r="G616" s="11"/>
      <c r="H616" s="24" t="str">
        <f aca="false">IF(AND(ISNUMBER(B616),ISNUMBER(C616)),MAX(0,C616-B616),"")</f>
        <v/>
      </c>
      <c r="I616" s="37"/>
      <c r="J616" s="46" t="str">
        <f aca="false">IF(OR(D616="",N(H616)=0),"",IFERROR(IF(I616&lt;&gt;"",H616*I616,ROUND(((H616-(INT((WEEKDAY(B616-6)+H616-1)/7)+INT((WEEKDAY(B616-7)+H616-1)/7)))*INDEX(Properties!$E$5:$E$24,MATCH(D616,Properties!$A$5:$A$24,0))+(INT((WEEKDAY(B616-6)+H616-1)/7)+INT((WEEKDAY(B616-7)+H616-1)/7))*INDEX(Properties!$F$5:$F$24,MATCH(D616,Properties!$A$5:$A$24,0)))*(1-IF(H616&gt;=28,Settings!$B$10,IF(H616&gt;=7,Settings!$B$9,0))),2)),0))</f>
        <v/>
      </c>
      <c r="K616" s="46" t="str">
        <f aca="false">IF(J616="","",IFERROR(N(INDEX(Properties!$G$5:$G$24,MATCH(D616,Properties!$A$5:$A$24,0))),0))</f>
        <v/>
      </c>
      <c r="L616" s="46" t="str">
        <f aca="false">IF(J616="","",IFERROR(MAX(0,N(G616)-INDEX(Properties!$I$5:$I$24,MATCH(D616,Properties!$A$5:$A$24,0)))*N(INDEX(Properties!$J$5:$J$24,MATCH(D616,Properties!$A$5:$A$24,0)))*H616,0))</f>
        <v/>
      </c>
      <c r="M616" s="37"/>
      <c r="N616" s="46" t="str">
        <f aca="false">IF(J616="","",J616+K616+L616+N(M616))</f>
        <v/>
      </c>
      <c r="O616" s="46" t="str">
        <f aca="false">IF(N616="","",IF(P616&lt;&gt;"",N616-P616,ROUND(N616*IFERROR(INDEX(Settings!$E$5:$E$12,MATCH(F616,Settings!$D$5:$D$12,0)),0),2)))</f>
        <v/>
      </c>
      <c r="P616" s="37"/>
      <c r="Q616" s="46" t="str">
        <f aca="false">IF(N616="","",IF(P616&lt;&gt;"",P616,N616-O616))</f>
        <v/>
      </c>
      <c r="R616" s="46" t="str">
        <f aca="false">IF(J616="","",IFERROR(N(INDEX(Properties!$H$5:$H$24,MATCH(D616,Properties!$A$5:$A$24,0))),0))</f>
        <v/>
      </c>
      <c r="S616" s="46" t="str">
        <f aca="false">IF(Q616="","",Q616-R616)</f>
        <v/>
      </c>
      <c r="T616" s="6"/>
      <c r="U616" s="6"/>
      <c r="V616" s="6"/>
      <c r="W616" s="6"/>
      <c r="X616" s="6"/>
      <c r="Y616" s="8" t="str">
        <f aca="false">IF(OR(D616="",B616="",C616=""),"",IF(N(C616)&lt;=N(B616),"Check dates",IF(T616="Cancelled","",IF(COUNTIFS($D$5:$D$1004,D616,$B$5:$B$1004,"&lt;"&amp;C616,$C$5:$C$1004,"&gt;"&amp;B616,$T$5:$T$1004,"&lt;&gt;Cancelled")&gt;1,"Double-booked",""))))</f>
        <v/>
      </c>
      <c r="Z616" s="42" t="str">
        <f aca="false">IF(AND(AA616=1,ISNUMBER(C616)),C616+ROW()/100000,"")</f>
        <v/>
      </c>
      <c r="AA616" s="43" t="n">
        <f aca="false">IF(AND(D616&lt;&gt;"",ISNUMBER(B616),ISNUMBER(C616),N(H616)&gt;0,T616&lt;&gt;"Cancelled",J616&lt;&gt;""),1,0)</f>
        <v>0</v>
      </c>
      <c r="AB616" s="44" t="n">
        <f aca="false">IF(AA616=1,J616/H616,0)</f>
        <v>0</v>
      </c>
      <c r="AC616" s="44" t="n">
        <f aca="false">IF(AA616=1,Q616/H616,0)</f>
        <v>0</v>
      </c>
      <c r="AD616" s="44" t="n">
        <f aca="false">IF(AA616=1,R616/H616,0)</f>
        <v>0</v>
      </c>
      <c r="AE616" s="44" t="n">
        <f aca="false">IF(AA616=1,O616/H616,0)</f>
        <v>0</v>
      </c>
      <c r="AF616" s="44" t="n">
        <f aca="false">IF(AA616=1,K616/H616,0)</f>
        <v>0</v>
      </c>
      <c r="AG616" s="45" t="str">
        <f aca="false">IF(AA616=1,D616&amp;"|"&amp;TEXT(B616,"0"),"")</f>
        <v/>
      </c>
      <c r="AH616" s="43" t="n">
        <f aca="false">IF(AA616=1,H616,0)</f>
        <v>0</v>
      </c>
    </row>
    <row r="617" customFormat="false" ht="15" hidden="false" customHeight="false" outlineLevel="0" collapsed="false">
      <c r="A617" s="8" t="str">
        <f aca="false">IF(B617="","","B-"&amp;TEXT(ROW()-4,"0000"))</f>
        <v/>
      </c>
      <c r="B617" s="38"/>
      <c r="C617" s="38"/>
      <c r="D617" s="6"/>
      <c r="E617" s="6"/>
      <c r="F617" s="6"/>
      <c r="G617" s="11"/>
      <c r="H617" s="18" t="str">
        <f aca="false">IF(AND(ISNUMBER(B617),ISNUMBER(C617)),MAX(0,C617-B617),"")</f>
        <v/>
      </c>
      <c r="I617" s="37"/>
      <c r="J617" s="41" t="str">
        <f aca="false">IF(OR(D617="",N(H617)=0),"",IFERROR(IF(I617&lt;&gt;"",H617*I617,ROUND(((H617-(INT((WEEKDAY(B617-6)+H617-1)/7)+INT((WEEKDAY(B617-7)+H617-1)/7)))*INDEX(Properties!$E$5:$E$24,MATCH(D617,Properties!$A$5:$A$24,0))+(INT((WEEKDAY(B617-6)+H617-1)/7)+INT((WEEKDAY(B617-7)+H617-1)/7))*INDEX(Properties!$F$5:$F$24,MATCH(D617,Properties!$A$5:$A$24,0)))*(1-IF(H617&gt;=28,Settings!$B$10,IF(H617&gt;=7,Settings!$B$9,0))),2)),0))</f>
        <v/>
      </c>
      <c r="K617" s="41" t="str">
        <f aca="false">IF(J617="","",IFERROR(N(INDEX(Properties!$G$5:$G$24,MATCH(D617,Properties!$A$5:$A$24,0))),0))</f>
        <v/>
      </c>
      <c r="L617" s="41" t="str">
        <f aca="false">IF(J617="","",IFERROR(MAX(0,N(G617)-INDEX(Properties!$I$5:$I$24,MATCH(D617,Properties!$A$5:$A$24,0)))*N(INDEX(Properties!$J$5:$J$24,MATCH(D617,Properties!$A$5:$A$24,0)))*H617,0))</f>
        <v/>
      </c>
      <c r="M617" s="37"/>
      <c r="N617" s="41" t="str">
        <f aca="false">IF(J617="","",J617+K617+L617+N(M617))</f>
        <v/>
      </c>
      <c r="O617" s="41" t="str">
        <f aca="false">IF(N617="","",IF(P617&lt;&gt;"",N617-P617,ROUND(N617*IFERROR(INDEX(Settings!$E$5:$E$12,MATCH(F617,Settings!$D$5:$D$12,0)),0),2)))</f>
        <v/>
      </c>
      <c r="P617" s="37"/>
      <c r="Q617" s="41" t="str">
        <f aca="false">IF(N617="","",IF(P617&lt;&gt;"",P617,N617-O617))</f>
        <v/>
      </c>
      <c r="R617" s="41" t="str">
        <f aca="false">IF(J617="","",IFERROR(N(INDEX(Properties!$H$5:$H$24,MATCH(D617,Properties!$A$5:$A$24,0))),0))</f>
        <v/>
      </c>
      <c r="S617" s="41" t="str">
        <f aca="false">IF(Q617="","",Q617-R617)</f>
        <v/>
      </c>
      <c r="T617" s="6"/>
      <c r="U617" s="6"/>
      <c r="V617" s="6"/>
      <c r="W617" s="6"/>
      <c r="X617" s="6"/>
      <c r="Y617" s="8" t="str">
        <f aca="false">IF(OR(D617="",B617="",C617=""),"",IF(N(C617)&lt;=N(B617),"Check dates",IF(T617="Cancelled","",IF(COUNTIFS($D$5:$D$1004,D617,$B$5:$B$1004,"&lt;"&amp;C617,$C$5:$C$1004,"&gt;"&amp;B617,$T$5:$T$1004,"&lt;&gt;Cancelled")&gt;1,"Double-booked",""))))</f>
        <v/>
      </c>
      <c r="Z617" s="42" t="str">
        <f aca="false">IF(AND(AA617=1,ISNUMBER(C617)),C617+ROW()/100000,"")</f>
        <v/>
      </c>
      <c r="AA617" s="43" t="n">
        <f aca="false">IF(AND(D617&lt;&gt;"",ISNUMBER(B617),ISNUMBER(C617),N(H617)&gt;0,T617&lt;&gt;"Cancelled",J617&lt;&gt;""),1,0)</f>
        <v>0</v>
      </c>
      <c r="AB617" s="44" t="n">
        <f aca="false">IF(AA617=1,J617/H617,0)</f>
        <v>0</v>
      </c>
      <c r="AC617" s="44" t="n">
        <f aca="false">IF(AA617=1,Q617/H617,0)</f>
        <v>0</v>
      </c>
      <c r="AD617" s="44" t="n">
        <f aca="false">IF(AA617=1,R617/H617,0)</f>
        <v>0</v>
      </c>
      <c r="AE617" s="44" t="n">
        <f aca="false">IF(AA617=1,O617/H617,0)</f>
        <v>0</v>
      </c>
      <c r="AF617" s="44" t="n">
        <f aca="false">IF(AA617=1,K617/H617,0)</f>
        <v>0</v>
      </c>
      <c r="AG617" s="45" t="str">
        <f aca="false">IF(AA617=1,D617&amp;"|"&amp;TEXT(B617,"0"),"")</f>
        <v/>
      </c>
      <c r="AH617" s="43" t="n">
        <f aca="false">IF(AA617=1,H617,0)</f>
        <v>0</v>
      </c>
    </row>
    <row r="618" customFormat="false" ht="15" hidden="false" customHeight="false" outlineLevel="0" collapsed="false">
      <c r="A618" s="23" t="str">
        <f aca="false">IF(B618="","","B-"&amp;TEXT(ROW()-4,"0000"))</f>
        <v/>
      </c>
      <c r="B618" s="38"/>
      <c r="C618" s="38"/>
      <c r="D618" s="6"/>
      <c r="E618" s="6"/>
      <c r="F618" s="6"/>
      <c r="G618" s="11"/>
      <c r="H618" s="24" t="str">
        <f aca="false">IF(AND(ISNUMBER(B618),ISNUMBER(C618)),MAX(0,C618-B618),"")</f>
        <v/>
      </c>
      <c r="I618" s="37"/>
      <c r="J618" s="46" t="str">
        <f aca="false">IF(OR(D618="",N(H618)=0),"",IFERROR(IF(I618&lt;&gt;"",H618*I618,ROUND(((H618-(INT((WEEKDAY(B618-6)+H618-1)/7)+INT((WEEKDAY(B618-7)+H618-1)/7)))*INDEX(Properties!$E$5:$E$24,MATCH(D618,Properties!$A$5:$A$24,0))+(INT((WEEKDAY(B618-6)+H618-1)/7)+INT((WEEKDAY(B618-7)+H618-1)/7))*INDEX(Properties!$F$5:$F$24,MATCH(D618,Properties!$A$5:$A$24,0)))*(1-IF(H618&gt;=28,Settings!$B$10,IF(H618&gt;=7,Settings!$B$9,0))),2)),0))</f>
        <v/>
      </c>
      <c r="K618" s="46" t="str">
        <f aca="false">IF(J618="","",IFERROR(N(INDEX(Properties!$G$5:$G$24,MATCH(D618,Properties!$A$5:$A$24,0))),0))</f>
        <v/>
      </c>
      <c r="L618" s="46" t="str">
        <f aca="false">IF(J618="","",IFERROR(MAX(0,N(G618)-INDEX(Properties!$I$5:$I$24,MATCH(D618,Properties!$A$5:$A$24,0)))*N(INDEX(Properties!$J$5:$J$24,MATCH(D618,Properties!$A$5:$A$24,0)))*H618,0))</f>
        <v/>
      </c>
      <c r="M618" s="37"/>
      <c r="N618" s="46" t="str">
        <f aca="false">IF(J618="","",J618+K618+L618+N(M618))</f>
        <v/>
      </c>
      <c r="O618" s="46" t="str">
        <f aca="false">IF(N618="","",IF(P618&lt;&gt;"",N618-P618,ROUND(N618*IFERROR(INDEX(Settings!$E$5:$E$12,MATCH(F618,Settings!$D$5:$D$12,0)),0),2)))</f>
        <v/>
      </c>
      <c r="P618" s="37"/>
      <c r="Q618" s="46" t="str">
        <f aca="false">IF(N618="","",IF(P618&lt;&gt;"",P618,N618-O618))</f>
        <v/>
      </c>
      <c r="R618" s="46" t="str">
        <f aca="false">IF(J618="","",IFERROR(N(INDEX(Properties!$H$5:$H$24,MATCH(D618,Properties!$A$5:$A$24,0))),0))</f>
        <v/>
      </c>
      <c r="S618" s="46" t="str">
        <f aca="false">IF(Q618="","",Q618-R618)</f>
        <v/>
      </c>
      <c r="T618" s="6"/>
      <c r="U618" s="6"/>
      <c r="V618" s="6"/>
      <c r="W618" s="6"/>
      <c r="X618" s="6"/>
      <c r="Y618" s="8" t="str">
        <f aca="false">IF(OR(D618="",B618="",C618=""),"",IF(N(C618)&lt;=N(B618),"Check dates",IF(T618="Cancelled","",IF(COUNTIFS($D$5:$D$1004,D618,$B$5:$B$1004,"&lt;"&amp;C618,$C$5:$C$1004,"&gt;"&amp;B618,$T$5:$T$1004,"&lt;&gt;Cancelled")&gt;1,"Double-booked",""))))</f>
        <v/>
      </c>
      <c r="Z618" s="42" t="str">
        <f aca="false">IF(AND(AA618=1,ISNUMBER(C618)),C618+ROW()/100000,"")</f>
        <v/>
      </c>
      <c r="AA618" s="43" t="n">
        <f aca="false">IF(AND(D618&lt;&gt;"",ISNUMBER(B618),ISNUMBER(C618),N(H618)&gt;0,T618&lt;&gt;"Cancelled",J618&lt;&gt;""),1,0)</f>
        <v>0</v>
      </c>
      <c r="AB618" s="44" t="n">
        <f aca="false">IF(AA618=1,J618/H618,0)</f>
        <v>0</v>
      </c>
      <c r="AC618" s="44" t="n">
        <f aca="false">IF(AA618=1,Q618/H618,0)</f>
        <v>0</v>
      </c>
      <c r="AD618" s="44" t="n">
        <f aca="false">IF(AA618=1,R618/H618,0)</f>
        <v>0</v>
      </c>
      <c r="AE618" s="44" t="n">
        <f aca="false">IF(AA618=1,O618/H618,0)</f>
        <v>0</v>
      </c>
      <c r="AF618" s="44" t="n">
        <f aca="false">IF(AA618=1,K618/H618,0)</f>
        <v>0</v>
      </c>
      <c r="AG618" s="45" t="str">
        <f aca="false">IF(AA618=1,D618&amp;"|"&amp;TEXT(B618,"0"),"")</f>
        <v/>
      </c>
      <c r="AH618" s="43" t="n">
        <f aca="false">IF(AA618=1,H618,0)</f>
        <v>0</v>
      </c>
    </row>
    <row r="619" customFormat="false" ht="15" hidden="false" customHeight="false" outlineLevel="0" collapsed="false">
      <c r="A619" s="8" t="str">
        <f aca="false">IF(B619="","","B-"&amp;TEXT(ROW()-4,"0000"))</f>
        <v/>
      </c>
      <c r="B619" s="38"/>
      <c r="C619" s="38"/>
      <c r="D619" s="6"/>
      <c r="E619" s="6"/>
      <c r="F619" s="6"/>
      <c r="G619" s="11"/>
      <c r="H619" s="18" t="str">
        <f aca="false">IF(AND(ISNUMBER(B619),ISNUMBER(C619)),MAX(0,C619-B619),"")</f>
        <v/>
      </c>
      <c r="I619" s="37"/>
      <c r="J619" s="41" t="str">
        <f aca="false">IF(OR(D619="",N(H619)=0),"",IFERROR(IF(I619&lt;&gt;"",H619*I619,ROUND(((H619-(INT((WEEKDAY(B619-6)+H619-1)/7)+INT((WEEKDAY(B619-7)+H619-1)/7)))*INDEX(Properties!$E$5:$E$24,MATCH(D619,Properties!$A$5:$A$24,0))+(INT((WEEKDAY(B619-6)+H619-1)/7)+INT((WEEKDAY(B619-7)+H619-1)/7))*INDEX(Properties!$F$5:$F$24,MATCH(D619,Properties!$A$5:$A$24,0)))*(1-IF(H619&gt;=28,Settings!$B$10,IF(H619&gt;=7,Settings!$B$9,0))),2)),0))</f>
        <v/>
      </c>
      <c r="K619" s="41" t="str">
        <f aca="false">IF(J619="","",IFERROR(N(INDEX(Properties!$G$5:$G$24,MATCH(D619,Properties!$A$5:$A$24,0))),0))</f>
        <v/>
      </c>
      <c r="L619" s="41" t="str">
        <f aca="false">IF(J619="","",IFERROR(MAX(0,N(G619)-INDEX(Properties!$I$5:$I$24,MATCH(D619,Properties!$A$5:$A$24,0)))*N(INDEX(Properties!$J$5:$J$24,MATCH(D619,Properties!$A$5:$A$24,0)))*H619,0))</f>
        <v/>
      </c>
      <c r="M619" s="37"/>
      <c r="N619" s="41" t="str">
        <f aca="false">IF(J619="","",J619+K619+L619+N(M619))</f>
        <v/>
      </c>
      <c r="O619" s="41" t="str">
        <f aca="false">IF(N619="","",IF(P619&lt;&gt;"",N619-P619,ROUND(N619*IFERROR(INDEX(Settings!$E$5:$E$12,MATCH(F619,Settings!$D$5:$D$12,0)),0),2)))</f>
        <v/>
      </c>
      <c r="P619" s="37"/>
      <c r="Q619" s="41" t="str">
        <f aca="false">IF(N619="","",IF(P619&lt;&gt;"",P619,N619-O619))</f>
        <v/>
      </c>
      <c r="R619" s="41" t="str">
        <f aca="false">IF(J619="","",IFERROR(N(INDEX(Properties!$H$5:$H$24,MATCH(D619,Properties!$A$5:$A$24,0))),0))</f>
        <v/>
      </c>
      <c r="S619" s="41" t="str">
        <f aca="false">IF(Q619="","",Q619-R619)</f>
        <v/>
      </c>
      <c r="T619" s="6"/>
      <c r="U619" s="6"/>
      <c r="V619" s="6"/>
      <c r="W619" s="6"/>
      <c r="X619" s="6"/>
      <c r="Y619" s="8" t="str">
        <f aca="false">IF(OR(D619="",B619="",C619=""),"",IF(N(C619)&lt;=N(B619),"Check dates",IF(T619="Cancelled","",IF(COUNTIFS($D$5:$D$1004,D619,$B$5:$B$1004,"&lt;"&amp;C619,$C$5:$C$1004,"&gt;"&amp;B619,$T$5:$T$1004,"&lt;&gt;Cancelled")&gt;1,"Double-booked",""))))</f>
        <v/>
      </c>
      <c r="Z619" s="42" t="str">
        <f aca="false">IF(AND(AA619=1,ISNUMBER(C619)),C619+ROW()/100000,"")</f>
        <v/>
      </c>
      <c r="AA619" s="43" t="n">
        <f aca="false">IF(AND(D619&lt;&gt;"",ISNUMBER(B619),ISNUMBER(C619),N(H619)&gt;0,T619&lt;&gt;"Cancelled",J619&lt;&gt;""),1,0)</f>
        <v>0</v>
      </c>
      <c r="AB619" s="44" t="n">
        <f aca="false">IF(AA619=1,J619/H619,0)</f>
        <v>0</v>
      </c>
      <c r="AC619" s="44" t="n">
        <f aca="false">IF(AA619=1,Q619/H619,0)</f>
        <v>0</v>
      </c>
      <c r="AD619" s="44" t="n">
        <f aca="false">IF(AA619=1,R619/H619,0)</f>
        <v>0</v>
      </c>
      <c r="AE619" s="44" t="n">
        <f aca="false">IF(AA619=1,O619/H619,0)</f>
        <v>0</v>
      </c>
      <c r="AF619" s="44" t="n">
        <f aca="false">IF(AA619=1,K619/H619,0)</f>
        <v>0</v>
      </c>
      <c r="AG619" s="45" t="str">
        <f aca="false">IF(AA619=1,D619&amp;"|"&amp;TEXT(B619,"0"),"")</f>
        <v/>
      </c>
      <c r="AH619" s="43" t="n">
        <f aca="false">IF(AA619=1,H619,0)</f>
        <v>0</v>
      </c>
    </row>
    <row r="620" customFormat="false" ht="15" hidden="false" customHeight="false" outlineLevel="0" collapsed="false">
      <c r="A620" s="23" t="str">
        <f aca="false">IF(B620="","","B-"&amp;TEXT(ROW()-4,"0000"))</f>
        <v/>
      </c>
      <c r="B620" s="38"/>
      <c r="C620" s="38"/>
      <c r="D620" s="6"/>
      <c r="E620" s="6"/>
      <c r="F620" s="6"/>
      <c r="G620" s="11"/>
      <c r="H620" s="24" t="str">
        <f aca="false">IF(AND(ISNUMBER(B620),ISNUMBER(C620)),MAX(0,C620-B620),"")</f>
        <v/>
      </c>
      <c r="I620" s="37"/>
      <c r="J620" s="46" t="str">
        <f aca="false">IF(OR(D620="",N(H620)=0),"",IFERROR(IF(I620&lt;&gt;"",H620*I620,ROUND(((H620-(INT((WEEKDAY(B620-6)+H620-1)/7)+INT((WEEKDAY(B620-7)+H620-1)/7)))*INDEX(Properties!$E$5:$E$24,MATCH(D620,Properties!$A$5:$A$24,0))+(INT((WEEKDAY(B620-6)+H620-1)/7)+INT((WEEKDAY(B620-7)+H620-1)/7))*INDEX(Properties!$F$5:$F$24,MATCH(D620,Properties!$A$5:$A$24,0)))*(1-IF(H620&gt;=28,Settings!$B$10,IF(H620&gt;=7,Settings!$B$9,0))),2)),0))</f>
        <v/>
      </c>
      <c r="K620" s="46" t="str">
        <f aca="false">IF(J620="","",IFERROR(N(INDEX(Properties!$G$5:$G$24,MATCH(D620,Properties!$A$5:$A$24,0))),0))</f>
        <v/>
      </c>
      <c r="L620" s="46" t="str">
        <f aca="false">IF(J620="","",IFERROR(MAX(0,N(G620)-INDEX(Properties!$I$5:$I$24,MATCH(D620,Properties!$A$5:$A$24,0)))*N(INDEX(Properties!$J$5:$J$24,MATCH(D620,Properties!$A$5:$A$24,0)))*H620,0))</f>
        <v/>
      </c>
      <c r="M620" s="37"/>
      <c r="N620" s="46" t="str">
        <f aca="false">IF(J620="","",J620+K620+L620+N(M620))</f>
        <v/>
      </c>
      <c r="O620" s="46" t="str">
        <f aca="false">IF(N620="","",IF(P620&lt;&gt;"",N620-P620,ROUND(N620*IFERROR(INDEX(Settings!$E$5:$E$12,MATCH(F620,Settings!$D$5:$D$12,0)),0),2)))</f>
        <v/>
      </c>
      <c r="P620" s="37"/>
      <c r="Q620" s="46" t="str">
        <f aca="false">IF(N620="","",IF(P620&lt;&gt;"",P620,N620-O620))</f>
        <v/>
      </c>
      <c r="R620" s="46" t="str">
        <f aca="false">IF(J620="","",IFERROR(N(INDEX(Properties!$H$5:$H$24,MATCH(D620,Properties!$A$5:$A$24,0))),0))</f>
        <v/>
      </c>
      <c r="S620" s="46" t="str">
        <f aca="false">IF(Q620="","",Q620-R620)</f>
        <v/>
      </c>
      <c r="T620" s="6"/>
      <c r="U620" s="6"/>
      <c r="V620" s="6"/>
      <c r="W620" s="6"/>
      <c r="X620" s="6"/>
      <c r="Y620" s="8" t="str">
        <f aca="false">IF(OR(D620="",B620="",C620=""),"",IF(N(C620)&lt;=N(B620),"Check dates",IF(T620="Cancelled","",IF(COUNTIFS($D$5:$D$1004,D620,$B$5:$B$1004,"&lt;"&amp;C620,$C$5:$C$1004,"&gt;"&amp;B620,$T$5:$T$1004,"&lt;&gt;Cancelled")&gt;1,"Double-booked",""))))</f>
        <v/>
      </c>
      <c r="Z620" s="42" t="str">
        <f aca="false">IF(AND(AA620=1,ISNUMBER(C620)),C620+ROW()/100000,"")</f>
        <v/>
      </c>
      <c r="AA620" s="43" t="n">
        <f aca="false">IF(AND(D620&lt;&gt;"",ISNUMBER(B620),ISNUMBER(C620),N(H620)&gt;0,T620&lt;&gt;"Cancelled",J620&lt;&gt;""),1,0)</f>
        <v>0</v>
      </c>
      <c r="AB620" s="44" t="n">
        <f aca="false">IF(AA620=1,J620/H620,0)</f>
        <v>0</v>
      </c>
      <c r="AC620" s="44" t="n">
        <f aca="false">IF(AA620=1,Q620/H620,0)</f>
        <v>0</v>
      </c>
      <c r="AD620" s="44" t="n">
        <f aca="false">IF(AA620=1,R620/H620,0)</f>
        <v>0</v>
      </c>
      <c r="AE620" s="44" t="n">
        <f aca="false">IF(AA620=1,O620/H620,0)</f>
        <v>0</v>
      </c>
      <c r="AF620" s="44" t="n">
        <f aca="false">IF(AA620=1,K620/H620,0)</f>
        <v>0</v>
      </c>
      <c r="AG620" s="45" t="str">
        <f aca="false">IF(AA620=1,D620&amp;"|"&amp;TEXT(B620,"0"),"")</f>
        <v/>
      </c>
      <c r="AH620" s="43" t="n">
        <f aca="false">IF(AA620=1,H620,0)</f>
        <v>0</v>
      </c>
    </row>
    <row r="621" customFormat="false" ht="15" hidden="false" customHeight="false" outlineLevel="0" collapsed="false">
      <c r="A621" s="8" t="str">
        <f aca="false">IF(B621="","","B-"&amp;TEXT(ROW()-4,"0000"))</f>
        <v/>
      </c>
      <c r="B621" s="38"/>
      <c r="C621" s="38"/>
      <c r="D621" s="6"/>
      <c r="E621" s="6"/>
      <c r="F621" s="6"/>
      <c r="G621" s="11"/>
      <c r="H621" s="18" t="str">
        <f aca="false">IF(AND(ISNUMBER(B621),ISNUMBER(C621)),MAX(0,C621-B621),"")</f>
        <v/>
      </c>
      <c r="I621" s="37"/>
      <c r="J621" s="41" t="str">
        <f aca="false">IF(OR(D621="",N(H621)=0),"",IFERROR(IF(I621&lt;&gt;"",H621*I621,ROUND(((H621-(INT((WEEKDAY(B621-6)+H621-1)/7)+INT((WEEKDAY(B621-7)+H621-1)/7)))*INDEX(Properties!$E$5:$E$24,MATCH(D621,Properties!$A$5:$A$24,0))+(INT((WEEKDAY(B621-6)+H621-1)/7)+INT((WEEKDAY(B621-7)+H621-1)/7))*INDEX(Properties!$F$5:$F$24,MATCH(D621,Properties!$A$5:$A$24,0)))*(1-IF(H621&gt;=28,Settings!$B$10,IF(H621&gt;=7,Settings!$B$9,0))),2)),0))</f>
        <v/>
      </c>
      <c r="K621" s="41" t="str">
        <f aca="false">IF(J621="","",IFERROR(N(INDEX(Properties!$G$5:$G$24,MATCH(D621,Properties!$A$5:$A$24,0))),0))</f>
        <v/>
      </c>
      <c r="L621" s="41" t="str">
        <f aca="false">IF(J621="","",IFERROR(MAX(0,N(G621)-INDEX(Properties!$I$5:$I$24,MATCH(D621,Properties!$A$5:$A$24,0)))*N(INDEX(Properties!$J$5:$J$24,MATCH(D621,Properties!$A$5:$A$24,0)))*H621,0))</f>
        <v/>
      </c>
      <c r="M621" s="37"/>
      <c r="N621" s="41" t="str">
        <f aca="false">IF(J621="","",J621+K621+L621+N(M621))</f>
        <v/>
      </c>
      <c r="O621" s="41" t="str">
        <f aca="false">IF(N621="","",IF(P621&lt;&gt;"",N621-P621,ROUND(N621*IFERROR(INDEX(Settings!$E$5:$E$12,MATCH(F621,Settings!$D$5:$D$12,0)),0),2)))</f>
        <v/>
      </c>
      <c r="P621" s="37"/>
      <c r="Q621" s="41" t="str">
        <f aca="false">IF(N621="","",IF(P621&lt;&gt;"",P621,N621-O621))</f>
        <v/>
      </c>
      <c r="R621" s="41" t="str">
        <f aca="false">IF(J621="","",IFERROR(N(INDEX(Properties!$H$5:$H$24,MATCH(D621,Properties!$A$5:$A$24,0))),0))</f>
        <v/>
      </c>
      <c r="S621" s="41" t="str">
        <f aca="false">IF(Q621="","",Q621-R621)</f>
        <v/>
      </c>
      <c r="T621" s="6"/>
      <c r="U621" s="6"/>
      <c r="V621" s="6"/>
      <c r="W621" s="6"/>
      <c r="X621" s="6"/>
      <c r="Y621" s="8" t="str">
        <f aca="false">IF(OR(D621="",B621="",C621=""),"",IF(N(C621)&lt;=N(B621),"Check dates",IF(T621="Cancelled","",IF(COUNTIFS($D$5:$D$1004,D621,$B$5:$B$1004,"&lt;"&amp;C621,$C$5:$C$1004,"&gt;"&amp;B621,$T$5:$T$1004,"&lt;&gt;Cancelled")&gt;1,"Double-booked",""))))</f>
        <v/>
      </c>
      <c r="Z621" s="42" t="str">
        <f aca="false">IF(AND(AA621=1,ISNUMBER(C621)),C621+ROW()/100000,"")</f>
        <v/>
      </c>
      <c r="AA621" s="43" t="n">
        <f aca="false">IF(AND(D621&lt;&gt;"",ISNUMBER(B621),ISNUMBER(C621),N(H621)&gt;0,T621&lt;&gt;"Cancelled",J621&lt;&gt;""),1,0)</f>
        <v>0</v>
      </c>
      <c r="AB621" s="44" t="n">
        <f aca="false">IF(AA621=1,J621/H621,0)</f>
        <v>0</v>
      </c>
      <c r="AC621" s="44" t="n">
        <f aca="false">IF(AA621=1,Q621/H621,0)</f>
        <v>0</v>
      </c>
      <c r="AD621" s="44" t="n">
        <f aca="false">IF(AA621=1,R621/H621,0)</f>
        <v>0</v>
      </c>
      <c r="AE621" s="44" t="n">
        <f aca="false">IF(AA621=1,O621/H621,0)</f>
        <v>0</v>
      </c>
      <c r="AF621" s="44" t="n">
        <f aca="false">IF(AA621=1,K621/H621,0)</f>
        <v>0</v>
      </c>
      <c r="AG621" s="45" t="str">
        <f aca="false">IF(AA621=1,D621&amp;"|"&amp;TEXT(B621,"0"),"")</f>
        <v/>
      </c>
      <c r="AH621" s="43" t="n">
        <f aca="false">IF(AA621=1,H621,0)</f>
        <v>0</v>
      </c>
    </row>
    <row r="622" customFormat="false" ht="15" hidden="false" customHeight="false" outlineLevel="0" collapsed="false">
      <c r="A622" s="23" t="str">
        <f aca="false">IF(B622="","","B-"&amp;TEXT(ROW()-4,"0000"))</f>
        <v/>
      </c>
      <c r="B622" s="38"/>
      <c r="C622" s="38"/>
      <c r="D622" s="6"/>
      <c r="E622" s="6"/>
      <c r="F622" s="6"/>
      <c r="G622" s="11"/>
      <c r="H622" s="24" t="str">
        <f aca="false">IF(AND(ISNUMBER(B622),ISNUMBER(C622)),MAX(0,C622-B622),"")</f>
        <v/>
      </c>
      <c r="I622" s="37"/>
      <c r="J622" s="46" t="str">
        <f aca="false">IF(OR(D622="",N(H622)=0),"",IFERROR(IF(I622&lt;&gt;"",H622*I622,ROUND(((H622-(INT((WEEKDAY(B622-6)+H622-1)/7)+INT((WEEKDAY(B622-7)+H622-1)/7)))*INDEX(Properties!$E$5:$E$24,MATCH(D622,Properties!$A$5:$A$24,0))+(INT((WEEKDAY(B622-6)+H622-1)/7)+INT((WEEKDAY(B622-7)+H622-1)/7))*INDEX(Properties!$F$5:$F$24,MATCH(D622,Properties!$A$5:$A$24,0)))*(1-IF(H622&gt;=28,Settings!$B$10,IF(H622&gt;=7,Settings!$B$9,0))),2)),0))</f>
        <v/>
      </c>
      <c r="K622" s="46" t="str">
        <f aca="false">IF(J622="","",IFERROR(N(INDEX(Properties!$G$5:$G$24,MATCH(D622,Properties!$A$5:$A$24,0))),0))</f>
        <v/>
      </c>
      <c r="L622" s="46" t="str">
        <f aca="false">IF(J622="","",IFERROR(MAX(0,N(G622)-INDEX(Properties!$I$5:$I$24,MATCH(D622,Properties!$A$5:$A$24,0)))*N(INDEX(Properties!$J$5:$J$24,MATCH(D622,Properties!$A$5:$A$24,0)))*H622,0))</f>
        <v/>
      </c>
      <c r="M622" s="37"/>
      <c r="N622" s="46" t="str">
        <f aca="false">IF(J622="","",J622+K622+L622+N(M622))</f>
        <v/>
      </c>
      <c r="O622" s="46" t="str">
        <f aca="false">IF(N622="","",IF(P622&lt;&gt;"",N622-P622,ROUND(N622*IFERROR(INDEX(Settings!$E$5:$E$12,MATCH(F622,Settings!$D$5:$D$12,0)),0),2)))</f>
        <v/>
      </c>
      <c r="P622" s="37"/>
      <c r="Q622" s="46" t="str">
        <f aca="false">IF(N622="","",IF(P622&lt;&gt;"",P622,N622-O622))</f>
        <v/>
      </c>
      <c r="R622" s="46" t="str">
        <f aca="false">IF(J622="","",IFERROR(N(INDEX(Properties!$H$5:$H$24,MATCH(D622,Properties!$A$5:$A$24,0))),0))</f>
        <v/>
      </c>
      <c r="S622" s="46" t="str">
        <f aca="false">IF(Q622="","",Q622-R622)</f>
        <v/>
      </c>
      <c r="T622" s="6"/>
      <c r="U622" s="6"/>
      <c r="V622" s="6"/>
      <c r="W622" s="6"/>
      <c r="X622" s="6"/>
      <c r="Y622" s="8" t="str">
        <f aca="false">IF(OR(D622="",B622="",C622=""),"",IF(N(C622)&lt;=N(B622),"Check dates",IF(T622="Cancelled","",IF(COUNTIFS($D$5:$D$1004,D622,$B$5:$B$1004,"&lt;"&amp;C622,$C$5:$C$1004,"&gt;"&amp;B622,$T$5:$T$1004,"&lt;&gt;Cancelled")&gt;1,"Double-booked",""))))</f>
        <v/>
      </c>
      <c r="Z622" s="42" t="str">
        <f aca="false">IF(AND(AA622=1,ISNUMBER(C622)),C622+ROW()/100000,"")</f>
        <v/>
      </c>
      <c r="AA622" s="43" t="n">
        <f aca="false">IF(AND(D622&lt;&gt;"",ISNUMBER(B622),ISNUMBER(C622),N(H622)&gt;0,T622&lt;&gt;"Cancelled",J622&lt;&gt;""),1,0)</f>
        <v>0</v>
      </c>
      <c r="AB622" s="44" t="n">
        <f aca="false">IF(AA622=1,J622/H622,0)</f>
        <v>0</v>
      </c>
      <c r="AC622" s="44" t="n">
        <f aca="false">IF(AA622=1,Q622/H622,0)</f>
        <v>0</v>
      </c>
      <c r="AD622" s="44" t="n">
        <f aca="false">IF(AA622=1,R622/H622,0)</f>
        <v>0</v>
      </c>
      <c r="AE622" s="44" t="n">
        <f aca="false">IF(AA622=1,O622/H622,0)</f>
        <v>0</v>
      </c>
      <c r="AF622" s="44" t="n">
        <f aca="false">IF(AA622=1,K622/H622,0)</f>
        <v>0</v>
      </c>
      <c r="AG622" s="45" t="str">
        <f aca="false">IF(AA622=1,D622&amp;"|"&amp;TEXT(B622,"0"),"")</f>
        <v/>
      </c>
      <c r="AH622" s="43" t="n">
        <f aca="false">IF(AA622=1,H622,0)</f>
        <v>0</v>
      </c>
    </row>
    <row r="623" customFormat="false" ht="15" hidden="false" customHeight="false" outlineLevel="0" collapsed="false">
      <c r="A623" s="8" t="str">
        <f aca="false">IF(B623="","","B-"&amp;TEXT(ROW()-4,"0000"))</f>
        <v/>
      </c>
      <c r="B623" s="38"/>
      <c r="C623" s="38"/>
      <c r="D623" s="6"/>
      <c r="E623" s="6"/>
      <c r="F623" s="6"/>
      <c r="G623" s="11"/>
      <c r="H623" s="18" t="str">
        <f aca="false">IF(AND(ISNUMBER(B623),ISNUMBER(C623)),MAX(0,C623-B623),"")</f>
        <v/>
      </c>
      <c r="I623" s="37"/>
      <c r="J623" s="41" t="str">
        <f aca="false">IF(OR(D623="",N(H623)=0),"",IFERROR(IF(I623&lt;&gt;"",H623*I623,ROUND(((H623-(INT((WEEKDAY(B623-6)+H623-1)/7)+INT((WEEKDAY(B623-7)+H623-1)/7)))*INDEX(Properties!$E$5:$E$24,MATCH(D623,Properties!$A$5:$A$24,0))+(INT((WEEKDAY(B623-6)+H623-1)/7)+INT((WEEKDAY(B623-7)+H623-1)/7))*INDEX(Properties!$F$5:$F$24,MATCH(D623,Properties!$A$5:$A$24,0)))*(1-IF(H623&gt;=28,Settings!$B$10,IF(H623&gt;=7,Settings!$B$9,0))),2)),0))</f>
        <v/>
      </c>
      <c r="K623" s="41" t="str">
        <f aca="false">IF(J623="","",IFERROR(N(INDEX(Properties!$G$5:$G$24,MATCH(D623,Properties!$A$5:$A$24,0))),0))</f>
        <v/>
      </c>
      <c r="L623" s="41" t="str">
        <f aca="false">IF(J623="","",IFERROR(MAX(0,N(G623)-INDEX(Properties!$I$5:$I$24,MATCH(D623,Properties!$A$5:$A$24,0)))*N(INDEX(Properties!$J$5:$J$24,MATCH(D623,Properties!$A$5:$A$24,0)))*H623,0))</f>
        <v/>
      </c>
      <c r="M623" s="37"/>
      <c r="N623" s="41" t="str">
        <f aca="false">IF(J623="","",J623+K623+L623+N(M623))</f>
        <v/>
      </c>
      <c r="O623" s="41" t="str">
        <f aca="false">IF(N623="","",IF(P623&lt;&gt;"",N623-P623,ROUND(N623*IFERROR(INDEX(Settings!$E$5:$E$12,MATCH(F623,Settings!$D$5:$D$12,0)),0),2)))</f>
        <v/>
      </c>
      <c r="P623" s="37"/>
      <c r="Q623" s="41" t="str">
        <f aca="false">IF(N623="","",IF(P623&lt;&gt;"",P623,N623-O623))</f>
        <v/>
      </c>
      <c r="R623" s="41" t="str">
        <f aca="false">IF(J623="","",IFERROR(N(INDEX(Properties!$H$5:$H$24,MATCH(D623,Properties!$A$5:$A$24,0))),0))</f>
        <v/>
      </c>
      <c r="S623" s="41" t="str">
        <f aca="false">IF(Q623="","",Q623-R623)</f>
        <v/>
      </c>
      <c r="T623" s="6"/>
      <c r="U623" s="6"/>
      <c r="V623" s="6"/>
      <c r="W623" s="6"/>
      <c r="X623" s="6"/>
      <c r="Y623" s="8" t="str">
        <f aca="false">IF(OR(D623="",B623="",C623=""),"",IF(N(C623)&lt;=N(B623),"Check dates",IF(T623="Cancelled","",IF(COUNTIFS($D$5:$D$1004,D623,$B$5:$B$1004,"&lt;"&amp;C623,$C$5:$C$1004,"&gt;"&amp;B623,$T$5:$T$1004,"&lt;&gt;Cancelled")&gt;1,"Double-booked",""))))</f>
        <v/>
      </c>
      <c r="Z623" s="42" t="str">
        <f aca="false">IF(AND(AA623=1,ISNUMBER(C623)),C623+ROW()/100000,"")</f>
        <v/>
      </c>
      <c r="AA623" s="43" t="n">
        <f aca="false">IF(AND(D623&lt;&gt;"",ISNUMBER(B623),ISNUMBER(C623),N(H623)&gt;0,T623&lt;&gt;"Cancelled",J623&lt;&gt;""),1,0)</f>
        <v>0</v>
      </c>
      <c r="AB623" s="44" t="n">
        <f aca="false">IF(AA623=1,J623/H623,0)</f>
        <v>0</v>
      </c>
      <c r="AC623" s="44" t="n">
        <f aca="false">IF(AA623=1,Q623/H623,0)</f>
        <v>0</v>
      </c>
      <c r="AD623" s="44" t="n">
        <f aca="false">IF(AA623=1,R623/H623,0)</f>
        <v>0</v>
      </c>
      <c r="AE623" s="44" t="n">
        <f aca="false">IF(AA623=1,O623/H623,0)</f>
        <v>0</v>
      </c>
      <c r="AF623" s="44" t="n">
        <f aca="false">IF(AA623=1,K623/H623,0)</f>
        <v>0</v>
      </c>
      <c r="AG623" s="45" t="str">
        <f aca="false">IF(AA623=1,D623&amp;"|"&amp;TEXT(B623,"0"),"")</f>
        <v/>
      </c>
      <c r="AH623" s="43" t="n">
        <f aca="false">IF(AA623=1,H623,0)</f>
        <v>0</v>
      </c>
    </row>
    <row r="624" customFormat="false" ht="15" hidden="false" customHeight="false" outlineLevel="0" collapsed="false">
      <c r="A624" s="23" t="str">
        <f aca="false">IF(B624="","","B-"&amp;TEXT(ROW()-4,"0000"))</f>
        <v/>
      </c>
      <c r="B624" s="38"/>
      <c r="C624" s="38"/>
      <c r="D624" s="6"/>
      <c r="E624" s="6"/>
      <c r="F624" s="6"/>
      <c r="G624" s="11"/>
      <c r="H624" s="24" t="str">
        <f aca="false">IF(AND(ISNUMBER(B624),ISNUMBER(C624)),MAX(0,C624-B624),"")</f>
        <v/>
      </c>
      <c r="I624" s="37"/>
      <c r="J624" s="46" t="str">
        <f aca="false">IF(OR(D624="",N(H624)=0),"",IFERROR(IF(I624&lt;&gt;"",H624*I624,ROUND(((H624-(INT((WEEKDAY(B624-6)+H624-1)/7)+INT((WEEKDAY(B624-7)+H624-1)/7)))*INDEX(Properties!$E$5:$E$24,MATCH(D624,Properties!$A$5:$A$24,0))+(INT((WEEKDAY(B624-6)+H624-1)/7)+INT((WEEKDAY(B624-7)+H624-1)/7))*INDEX(Properties!$F$5:$F$24,MATCH(D624,Properties!$A$5:$A$24,0)))*(1-IF(H624&gt;=28,Settings!$B$10,IF(H624&gt;=7,Settings!$B$9,0))),2)),0))</f>
        <v/>
      </c>
      <c r="K624" s="46" t="str">
        <f aca="false">IF(J624="","",IFERROR(N(INDEX(Properties!$G$5:$G$24,MATCH(D624,Properties!$A$5:$A$24,0))),0))</f>
        <v/>
      </c>
      <c r="L624" s="46" t="str">
        <f aca="false">IF(J624="","",IFERROR(MAX(0,N(G624)-INDEX(Properties!$I$5:$I$24,MATCH(D624,Properties!$A$5:$A$24,0)))*N(INDEX(Properties!$J$5:$J$24,MATCH(D624,Properties!$A$5:$A$24,0)))*H624,0))</f>
        <v/>
      </c>
      <c r="M624" s="37"/>
      <c r="N624" s="46" t="str">
        <f aca="false">IF(J624="","",J624+K624+L624+N(M624))</f>
        <v/>
      </c>
      <c r="O624" s="46" t="str">
        <f aca="false">IF(N624="","",IF(P624&lt;&gt;"",N624-P624,ROUND(N624*IFERROR(INDEX(Settings!$E$5:$E$12,MATCH(F624,Settings!$D$5:$D$12,0)),0),2)))</f>
        <v/>
      </c>
      <c r="P624" s="37"/>
      <c r="Q624" s="46" t="str">
        <f aca="false">IF(N624="","",IF(P624&lt;&gt;"",P624,N624-O624))</f>
        <v/>
      </c>
      <c r="R624" s="46" t="str">
        <f aca="false">IF(J624="","",IFERROR(N(INDEX(Properties!$H$5:$H$24,MATCH(D624,Properties!$A$5:$A$24,0))),0))</f>
        <v/>
      </c>
      <c r="S624" s="46" t="str">
        <f aca="false">IF(Q624="","",Q624-R624)</f>
        <v/>
      </c>
      <c r="T624" s="6"/>
      <c r="U624" s="6"/>
      <c r="V624" s="6"/>
      <c r="W624" s="6"/>
      <c r="X624" s="6"/>
      <c r="Y624" s="8" t="str">
        <f aca="false">IF(OR(D624="",B624="",C624=""),"",IF(N(C624)&lt;=N(B624),"Check dates",IF(T624="Cancelled","",IF(COUNTIFS($D$5:$D$1004,D624,$B$5:$B$1004,"&lt;"&amp;C624,$C$5:$C$1004,"&gt;"&amp;B624,$T$5:$T$1004,"&lt;&gt;Cancelled")&gt;1,"Double-booked",""))))</f>
        <v/>
      </c>
      <c r="Z624" s="42" t="str">
        <f aca="false">IF(AND(AA624=1,ISNUMBER(C624)),C624+ROW()/100000,"")</f>
        <v/>
      </c>
      <c r="AA624" s="43" t="n">
        <f aca="false">IF(AND(D624&lt;&gt;"",ISNUMBER(B624),ISNUMBER(C624),N(H624)&gt;0,T624&lt;&gt;"Cancelled",J624&lt;&gt;""),1,0)</f>
        <v>0</v>
      </c>
      <c r="AB624" s="44" t="n">
        <f aca="false">IF(AA624=1,J624/H624,0)</f>
        <v>0</v>
      </c>
      <c r="AC624" s="44" t="n">
        <f aca="false">IF(AA624=1,Q624/H624,0)</f>
        <v>0</v>
      </c>
      <c r="AD624" s="44" t="n">
        <f aca="false">IF(AA624=1,R624/H624,0)</f>
        <v>0</v>
      </c>
      <c r="AE624" s="44" t="n">
        <f aca="false">IF(AA624=1,O624/H624,0)</f>
        <v>0</v>
      </c>
      <c r="AF624" s="44" t="n">
        <f aca="false">IF(AA624=1,K624/H624,0)</f>
        <v>0</v>
      </c>
      <c r="AG624" s="45" t="str">
        <f aca="false">IF(AA624=1,D624&amp;"|"&amp;TEXT(B624,"0"),"")</f>
        <v/>
      </c>
      <c r="AH624" s="43" t="n">
        <f aca="false">IF(AA624=1,H624,0)</f>
        <v>0</v>
      </c>
    </row>
    <row r="625" customFormat="false" ht="15" hidden="false" customHeight="false" outlineLevel="0" collapsed="false">
      <c r="A625" s="8" t="str">
        <f aca="false">IF(B625="","","B-"&amp;TEXT(ROW()-4,"0000"))</f>
        <v/>
      </c>
      <c r="B625" s="38"/>
      <c r="C625" s="38"/>
      <c r="D625" s="6"/>
      <c r="E625" s="6"/>
      <c r="F625" s="6"/>
      <c r="G625" s="11"/>
      <c r="H625" s="18" t="str">
        <f aca="false">IF(AND(ISNUMBER(B625),ISNUMBER(C625)),MAX(0,C625-B625),"")</f>
        <v/>
      </c>
      <c r="I625" s="37"/>
      <c r="J625" s="41" t="str">
        <f aca="false">IF(OR(D625="",N(H625)=0),"",IFERROR(IF(I625&lt;&gt;"",H625*I625,ROUND(((H625-(INT((WEEKDAY(B625-6)+H625-1)/7)+INT((WEEKDAY(B625-7)+H625-1)/7)))*INDEX(Properties!$E$5:$E$24,MATCH(D625,Properties!$A$5:$A$24,0))+(INT((WEEKDAY(B625-6)+H625-1)/7)+INT((WEEKDAY(B625-7)+H625-1)/7))*INDEX(Properties!$F$5:$F$24,MATCH(D625,Properties!$A$5:$A$24,0)))*(1-IF(H625&gt;=28,Settings!$B$10,IF(H625&gt;=7,Settings!$B$9,0))),2)),0))</f>
        <v/>
      </c>
      <c r="K625" s="41" t="str">
        <f aca="false">IF(J625="","",IFERROR(N(INDEX(Properties!$G$5:$G$24,MATCH(D625,Properties!$A$5:$A$24,0))),0))</f>
        <v/>
      </c>
      <c r="L625" s="41" t="str">
        <f aca="false">IF(J625="","",IFERROR(MAX(0,N(G625)-INDEX(Properties!$I$5:$I$24,MATCH(D625,Properties!$A$5:$A$24,0)))*N(INDEX(Properties!$J$5:$J$24,MATCH(D625,Properties!$A$5:$A$24,0)))*H625,0))</f>
        <v/>
      </c>
      <c r="M625" s="37"/>
      <c r="N625" s="41" t="str">
        <f aca="false">IF(J625="","",J625+K625+L625+N(M625))</f>
        <v/>
      </c>
      <c r="O625" s="41" t="str">
        <f aca="false">IF(N625="","",IF(P625&lt;&gt;"",N625-P625,ROUND(N625*IFERROR(INDEX(Settings!$E$5:$E$12,MATCH(F625,Settings!$D$5:$D$12,0)),0),2)))</f>
        <v/>
      </c>
      <c r="P625" s="37"/>
      <c r="Q625" s="41" t="str">
        <f aca="false">IF(N625="","",IF(P625&lt;&gt;"",P625,N625-O625))</f>
        <v/>
      </c>
      <c r="R625" s="41" t="str">
        <f aca="false">IF(J625="","",IFERROR(N(INDEX(Properties!$H$5:$H$24,MATCH(D625,Properties!$A$5:$A$24,0))),0))</f>
        <v/>
      </c>
      <c r="S625" s="41" t="str">
        <f aca="false">IF(Q625="","",Q625-R625)</f>
        <v/>
      </c>
      <c r="T625" s="6"/>
      <c r="U625" s="6"/>
      <c r="V625" s="6"/>
      <c r="W625" s="6"/>
      <c r="X625" s="6"/>
      <c r="Y625" s="8" t="str">
        <f aca="false">IF(OR(D625="",B625="",C625=""),"",IF(N(C625)&lt;=N(B625),"Check dates",IF(T625="Cancelled","",IF(COUNTIFS($D$5:$D$1004,D625,$B$5:$B$1004,"&lt;"&amp;C625,$C$5:$C$1004,"&gt;"&amp;B625,$T$5:$T$1004,"&lt;&gt;Cancelled")&gt;1,"Double-booked",""))))</f>
        <v/>
      </c>
      <c r="Z625" s="42" t="str">
        <f aca="false">IF(AND(AA625=1,ISNUMBER(C625)),C625+ROW()/100000,"")</f>
        <v/>
      </c>
      <c r="AA625" s="43" t="n">
        <f aca="false">IF(AND(D625&lt;&gt;"",ISNUMBER(B625),ISNUMBER(C625),N(H625)&gt;0,T625&lt;&gt;"Cancelled",J625&lt;&gt;""),1,0)</f>
        <v>0</v>
      </c>
      <c r="AB625" s="44" t="n">
        <f aca="false">IF(AA625=1,J625/H625,0)</f>
        <v>0</v>
      </c>
      <c r="AC625" s="44" t="n">
        <f aca="false">IF(AA625=1,Q625/H625,0)</f>
        <v>0</v>
      </c>
      <c r="AD625" s="44" t="n">
        <f aca="false">IF(AA625=1,R625/H625,0)</f>
        <v>0</v>
      </c>
      <c r="AE625" s="44" t="n">
        <f aca="false">IF(AA625=1,O625/H625,0)</f>
        <v>0</v>
      </c>
      <c r="AF625" s="44" t="n">
        <f aca="false">IF(AA625=1,K625/H625,0)</f>
        <v>0</v>
      </c>
      <c r="AG625" s="45" t="str">
        <f aca="false">IF(AA625=1,D625&amp;"|"&amp;TEXT(B625,"0"),"")</f>
        <v/>
      </c>
      <c r="AH625" s="43" t="n">
        <f aca="false">IF(AA625=1,H625,0)</f>
        <v>0</v>
      </c>
    </row>
    <row r="626" customFormat="false" ht="15" hidden="false" customHeight="false" outlineLevel="0" collapsed="false">
      <c r="A626" s="23" t="str">
        <f aca="false">IF(B626="","","B-"&amp;TEXT(ROW()-4,"0000"))</f>
        <v/>
      </c>
      <c r="B626" s="38"/>
      <c r="C626" s="38"/>
      <c r="D626" s="6"/>
      <c r="E626" s="6"/>
      <c r="F626" s="6"/>
      <c r="G626" s="11"/>
      <c r="H626" s="24" t="str">
        <f aca="false">IF(AND(ISNUMBER(B626),ISNUMBER(C626)),MAX(0,C626-B626),"")</f>
        <v/>
      </c>
      <c r="I626" s="37"/>
      <c r="J626" s="46" t="str">
        <f aca="false">IF(OR(D626="",N(H626)=0),"",IFERROR(IF(I626&lt;&gt;"",H626*I626,ROUND(((H626-(INT((WEEKDAY(B626-6)+H626-1)/7)+INT((WEEKDAY(B626-7)+H626-1)/7)))*INDEX(Properties!$E$5:$E$24,MATCH(D626,Properties!$A$5:$A$24,0))+(INT((WEEKDAY(B626-6)+H626-1)/7)+INT((WEEKDAY(B626-7)+H626-1)/7))*INDEX(Properties!$F$5:$F$24,MATCH(D626,Properties!$A$5:$A$24,0)))*(1-IF(H626&gt;=28,Settings!$B$10,IF(H626&gt;=7,Settings!$B$9,0))),2)),0))</f>
        <v/>
      </c>
      <c r="K626" s="46" t="str">
        <f aca="false">IF(J626="","",IFERROR(N(INDEX(Properties!$G$5:$G$24,MATCH(D626,Properties!$A$5:$A$24,0))),0))</f>
        <v/>
      </c>
      <c r="L626" s="46" t="str">
        <f aca="false">IF(J626="","",IFERROR(MAX(0,N(G626)-INDEX(Properties!$I$5:$I$24,MATCH(D626,Properties!$A$5:$A$24,0)))*N(INDEX(Properties!$J$5:$J$24,MATCH(D626,Properties!$A$5:$A$24,0)))*H626,0))</f>
        <v/>
      </c>
      <c r="M626" s="37"/>
      <c r="N626" s="46" t="str">
        <f aca="false">IF(J626="","",J626+K626+L626+N(M626))</f>
        <v/>
      </c>
      <c r="O626" s="46" t="str">
        <f aca="false">IF(N626="","",IF(P626&lt;&gt;"",N626-P626,ROUND(N626*IFERROR(INDEX(Settings!$E$5:$E$12,MATCH(F626,Settings!$D$5:$D$12,0)),0),2)))</f>
        <v/>
      </c>
      <c r="P626" s="37"/>
      <c r="Q626" s="46" t="str">
        <f aca="false">IF(N626="","",IF(P626&lt;&gt;"",P626,N626-O626))</f>
        <v/>
      </c>
      <c r="R626" s="46" t="str">
        <f aca="false">IF(J626="","",IFERROR(N(INDEX(Properties!$H$5:$H$24,MATCH(D626,Properties!$A$5:$A$24,0))),0))</f>
        <v/>
      </c>
      <c r="S626" s="46" t="str">
        <f aca="false">IF(Q626="","",Q626-R626)</f>
        <v/>
      </c>
      <c r="T626" s="6"/>
      <c r="U626" s="6"/>
      <c r="V626" s="6"/>
      <c r="W626" s="6"/>
      <c r="X626" s="6"/>
      <c r="Y626" s="8" t="str">
        <f aca="false">IF(OR(D626="",B626="",C626=""),"",IF(N(C626)&lt;=N(B626),"Check dates",IF(T626="Cancelled","",IF(COUNTIFS($D$5:$D$1004,D626,$B$5:$B$1004,"&lt;"&amp;C626,$C$5:$C$1004,"&gt;"&amp;B626,$T$5:$T$1004,"&lt;&gt;Cancelled")&gt;1,"Double-booked",""))))</f>
        <v/>
      </c>
      <c r="Z626" s="42" t="str">
        <f aca="false">IF(AND(AA626=1,ISNUMBER(C626)),C626+ROW()/100000,"")</f>
        <v/>
      </c>
      <c r="AA626" s="43" t="n">
        <f aca="false">IF(AND(D626&lt;&gt;"",ISNUMBER(B626),ISNUMBER(C626),N(H626)&gt;0,T626&lt;&gt;"Cancelled",J626&lt;&gt;""),1,0)</f>
        <v>0</v>
      </c>
      <c r="AB626" s="44" t="n">
        <f aca="false">IF(AA626=1,J626/H626,0)</f>
        <v>0</v>
      </c>
      <c r="AC626" s="44" t="n">
        <f aca="false">IF(AA626=1,Q626/H626,0)</f>
        <v>0</v>
      </c>
      <c r="AD626" s="44" t="n">
        <f aca="false">IF(AA626=1,R626/H626,0)</f>
        <v>0</v>
      </c>
      <c r="AE626" s="44" t="n">
        <f aca="false">IF(AA626=1,O626/H626,0)</f>
        <v>0</v>
      </c>
      <c r="AF626" s="44" t="n">
        <f aca="false">IF(AA626=1,K626/H626,0)</f>
        <v>0</v>
      </c>
      <c r="AG626" s="45" t="str">
        <f aca="false">IF(AA626=1,D626&amp;"|"&amp;TEXT(B626,"0"),"")</f>
        <v/>
      </c>
      <c r="AH626" s="43" t="n">
        <f aca="false">IF(AA626=1,H626,0)</f>
        <v>0</v>
      </c>
    </row>
    <row r="627" customFormat="false" ht="15" hidden="false" customHeight="false" outlineLevel="0" collapsed="false">
      <c r="A627" s="8" t="str">
        <f aca="false">IF(B627="","","B-"&amp;TEXT(ROW()-4,"0000"))</f>
        <v/>
      </c>
      <c r="B627" s="38"/>
      <c r="C627" s="38"/>
      <c r="D627" s="6"/>
      <c r="E627" s="6"/>
      <c r="F627" s="6"/>
      <c r="G627" s="11"/>
      <c r="H627" s="18" t="str">
        <f aca="false">IF(AND(ISNUMBER(B627),ISNUMBER(C627)),MAX(0,C627-B627),"")</f>
        <v/>
      </c>
      <c r="I627" s="37"/>
      <c r="J627" s="41" t="str">
        <f aca="false">IF(OR(D627="",N(H627)=0),"",IFERROR(IF(I627&lt;&gt;"",H627*I627,ROUND(((H627-(INT((WEEKDAY(B627-6)+H627-1)/7)+INT((WEEKDAY(B627-7)+H627-1)/7)))*INDEX(Properties!$E$5:$E$24,MATCH(D627,Properties!$A$5:$A$24,0))+(INT((WEEKDAY(B627-6)+H627-1)/7)+INT((WEEKDAY(B627-7)+H627-1)/7))*INDEX(Properties!$F$5:$F$24,MATCH(D627,Properties!$A$5:$A$24,0)))*(1-IF(H627&gt;=28,Settings!$B$10,IF(H627&gt;=7,Settings!$B$9,0))),2)),0))</f>
        <v/>
      </c>
      <c r="K627" s="41" t="str">
        <f aca="false">IF(J627="","",IFERROR(N(INDEX(Properties!$G$5:$G$24,MATCH(D627,Properties!$A$5:$A$24,0))),0))</f>
        <v/>
      </c>
      <c r="L627" s="41" t="str">
        <f aca="false">IF(J627="","",IFERROR(MAX(0,N(G627)-INDEX(Properties!$I$5:$I$24,MATCH(D627,Properties!$A$5:$A$24,0)))*N(INDEX(Properties!$J$5:$J$24,MATCH(D627,Properties!$A$5:$A$24,0)))*H627,0))</f>
        <v/>
      </c>
      <c r="M627" s="37"/>
      <c r="N627" s="41" t="str">
        <f aca="false">IF(J627="","",J627+K627+L627+N(M627))</f>
        <v/>
      </c>
      <c r="O627" s="41" t="str">
        <f aca="false">IF(N627="","",IF(P627&lt;&gt;"",N627-P627,ROUND(N627*IFERROR(INDEX(Settings!$E$5:$E$12,MATCH(F627,Settings!$D$5:$D$12,0)),0),2)))</f>
        <v/>
      </c>
      <c r="P627" s="37"/>
      <c r="Q627" s="41" t="str">
        <f aca="false">IF(N627="","",IF(P627&lt;&gt;"",P627,N627-O627))</f>
        <v/>
      </c>
      <c r="R627" s="41" t="str">
        <f aca="false">IF(J627="","",IFERROR(N(INDEX(Properties!$H$5:$H$24,MATCH(D627,Properties!$A$5:$A$24,0))),0))</f>
        <v/>
      </c>
      <c r="S627" s="41" t="str">
        <f aca="false">IF(Q627="","",Q627-R627)</f>
        <v/>
      </c>
      <c r="T627" s="6"/>
      <c r="U627" s="6"/>
      <c r="V627" s="6"/>
      <c r="W627" s="6"/>
      <c r="X627" s="6"/>
      <c r="Y627" s="8" t="str">
        <f aca="false">IF(OR(D627="",B627="",C627=""),"",IF(N(C627)&lt;=N(B627),"Check dates",IF(T627="Cancelled","",IF(COUNTIFS($D$5:$D$1004,D627,$B$5:$B$1004,"&lt;"&amp;C627,$C$5:$C$1004,"&gt;"&amp;B627,$T$5:$T$1004,"&lt;&gt;Cancelled")&gt;1,"Double-booked",""))))</f>
        <v/>
      </c>
      <c r="Z627" s="42" t="str">
        <f aca="false">IF(AND(AA627=1,ISNUMBER(C627)),C627+ROW()/100000,"")</f>
        <v/>
      </c>
      <c r="AA627" s="43" t="n">
        <f aca="false">IF(AND(D627&lt;&gt;"",ISNUMBER(B627),ISNUMBER(C627),N(H627)&gt;0,T627&lt;&gt;"Cancelled",J627&lt;&gt;""),1,0)</f>
        <v>0</v>
      </c>
      <c r="AB627" s="44" t="n">
        <f aca="false">IF(AA627=1,J627/H627,0)</f>
        <v>0</v>
      </c>
      <c r="AC627" s="44" t="n">
        <f aca="false">IF(AA627=1,Q627/H627,0)</f>
        <v>0</v>
      </c>
      <c r="AD627" s="44" t="n">
        <f aca="false">IF(AA627=1,R627/H627,0)</f>
        <v>0</v>
      </c>
      <c r="AE627" s="44" t="n">
        <f aca="false">IF(AA627=1,O627/H627,0)</f>
        <v>0</v>
      </c>
      <c r="AF627" s="44" t="n">
        <f aca="false">IF(AA627=1,K627/H627,0)</f>
        <v>0</v>
      </c>
      <c r="AG627" s="45" t="str">
        <f aca="false">IF(AA627=1,D627&amp;"|"&amp;TEXT(B627,"0"),"")</f>
        <v/>
      </c>
      <c r="AH627" s="43" t="n">
        <f aca="false">IF(AA627=1,H627,0)</f>
        <v>0</v>
      </c>
    </row>
    <row r="628" customFormat="false" ht="15" hidden="false" customHeight="false" outlineLevel="0" collapsed="false">
      <c r="A628" s="23" t="str">
        <f aca="false">IF(B628="","","B-"&amp;TEXT(ROW()-4,"0000"))</f>
        <v/>
      </c>
      <c r="B628" s="38"/>
      <c r="C628" s="38"/>
      <c r="D628" s="6"/>
      <c r="E628" s="6"/>
      <c r="F628" s="6"/>
      <c r="G628" s="11"/>
      <c r="H628" s="24" t="str">
        <f aca="false">IF(AND(ISNUMBER(B628),ISNUMBER(C628)),MAX(0,C628-B628),"")</f>
        <v/>
      </c>
      <c r="I628" s="37"/>
      <c r="J628" s="46" t="str">
        <f aca="false">IF(OR(D628="",N(H628)=0),"",IFERROR(IF(I628&lt;&gt;"",H628*I628,ROUND(((H628-(INT((WEEKDAY(B628-6)+H628-1)/7)+INT((WEEKDAY(B628-7)+H628-1)/7)))*INDEX(Properties!$E$5:$E$24,MATCH(D628,Properties!$A$5:$A$24,0))+(INT((WEEKDAY(B628-6)+H628-1)/7)+INT((WEEKDAY(B628-7)+H628-1)/7))*INDEX(Properties!$F$5:$F$24,MATCH(D628,Properties!$A$5:$A$24,0)))*(1-IF(H628&gt;=28,Settings!$B$10,IF(H628&gt;=7,Settings!$B$9,0))),2)),0))</f>
        <v/>
      </c>
      <c r="K628" s="46" t="str">
        <f aca="false">IF(J628="","",IFERROR(N(INDEX(Properties!$G$5:$G$24,MATCH(D628,Properties!$A$5:$A$24,0))),0))</f>
        <v/>
      </c>
      <c r="L628" s="46" t="str">
        <f aca="false">IF(J628="","",IFERROR(MAX(0,N(G628)-INDEX(Properties!$I$5:$I$24,MATCH(D628,Properties!$A$5:$A$24,0)))*N(INDEX(Properties!$J$5:$J$24,MATCH(D628,Properties!$A$5:$A$24,0)))*H628,0))</f>
        <v/>
      </c>
      <c r="M628" s="37"/>
      <c r="N628" s="46" t="str">
        <f aca="false">IF(J628="","",J628+K628+L628+N(M628))</f>
        <v/>
      </c>
      <c r="O628" s="46" t="str">
        <f aca="false">IF(N628="","",IF(P628&lt;&gt;"",N628-P628,ROUND(N628*IFERROR(INDEX(Settings!$E$5:$E$12,MATCH(F628,Settings!$D$5:$D$12,0)),0),2)))</f>
        <v/>
      </c>
      <c r="P628" s="37"/>
      <c r="Q628" s="46" t="str">
        <f aca="false">IF(N628="","",IF(P628&lt;&gt;"",P628,N628-O628))</f>
        <v/>
      </c>
      <c r="R628" s="46" t="str">
        <f aca="false">IF(J628="","",IFERROR(N(INDEX(Properties!$H$5:$H$24,MATCH(D628,Properties!$A$5:$A$24,0))),0))</f>
        <v/>
      </c>
      <c r="S628" s="46" t="str">
        <f aca="false">IF(Q628="","",Q628-R628)</f>
        <v/>
      </c>
      <c r="T628" s="6"/>
      <c r="U628" s="6"/>
      <c r="V628" s="6"/>
      <c r="W628" s="6"/>
      <c r="X628" s="6"/>
      <c r="Y628" s="8" t="str">
        <f aca="false">IF(OR(D628="",B628="",C628=""),"",IF(N(C628)&lt;=N(B628),"Check dates",IF(T628="Cancelled","",IF(COUNTIFS($D$5:$D$1004,D628,$B$5:$B$1004,"&lt;"&amp;C628,$C$5:$C$1004,"&gt;"&amp;B628,$T$5:$T$1004,"&lt;&gt;Cancelled")&gt;1,"Double-booked",""))))</f>
        <v/>
      </c>
      <c r="Z628" s="42" t="str">
        <f aca="false">IF(AND(AA628=1,ISNUMBER(C628)),C628+ROW()/100000,"")</f>
        <v/>
      </c>
      <c r="AA628" s="43" t="n">
        <f aca="false">IF(AND(D628&lt;&gt;"",ISNUMBER(B628),ISNUMBER(C628),N(H628)&gt;0,T628&lt;&gt;"Cancelled",J628&lt;&gt;""),1,0)</f>
        <v>0</v>
      </c>
      <c r="AB628" s="44" t="n">
        <f aca="false">IF(AA628=1,J628/H628,0)</f>
        <v>0</v>
      </c>
      <c r="AC628" s="44" t="n">
        <f aca="false">IF(AA628=1,Q628/H628,0)</f>
        <v>0</v>
      </c>
      <c r="AD628" s="44" t="n">
        <f aca="false">IF(AA628=1,R628/H628,0)</f>
        <v>0</v>
      </c>
      <c r="AE628" s="44" t="n">
        <f aca="false">IF(AA628=1,O628/H628,0)</f>
        <v>0</v>
      </c>
      <c r="AF628" s="44" t="n">
        <f aca="false">IF(AA628=1,K628/H628,0)</f>
        <v>0</v>
      </c>
      <c r="AG628" s="45" t="str">
        <f aca="false">IF(AA628=1,D628&amp;"|"&amp;TEXT(B628,"0"),"")</f>
        <v/>
      </c>
      <c r="AH628" s="43" t="n">
        <f aca="false">IF(AA628=1,H628,0)</f>
        <v>0</v>
      </c>
    </row>
    <row r="629" customFormat="false" ht="15" hidden="false" customHeight="false" outlineLevel="0" collapsed="false">
      <c r="A629" s="8" t="str">
        <f aca="false">IF(B629="","","B-"&amp;TEXT(ROW()-4,"0000"))</f>
        <v/>
      </c>
      <c r="B629" s="38"/>
      <c r="C629" s="38"/>
      <c r="D629" s="6"/>
      <c r="E629" s="6"/>
      <c r="F629" s="6"/>
      <c r="G629" s="11"/>
      <c r="H629" s="18" t="str">
        <f aca="false">IF(AND(ISNUMBER(B629),ISNUMBER(C629)),MAX(0,C629-B629),"")</f>
        <v/>
      </c>
      <c r="I629" s="37"/>
      <c r="J629" s="41" t="str">
        <f aca="false">IF(OR(D629="",N(H629)=0),"",IFERROR(IF(I629&lt;&gt;"",H629*I629,ROUND(((H629-(INT((WEEKDAY(B629-6)+H629-1)/7)+INT((WEEKDAY(B629-7)+H629-1)/7)))*INDEX(Properties!$E$5:$E$24,MATCH(D629,Properties!$A$5:$A$24,0))+(INT((WEEKDAY(B629-6)+H629-1)/7)+INT((WEEKDAY(B629-7)+H629-1)/7))*INDEX(Properties!$F$5:$F$24,MATCH(D629,Properties!$A$5:$A$24,0)))*(1-IF(H629&gt;=28,Settings!$B$10,IF(H629&gt;=7,Settings!$B$9,0))),2)),0))</f>
        <v/>
      </c>
      <c r="K629" s="41" t="str">
        <f aca="false">IF(J629="","",IFERROR(N(INDEX(Properties!$G$5:$G$24,MATCH(D629,Properties!$A$5:$A$24,0))),0))</f>
        <v/>
      </c>
      <c r="L629" s="41" t="str">
        <f aca="false">IF(J629="","",IFERROR(MAX(0,N(G629)-INDEX(Properties!$I$5:$I$24,MATCH(D629,Properties!$A$5:$A$24,0)))*N(INDEX(Properties!$J$5:$J$24,MATCH(D629,Properties!$A$5:$A$24,0)))*H629,0))</f>
        <v/>
      </c>
      <c r="M629" s="37"/>
      <c r="N629" s="41" t="str">
        <f aca="false">IF(J629="","",J629+K629+L629+N(M629))</f>
        <v/>
      </c>
      <c r="O629" s="41" t="str">
        <f aca="false">IF(N629="","",IF(P629&lt;&gt;"",N629-P629,ROUND(N629*IFERROR(INDEX(Settings!$E$5:$E$12,MATCH(F629,Settings!$D$5:$D$12,0)),0),2)))</f>
        <v/>
      </c>
      <c r="P629" s="37"/>
      <c r="Q629" s="41" t="str">
        <f aca="false">IF(N629="","",IF(P629&lt;&gt;"",P629,N629-O629))</f>
        <v/>
      </c>
      <c r="R629" s="41" t="str">
        <f aca="false">IF(J629="","",IFERROR(N(INDEX(Properties!$H$5:$H$24,MATCH(D629,Properties!$A$5:$A$24,0))),0))</f>
        <v/>
      </c>
      <c r="S629" s="41" t="str">
        <f aca="false">IF(Q629="","",Q629-R629)</f>
        <v/>
      </c>
      <c r="T629" s="6"/>
      <c r="U629" s="6"/>
      <c r="V629" s="6"/>
      <c r="W629" s="6"/>
      <c r="X629" s="6"/>
      <c r="Y629" s="8" t="str">
        <f aca="false">IF(OR(D629="",B629="",C629=""),"",IF(N(C629)&lt;=N(B629),"Check dates",IF(T629="Cancelled","",IF(COUNTIFS($D$5:$D$1004,D629,$B$5:$B$1004,"&lt;"&amp;C629,$C$5:$C$1004,"&gt;"&amp;B629,$T$5:$T$1004,"&lt;&gt;Cancelled")&gt;1,"Double-booked",""))))</f>
        <v/>
      </c>
      <c r="Z629" s="42" t="str">
        <f aca="false">IF(AND(AA629=1,ISNUMBER(C629)),C629+ROW()/100000,"")</f>
        <v/>
      </c>
      <c r="AA629" s="43" t="n">
        <f aca="false">IF(AND(D629&lt;&gt;"",ISNUMBER(B629),ISNUMBER(C629),N(H629)&gt;0,T629&lt;&gt;"Cancelled",J629&lt;&gt;""),1,0)</f>
        <v>0</v>
      </c>
      <c r="AB629" s="44" t="n">
        <f aca="false">IF(AA629=1,J629/H629,0)</f>
        <v>0</v>
      </c>
      <c r="AC629" s="44" t="n">
        <f aca="false">IF(AA629=1,Q629/H629,0)</f>
        <v>0</v>
      </c>
      <c r="AD629" s="44" t="n">
        <f aca="false">IF(AA629=1,R629/H629,0)</f>
        <v>0</v>
      </c>
      <c r="AE629" s="44" t="n">
        <f aca="false">IF(AA629=1,O629/H629,0)</f>
        <v>0</v>
      </c>
      <c r="AF629" s="44" t="n">
        <f aca="false">IF(AA629=1,K629/H629,0)</f>
        <v>0</v>
      </c>
      <c r="AG629" s="45" t="str">
        <f aca="false">IF(AA629=1,D629&amp;"|"&amp;TEXT(B629,"0"),"")</f>
        <v/>
      </c>
      <c r="AH629" s="43" t="n">
        <f aca="false">IF(AA629=1,H629,0)</f>
        <v>0</v>
      </c>
    </row>
    <row r="630" customFormat="false" ht="15" hidden="false" customHeight="false" outlineLevel="0" collapsed="false">
      <c r="A630" s="23" t="str">
        <f aca="false">IF(B630="","","B-"&amp;TEXT(ROW()-4,"0000"))</f>
        <v/>
      </c>
      <c r="B630" s="38"/>
      <c r="C630" s="38"/>
      <c r="D630" s="6"/>
      <c r="E630" s="6"/>
      <c r="F630" s="6"/>
      <c r="G630" s="11"/>
      <c r="H630" s="24" t="str">
        <f aca="false">IF(AND(ISNUMBER(B630),ISNUMBER(C630)),MAX(0,C630-B630),"")</f>
        <v/>
      </c>
      <c r="I630" s="37"/>
      <c r="J630" s="46" t="str">
        <f aca="false">IF(OR(D630="",N(H630)=0),"",IFERROR(IF(I630&lt;&gt;"",H630*I630,ROUND(((H630-(INT((WEEKDAY(B630-6)+H630-1)/7)+INT((WEEKDAY(B630-7)+H630-1)/7)))*INDEX(Properties!$E$5:$E$24,MATCH(D630,Properties!$A$5:$A$24,0))+(INT((WEEKDAY(B630-6)+H630-1)/7)+INT((WEEKDAY(B630-7)+H630-1)/7))*INDEX(Properties!$F$5:$F$24,MATCH(D630,Properties!$A$5:$A$24,0)))*(1-IF(H630&gt;=28,Settings!$B$10,IF(H630&gt;=7,Settings!$B$9,0))),2)),0))</f>
        <v/>
      </c>
      <c r="K630" s="46" t="str">
        <f aca="false">IF(J630="","",IFERROR(N(INDEX(Properties!$G$5:$G$24,MATCH(D630,Properties!$A$5:$A$24,0))),0))</f>
        <v/>
      </c>
      <c r="L630" s="46" t="str">
        <f aca="false">IF(J630="","",IFERROR(MAX(0,N(G630)-INDEX(Properties!$I$5:$I$24,MATCH(D630,Properties!$A$5:$A$24,0)))*N(INDEX(Properties!$J$5:$J$24,MATCH(D630,Properties!$A$5:$A$24,0)))*H630,0))</f>
        <v/>
      </c>
      <c r="M630" s="37"/>
      <c r="N630" s="46" t="str">
        <f aca="false">IF(J630="","",J630+K630+L630+N(M630))</f>
        <v/>
      </c>
      <c r="O630" s="46" t="str">
        <f aca="false">IF(N630="","",IF(P630&lt;&gt;"",N630-P630,ROUND(N630*IFERROR(INDEX(Settings!$E$5:$E$12,MATCH(F630,Settings!$D$5:$D$12,0)),0),2)))</f>
        <v/>
      </c>
      <c r="P630" s="37"/>
      <c r="Q630" s="46" t="str">
        <f aca="false">IF(N630="","",IF(P630&lt;&gt;"",P630,N630-O630))</f>
        <v/>
      </c>
      <c r="R630" s="46" t="str">
        <f aca="false">IF(J630="","",IFERROR(N(INDEX(Properties!$H$5:$H$24,MATCH(D630,Properties!$A$5:$A$24,0))),0))</f>
        <v/>
      </c>
      <c r="S630" s="46" t="str">
        <f aca="false">IF(Q630="","",Q630-R630)</f>
        <v/>
      </c>
      <c r="T630" s="6"/>
      <c r="U630" s="6"/>
      <c r="V630" s="6"/>
      <c r="W630" s="6"/>
      <c r="X630" s="6"/>
      <c r="Y630" s="8" t="str">
        <f aca="false">IF(OR(D630="",B630="",C630=""),"",IF(N(C630)&lt;=N(B630),"Check dates",IF(T630="Cancelled","",IF(COUNTIFS($D$5:$D$1004,D630,$B$5:$B$1004,"&lt;"&amp;C630,$C$5:$C$1004,"&gt;"&amp;B630,$T$5:$T$1004,"&lt;&gt;Cancelled")&gt;1,"Double-booked",""))))</f>
        <v/>
      </c>
      <c r="Z630" s="42" t="str">
        <f aca="false">IF(AND(AA630=1,ISNUMBER(C630)),C630+ROW()/100000,"")</f>
        <v/>
      </c>
      <c r="AA630" s="43" t="n">
        <f aca="false">IF(AND(D630&lt;&gt;"",ISNUMBER(B630),ISNUMBER(C630),N(H630)&gt;0,T630&lt;&gt;"Cancelled",J630&lt;&gt;""),1,0)</f>
        <v>0</v>
      </c>
      <c r="AB630" s="44" t="n">
        <f aca="false">IF(AA630=1,J630/H630,0)</f>
        <v>0</v>
      </c>
      <c r="AC630" s="44" t="n">
        <f aca="false">IF(AA630=1,Q630/H630,0)</f>
        <v>0</v>
      </c>
      <c r="AD630" s="44" t="n">
        <f aca="false">IF(AA630=1,R630/H630,0)</f>
        <v>0</v>
      </c>
      <c r="AE630" s="44" t="n">
        <f aca="false">IF(AA630=1,O630/H630,0)</f>
        <v>0</v>
      </c>
      <c r="AF630" s="44" t="n">
        <f aca="false">IF(AA630=1,K630/H630,0)</f>
        <v>0</v>
      </c>
      <c r="AG630" s="45" t="str">
        <f aca="false">IF(AA630=1,D630&amp;"|"&amp;TEXT(B630,"0"),"")</f>
        <v/>
      </c>
      <c r="AH630" s="43" t="n">
        <f aca="false">IF(AA630=1,H630,0)</f>
        <v>0</v>
      </c>
    </row>
    <row r="631" customFormat="false" ht="15" hidden="false" customHeight="false" outlineLevel="0" collapsed="false">
      <c r="A631" s="8" t="str">
        <f aca="false">IF(B631="","","B-"&amp;TEXT(ROW()-4,"0000"))</f>
        <v/>
      </c>
      <c r="B631" s="38"/>
      <c r="C631" s="38"/>
      <c r="D631" s="6"/>
      <c r="E631" s="6"/>
      <c r="F631" s="6"/>
      <c r="G631" s="11"/>
      <c r="H631" s="18" t="str">
        <f aca="false">IF(AND(ISNUMBER(B631),ISNUMBER(C631)),MAX(0,C631-B631),"")</f>
        <v/>
      </c>
      <c r="I631" s="37"/>
      <c r="J631" s="41" t="str">
        <f aca="false">IF(OR(D631="",N(H631)=0),"",IFERROR(IF(I631&lt;&gt;"",H631*I631,ROUND(((H631-(INT((WEEKDAY(B631-6)+H631-1)/7)+INT((WEEKDAY(B631-7)+H631-1)/7)))*INDEX(Properties!$E$5:$E$24,MATCH(D631,Properties!$A$5:$A$24,0))+(INT((WEEKDAY(B631-6)+H631-1)/7)+INT((WEEKDAY(B631-7)+H631-1)/7))*INDEX(Properties!$F$5:$F$24,MATCH(D631,Properties!$A$5:$A$24,0)))*(1-IF(H631&gt;=28,Settings!$B$10,IF(H631&gt;=7,Settings!$B$9,0))),2)),0))</f>
        <v/>
      </c>
      <c r="K631" s="41" t="str">
        <f aca="false">IF(J631="","",IFERROR(N(INDEX(Properties!$G$5:$G$24,MATCH(D631,Properties!$A$5:$A$24,0))),0))</f>
        <v/>
      </c>
      <c r="L631" s="41" t="str">
        <f aca="false">IF(J631="","",IFERROR(MAX(0,N(G631)-INDEX(Properties!$I$5:$I$24,MATCH(D631,Properties!$A$5:$A$24,0)))*N(INDEX(Properties!$J$5:$J$24,MATCH(D631,Properties!$A$5:$A$24,0)))*H631,0))</f>
        <v/>
      </c>
      <c r="M631" s="37"/>
      <c r="N631" s="41" t="str">
        <f aca="false">IF(J631="","",J631+K631+L631+N(M631))</f>
        <v/>
      </c>
      <c r="O631" s="41" t="str">
        <f aca="false">IF(N631="","",IF(P631&lt;&gt;"",N631-P631,ROUND(N631*IFERROR(INDEX(Settings!$E$5:$E$12,MATCH(F631,Settings!$D$5:$D$12,0)),0),2)))</f>
        <v/>
      </c>
      <c r="P631" s="37"/>
      <c r="Q631" s="41" t="str">
        <f aca="false">IF(N631="","",IF(P631&lt;&gt;"",P631,N631-O631))</f>
        <v/>
      </c>
      <c r="R631" s="41" t="str">
        <f aca="false">IF(J631="","",IFERROR(N(INDEX(Properties!$H$5:$H$24,MATCH(D631,Properties!$A$5:$A$24,0))),0))</f>
        <v/>
      </c>
      <c r="S631" s="41" t="str">
        <f aca="false">IF(Q631="","",Q631-R631)</f>
        <v/>
      </c>
      <c r="T631" s="6"/>
      <c r="U631" s="6"/>
      <c r="V631" s="6"/>
      <c r="W631" s="6"/>
      <c r="X631" s="6"/>
      <c r="Y631" s="8" t="str">
        <f aca="false">IF(OR(D631="",B631="",C631=""),"",IF(N(C631)&lt;=N(B631),"Check dates",IF(T631="Cancelled","",IF(COUNTIFS($D$5:$D$1004,D631,$B$5:$B$1004,"&lt;"&amp;C631,$C$5:$C$1004,"&gt;"&amp;B631,$T$5:$T$1004,"&lt;&gt;Cancelled")&gt;1,"Double-booked",""))))</f>
        <v/>
      </c>
      <c r="Z631" s="42" t="str">
        <f aca="false">IF(AND(AA631=1,ISNUMBER(C631)),C631+ROW()/100000,"")</f>
        <v/>
      </c>
      <c r="AA631" s="43" t="n">
        <f aca="false">IF(AND(D631&lt;&gt;"",ISNUMBER(B631),ISNUMBER(C631),N(H631)&gt;0,T631&lt;&gt;"Cancelled",J631&lt;&gt;""),1,0)</f>
        <v>0</v>
      </c>
      <c r="AB631" s="44" t="n">
        <f aca="false">IF(AA631=1,J631/H631,0)</f>
        <v>0</v>
      </c>
      <c r="AC631" s="44" t="n">
        <f aca="false">IF(AA631=1,Q631/H631,0)</f>
        <v>0</v>
      </c>
      <c r="AD631" s="44" t="n">
        <f aca="false">IF(AA631=1,R631/H631,0)</f>
        <v>0</v>
      </c>
      <c r="AE631" s="44" t="n">
        <f aca="false">IF(AA631=1,O631/H631,0)</f>
        <v>0</v>
      </c>
      <c r="AF631" s="44" t="n">
        <f aca="false">IF(AA631=1,K631/H631,0)</f>
        <v>0</v>
      </c>
      <c r="AG631" s="45" t="str">
        <f aca="false">IF(AA631=1,D631&amp;"|"&amp;TEXT(B631,"0"),"")</f>
        <v/>
      </c>
      <c r="AH631" s="43" t="n">
        <f aca="false">IF(AA631=1,H631,0)</f>
        <v>0</v>
      </c>
    </row>
    <row r="632" customFormat="false" ht="15" hidden="false" customHeight="false" outlineLevel="0" collapsed="false">
      <c r="A632" s="23" t="str">
        <f aca="false">IF(B632="","","B-"&amp;TEXT(ROW()-4,"0000"))</f>
        <v/>
      </c>
      <c r="B632" s="38"/>
      <c r="C632" s="38"/>
      <c r="D632" s="6"/>
      <c r="E632" s="6"/>
      <c r="F632" s="6"/>
      <c r="G632" s="11"/>
      <c r="H632" s="24" t="str">
        <f aca="false">IF(AND(ISNUMBER(B632),ISNUMBER(C632)),MAX(0,C632-B632),"")</f>
        <v/>
      </c>
      <c r="I632" s="37"/>
      <c r="J632" s="46" t="str">
        <f aca="false">IF(OR(D632="",N(H632)=0),"",IFERROR(IF(I632&lt;&gt;"",H632*I632,ROUND(((H632-(INT((WEEKDAY(B632-6)+H632-1)/7)+INT((WEEKDAY(B632-7)+H632-1)/7)))*INDEX(Properties!$E$5:$E$24,MATCH(D632,Properties!$A$5:$A$24,0))+(INT((WEEKDAY(B632-6)+H632-1)/7)+INT((WEEKDAY(B632-7)+H632-1)/7))*INDEX(Properties!$F$5:$F$24,MATCH(D632,Properties!$A$5:$A$24,0)))*(1-IF(H632&gt;=28,Settings!$B$10,IF(H632&gt;=7,Settings!$B$9,0))),2)),0))</f>
        <v/>
      </c>
      <c r="K632" s="46" t="str">
        <f aca="false">IF(J632="","",IFERROR(N(INDEX(Properties!$G$5:$G$24,MATCH(D632,Properties!$A$5:$A$24,0))),0))</f>
        <v/>
      </c>
      <c r="L632" s="46" t="str">
        <f aca="false">IF(J632="","",IFERROR(MAX(0,N(G632)-INDEX(Properties!$I$5:$I$24,MATCH(D632,Properties!$A$5:$A$24,0)))*N(INDEX(Properties!$J$5:$J$24,MATCH(D632,Properties!$A$5:$A$24,0)))*H632,0))</f>
        <v/>
      </c>
      <c r="M632" s="37"/>
      <c r="N632" s="46" t="str">
        <f aca="false">IF(J632="","",J632+K632+L632+N(M632))</f>
        <v/>
      </c>
      <c r="O632" s="46" t="str">
        <f aca="false">IF(N632="","",IF(P632&lt;&gt;"",N632-P632,ROUND(N632*IFERROR(INDEX(Settings!$E$5:$E$12,MATCH(F632,Settings!$D$5:$D$12,0)),0),2)))</f>
        <v/>
      </c>
      <c r="P632" s="37"/>
      <c r="Q632" s="46" t="str">
        <f aca="false">IF(N632="","",IF(P632&lt;&gt;"",P632,N632-O632))</f>
        <v/>
      </c>
      <c r="R632" s="46" t="str">
        <f aca="false">IF(J632="","",IFERROR(N(INDEX(Properties!$H$5:$H$24,MATCH(D632,Properties!$A$5:$A$24,0))),0))</f>
        <v/>
      </c>
      <c r="S632" s="46" t="str">
        <f aca="false">IF(Q632="","",Q632-R632)</f>
        <v/>
      </c>
      <c r="T632" s="6"/>
      <c r="U632" s="6"/>
      <c r="V632" s="6"/>
      <c r="W632" s="6"/>
      <c r="X632" s="6"/>
      <c r="Y632" s="8" t="str">
        <f aca="false">IF(OR(D632="",B632="",C632=""),"",IF(N(C632)&lt;=N(B632),"Check dates",IF(T632="Cancelled","",IF(COUNTIFS($D$5:$D$1004,D632,$B$5:$B$1004,"&lt;"&amp;C632,$C$5:$C$1004,"&gt;"&amp;B632,$T$5:$T$1004,"&lt;&gt;Cancelled")&gt;1,"Double-booked",""))))</f>
        <v/>
      </c>
      <c r="Z632" s="42" t="str">
        <f aca="false">IF(AND(AA632=1,ISNUMBER(C632)),C632+ROW()/100000,"")</f>
        <v/>
      </c>
      <c r="AA632" s="43" t="n">
        <f aca="false">IF(AND(D632&lt;&gt;"",ISNUMBER(B632),ISNUMBER(C632),N(H632)&gt;0,T632&lt;&gt;"Cancelled",J632&lt;&gt;""),1,0)</f>
        <v>0</v>
      </c>
      <c r="AB632" s="44" t="n">
        <f aca="false">IF(AA632=1,J632/H632,0)</f>
        <v>0</v>
      </c>
      <c r="AC632" s="44" t="n">
        <f aca="false">IF(AA632=1,Q632/H632,0)</f>
        <v>0</v>
      </c>
      <c r="AD632" s="44" t="n">
        <f aca="false">IF(AA632=1,R632/H632,0)</f>
        <v>0</v>
      </c>
      <c r="AE632" s="44" t="n">
        <f aca="false">IF(AA632=1,O632/H632,0)</f>
        <v>0</v>
      </c>
      <c r="AF632" s="44" t="n">
        <f aca="false">IF(AA632=1,K632/H632,0)</f>
        <v>0</v>
      </c>
      <c r="AG632" s="45" t="str">
        <f aca="false">IF(AA632=1,D632&amp;"|"&amp;TEXT(B632,"0"),"")</f>
        <v/>
      </c>
      <c r="AH632" s="43" t="n">
        <f aca="false">IF(AA632=1,H632,0)</f>
        <v>0</v>
      </c>
    </row>
    <row r="633" customFormat="false" ht="15" hidden="false" customHeight="false" outlineLevel="0" collapsed="false">
      <c r="A633" s="8" t="str">
        <f aca="false">IF(B633="","","B-"&amp;TEXT(ROW()-4,"0000"))</f>
        <v/>
      </c>
      <c r="B633" s="38"/>
      <c r="C633" s="38"/>
      <c r="D633" s="6"/>
      <c r="E633" s="6"/>
      <c r="F633" s="6"/>
      <c r="G633" s="11"/>
      <c r="H633" s="18" t="str">
        <f aca="false">IF(AND(ISNUMBER(B633),ISNUMBER(C633)),MAX(0,C633-B633),"")</f>
        <v/>
      </c>
      <c r="I633" s="37"/>
      <c r="J633" s="41" t="str">
        <f aca="false">IF(OR(D633="",N(H633)=0),"",IFERROR(IF(I633&lt;&gt;"",H633*I633,ROUND(((H633-(INT((WEEKDAY(B633-6)+H633-1)/7)+INT((WEEKDAY(B633-7)+H633-1)/7)))*INDEX(Properties!$E$5:$E$24,MATCH(D633,Properties!$A$5:$A$24,0))+(INT((WEEKDAY(B633-6)+H633-1)/7)+INT((WEEKDAY(B633-7)+H633-1)/7))*INDEX(Properties!$F$5:$F$24,MATCH(D633,Properties!$A$5:$A$24,0)))*(1-IF(H633&gt;=28,Settings!$B$10,IF(H633&gt;=7,Settings!$B$9,0))),2)),0))</f>
        <v/>
      </c>
      <c r="K633" s="41" t="str">
        <f aca="false">IF(J633="","",IFERROR(N(INDEX(Properties!$G$5:$G$24,MATCH(D633,Properties!$A$5:$A$24,0))),0))</f>
        <v/>
      </c>
      <c r="L633" s="41" t="str">
        <f aca="false">IF(J633="","",IFERROR(MAX(0,N(G633)-INDEX(Properties!$I$5:$I$24,MATCH(D633,Properties!$A$5:$A$24,0)))*N(INDEX(Properties!$J$5:$J$24,MATCH(D633,Properties!$A$5:$A$24,0)))*H633,0))</f>
        <v/>
      </c>
      <c r="M633" s="37"/>
      <c r="N633" s="41" t="str">
        <f aca="false">IF(J633="","",J633+K633+L633+N(M633))</f>
        <v/>
      </c>
      <c r="O633" s="41" t="str">
        <f aca="false">IF(N633="","",IF(P633&lt;&gt;"",N633-P633,ROUND(N633*IFERROR(INDEX(Settings!$E$5:$E$12,MATCH(F633,Settings!$D$5:$D$12,0)),0),2)))</f>
        <v/>
      </c>
      <c r="P633" s="37"/>
      <c r="Q633" s="41" t="str">
        <f aca="false">IF(N633="","",IF(P633&lt;&gt;"",P633,N633-O633))</f>
        <v/>
      </c>
      <c r="R633" s="41" t="str">
        <f aca="false">IF(J633="","",IFERROR(N(INDEX(Properties!$H$5:$H$24,MATCH(D633,Properties!$A$5:$A$24,0))),0))</f>
        <v/>
      </c>
      <c r="S633" s="41" t="str">
        <f aca="false">IF(Q633="","",Q633-R633)</f>
        <v/>
      </c>
      <c r="T633" s="6"/>
      <c r="U633" s="6"/>
      <c r="V633" s="6"/>
      <c r="W633" s="6"/>
      <c r="X633" s="6"/>
      <c r="Y633" s="8" t="str">
        <f aca="false">IF(OR(D633="",B633="",C633=""),"",IF(N(C633)&lt;=N(B633),"Check dates",IF(T633="Cancelled","",IF(COUNTIFS($D$5:$D$1004,D633,$B$5:$B$1004,"&lt;"&amp;C633,$C$5:$C$1004,"&gt;"&amp;B633,$T$5:$T$1004,"&lt;&gt;Cancelled")&gt;1,"Double-booked",""))))</f>
        <v/>
      </c>
      <c r="Z633" s="42" t="str">
        <f aca="false">IF(AND(AA633=1,ISNUMBER(C633)),C633+ROW()/100000,"")</f>
        <v/>
      </c>
      <c r="AA633" s="43" t="n">
        <f aca="false">IF(AND(D633&lt;&gt;"",ISNUMBER(B633),ISNUMBER(C633),N(H633)&gt;0,T633&lt;&gt;"Cancelled",J633&lt;&gt;""),1,0)</f>
        <v>0</v>
      </c>
      <c r="AB633" s="44" t="n">
        <f aca="false">IF(AA633=1,J633/H633,0)</f>
        <v>0</v>
      </c>
      <c r="AC633" s="44" t="n">
        <f aca="false">IF(AA633=1,Q633/H633,0)</f>
        <v>0</v>
      </c>
      <c r="AD633" s="44" t="n">
        <f aca="false">IF(AA633=1,R633/H633,0)</f>
        <v>0</v>
      </c>
      <c r="AE633" s="44" t="n">
        <f aca="false">IF(AA633=1,O633/H633,0)</f>
        <v>0</v>
      </c>
      <c r="AF633" s="44" t="n">
        <f aca="false">IF(AA633=1,K633/H633,0)</f>
        <v>0</v>
      </c>
      <c r="AG633" s="45" t="str">
        <f aca="false">IF(AA633=1,D633&amp;"|"&amp;TEXT(B633,"0"),"")</f>
        <v/>
      </c>
      <c r="AH633" s="43" t="n">
        <f aca="false">IF(AA633=1,H633,0)</f>
        <v>0</v>
      </c>
    </row>
    <row r="634" customFormat="false" ht="15" hidden="false" customHeight="false" outlineLevel="0" collapsed="false">
      <c r="A634" s="23" t="str">
        <f aca="false">IF(B634="","","B-"&amp;TEXT(ROW()-4,"0000"))</f>
        <v/>
      </c>
      <c r="B634" s="38"/>
      <c r="C634" s="38"/>
      <c r="D634" s="6"/>
      <c r="E634" s="6"/>
      <c r="F634" s="6"/>
      <c r="G634" s="11"/>
      <c r="H634" s="24" t="str">
        <f aca="false">IF(AND(ISNUMBER(B634),ISNUMBER(C634)),MAX(0,C634-B634),"")</f>
        <v/>
      </c>
      <c r="I634" s="37"/>
      <c r="J634" s="46" t="str">
        <f aca="false">IF(OR(D634="",N(H634)=0),"",IFERROR(IF(I634&lt;&gt;"",H634*I634,ROUND(((H634-(INT((WEEKDAY(B634-6)+H634-1)/7)+INT((WEEKDAY(B634-7)+H634-1)/7)))*INDEX(Properties!$E$5:$E$24,MATCH(D634,Properties!$A$5:$A$24,0))+(INT((WEEKDAY(B634-6)+H634-1)/7)+INT((WEEKDAY(B634-7)+H634-1)/7))*INDEX(Properties!$F$5:$F$24,MATCH(D634,Properties!$A$5:$A$24,0)))*(1-IF(H634&gt;=28,Settings!$B$10,IF(H634&gt;=7,Settings!$B$9,0))),2)),0))</f>
        <v/>
      </c>
      <c r="K634" s="46" t="str">
        <f aca="false">IF(J634="","",IFERROR(N(INDEX(Properties!$G$5:$G$24,MATCH(D634,Properties!$A$5:$A$24,0))),0))</f>
        <v/>
      </c>
      <c r="L634" s="46" t="str">
        <f aca="false">IF(J634="","",IFERROR(MAX(0,N(G634)-INDEX(Properties!$I$5:$I$24,MATCH(D634,Properties!$A$5:$A$24,0)))*N(INDEX(Properties!$J$5:$J$24,MATCH(D634,Properties!$A$5:$A$24,0)))*H634,0))</f>
        <v/>
      </c>
      <c r="M634" s="37"/>
      <c r="N634" s="46" t="str">
        <f aca="false">IF(J634="","",J634+K634+L634+N(M634))</f>
        <v/>
      </c>
      <c r="O634" s="46" t="str">
        <f aca="false">IF(N634="","",IF(P634&lt;&gt;"",N634-P634,ROUND(N634*IFERROR(INDEX(Settings!$E$5:$E$12,MATCH(F634,Settings!$D$5:$D$12,0)),0),2)))</f>
        <v/>
      </c>
      <c r="P634" s="37"/>
      <c r="Q634" s="46" t="str">
        <f aca="false">IF(N634="","",IF(P634&lt;&gt;"",P634,N634-O634))</f>
        <v/>
      </c>
      <c r="R634" s="46" t="str">
        <f aca="false">IF(J634="","",IFERROR(N(INDEX(Properties!$H$5:$H$24,MATCH(D634,Properties!$A$5:$A$24,0))),0))</f>
        <v/>
      </c>
      <c r="S634" s="46" t="str">
        <f aca="false">IF(Q634="","",Q634-R634)</f>
        <v/>
      </c>
      <c r="T634" s="6"/>
      <c r="U634" s="6"/>
      <c r="V634" s="6"/>
      <c r="W634" s="6"/>
      <c r="X634" s="6"/>
      <c r="Y634" s="8" t="str">
        <f aca="false">IF(OR(D634="",B634="",C634=""),"",IF(N(C634)&lt;=N(B634),"Check dates",IF(T634="Cancelled","",IF(COUNTIFS($D$5:$D$1004,D634,$B$5:$B$1004,"&lt;"&amp;C634,$C$5:$C$1004,"&gt;"&amp;B634,$T$5:$T$1004,"&lt;&gt;Cancelled")&gt;1,"Double-booked",""))))</f>
        <v/>
      </c>
      <c r="Z634" s="42" t="str">
        <f aca="false">IF(AND(AA634=1,ISNUMBER(C634)),C634+ROW()/100000,"")</f>
        <v/>
      </c>
      <c r="AA634" s="43" t="n">
        <f aca="false">IF(AND(D634&lt;&gt;"",ISNUMBER(B634),ISNUMBER(C634),N(H634)&gt;0,T634&lt;&gt;"Cancelled",J634&lt;&gt;""),1,0)</f>
        <v>0</v>
      </c>
      <c r="AB634" s="44" t="n">
        <f aca="false">IF(AA634=1,J634/H634,0)</f>
        <v>0</v>
      </c>
      <c r="AC634" s="44" t="n">
        <f aca="false">IF(AA634=1,Q634/H634,0)</f>
        <v>0</v>
      </c>
      <c r="AD634" s="44" t="n">
        <f aca="false">IF(AA634=1,R634/H634,0)</f>
        <v>0</v>
      </c>
      <c r="AE634" s="44" t="n">
        <f aca="false">IF(AA634=1,O634/H634,0)</f>
        <v>0</v>
      </c>
      <c r="AF634" s="44" t="n">
        <f aca="false">IF(AA634=1,K634/H634,0)</f>
        <v>0</v>
      </c>
      <c r="AG634" s="45" t="str">
        <f aca="false">IF(AA634=1,D634&amp;"|"&amp;TEXT(B634,"0"),"")</f>
        <v/>
      </c>
      <c r="AH634" s="43" t="n">
        <f aca="false">IF(AA634=1,H634,0)</f>
        <v>0</v>
      </c>
    </row>
    <row r="635" customFormat="false" ht="15" hidden="false" customHeight="false" outlineLevel="0" collapsed="false">
      <c r="A635" s="8" t="str">
        <f aca="false">IF(B635="","","B-"&amp;TEXT(ROW()-4,"0000"))</f>
        <v/>
      </c>
      <c r="B635" s="38"/>
      <c r="C635" s="38"/>
      <c r="D635" s="6"/>
      <c r="E635" s="6"/>
      <c r="F635" s="6"/>
      <c r="G635" s="11"/>
      <c r="H635" s="18" t="str">
        <f aca="false">IF(AND(ISNUMBER(B635),ISNUMBER(C635)),MAX(0,C635-B635),"")</f>
        <v/>
      </c>
      <c r="I635" s="37"/>
      <c r="J635" s="41" t="str">
        <f aca="false">IF(OR(D635="",N(H635)=0),"",IFERROR(IF(I635&lt;&gt;"",H635*I635,ROUND(((H635-(INT((WEEKDAY(B635-6)+H635-1)/7)+INT((WEEKDAY(B635-7)+H635-1)/7)))*INDEX(Properties!$E$5:$E$24,MATCH(D635,Properties!$A$5:$A$24,0))+(INT((WEEKDAY(B635-6)+H635-1)/7)+INT((WEEKDAY(B635-7)+H635-1)/7))*INDEX(Properties!$F$5:$F$24,MATCH(D635,Properties!$A$5:$A$24,0)))*(1-IF(H635&gt;=28,Settings!$B$10,IF(H635&gt;=7,Settings!$B$9,0))),2)),0))</f>
        <v/>
      </c>
      <c r="K635" s="41" t="str">
        <f aca="false">IF(J635="","",IFERROR(N(INDEX(Properties!$G$5:$G$24,MATCH(D635,Properties!$A$5:$A$24,0))),0))</f>
        <v/>
      </c>
      <c r="L635" s="41" t="str">
        <f aca="false">IF(J635="","",IFERROR(MAX(0,N(G635)-INDEX(Properties!$I$5:$I$24,MATCH(D635,Properties!$A$5:$A$24,0)))*N(INDEX(Properties!$J$5:$J$24,MATCH(D635,Properties!$A$5:$A$24,0)))*H635,0))</f>
        <v/>
      </c>
      <c r="M635" s="37"/>
      <c r="N635" s="41" t="str">
        <f aca="false">IF(J635="","",J635+K635+L635+N(M635))</f>
        <v/>
      </c>
      <c r="O635" s="41" t="str">
        <f aca="false">IF(N635="","",IF(P635&lt;&gt;"",N635-P635,ROUND(N635*IFERROR(INDEX(Settings!$E$5:$E$12,MATCH(F635,Settings!$D$5:$D$12,0)),0),2)))</f>
        <v/>
      </c>
      <c r="P635" s="37"/>
      <c r="Q635" s="41" t="str">
        <f aca="false">IF(N635="","",IF(P635&lt;&gt;"",P635,N635-O635))</f>
        <v/>
      </c>
      <c r="R635" s="41" t="str">
        <f aca="false">IF(J635="","",IFERROR(N(INDEX(Properties!$H$5:$H$24,MATCH(D635,Properties!$A$5:$A$24,0))),0))</f>
        <v/>
      </c>
      <c r="S635" s="41" t="str">
        <f aca="false">IF(Q635="","",Q635-R635)</f>
        <v/>
      </c>
      <c r="T635" s="6"/>
      <c r="U635" s="6"/>
      <c r="V635" s="6"/>
      <c r="W635" s="6"/>
      <c r="X635" s="6"/>
      <c r="Y635" s="8" t="str">
        <f aca="false">IF(OR(D635="",B635="",C635=""),"",IF(N(C635)&lt;=N(B635),"Check dates",IF(T635="Cancelled","",IF(COUNTIFS($D$5:$D$1004,D635,$B$5:$B$1004,"&lt;"&amp;C635,$C$5:$C$1004,"&gt;"&amp;B635,$T$5:$T$1004,"&lt;&gt;Cancelled")&gt;1,"Double-booked",""))))</f>
        <v/>
      </c>
      <c r="Z635" s="42" t="str">
        <f aca="false">IF(AND(AA635=1,ISNUMBER(C635)),C635+ROW()/100000,"")</f>
        <v/>
      </c>
      <c r="AA635" s="43" t="n">
        <f aca="false">IF(AND(D635&lt;&gt;"",ISNUMBER(B635),ISNUMBER(C635),N(H635)&gt;0,T635&lt;&gt;"Cancelled",J635&lt;&gt;""),1,0)</f>
        <v>0</v>
      </c>
      <c r="AB635" s="44" t="n">
        <f aca="false">IF(AA635=1,J635/H635,0)</f>
        <v>0</v>
      </c>
      <c r="AC635" s="44" t="n">
        <f aca="false">IF(AA635=1,Q635/H635,0)</f>
        <v>0</v>
      </c>
      <c r="AD635" s="44" t="n">
        <f aca="false">IF(AA635=1,R635/H635,0)</f>
        <v>0</v>
      </c>
      <c r="AE635" s="44" t="n">
        <f aca="false">IF(AA635=1,O635/H635,0)</f>
        <v>0</v>
      </c>
      <c r="AF635" s="44" t="n">
        <f aca="false">IF(AA635=1,K635/H635,0)</f>
        <v>0</v>
      </c>
      <c r="AG635" s="45" t="str">
        <f aca="false">IF(AA635=1,D635&amp;"|"&amp;TEXT(B635,"0"),"")</f>
        <v/>
      </c>
      <c r="AH635" s="43" t="n">
        <f aca="false">IF(AA635=1,H635,0)</f>
        <v>0</v>
      </c>
    </row>
    <row r="636" customFormat="false" ht="15" hidden="false" customHeight="false" outlineLevel="0" collapsed="false">
      <c r="A636" s="23" t="str">
        <f aca="false">IF(B636="","","B-"&amp;TEXT(ROW()-4,"0000"))</f>
        <v/>
      </c>
      <c r="B636" s="38"/>
      <c r="C636" s="38"/>
      <c r="D636" s="6"/>
      <c r="E636" s="6"/>
      <c r="F636" s="6"/>
      <c r="G636" s="11"/>
      <c r="H636" s="24" t="str">
        <f aca="false">IF(AND(ISNUMBER(B636),ISNUMBER(C636)),MAX(0,C636-B636),"")</f>
        <v/>
      </c>
      <c r="I636" s="37"/>
      <c r="J636" s="46" t="str">
        <f aca="false">IF(OR(D636="",N(H636)=0),"",IFERROR(IF(I636&lt;&gt;"",H636*I636,ROUND(((H636-(INT((WEEKDAY(B636-6)+H636-1)/7)+INT((WEEKDAY(B636-7)+H636-1)/7)))*INDEX(Properties!$E$5:$E$24,MATCH(D636,Properties!$A$5:$A$24,0))+(INT((WEEKDAY(B636-6)+H636-1)/7)+INT((WEEKDAY(B636-7)+H636-1)/7))*INDEX(Properties!$F$5:$F$24,MATCH(D636,Properties!$A$5:$A$24,0)))*(1-IF(H636&gt;=28,Settings!$B$10,IF(H636&gt;=7,Settings!$B$9,0))),2)),0))</f>
        <v/>
      </c>
      <c r="K636" s="46" t="str">
        <f aca="false">IF(J636="","",IFERROR(N(INDEX(Properties!$G$5:$G$24,MATCH(D636,Properties!$A$5:$A$24,0))),0))</f>
        <v/>
      </c>
      <c r="L636" s="46" t="str">
        <f aca="false">IF(J636="","",IFERROR(MAX(0,N(G636)-INDEX(Properties!$I$5:$I$24,MATCH(D636,Properties!$A$5:$A$24,0)))*N(INDEX(Properties!$J$5:$J$24,MATCH(D636,Properties!$A$5:$A$24,0)))*H636,0))</f>
        <v/>
      </c>
      <c r="M636" s="37"/>
      <c r="N636" s="46" t="str">
        <f aca="false">IF(J636="","",J636+K636+L636+N(M636))</f>
        <v/>
      </c>
      <c r="O636" s="46" t="str">
        <f aca="false">IF(N636="","",IF(P636&lt;&gt;"",N636-P636,ROUND(N636*IFERROR(INDEX(Settings!$E$5:$E$12,MATCH(F636,Settings!$D$5:$D$12,0)),0),2)))</f>
        <v/>
      </c>
      <c r="P636" s="37"/>
      <c r="Q636" s="46" t="str">
        <f aca="false">IF(N636="","",IF(P636&lt;&gt;"",P636,N636-O636))</f>
        <v/>
      </c>
      <c r="R636" s="46" t="str">
        <f aca="false">IF(J636="","",IFERROR(N(INDEX(Properties!$H$5:$H$24,MATCH(D636,Properties!$A$5:$A$24,0))),0))</f>
        <v/>
      </c>
      <c r="S636" s="46" t="str">
        <f aca="false">IF(Q636="","",Q636-R636)</f>
        <v/>
      </c>
      <c r="T636" s="6"/>
      <c r="U636" s="6"/>
      <c r="V636" s="6"/>
      <c r="W636" s="6"/>
      <c r="X636" s="6"/>
      <c r="Y636" s="8" t="str">
        <f aca="false">IF(OR(D636="",B636="",C636=""),"",IF(N(C636)&lt;=N(B636),"Check dates",IF(T636="Cancelled","",IF(COUNTIFS($D$5:$D$1004,D636,$B$5:$B$1004,"&lt;"&amp;C636,$C$5:$C$1004,"&gt;"&amp;B636,$T$5:$T$1004,"&lt;&gt;Cancelled")&gt;1,"Double-booked",""))))</f>
        <v/>
      </c>
      <c r="Z636" s="42" t="str">
        <f aca="false">IF(AND(AA636=1,ISNUMBER(C636)),C636+ROW()/100000,"")</f>
        <v/>
      </c>
      <c r="AA636" s="43" t="n">
        <f aca="false">IF(AND(D636&lt;&gt;"",ISNUMBER(B636),ISNUMBER(C636),N(H636)&gt;0,T636&lt;&gt;"Cancelled",J636&lt;&gt;""),1,0)</f>
        <v>0</v>
      </c>
      <c r="AB636" s="44" t="n">
        <f aca="false">IF(AA636=1,J636/H636,0)</f>
        <v>0</v>
      </c>
      <c r="AC636" s="44" t="n">
        <f aca="false">IF(AA636=1,Q636/H636,0)</f>
        <v>0</v>
      </c>
      <c r="AD636" s="44" t="n">
        <f aca="false">IF(AA636=1,R636/H636,0)</f>
        <v>0</v>
      </c>
      <c r="AE636" s="44" t="n">
        <f aca="false">IF(AA636=1,O636/H636,0)</f>
        <v>0</v>
      </c>
      <c r="AF636" s="44" t="n">
        <f aca="false">IF(AA636=1,K636/H636,0)</f>
        <v>0</v>
      </c>
      <c r="AG636" s="45" t="str">
        <f aca="false">IF(AA636=1,D636&amp;"|"&amp;TEXT(B636,"0"),"")</f>
        <v/>
      </c>
      <c r="AH636" s="43" t="n">
        <f aca="false">IF(AA636=1,H636,0)</f>
        <v>0</v>
      </c>
    </row>
    <row r="637" customFormat="false" ht="15" hidden="false" customHeight="false" outlineLevel="0" collapsed="false">
      <c r="A637" s="8" t="str">
        <f aca="false">IF(B637="","","B-"&amp;TEXT(ROW()-4,"0000"))</f>
        <v/>
      </c>
      <c r="B637" s="38"/>
      <c r="C637" s="38"/>
      <c r="D637" s="6"/>
      <c r="E637" s="6"/>
      <c r="F637" s="6"/>
      <c r="G637" s="11"/>
      <c r="H637" s="18" t="str">
        <f aca="false">IF(AND(ISNUMBER(B637),ISNUMBER(C637)),MAX(0,C637-B637),"")</f>
        <v/>
      </c>
      <c r="I637" s="37"/>
      <c r="J637" s="41" t="str">
        <f aca="false">IF(OR(D637="",N(H637)=0),"",IFERROR(IF(I637&lt;&gt;"",H637*I637,ROUND(((H637-(INT((WEEKDAY(B637-6)+H637-1)/7)+INT((WEEKDAY(B637-7)+H637-1)/7)))*INDEX(Properties!$E$5:$E$24,MATCH(D637,Properties!$A$5:$A$24,0))+(INT((WEEKDAY(B637-6)+H637-1)/7)+INT((WEEKDAY(B637-7)+H637-1)/7))*INDEX(Properties!$F$5:$F$24,MATCH(D637,Properties!$A$5:$A$24,0)))*(1-IF(H637&gt;=28,Settings!$B$10,IF(H637&gt;=7,Settings!$B$9,0))),2)),0))</f>
        <v/>
      </c>
      <c r="K637" s="41" t="str">
        <f aca="false">IF(J637="","",IFERROR(N(INDEX(Properties!$G$5:$G$24,MATCH(D637,Properties!$A$5:$A$24,0))),0))</f>
        <v/>
      </c>
      <c r="L637" s="41" t="str">
        <f aca="false">IF(J637="","",IFERROR(MAX(0,N(G637)-INDEX(Properties!$I$5:$I$24,MATCH(D637,Properties!$A$5:$A$24,0)))*N(INDEX(Properties!$J$5:$J$24,MATCH(D637,Properties!$A$5:$A$24,0)))*H637,0))</f>
        <v/>
      </c>
      <c r="M637" s="37"/>
      <c r="N637" s="41" t="str">
        <f aca="false">IF(J637="","",J637+K637+L637+N(M637))</f>
        <v/>
      </c>
      <c r="O637" s="41" t="str">
        <f aca="false">IF(N637="","",IF(P637&lt;&gt;"",N637-P637,ROUND(N637*IFERROR(INDEX(Settings!$E$5:$E$12,MATCH(F637,Settings!$D$5:$D$12,0)),0),2)))</f>
        <v/>
      </c>
      <c r="P637" s="37"/>
      <c r="Q637" s="41" t="str">
        <f aca="false">IF(N637="","",IF(P637&lt;&gt;"",P637,N637-O637))</f>
        <v/>
      </c>
      <c r="R637" s="41" t="str">
        <f aca="false">IF(J637="","",IFERROR(N(INDEX(Properties!$H$5:$H$24,MATCH(D637,Properties!$A$5:$A$24,0))),0))</f>
        <v/>
      </c>
      <c r="S637" s="41" t="str">
        <f aca="false">IF(Q637="","",Q637-R637)</f>
        <v/>
      </c>
      <c r="T637" s="6"/>
      <c r="U637" s="6"/>
      <c r="V637" s="6"/>
      <c r="W637" s="6"/>
      <c r="X637" s="6"/>
      <c r="Y637" s="8" t="str">
        <f aca="false">IF(OR(D637="",B637="",C637=""),"",IF(N(C637)&lt;=N(B637),"Check dates",IF(T637="Cancelled","",IF(COUNTIFS($D$5:$D$1004,D637,$B$5:$B$1004,"&lt;"&amp;C637,$C$5:$C$1004,"&gt;"&amp;B637,$T$5:$T$1004,"&lt;&gt;Cancelled")&gt;1,"Double-booked",""))))</f>
        <v/>
      </c>
      <c r="Z637" s="42" t="str">
        <f aca="false">IF(AND(AA637=1,ISNUMBER(C637)),C637+ROW()/100000,"")</f>
        <v/>
      </c>
      <c r="AA637" s="43" t="n">
        <f aca="false">IF(AND(D637&lt;&gt;"",ISNUMBER(B637),ISNUMBER(C637),N(H637)&gt;0,T637&lt;&gt;"Cancelled",J637&lt;&gt;""),1,0)</f>
        <v>0</v>
      </c>
      <c r="AB637" s="44" t="n">
        <f aca="false">IF(AA637=1,J637/H637,0)</f>
        <v>0</v>
      </c>
      <c r="AC637" s="44" t="n">
        <f aca="false">IF(AA637=1,Q637/H637,0)</f>
        <v>0</v>
      </c>
      <c r="AD637" s="44" t="n">
        <f aca="false">IF(AA637=1,R637/H637,0)</f>
        <v>0</v>
      </c>
      <c r="AE637" s="44" t="n">
        <f aca="false">IF(AA637=1,O637/H637,0)</f>
        <v>0</v>
      </c>
      <c r="AF637" s="44" t="n">
        <f aca="false">IF(AA637=1,K637/H637,0)</f>
        <v>0</v>
      </c>
      <c r="AG637" s="45" t="str">
        <f aca="false">IF(AA637=1,D637&amp;"|"&amp;TEXT(B637,"0"),"")</f>
        <v/>
      </c>
      <c r="AH637" s="43" t="n">
        <f aca="false">IF(AA637=1,H637,0)</f>
        <v>0</v>
      </c>
    </row>
    <row r="638" customFormat="false" ht="15" hidden="false" customHeight="false" outlineLevel="0" collapsed="false">
      <c r="A638" s="23" t="str">
        <f aca="false">IF(B638="","","B-"&amp;TEXT(ROW()-4,"0000"))</f>
        <v/>
      </c>
      <c r="B638" s="38"/>
      <c r="C638" s="38"/>
      <c r="D638" s="6"/>
      <c r="E638" s="6"/>
      <c r="F638" s="6"/>
      <c r="G638" s="11"/>
      <c r="H638" s="24" t="str">
        <f aca="false">IF(AND(ISNUMBER(B638),ISNUMBER(C638)),MAX(0,C638-B638),"")</f>
        <v/>
      </c>
      <c r="I638" s="37"/>
      <c r="J638" s="46" t="str">
        <f aca="false">IF(OR(D638="",N(H638)=0),"",IFERROR(IF(I638&lt;&gt;"",H638*I638,ROUND(((H638-(INT((WEEKDAY(B638-6)+H638-1)/7)+INT((WEEKDAY(B638-7)+H638-1)/7)))*INDEX(Properties!$E$5:$E$24,MATCH(D638,Properties!$A$5:$A$24,0))+(INT((WEEKDAY(B638-6)+H638-1)/7)+INT((WEEKDAY(B638-7)+H638-1)/7))*INDEX(Properties!$F$5:$F$24,MATCH(D638,Properties!$A$5:$A$24,0)))*(1-IF(H638&gt;=28,Settings!$B$10,IF(H638&gt;=7,Settings!$B$9,0))),2)),0))</f>
        <v/>
      </c>
      <c r="K638" s="46" t="str">
        <f aca="false">IF(J638="","",IFERROR(N(INDEX(Properties!$G$5:$G$24,MATCH(D638,Properties!$A$5:$A$24,0))),0))</f>
        <v/>
      </c>
      <c r="L638" s="46" t="str">
        <f aca="false">IF(J638="","",IFERROR(MAX(0,N(G638)-INDEX(Properties!$I$5:$I$24,MATCH(D638,Properties!$A$5:$A$24,0)))*N(INDEX(Properties!$J$5:$J$24,MATCH(D638,Properties!$A$5:$A$24,0)))*H638,0))</f>
        <v/>
      </c>
      <c r="M638" s="37"/>
      <c r="N638" s="46" t="str">
        <f aca="false">IF(J638="","",J638+K638+L638+N(M638))</f>
        <v/>
      </c>
      <c r="O638" s="46" t="str">
        <f aca="false">IF(N638="","",IF(P638&lt;&gt;"",N638-P638,ROUND(N638*IFERROR(INDEX(Settings!$E$5:$E$12,MATCH(F638,Settings!$D$5:$D$12,0)),0),2)))</f>
        <v/>
      </c>
      <c r="P638" s="37"/>
      <c r="Q638" s="46" t="str">
        <f aca="false">IF(N638="","",IF(P638&lt;&gt;"",P638,N638-O638))</f>
        <v/>
      </c>
      <c r="R638" s="46" t="str">
        <f aca="false">IF(J638="","",IFERROR(N(INDEX(Properties!$H$5:$H$24,MATCH(D638,Properties!$A$5:$A$24,0))),0))</f>
        <v/>
      </c>
      <c r="S638" s="46" t="str">
        <f aca="false">IF(Q638="","",Q638-R638)</f>
        <v/>
      </c>
      <c r="T638" s="6"/>
      <c r="U638" s="6"/>
      <c r="V638" s="6"/>
      <c r="W638" s="6"/>
      <c r="X638" s="6"/>
      <c r="Y638" s="8" t="str">
        <f aca="false">IF(OR(D638="",B638="",C638=""),"",IF(N(C638)&lt;=N(B638),"Check dates",IF(T638="Cancelled","",IF(COUNTIFS($D$5:$D$1004,D638,$B$5:$B$1004,"&lt;"&amp;C638,$C$5:$C$1004,"&gt;"&amp;B638,$T$5:$T$1004,"&lt;&gt;Cancelled")&gt;1,"Double-booked",""))))</f>
        <v/>
      </c>
      <c r="Z638" s="42" t="str">
        <f aca="false">IF(AND(AA638=1,ISNUMBER(C638)),C638+ROW()/100000,"")</f>
        <v/>
      </c>
      <c r="AA638" s="43" t="n">
        <f aca="false">IF(AND(D638&lt;&gt;"",ISNUMBER(B638),ISNUMBER(C638),N(H638)&gt;0,T638&lt;&gt;"Cancelled",J638&lt;&gt;""),1,0)</f>
        <v>0</v>
      </c>
      <c r="AB638" s="44" t="n">
        <f aca="false">IF(AA638=1,J638/H638,0)</f>
        <v>0</v>
      </c>
      <c r="AC638" s="44" t="n">
        <f aca="false">IF(AA638=1,Q638/H638,0)</f>
        <v>0</v>
      </c>
      <c r="AD638" s="44" t="n">
        <f aca="false">IF(AA638=1,R638/H638,0)</f>
        <v>0</v>
      </c>
      <c r="AE638" s="44" t="n">
        <f aca="false">IF(AA638=1,O638/H638,0)</f>
        <v>0</v>
      </c>
      <c r="AF638" s="44" t="n">
        <f aca="false">IF(AA638=1,K638/H638,0)</f>
        <v>0</v>
      </c>
      <c r="AG638" s="45" t="str">
        <f aca="false">IF(AA638=1,D638&amp;"|"&amp;TEXT(B638,"0"),"")</f>
        <v/>
      </c>
      <c r="AH638" s="43" t="n">
        <f aca="false">IF(AA638=1,H638,0)</f>
        <v>0</v>
      </c>
    </row>
    <row r="639" customFormat="false" ht="15" hidden="false" customHeight="false" outlineLevel="0" collapsed="false">
      <c r="A639" s="8" t="str">
        <f aca="false">IF(B639="","","B-"&amp;TEXT(ROW()-4,"0000"))</f>
        <v/>
      </c>
      <c r="B639" s="38"/>
      <c r="C639" s="38"/>
      <c r="D639" s="6"/>
      <c r="E639" s="6"/>
      <c r="F639" s="6"/>
      <c r="G639" s="11"/>
      <c r="H639" s="18" t="str">
        <f aca="false">IF(AND(ISNUMBER(B639),ISNUMBER(C639)),MAX(0,C639-B639),"")</f>
        <v/>
      </c>
      <c r="I639" s="37"/>
      <c r="J639" s="41" t="str">
        <f aca="false">IF(OR(D639="",N(H639)=0),"",IFERROR(IF(I639&lt;&gt;"",H639*I639,ROUND(((H639-(INT((WEEKDAY(B639-6)+H639-1)/7)+INT((WEEKDAY(B639-7)+H639-1)/7)))*INDEX(Properties!$E$5:$E$24,MATCH(D639,Properties!$A$5:$A$24,0))+(INT((WEEKDAY(B639-6)+H639-1)/7)+INT((WEEKDAY(B639-7)+H639-1)/7))*INDEX(Properties!$F$5:$F$24,MATCH(D639,Properties!$A$5:$A$24,0)))*(1-IF(H639&gt;=28,Settings!$B$10,IF(H639&gt;=7,Settings!$B$9,0))),2)),0))</f>
        <v/>
      </c>
      <c r="K639" s="41" t="str">
        <f aca="false">IF(J639="","",IFERROR(N(INDEX(Properties!$G$5:$G$24,MATCH(D639,Properties!$A$5:$A$24,0))),0))</f>
        <v/>
      </c>
      <c r="L639" s="41" t="str">
        <f aca="false">IF(J639="","",IFERROR(MAX(0,N(G639)-INDEX(Properties!$I$5:$I$24,MATCH(D639,Properties!$A$5:$A$24,0)))*N(INDEX(Properties!$J$5:$J$24,MATCH(D639,Properties!$A$5:$A$24,0)))*H639,0))</f>
        <v/>
      </c>
      <c r="M639" s="37"/>
      <c r="N639" s="41" t="str">
        <f aca="false">IF(J639="","",J639+K639+L639+N(M639))</f>
        <v/>
      </c>
      <c r="O639" s="41" t="str">
        <f aca="false">IF(N639="","",IF(P639&lt;&gt;"",N639-P639,ROUND(N639*IFERROR(INDEX(Settings!$E$5:$E$12,MATCH(F639,Settings!$D$5:$D$12,0)),0),2)))</f>
        <v/>
      </c>
      <c r="P639" s="37"/>
      <c r="Q639" s="41" t="str">
        <f aca="false">IF(N639="","",IF(P639&lt;&gt;"",P639,N639-O639))</f>
        <v/>
      </c>
      <c r="R639" s="41" t="str">
        <f aca="false">IF(J639="","",IFERROR(N(INDEX(Properties!$H$5:$H$24,MATCH(D639,Properties!$A$5:$A$24,0))),0))</f>
        <v/>
      </c>
      <c r="S639" s="41" t="str">
        <f aca="false">IF(Q639="","",Q639-R639)</f>
        <v/>
      </c>
      <c r="T639" s="6"/>
      <c r="U639" s="6"/>
      <c r="V639" s="6"/>
      <c r="W639" s="6"/>
      <c r="X639" s="6"/>
      <c r="Y639" s="8" t="str">
        <f aca="false">IF(OR(D639="",B639="",C639=""),"",IF(N(C639)&lt;=N(B639),"Check dates",IF(T639="Cancelled","",IF(COUNTIFS($D$5:$D$1004,D639,$B$5:$B$1004,"&lt;"&amp;C639,$C$5:$C$1004,"&gt;"&amp;B639,$T$5:$T$1004,"&lt;&gt;Cancelled")&gt;1,"Double-booked",""))))</f>
        <v/>
      </c>
      <c r="Z639" s="42" t="str">
        <f aca="false">IF(AND(AA639=1,ISNUMBER(C639)),C639+ROW()/100000,"")</f>
        <v/>
      </c>
      <c r="AA639" s="43" t="n">
        <f aca="false">IF(AND(D639&lt;&gt;"",ISNUMBER(B639),ISNUMBER(C639),N(H639)&gt;0,T639&lt;&gt;"Cancelled",J639&lt;&gt;""),1,0)</f>
        <v>0</v>
      </c>
      <c r="AB639" s="44" t="n">
        <f aca="false">IF(AA639=1,J639/H639,0)</f>
        <v>0</v>
      </c>
      <c r="AC639" s="44" t="n">
        <f aca="false">IF(AA639=1,Q639/H639,0)</f>
        <v>0</v>
      </c>
      <c r="AD639" s="44" t="n">
        <f aca="false">IF(AA639=1,R639/H639,0)</f>
        <v>0</v>
      </c>
      <c r="AE639" s="44" t="n">
        <f aca="false">IF(AA639=1,O639/H639,0)</f>
        <v>0</v>
      </c>
      <c r="AF639" s="44" t="n">
        <f aca="false">IF(AA639=1,K639/H639,0)</f>
        <v>0</v>
      </c>
      <c r="AG639" s="45" t="str">
        <f aca="false">IF(AA639=1,D639&amp;"|"&amp;TEXT(B639,"0"),"")</f>
        <v/>
      </c>
      <c r="AH639" s="43" t="n">
        <f aca="false">IF(AA639=1,H639,0)</f>
        <v>0</v>
      </c>
    </row>
    <row r="640" customFormat="false" ht="15" hidden="false" customHeight="false" outlineLevel="0" collapsed="false">
      <c r="A640" s="23" t="str">
        <f aca="false">IF(B640="","","B-"&amp;TEXT(ROW()-4,"0000"))</f>
        <v/>
      </c>
      <c r="B640" s="38"/>
      <c r="C640" s="38"/>
      <c r="D640" s="6"/>
      <c r="E640" s="6"/>
      <c r="F640" s="6"/>
      <c r="G640" s="11"/>
      <c r="H640" s="24" t="str">
        <f aca="false">IF(AND(ISNUMBER(B640),ISNUMBER(C640)),MAX(0,C640-B640),"")</f>
        <v/>
      </c>
      <c r="I640" s="37"/>
      <c r="J640" s="46" t="str">
        <f aca="false">IF(OR(D640="",N(H640)=0),"",IFERROR(IF(I640&lt;&gt;"",H640*I640,ROUND(((H640-(INT((WEEKDAY(B640-6)+H640-1)/7)+INT((WEEKDAY(B640-7)+H640-1)/7)))*INDEX(Properties!$E$5:$E$24,MATCH(D640,Properties!$A$5:$A$24,0))+(INT((WEEKDAY(B640-6)+H640-1)/7)+INT((WEEKDAY(B640-7)+H640-1)/7))*INDEX(Properties!$F$5:$F$24,MATCH(D640,Properties!$A$5:$A$24,0)))*(1-IF(H640&gt;=28,Settings!$B$10,IF(H640&gt;=7,Settings!$B$9,0))),2)),0))</f>
        <v/>
      </c>
      <c r="K640" s="46" t="str">
        <f aca="false">IF(J640="","",IFERROR(N(INDEX(Properties!$G$5:$G$24,MATCH(D640,Properties!$A$5:$A$24,0))),0))</f>
        <v/>
      </c>
      <c r="L640" s="46" t="str">
        <f aca="false">IF(J640="","",IFERROR(MAX(0,N(G640)-INDEX(Properties!$I$5:$I$24,MATCH(D640,Properties!$A$5:$A$24,0)))*N(INDEX(Properties!$J$5:$J$24,MATCH(D640,Properties!$A$5:$A$24,0)))*H640,0))</f>
        <v/>
      </c>
      <c r="M640" s="37"/>
      <c r="N640" s="46" t="str">
        <f aca="false">IF(J640="","",J640+K640+L640+N(M640))</f>
        <v/>
      </c>
      <c r="O640" s="46" t="str">
        <f aca="false">IF(N640="","",IF(P640&lt;&gt;"",N640-P640,ROUND(N640*IFERROR(INDEX(Settings!$E$5:$E$12,MATCH(F640,Settings!$D$5:$D$12,0)),0),2)))</f>
        <v/>
      </c>
      <c r="P640" s="37"/>
      <c r="Q640" s="46" t="str">
        <f aca="false">IF(N640="","",IF(P640&lt;&gt;"",P640,N640-O640))</f>
        <v/>
      </c>
      <c r="R640" s="46" t="str">
        <f aca="false">IF(J640="","",IFERROR(N(INDEX(Properties!$H$5:$H$24,MATCH(D640,Properties!$A$5:$A$24,0))),0))</f>
        <v/>
      </c>
      <c r="S640" s="46" t="str">
        <f aca="false">IF(Q640="","",Q640-R640)</f>
        <v/>
      </c>
      <c r="T640" s="6"/>
      <c r="U640" s="6"/>
      <c r="V640" s="6"/>
      <c r="W640" s="6"/>
      <c r="X640" s="6"/>
      <c r="Y640" s="8" t="str">
        <f aca="false">IF(OR(D640="",B640="",C640=""),"",IF(N(C640)&lt;=N(B640),"Check dates",IF(T640="Cancelled","",IF(COUNTIFS($D$5:$D$1004,D640,$B$5:$B$1004,"&lt;"&amp;C640,$C$5:$C$1004,"&gt;"&amp;B640,$T$5:$T$1004,"&lt;&gt;Cancelled")&gt;1,"Double-booked",""))))</f>
        <v/>
      </c>
      <c r="Z640" s="42" t="str">
        <f aca="false">IF(AND(AA640=1,ISNUMBER(C640)),C640+ROW()/100000,"")</f>
        <v/>
      </c>
      <c r="AA640" s="43" t="n">
        <f aca="false">IF(AND(D640&lt;&gt;"",ISNUMBER(B640),ISNUMBER(C640),N(H640)&gt;0,T640&lt;&gt;"Cancelled",J640&lt;&gt;""),1,0)</f>
        <v>0</v>
      </c>
      <c r="AB640" s="44" t="n">
        <f aca="false">IF(AA640=1,J640/H640,0)</f>
        <v>0</v>
      </c>
      <c r="AC640" s="44" t="n">
        <f aca="false">IF(AA640=1,Q640/H640,0)</f>
        <v>0</v>
      </c>
      <c r="AD640" s="44" t="n">
        <f aca="false">IF(AA640=1,R640/H640,0)</f>
        <v>0</v>
      </c>
      <c r="AE640" s="44" t="n">
        <f aca="false">IF(AA640=1,O640/H640,0)</f>
        <v>0</v>
      </c>
      <c r="AF640" s="44" t="n">
        <f aca="false">IF(AA640=1,K640/H640,0)</f>
        <v>0</v>
      </c>
      <c r="AG640" s="45" t="str">
        <f aca="false">IF(AA640=1,D640&amp;"|"&amp;TEXT(B640,"0"),"")</f>
        <v/>
      </c>
      <c r="AH640" s="43" t="n">
        <f aca="false">IF(AA640=1,H640,0)</f>
        <v>0</v>
      </c>
    </row>
    <row r="641" customFormat="false" ht="15" hidden="false" customHeight="false" outlineLevel="0" collapsed="false">
      <c r="A641" s="8" t="str">
        <f aca="false">IF(B641="","","B-"&amp;TEXT(ROW()-4,"0000"))</f>
        <v/>
      </c>
      <c r="B641" s="38"/>
      <c r="C641" s="38"/>
      <c r="D641" s="6"/>
      <c r="E641" s="6"/>
      <c r="F641" s="6"/>
      <c r="G641" s="11"/>
      <c r="H641" s="18" t="str">
        <f aca="false">IF(AND(ISNUMBER(B641),ISNUMBER(C641)),MAX(0,C641-B641),"")</f>
        <v/>
      </c>
      <c r="I641" s="37"/>
      <c r="J641" s="41" t="str">
        <f aca="false">IF(OR(D641="",N(H641)=0),"",IFERROR(IF(I641&lt;&gt;"",H641*I641,ROUND(((H641-(INT((WEEKDAY(B641-6)+H641-1)/7)+INT((WEEKDAY(B641-7)+H641-1)/7)))*INDEX(Properties!$E$5:$E$24,MATCH(D641,Properties!$A$5:$A$24,0))+(INT((WEEKDAY(B641-6)+H641-1)/7)+INT((WEEKDAY(B641-7)+H641-1)/7))*INDEX(Properties!$F$5:$F$24,MATCH(D641,Properties!$A$5:$A$24,0)))*(1-IF(H641&gt;=28,Settings!$B$10,IF(H641&gt;=7,Settings!$B$9,0))),2)),0))</f>
        <v/>
      </c>
      <c r="K641" s="41" t="str">
        <f aca="false">IF(J641="","",IFERROR(N(INDEX(Properties!$G$5:$G$24,MATCH(D641,Properties!$A$5:$A$24,0))),0))</f>
        <v/>
      </c>
      <c r="L641" s="41" t="str">
        <f aca="false">IF(J641="","",IFERROR(MAX(0,N(G641)-INDEX(Properties!$I$5:$I$24,MATCH(D641,Properties!$A$5:$A$24,0)))*N(INDEX(Properties!$J$5:$J$24,MATCH(D641,Properties!$A$5:$A$24,0)))*H641,0))</f>
        <v/>
      </c>
      <c r="M641" s="37"/>
      <c r="N641" s="41" t="str">
        <f aca="false">IF(J641="","",J641+K641+L641+N(M641))</f>
        <v/>
      </c>
      <c r="O641" s="41" t="str">
        <f aca="false">IF(N641="","",IF(P641&lt;&gt;"",N641-P641,ROUND(N641*IFERROR(INDEX(Settings!$E$5:$E$12,MATCH(F641,Settings!$D$5:$D$12,0)),0),2)))</f>
        <v/>
      </c>
      <c r="P641" s="37"/>
      <c r="Q641" s="41" t="str">
        <f aca="false">IF(N641="","",IF(P641&lt;&gt;"",P641,N641-O641))</f>
        <v/>
      </c>
      <c r="R641" s="41" t="str">
        <f aca="false">IF(J641="","",IFERROR(N(INDEX(Properties!$H$5:$H$24,MATCH(D641,Properties!$A$5:$A$24,0))),0))</f>
        <v/>
      </c>
      <c r="S641" s="41" t="str">
        <f aca="false">IF(Q641="","",Q641-R641)</f>
        <v/>
      </c>
      <c r="T641" s="6"/>
      <c r="U641" s="6"/>
      <c r="V641" s="6"/>
      <c r="W641" s="6"/>
      <c r="X641" s="6"/>
      <c r="Y641" s="8" t="str">
        <f aca="false">IF(OR(D641="",B641="",C641=""),"",IF(N(C641)&lt;=N(B641),"Check dates",IF(T641="Cancelled","",IF(COUNTIFS($D$5:$D$1004,D641,$B$5:$B$1004,"&lt;"&amp;C641,$C$5:$C$1004,"&gt;"&amp;B641,$T$5:$T$1004,"&lt;&gt;Cancelled")&gt;1,"Double-booked",""))))</f>
        <v/>
      </c>
      <c r="Z641" s="42" t="str">
        <f aca="false">IF(AND(AA641=1,ISNUMBER(C641)),C641+ROW()/100000,"")</f>
        <v/>
      </c>
      <c r="AA641" s="43" t="n">
        <f aca="false">IF(AND(D641&lt;&gt;"",ISNUMBER(B641),ISNUMBER(C641),N(H641)&gt;0,T641&lt;&gt;"Cancelled",J641&lt;&gt;""),1,0)</f>
        <v>0</v>
      </c>
      <c r="AB641" s="44" t="n">
        <f aca="false">IF(AA641=1,J641/H641,0)</f>
        <v>0</v>
      </c>
      <c r="AC641" s="44" t="n">
        <f aca="false">IF(AA641=1,Q641/H641,0)</f>
        <v>0</v>
      </c>
      <c r="AD641" s="44" t="n">
        <f aca="false">IF(AA641=1,R641/H641,0)</f>
        <v>0</v>
      </c>
      <c r="AE641" s="44" t="n">
        <f aca="false">IF(AA641=1,O641/H641,0)</f>
        <v>0</v>
      </c>
      <c r="AF641" s="44" t="n">
        <f aca="false">IF(AA641=1,K641/H641,0)</f>
        <v>0</v>
      </c>
      <c r="AG641" s="45" t="str">
        <f aca="false">IF(AA641=1,D641&amp;"|"&amp;TEXT(B641,"0"),"")</f>
        <v/>
      </c>
      <c r="AH641" s="43" t="n">
        <f aca="false">IF(AA641=1,H641,0)</f>
        <v>0</v>
      </c>
    </row>
    <row r="642" customFormat="false" ht="15" hidden="false" customHeight="false" outlineLevel="0" collapsed="false">
      <c r="A642" s="23" t="str">
        <f aca="false">IF(B642="","","B-"&amp;TEXT(ROW()-4,"0000"))</f>
        <v/>
      </c>
      <c r="B642" s="38"/>
      <c r="C642" s="38"/>
      <c r="D642" s="6"/>
      <c r="E642" s="6"/>
      <c r="F642" s="6"/>
      <c r="G642" s="11"/>
      <c r="H642" s="24" t="str">
        <f aca="false">IF(AND(ISNUMBER(B642),ISNUMBER(C642)),MAX(0,C642-B642),"")</f>
        <v/>
      </c>
      <c r="I642" s="37"/>
      <c r="J642" s="46" t="str">
        <f aca="false">IF(OR(D642="",N(H642)=0),"",IFERROR(IF(I642&lt;&gt;"",H642*I642,ROUND(((H642-(INT((WEEKDAY(B642-6)+H642-1)/7)+INT((WEEKDAY(B642-7)+H642-1)/7)))*INDEX(Properties!$E$5:$E$24,MATCH(D642,Properties!$A$5:$A$24,0))+(INT((WEEKDAY(B642-6)+H642-1)/7)+INT((WEEKDAY(B642-7)+H642-1)/7))*INDEX(Properties!$F$5:$F$24,MATCH(D642,Properties!$A$5:$A$24,0)))*(1-IF(H642&gt;=28,Settings!$B$10,IF(H642&gt;=7,Settings!$B$9,0))),2)),0))</f>
        <v/>
      </c>
      <c r="K642" s="46" t="str">
        <f aca="false">IF(J642="","",IFERROR(N(INDEX(Properties!$G$5:$G$24,MATCH(D642,Properties!$A$5:$A$24,0))),0))</f>
        <v/>
      </c>
      <c r="L642" s="46" t="str">
        <f aca="false">IF(J642="","",IFERROR(MAX(0,N(G642)-INDEX(Properties!$I$5:$I$24,MATCH(D642,Properties!$A$5:$A$24,0)))*N(INDEX(Properties!$J$5:$J$24,MATCH(D642,Properties!$A$5:$A$24,0)))*H642,0))</f>
        <v/>
      </c>
      <c r="M642" s="37"/>
      <c r="N642" s="46" t="str">
        <f aca="false">IF(J642="","",J642+K642+L642+N(M642))</f>
        <v/>
      </c>
      <c r="O642" s="46" t="str">
        <f aca="false">IF(N642="","",IF(P642&lt;&gt;"",N642-P642,ROUND(N642*IFERROR(INDEX(Settings!$E$5:$E$12,MATCH(F642,Settings!$D$5:$D$12,0)),0),2)))</f>
        <v/>
      </c>
      <c r="P642" s="37"/>
      <c r="Q642" s="46" t="str">
        <f aca="false">IF(N642="","",IF(P642&lt;&gt;"",P642,N642-O642))</f>
        <v/>
      </c>
      <c r="R642" s="46" t="str">
        <f aca="false">IF(J642="","",IFERROR(N(INDEX(Properties!$H$5:$H$24,MATCH(D642,Properties!$A$5:$A$24,0))),0))</f>
        <v/>
      </c>
      <c r="S642" s="46" t="str">
        <f aca="false">IF(Q642="","",Q642-R642)</f>
        <v/>
      </c>
      <c r="T642" s="6"/>
      <c r="U642" s="6"/>
      <c r="V642" s="6"/>
      <c r="W642" s="6"/>
      <c r="X642" s="6"/>
      <c r="Y642" s="8" t="str">
        <f aca="false">IF(OR(D642="",B642="",C642=""),"",IF(N(C642)&lt;=N(B642),"Check dates",IF(T642="Cancelled","",IF(COUNTIFS($D$5:$D$1004,D642,$B$5:$B$1004,"&lt;"&amp;C642,$C$5:$C$1004,"&gt;"&amp;B642,$T$5:$T$1004,"&lt;&gt;Cancelled")&gt;1,"Double-booked",""))))</f>
        <v/>
      </c>
      <c r="Z642" s="42" t="str">
        <f aca="false">IF(AND(AA642=1,ISNUMBER(C642)),C642+ROW()/100000,"")</f>
        <v/>
      </c>
      <c r="AA642" s="43" t="n">
        <f aca="false">IF(AND(D642&lt;&gt;"",ISNUMBER(B642),ISNUMBER(C642),N(H642)&gt;0,T642&lt;&gt;"Cancelled",J642&lt;&gt;""),1,0)</f>
        <v>0</v>
      </c>
      <c r="AB642" s="44" t="n">
        <f aca="false">IF(AA642=1,J642/H642,0)</f>
        <v>0</v>
      </c>
      <c r="AC642" s="44" t="n">
        <f aca="false">IF(AA642=1,Q642/H642,0)</f>
        <v>0</v>
      </c>
      <c r="AD642" s="44" t="n">
        <f aca="false">IF(AA642=1,R642/H642,0)</f>
        <v>0</v>
      </c>
      <c r="AE642" s="44" t="n">
        <f aca="false">IF(AA642=1,O642/H642,0)</f>
        <v>0</v>
      </c>
      <c r="AF642" s="44" t="n">
        <f aca="false">IF(AA642=1,K642/H642,0)</f>
        <v>0</v>
      </c>
      <c r="AG642" s="45" t="str">
        <f aca="false">IF(AA642=1,D642&amp;"|"&amp;TEXT(B642,"0"),"")</f>
        <v/>
      </c>
      <c r="AH642" s="43" t="n">
        <f aca="false">IF(AA642=1,H642,0)</f>
        <v>0</v>
      </c>
    </row>
    <row r="643" customFormat="false" ht="15" hidden="false" customHeight="false" outlineLevel="0" collapsed="false">
      <c r="A643" s="8" t="str">
        <f aca="false">IF(B643="","","B-"&amp;TEXT(ROW()-4,"0000"))</f>
        <v/>
      </c>
      <c r="B643" s="38"/>
      <c r="C643" s="38"/>
      <c r="D643" s="6"/>
      <c r="E643" s="6"/>
      <c r="F643" s="6"/>
      <c r="G643" s="11"/>
      <c r="H643" s="18" t="str">
        <f aca="false">IF(AND(ISNUMBER(B643),ISNUMBER(C643)),MAX(0,C643-B643),"")</f>
        <v/>
      </c>
      <c r="I643" s="37"/>
      <c r="J643" s="41" t="str">
        <f aca="false">IF(OR(D643="",N(H643)=0),"",IFERROR(IF(I643&lt;&gt;"",H643*I643,ROUND(((H643-(INT((WEEKDAY(B643-6)+H643-1)/7)+INT((WEEKDAY(B643-7)+H643-1)/7)))*INDEX(Properties!$E$5:$E$24,MATCH(D643,Properties!$A$5:$A$24,0))+(INT((WEEKDAY(B643-6)+H643-1)/7)+INT((WEEKDAY(B643-7)+H643-1)/7))*INDEX(Properties!$F$5:$F$24,MATCH(D643,Properties!$A$5:$A$24,0)))*(1-IF(H643&gt;=28,Settings!$B$10,IF(H643&gt;=7,Settings!$B$9,0))),2)),0))</f>
        <v/>
      </c>
      <c r="K643" s="41" t="str">
        <f aca="false">IF(J643="","",IFERROR(N(INDEX(Properties!$G$5:$G$24,MATCH(D643,Properties!$A$5:$A$24,0))),0))</f>
        <v/>
      </c>
      <c r="L643" s="41" t="str">
        <f aca="false">IF(J643="","",IFERROR(MAX(0,N(G643)-INDEX(Properties!$I$5:$I$24,MATCH(D643,Properties!$A$5:$A$24,0)))*N(INDEX(Properties!$J$5:$J$24,MATCH(D643,Properties!$A$5:$A$24,0)))*H643,0))</f>
        <v/>
      </c>
      <c r="M643" s="37"/>
      <c r="N643" s="41" t="str">
        <f aca="false">IF(J643="","",J643+K643+L643+N(M643))</f>
        <v/>
      </c>
      <c r="O643" s="41" t="str">
        <f aca="false">IF(N643="","",IF(P643&lt;&gt;"",N643-P643,ROUND(N643*IFERROR(INDEX(Settings!$E$5:$E$12,MATCH(F643,Settings!$D$5:$D$12,0)),0),2)))</f>
        <v/>
      </c>
      <c r="P643" s="37"/>
      <c r="Q643" s="41" t="str">
        <f aca="false">IF(N643="","",IF(P643&lt;&gt;"",P643,N643-O643))</f>
        <v/>
      </c>
      <c r="R643" s="41" t="str">
        <f aca="false">IF(J643="","",IFERROR(N(INDEX(Properties!$H$5:$H$24,MATCH(D643,Properties!$A$5:$A$24,0))),0))</f>
        <v/>
      </c>
      <c r="S643" s="41" t="str">
        <f aca="false">IF(Q643="","",Q643-R643)</f>
        <v/>
      </c>
      <c r="T643" s="6"/>
      <c r="U643" s="6"/>
      <c r="V643" s="6"/>
      <c r="W643" s="6"/>
      <c r="X643" s="6"/>
      <c r="Y643" s="8" t="str">
        <f aca="false">IF(OR(D643="",B643="",C643=""),"",IF(N(C643)&lt;=N(B643),"Check dates",IF(T643="Cancelled","",IF(COUNTIFS($D$5:$D$1004,D643,$B$5:$B$1004,"&lt;"&amp;C643,$C$5:$C$1004,"&gt;"&amp;B643,$T$5:$T$1004,"&lt;&gt;Cancelled")&gt;1,"Double-booked",""))))</f>
        <v/>
      </c>
      <c r="Z643" s="42" t="str">
        <f aca="false">IF(AND(AA643=1,ISNUMBER(C643)),C643+ROW()/100000,"")</f>
        <v/>
      </c>
      <c r="AA643" s="43" t="n">
        <f aca="false">IF(AND(D643&lt;&gt;"",ISNUMBER(B643),ISNUMBER(C643),N(H643)&gt;0,T643&lt;&gt;"Cancelled",J643&lt;&gt;""),1,0)</f>
        <v>0</v>
      </c>
      <c r="AB643" s="44" t="n">
        <f aca="false">IF(AA643=1,J643/H643,0)</f>
        <v>0</v>
      </c>
      <c r="AC643" s="44" t="n">
        <f aca="false">IF(AA643=1,Q643/H643,0)</f>
        <v>0</v>
      </c>
      <c r="AD643" s="44" t="n">
        <f aca="false">IF(AA643=1,R643/H643,0)</f>
        <v>0</v>
      </c>
      <c r="AE643" s="44" t="n">
        <f aca="false">IF(AA643=1,O643/H643,0)</f>
        <v>0</v>
      </c>
      <c r="AF643" s="44" t="n">
        <f aca="false">IF(AA643=1,K643/H643,0)</f>
        <v>0</v>
      </c>
      <c r="AG643" s="45" t="str">
        <f aca="false">IF(AA643=1,D643&amp;"|"&amp;TEXT(B643,"0"),"")</f>
        <v/>
      </c>
      <c r="AH643" s="43" t="n">
        <f aca="false">IF(AA643=1,H643,0)</f>
        <v>0</v>
      </c>
    </row>
    <row r="644" customFormat="false" ht="15" hidden="false" customHeight="false" outlineLevel="0" collapsed="false">
      <c r="A644" s="23" t="str">
        <f aca="false">IF(B644="","","B-"&amp;TEXT(ROW()-4,"0000"))</f>
        <v/>
      </c>
      <c r="B644" s="38"/>
      <c r="C644" s="38"/>
      <c r="D644" s="6"/>
      <c r="E644" s="6"/>
      <c r="F644" s="6"/>
      <c r="G644" s="11"/>
      <c r="H644" s="24" t="str">
        <f aca="false">IF(AND(ISNUMBER(B644),ISNUMBER(C644)),MAX(0,C644-B644),"")</f>
        <v/>
      </c>
      <c r="I644" s="37"/>
      <c r="J644" s="46" t="str">
        <f aca="false">IF(OR(D644="",N(H644)=0),"",IFERROR(IF(I644&lt;&gt;"",H644*I644,ROUND(((H644-(INT((WEEKDAY(B644-6)+H644-1)/7)+INT((WEEKDAY(B644-7)+H644-1)/7)))*INDEX(Properties!$E$5:$E$24,MATCH(D644,Properties!$A$5:$A$24,0))+(INT((WEEKDAY(B644-6)+H644-1)/7)+INT((WEEKDAY(B644-7)+H644-1)/7))*INDEX(Properties!$F$5:$F$24,MATCH(D644,Properties!$A$5:$A$24,0)))*(1-IF(H644&gt;=28,Settings!$B$10,IF(H644&gt;=7,Settings!$B$9,0))),2)),0))</f>
        <v/>
      </c>
      <c r="K644" s="46" t="str">
        <f aca="false">IF(J644="","",IFERROR(N(INDEX(Properties!$G$5:$G$24,MATCH(D644,Properties!$A$5:$A$24,0))),0))</f>
        <v/>
      </c>
      <c r="L644" s="46" t="str">
        <f aca="false">IF(J644="","",IFERROR(MAX(0,N(G644)-INDEX(Properties!$I$5:$I$24,MATCH(D644,Properties!$A$5:$A$24,0)))*N(INDEX(Properties!$J$5:$J$24,MATCH(D644,Properties!$A$5:$A$24,0)))*H644,0))</f>
        <v/>
      </c>
      <c r="M644" s="37"/>
      <c r="N644" s="46" t="str">
        <f aca="false">IF(J644="","",J644+K644+L644+N(M644))</f>
        <v/>
      </c>
      <c r="O644" s="46" t="str">
        <f aca="false">IF(N644="","",IF(P644&lt;&gt;"",N644-P644,ROUND(N644*IFERROR(INDEX(Settings!$E$5:$E$12,MATCH(F644,Settings!$D$5:$D$12,0)),0),2)))</f>
        <v/>
      </c>
      <c r="P644" s="37"/>
      <c r="Q644" s="46" t="str">
        <f aca="false">IF(N644="","",IF(P644&lt;&gt;"",P644,N644-O644))</f>
        <v/>
      </c>
      <c r="R644" s="46" t="str">
        <f aca="false">IF(J644="","",IFERROR(N(INDEX(Properties!$H$5:$H$24,MATCH(D644,Properties!$A$5:$A$24,0))),0))</f>
        <v/>
      </c>
      <c r="S644" s="46" t="str">
        <f aca="false">IF(Q644="","",Q644-R644)</f>
        <v/>
      </c>
      <c r="T644" s="6"/>
      <c r="U644" s="6"/>
      <c r="V644" s="6"/>
      <c r="W644" s="6"/>
      <c r="X644" s="6"/>
      <c r="Y644" s="8" t="str">
        <f aca="false">IF(OR(D644="",B644="",C644=""),"",IF(N(C644)&lt;=N(B644),"Check dates",IF(T644="Cancelled","",IF(COUNTIFS($D$5:$D$1004,D644,$B$5:$B$1004,"&lt;"&amp;C644,$C$5:$C$1004,"&gt;"&amp;B644,$T$5:$T$1004,"&lt;&gt;Cancelled")&gt;1,"Double-booked",""))))</f>
        <v/>
      </c>
      <c r="Z644" s="42" t="str">
        <f aca="false">IF(AND(AA644=1,ISNUMBER(C644)),C644+ROW()/100000,"")</f>
        <v/>
      </c>
      <c r="AA644" s="43" t="n">
        <f aca="false">IF(AND(D644&lt;&gt;"",ISNUMBER(B644),ISNUMBER(C644),N(H644)&gt;0,T644&lt;&gt;"Cancelled",J644&lt;&gt;""),1,0)</f>
        <v>0</v>
      </c>
      <c r="AB644" s="44" t="n">
        <f aca="false">IF(AA644=1,J644/H644,0)</f>
        <v>0</v>
      </c>
      <c r="AC644" s="44" t="n">
        <f aca="false">IF(AA644=1,Q644/H644,0)</f>
        <v>0</v>
      </c>
      <c r="AD644" s="44" t="n">
        <f aca="false">IF(AA644=1,R644/H644,0)</f>
        <v>0</v>
      </c>
      <c r="AE644" s="44" t="n">
        <f aca="false">IF(AA644=1,O644/H644,0)</f>
        <v>0</v>
      </c>
      <c r="AF644" s="44" t="n">
        <f aca="false">IF(AA644=1,K644/H644,0)</f>
        <v>0</v>
      </c>
      <c r="AG644" s="45" t="str">
        <f aca="false">IF(AA644=1,D644&amp;"|"&amp;TEXT(B644,"0"),"")</f>
        <v/>
      </c>
      <c r="AH644" s="43" t="n">
        <f aca="false">IF(AA644=1,H644,0)</f>
        <v>0</v>
      </c>
    </row>
    <row r="645" customFormat="false" ht="15" hidden="false" customHeight="false" outlineLevel="0" collapsed="false">
      <c r="A645" s="8" t="str">
        <f aca="false">IF(B645="","","B-"&amp;TEXT(ROW()-4,"0000"))</f>
        <v/>
      </c>
      <c r="B645" s="38"/>
      <c r="C645" s="38"/>
      <c r="D645" s="6"/>
      <c r="E645" s="6"/>
      <c r="F645" s="6"/>
      <c r="G645" s="11"/>
      <c r="H645" s="18" t="str">
        <f aca="false">IF(AND(ISNUMBER(B645),ISNUMBER(C645)),MAX(0,C645-B645),"")</f>
        <v/>
      </c>
      <c r="I645" s="37"/>
      <c r="J645" s="41" t="str">
        <f aca="false">IF(OR(D645="",N(H645)=0),"",IFERROR(IF(I645&lt;&gt;"",H645*I645,ROUND(((H645-(INT((WEEKDAY(B645-6)+H645-1)/7)+INT((WEEKDAY(B645-7)+H645-1)/7)))*INDEX(Properties!$E$5:$E$24,MATCH(D645,Properties!$A$5:$A$24,0))+(INT((WEEKDAY(B645-6)+H645-1)/7)+INT((WEEKDAY(B645-7)+H645-1)/7))*INDEX(Properties!$F$5:$F$24,MATCH(D645,Properties!$A$5:$A$24,0)))*(1-IF(H645&gt;=28,Settings!$B$10,IF(H645&gt;=7,Settings!$B$9,0))),2)),0))</f>
        <v/>
      </c>
      <c r="K645" s="41" t="str">
        <f aca="false">IF(J645="","",IFERROR(N(INDEX(Properties!$G$5:$G$24,MATCH(D645,Properties!$A$5:$A$24,0))),0))</f>
        <v/>
      </c>
      <c r="L645" s="41" t="str">
        <f aca="false">IF(J645="","",IFERROR(MAX(0,N(G645)-INDEX(Properties!$I$5:$I$24,MATCH(D645,Properties!$A$5:$A$24,0)))*N(INDEX(Properties!$J$5:$J$24,MATCH(D645,Properties!$A$5:$A$24,0)))*H645,0))</f>
        <v/>
      </c>
      <c r="M645" s="37"/>
      <c r="N645" s="41" t="str">
        <f aca="false">IF(J645="","",J645+K645+L645+N(M645))</f>
        <v/>
      </c>
      <c r="O645" s="41" t="str">
        <f aca="false">IF(N645="","",IF(P645&lt;&gt;"",N645-P645,ROUND(N645*IFERROR(INDEX(Settings!$E$5:$E$12,MATCH(F645,Settings!$D$5:$D$12,0)),0),2)))</f>
        <v/>
      </c>
      <c r="P645" s="37"/>
      <c r="Q645" s="41" t="str">
        <f aca="false">IF(N645="","",IF(P645&lt;&gt;"",P645,N645-O645))</f>
        <v/>
      </c>
      <c r="R645" s="41" t="str">
        <f aca="false">IF(J645="","",IFERROR(N(INDEX(Properties!$H$5:$H$24,MATCH(D645,Properties!$A$5:$A$24,0))),0))</f>
        <v/>
      </c>
      <c r="S645" s="41" t="str">
        <f aca="false">IF(Q645="","",Q645-R645)</f>
        <v/>
      </c>
      <c r="T645" s="6"/>
      <c r="U645" s="6"/>
      <c r="V645" s="6"/>
      <c r="W645" s="6"/>
      <c r="X645" s="6"/>
      <c r="Y645" s="8" t="str">
        <f aca="false">IF(OR(D645="",B645="",C645=""),"",IF(N(C645)&lt;=N(B645),"Check dates",IF(T645="Cancelled","",IF(COUNTIFS($D$5:$D$1004,D645,$B$5:$B$1004,"&lt;"&amp;C645,$C$5:$C$1004,"&gt;"&amp;B645,$T$5:$T$1004,"&lt;&gt;Cancelled")&gt;1,"Double-booked",""))))</f>
        <v/>
      </c>
      <c r="Z645" s="42" t="str">
        <f aca="false">IF(AND(AA645=1,ISNUMBER(C645)),C645+ROW()/100000,"")</f>
        <v/>
      </c>
      <c r="AA645" s="43" t="n">
        <f aca="false">IF(AND(D645&lt;&gt;"",ISNUMBER(B645),ISNUMBER(C645),N(H645)&gt;0,T645&lt;&gt;"Cancelled",J645&lt;&gt;""),1,0)</f>
        <v>0</v>
      </c>
      <c r="AB645" s="44" t="n">
        <f aca="false">IF(AA645=1,J645/H645,0)</f>
        <v>0</v>
      </c>
      <c r="AC645" s="44" t="n">
        <f aca="false">IF(AA645=1,Q645/H645,0)</f>
        <v>0</v>
      </c>
      <c r="AD645" s="44" t="n">
        <f aca="false">IF(AA645=1,R645/H645,0)</f>
        <v>0</v>
      </c>
      <c r="AE645" s="44" t="n">
        <f aca="false">IF(AA645=1,O645/H645,0)</f>
        <v>0</v>
      </c>
      <c r="AF645" s="44" t="n">
        <f aca="false">IF(AA645=1,K645/H645,0)</f>
        <v>0</v>
      </c>
      <c r="AG645" s="45" t="str">
        <f aca="false">IF(AA645=1,D645&amp;"|"&amp;TEXT(B645,"0"),"")</f>
        <v/>
      </c>
      <c r="AH645" s="43" t="n">
        <f aca="false">IF(AA645=1,H645,0)</f>
        <v>0</v>
      </c>
    </row>
    <row r="646" customFormat="false" ht="15" hidden="false" customHeight="false" outlineLevel="0" collapsed="false">
      <c r="A646" s="23" t="str">
        <f aca="false">IF(B646="","","B-"&amp;TEXT(ROW()-4,"0000"))</f>
        <v/>
      </c>
      <c r="B646" s="38"/>
      <c r="C646" s="38"/>
      <c r="D646" s="6"/>
      <c r="E646" s="6"/>
      <c r="F646" s="6"/>
      <c r="G646" s="11"/>
      <c r="H646" s="24" t="str">
        <f aca="false">IF(AND(ISNUMBER(B646),ISNUMBER(C646)),MAX(0,C646-B646),"")</f>
        <v/>
      </c>
      <c r="I646" s="37"/>
      <c r="J646" s="46" t="str">
        <f aca="false">IF(OR(D646="",N(H646)=0),"",IFERROR(IF(I646&lt;&gt;"",H646*I646,ROUND(((H646-(INT((WEEKDAY(B646-6)+H646-1)/7)+INT((WEEKDAY(B646-7)+H646-1)/7)))*INDEX(Properties!$E$5:$E$24,MATCH(D646,Properties!$A$5:$A$24,0))+(INT((WEEKDAY(B646-6)+H646-1)/7)+INT((WEEKDAY(B646-7)+H646-1)/7))*INDEX(Properties!$F$5:$F$24,MATCH(D646,Properties!$A$5:$A$24,0)))*(1-IF(H646&gt;=28,Settings!$B$10,IF(H646&gt;=7,Settings!$B$9,0))),2)),0))</f>
        <v/>
      </c>
      <c r="K646" s="46" t="str">
        <f aca="false">IF(J646="","",IFERROR(N(INDEX(Properties!$G$5:$G$24,MATCH(D646,Properties!$A$5:$A$24,0))),0))</f>
        <v/>
      </c>
      <c r="L646" s="46" t="str">
        <f aca="false">IF(J646="","",IFERROR(MAX(0,N(G646)-INDEX(Properties!$I$5:$I$24,MATCH(D646,Properties!$A$5:$A$24,0)))*N(INDEX(Properties!$J$5:$J$24,MATCH(D646,Properties!$A$5:$A$24,0)))*H646,0))</f>
        <v/>
      </c>
      <c r="M646" s="37"/>
      <c r="N646" s="46" t="str">
        <f aca="false">IF(J646="","",J646+K646+L646+N(M646))</f>
        <v/>
      </c>
      <c r="O646" s="46" t="str">
        <f aca="false">IF(N646="","",IF(P646&lt;&gt;"",N646-P646,ROUND(N646*IFERROR(INDEX(Settings!$E$5:$E$12,MATCH(F646,Settings!$D$5:$D$12,0)),0),2)))</f>
        <v/>
      </c>
      <c r="P646" s="37"/>
      <c r="Q646" s="46" t="str">
        <f aca="false">IF(N646="","",IF(P646&lt;&gt;"",P646,N646-O646))</f>
        <v/>
      </c>
      <c r="R646" s="46" t="str">
        <f aca="false">IF(J646="","",IFERROR(N(INDEX(Properties!$H$5:$H$24,MATCH(D646,Properties!$A$5:$A$24,0))),0))</f>
        <v/>
      </c>
      <c r="S646" s="46" t="str">
        <f aca="false">IF(Q646="","",Q646-R646)</f>
        <v/>
      </c>
      <c r="T646" s="6"/>
      <c r="U646" s="6"/>
      <c r="V646" s="6"/>
      <c r="W646" s="6"/>
      <c r="X646" s="6"/>
      <c r="Y646" s="8" t="str">
        <f aca="false">IF(OR(D646="",B646="",C646=""),"",IF(N(C646)&lt;=N(B646),"Check dates",IF(T646="Cancelled","",IF(COUNTIFS($D$5:$D$1004,D646,$B$5:$B$1004,"&lt;"&amp;C646,$C$5:$C$1004,"&gt;"&amp;B646,$T$5:$T$1004,"&lt;&gt;Cancelled")&gt;1,"Double-booked",""))))</f>
        <v/>
      </c>
      <c r="Z646" s="42" t="str">
        <f aca="false">IF(AND(AA646=1,ISNUMBER(C646)),C646+ROW()/100000,"")</f>
        <v/>
      </c>
      <c r="AA646" s="43" t="n">
        <f aca="false">IF(AND(D646&lt;&gt;"",ISNUMBER(B646),ISNUMBER(C646),N(H646)&gt;0,T646&lt;&gt;"Cancelled",J646&lt;&gt;""),1,0)</f>
        <v>0</v>
      </c>
      <c r="AB646" s="44" t="n">
        <f aca="false">IF(AA646=1,J646/H646,0)</f>
        <v>0</v>
      </c>
      <c r="AC646" s="44" t="n">
        <f aca="false">IF(AA646=1,Q646/H646,0)</f>
        <v>0</v>
      </c>
      <c r="AD646" s="44" t="n">
        <f aca="false">IF(AA646=1,R646/H646,0)</f>
        <v>0</v>
      </c>
      <c r="AE646" s="44" t="n">
        <f aca="false">IF(AA646=1,O646/H646,0)</f>
        <v>0</v>
      </c>
      <c r="AF646" s="44" t="n">
        <f aca="false">IF(AA646=1,K646/H646,0)</f>
        <v>0</v>
      </c>
      <c r="AG646" s="45" t="str">
        <f aca="false">IF(AA646=1,D646&amp;"|"&amp;TEXT(B646,"0"),"")</f>
        <v/>
      </c>
      <c r="AH646" s="43" t="n">
        <f aca="false">IF(AA646=1,H646,0)</f>
        <v>0</v>
      </c>
    </row>
    <row r="647" customFormat="false" ht="15" hidden="false" customHeight="false" outlineLevel="0" collapsed="false">
      <c r="A647" s="8" t="str">
        <f aca="false">IF(B647="","","B-"&amp;TEXT(ROW()-4,"0000"))</f>
        <v/>
      </c>
      <c r="B647" s="38"/>
      <c r="C647" s="38"/>
      <c r="D647" s="6"/>
      <c r="E647" s="6"/>
      <c r="F647" s="6"/>
      <c r="G647" s="11"/>
      <c r="H647" s="18" t="str">
        <f aca="false">IF(AND(ISNUMBER(B647),ISNUMBER(C647)),MAX(0,C647-B647),"")</f>
        <v/>
      </c>
      <c r="I647" s="37"/>
      <c r="J647" s="41" t="str">
        <f aca="false">IF(OR(D647="",N(H647)=0),"",IFERROR(IF(I647&lt;&gt;"",H647*I647,ROUND(((H647-(INT((WEEKDAY(B647-6)+H647-1)/7)+INT((WEEKDAY(B647-7)+H647-1)/7)))*INDEX(Properties!$E$5:$E$24,MATCH(D647,Properties!$A$5:$A$24,0))+(INT((WEEKDAY(B647-6)+H647-1)/7)+INT((WEEKDAY(B647-7)+H647-1)/7))*INDEX(Properties!$F$5:$F$24,MATCH(D647,Properties!$A$5:$A$24,0)))*(1-IF(H647&gt;=28,Settings!$B$10,IF(H647&gt;=7,Settings!$B$9,0))),2)),0))</f>
        <v/>
      </c>
      <c r="K647" s="41" t="str">
        <f aca="false">IF(J647="","",IFERROR(N(INDEX(Properties!$G$5:$G$24,MATCH(D647,Properties!$A$5:$A$24,0))),0))</f>
        <v/>
      </c>
      <c r="L647" s="41" t="str">
        <f aca="false">IF(J647="","",IFERROR(MAX(0,N(G647)-INDEX(Properties!$I$5:$I$24,MATCH(D647,Properties!$A$5:$A$24,0)))*N(INDEX(Properties!$J$5:$J$24,MATCH(D647,Properties!$A$5:$A$24,0)))*H647,0))</f>
        <v/>
      </c>
      <c r="M647" s="37"/>
      <c r="N647" s="41" t="str">
        <f aca="false">IF(J647="","",J647+K647+L647+N(M647))</f>
        <v/>
      </c>
      <c r="O647" s="41" t="str">
        <f aca="false">IF(N647="","",IF(P647&lt;&gt;"",N647-P647,ROUND(N647*IFERROR(INDEX(Settings!$E$5:$E$12,MATCH(F647,Settings!$D$5:$D$12,0)),0),2)))</f>
        <v/>
      </c>
      <c r="P647" s="37"/>
      <c r="Q647" s="41" t="str">
        <f aca="false">IF(N647="","",IF(P647&lt;&gt;"",P647,N647-O647))</f>
        <v/>
      </c>
      <c r="R647" s="41" t="str">
        <f aca="false">IF(J647="","",IFERROR(N(INDEX(Properties!$H$5:$H$24,MATCH(D647,Properties!$A$5:$A$24,0))),0))</f>
        <v/>
      </c>
      <c r="S647" s="41" t="str">
        <f aca="false">IF(Q647="","",Q647-R647)</f>
        <v/>
      </c>
      <c r="T647" s="6"/>
      <c r="U647" s="6"/>
      <c r="V647" s="6"/>
      <c r="W647" s="6"/>
      <c r="X647" s="6"/>
      <c r="Y647" s="8" t="str">
        <f aca="false">IF(OR(D647="",B647="",C647=""),"",IF(N(C647)&lt;=N(B647),"Check dates",IF(T647="Cancelled","",IF(COUNTIFS($D$5:$D$1004,D647,$B$5:$B$1004,"&lt;"&amp;C647,$C$5:$C$1004,"&gt;"&amp;B647,$T$5:$T$1004,"&lt;&gt;Cancelled")&gt;1,"Double-booked",""))))</f>
        <v/>
      </c>
      <c r="Z647" s="42" t="str">
        <f aca="false">IF(AND(AA647=1,ISNUMBER(C647)),C647+ROW()/100000,"")</f>
        <v/>
      </c>
      <c r="AA647" s="43" t="n">
        <f aca="false">IF(AND(D647&lt;&gt;"",ISNUMBER(B647),ISNUMBER(C647),N(H647)&gt;0,T647&lt;&gt;"Cancelled",J647&lt;&gt;""),1,0)</f>
        <v>0</v>
      </c>
      <c r="AB647" s="44" t="n">
        <f aca="false">IF(AA647=1,J647/H647,0)</f>
        <v>0</v>
      </c>
      <c r="AC647" s="44" t="n">
        <f aca="false">IF(AA647=1,Q647/H647,0)</f>
        <v>0</v>
      </c>
      <c r="AD647" s="44" t="n">
        <f aca="false">IF(AA647=1,R647/H647,0)</f>
        <v>0</v>
      </c>
      <c r="AE647" s="44" t="n">
        <f aca="false">IF(AA647=1,O647/H647,0)</f>
        <v>0</v>
      </c>
      <c r="AF647" s="44" t="n">
        <f aca="false">IF(AA647=1,K647/H647,0)</f>
        <v>0</v>
      </c>
      <c r="AG647" s="45" t="str">
        <f aca="false">IF(AA647=1,D647&amp;"|"&amp;TEXT(B647,"0"),"")</f>
        <v/>
      </c>
      <c r="AH647" s="43" t="n">
        <f aca="false">IF(AA647=1,H647,0)</f>
        <v>0</v>
      </c>
    </row>
    <row r="648" customFormat="false" ht="15" hidden="false" customHeight="false" outlineLevel="0" collapsed="false">
      <c r="A648" s="23" t="str">
        <f aca="false">IF(B648="","","B-"&amp;TEXT(ROW()-4,"0000"))</f>
        <v/>
      </c>
      <c r="B648" s="38"/>
      <c r="C648" s="38"/>
      <c r="D648" s="6"/>
      <c r="E648" s="6"/>
      <c r="F648" s="6"/>
      <c r="G648" s="11"/>
      <c r="H648" s="24" t="str">
        <f aca="false">IF(AND(ISNUMBER(B648),ISNUMBER(C648)),MAX(0,C648-B648),"")</f>
        <v/>
      </c>
      <c r="I648" s="37"/>
      <c r="J648" s="46" t="str">
        <f aca="false">IF(OR(D648="",N(H648)=0),"",IFERROR(IF(I648&lt;&gt;"",H648*I648,ROUND(((H648-(INT((WEEKDAY(B648-6)+H648-1)/7)+INT((WEEKDAY(B648-7)+H648-1)/7)))*INDEX(Properties!$E$5:$E$24,MATCH(D648,Properties!$A$5:$A$24,0))+(INT((WEEKDAY(B648-6)+H648-1)/7)+INT((WEEKDAY(B648-7)+H648-1)/7))*INDEX(Properties!$F$5:$F$24,MATCH(D648,Properties!$A$5:$A$24,0)))*(1-IF(H648&gt;=28,Settings!$B$10,IF(H648&gt;=7,Settings!$B$9,0))),2)),0))</f>
        <v/>
      </c>
      <c r="K648" s="46" t="str">
        <f aca="false">IF(J648="","",IFERROR(N(INDEX(Properties!$G$5:$G$24,MATCH(D648,Properties!$A$5:$A$24,0))),0))</f>
        <v/>
      </c>
      <c r="L648" s="46" t="str">
        <f aca="false">IF(J648="","",IFERROR(MAX(0,N(G648)-INDEX(Properties!$I$5:$I$24,MATCH(D648,Properties!$A$5:$A$24,0)))*N(INDEX(Properties!$J$5:$J$24,MATCH(D648,Properties!$A$5:$A$24,0)))*H648,0))</f>
        <v/>
      </c>
      <c r="M648" s="37"/>
      <c r="N648" s="46" t="str">
        <f aca="false">IF(J648="","",J648+K648+L648+N(M648))</f>
        <v/>
      </c>
      <c r="O648" s="46" t="str">
        <f aca="false">IF(N648="","",IF(P648&lt;&gt;"",N648-P648,ROUND(N648*IFERROR(INDEX(Settings!$E$5:$E$12,MATCH(F648,Settings!$D$5:$D$12,0)),0),2)))</f>
        <v/>
      </c>
      <c r="P648" s="37"/>
      <c r="Q648" s="46" t="str">
        <f aca="false">IF(N648="","",IF(P648&lt;&gt;"",P648,N648-O648))</f>
        <v/>
      </c>
      <c r="R648" s="46" t="str">
        <f aca="false">IF(J648="","",IFERROR(N(INDEX(Properties!$H$5:$H$24,MATCH(D648,Properties!$A$5:$A$24,0))),0))</f>
        <v/>
      </c>
      <c r="S648" s="46" t="str">
        <f aca="false">IF(Q648="","",Q648-R648)</f>
        <v/>
      </c>
      <c r="T648" s="6"/>
      <c r="U648" s="6"/>
      <c r="V648" s="6"/>
      <c r="W648" s="6"/>
      <c r="X648" s="6"/>
      <c r="Y648" s="8" t="str">
        <f aca="false">IF(OR(D648="",B648="",C648=""),"",IF(N(C648)&lt;=N(B648),"Check dates",IF(T648="Cancelled","",IF(COUNTIFS($D$5:$D$1004,D648,$B$5:$B$1004,"&lt;"&amp;C648,$C$5:$C$1004,"&gt;"&amp;B648,$T$5:$T$1004,"&lt;&gt;Cancelled")&gt;1,"Double-booked",""))))</f>
        <v/>
      </c>
      <c r="Z648" s="42" t="str">
        <f aca="false">IF(AND(AA648=1,ISNUMBER(C648)),C648+ROW()/100000,"")</f>
        <v/>
      </c>
      <c r="AA648" s="43" t="n">
        <f aca="false">IF(AND(D648&lt;&gt;"",ISNUMBER(B648),ISNUMBER(C648),N(H648)&gt;0,T648&lt;&gt;"Cancelled",J648&lt;&gt;""),1,0)</f>
        <v>0</v>
      </c>
      <c r="AB648" s="44" t="n">
        <f aca="false">IF(AA648=1,J648/H648,0)</f>
        <v>0</v>
      </c>
      <c r="AC648" s="44" t="n">
        <f aca="false">IF(AA648=1,Q648/H648,0)</f>
        <v>0</v>
      </c>
      <c r="AD648" s="44" t="n">
        <f aca="false">IF(AA648=1,R648/H648,0)</f>
        <v>0</v>
      </c>
      <c r="AE648" s="44" t="n">
        <f aca="false">IF(AA648=1,O648/H648,0)</f>
        <v>0</v>
      </c>
      <c r="AF648" s="44" t="n">
        <f aca="false">IF(AA648=1,K648/H648,0)</f>
        <v>0</v>
      </c>
      <c r="AG648" s="45" t="str">
        <f aca="false">IF(AA648=1,D648&amp;"|"&amp;TEXT(B648,"0"),"")</f>
        <v/>
      </c>
      <c r="AH648" s="43" t="n">
        <f aca="false">IF(AA648=1,H648,0)</f>
        <v>0</v>
      </c>
    </row>
    <row r="649" customFormat="false" ht="15" hidden="false" customHeight="false" outlineLevel="0" collapsed="false">
      <c r="A649" s="8" t="str">
        <f aca="false">IF(B649="","","B-"&amp;TEXT(ROW()-4,"0000"))</f>
        <v/>
      </c>
      <c r="B649" s="38"/>
      <c r="C649" s="38"/>
      <c r="D649" s="6"/>
      <c r="E649" s="6"/>
      <c r="F649" s="6"/>
      <c r="G649" s="11"/>
      <c r="H649" s="18" t="str">
        <f aca="false">IF(AND(ISNUMBER(B649),ISNUMBER(C649)),MAX(0,C649-B649),"")</f>
        <v/>
      </c>
      <c r="I649" s="37"/>
      <c r="J649" s="41" t="str">
        <f aca="false">IF(OR(D649="",N(H649)=0),"",IFERROR(IF(I649&lt;&gt;"",H649*I649,ROUND(((H649-(INT((WEEKDAY(B649-6)+H649-1)/7)+INT((WEEKDAY(B649-7)+H649-1)/7)))*INDEX(Properties!$E$5:$E$24,MATCH(D649,Properties!$A$5:$A$24,0))+(INT((WEEKDAY(B649-6)+H649-1)/7)+INT((WEEKDAY(B649-7)+H649-1)/7))*INDEX(Properties!$F$5:$F$24,MATCH(D649,Properties!$A$5:$A$24,0)))*(1-IF(H649&gt;=28,Settings!$B$10,IF(H649&gt;=7,Settings!$B$9,0))),2)),0))</f>
        <v/>
      </c>
      <c r="K649" s="41" t="str">
        <f aca="false">IF(J649="","",IFERROR(N(INDEX(Properties!$G$5:$G$24,MATCH(D649,Properties!$A$5:$A$24,0))),0))</f>
        <v/>
      </c>
      <c r="L649" s="41" t="str">
        <f aca="false">IF(J649="","",IFERROR(MAX(0,N(G649)-INDEX(Properties!$I$5:$I$24,MATCH(D649,Properties!$A$5:$A$24,0)))*N(INDEX(Properties!$J$5:$J$24,MATCH(D649,Properties!$A$5:$A$24,0)))*H649,0))</f>
        <v/>
      </c>
      <c r="M649" s="37"/>
      <c r="N649" s="41" t="str">
        <f aca="false">IF(J649="","",J649+K649+L649+N(M649))</f>
        <v/>
      </c>
      <c r="O649" s="41" t="str">
        <f aca="false">IF(N649="","",IF(P649&lt;&gt;"",N649-P649,ROUND(N649*IFERROR(INDEX(Settings!$E$5:$E$12,MATCH(F649,Settings!$D$5:$D$12,0)),0),2)))</f>
        <v/>
      </c>
      <c r="P649" s="37"/>
      <c r="Q649" s="41" t="str">
        <f aca="false">IF(N649="","",IF(P649&lt;&gt;"",P649,N649-O649))</f>
        <v/>
      </c>
      <c r="R649" s="41" t="str">
        <f aca="false">IF(J649="","",IFERROR(N(INDEX(Properties!$H$5:$H$24,MATCH(D649,Properties!$A$5:$A$24,0))),0))</f>
        <v/>
      </c>
      <c r="S649" s="41" t="str">
        <f aca="false">IF(Q649="","",Q649-R649)</f>
        <v/>
      </c>
      <c r="T649" s="6"/>
      <c r="U649" s="6"/>
      <c r="V649" s="6"/>
      <c r="W649" s="6"/>
      <c r="X649" s="6"/>
      <c r="Y649" s="8" t="str">
        <f aca="false">IF(OR(D649="",B649="",C649=""),"",IF(N(C649)&lt;=N(B649),"Check dates",IF(T649="Cancelled","",IF(COUNTIFS($D$5:$D$1004,D649,$B$5:$B$1004,"&lt;"&amp;C649,$C$5:$C$1004,"&gt;"&amp;B649,$T$5:$T$1004,"&lt;&gt;Cancelled")&gt;1,"Double-booked",""))))</f>
        <v/>
      </c>
      <c r="Z649" s="42" t="str">
        <f aca="false">IF(AND(AA649=1,ISNUMBER(C649)),C649+ROW()/100000,"")</f>
        <v/>
      </c>
      <c r="AA649" s="43" t="n">
        <f aca="false">IF(AND(D649&lt;&gt;"",ISNUMBER(B649),ISNUMBER(C649),N(H649)&gt;0,T649&lt;&gt;"Cancelled",J649&lt;&gt;""),1,0)</f>
        <v>0</v>
      </c>
      <c r="AB649" s="44" t="n">
        <f aca="false">IF(AA649=1,J649/H649,0)</f>
        <v>0</v>
      </c>
      <c r="AC649" s="44" t="n">
        <f aca="false">IF(AA649=1,Q649/H649,0)</f>
        <v>0</v>
      </c>
      <c r="AD649" s="44" t="n">
        <f aca="false">IF(AA649=1,R649/H649,0)</f>
        <v>0</v>
      </c>
      <c r="AE649" s="44" t="n">
        <f aca="false">IF(AA649=1,O649/H649,0)</f>
        <v>0</v>
      </c>
      <c r="AF649" s="44" t="n">
        <f aca="false">IF(AA649=1,K649/H649,0)</f>
        <v>0</v>
      </c>
      <c r="AG649" s="45" t="str">
        <f aca="false">IF(AA649=1,D649&amp;"|"&amp;TEXT(B649,"0"),"")</f>
        <v/>
      </c>
      <c r="AH649" s="43" t="n">
        <f aca="false">IF(AA649=1,H649,0)</f>
        <v>0</v>
      </c>
    </row>
    <row r="650" customFormat="false" ht="15" hidden="false" customHeight="false" outlineLevel="0" collapsed="false">
      <c r="A650" s="23" t="str">
        <f aca="false">IF(B650="","","B-"&amp;TEXT(ROW()-4,"0000"))</f>
        <v/>
      </c>
      <c r="B650" s="38"/>
      <c r="C650" s="38"/>
      <c r="D650" s="6"/>
      <c r="E650" s="6"/>
      <c r="F650" s="6"/>
      <c r="G650" s="11"/>
      <c r="H650" s="24" t="str">
        <f aca="false">IF(AND(ISNUMBER(B650),ISNUMBER(C650)),MAX(0,C650-B650),"")</f>
        <v/>
      </c>
      <c r="I650" s="37"/>
      <c r="J650" s="46" t="str">
        <f aca="false">IF(OR(D650="",N(H650)=0),"",IFERROR(IF(I650&lt;&gt;"",H650*I650,ROUND(((H650-(INT((WEEKDAY(B650-6)+H650-1)/7)+INT((WEEKDAY(B650-7)+H650-1)/7)))*INDEX(Properties!$E$5:$E$24,MATCH(D650,Properties!$A$5:$A$24,0))+(INT((WEEKDAY(B650-6)+H650-1)/7)+INT((WEEKDAY(B650-7)+H650-1)/7))*INDEX(Properties!$F$5:$F$24,MATCH(D650,Properties!$A$5:$A$24,0)))*(1-IF(H650&gt;=28,Settings!$B$10,IF(H650&gt;=7,Settings!$B$9,0))),2)),0))</f>
        <v/>
      </c>
      <c r="K650" s="46" t="str">
        <f aca="false">IF(J650="","",IFERROR(N(INDEX(Properties!$G$5:$G$24,MATCH(D650,Properties!$A$5:$A$24,0))),0))</f>
        <v/>
      </c>
      <c r="L650" s="46" t="str">
        <f aca="false">IF(J650="","",IFERROR(MAX(0,N(G650)-INDEX(Properties!$I$5:$I$24,MATCH(D650,Properties!$A$5:$A$24,0)))*N(INDEX(Properties!$J$5:$J$24,MATCH(D650,Properties!$A$5:$A$24,0)))*H650,0))</f>
        <v/>
      </c>
      <c r="M650" s="37"/>
      <c r="N650" s="46" t="str">
        <f aca="false">IF(J650="","",J650+K650+L650+N(M650))</f>
        <v/>
      </c>
      <c r="O650" s="46" t="str">
        <f aca="false">IF(N650="","",IF(P650&lt;&gt;"",N650-P650,ROUND(N650*IFERROR(INDEX(Settings!$E$5:$E$12,MATCH(F650,Settings!$D$5:$D$12,0)),0),2)))</f>
        <v/>
      </c>
      <c r="P650" s="37"/>
      <c r="Q650" s="46" t="str">
        <f aca="false">IF(N650="","",IF(P650&lt;&gt;"",P650,N650-O650))</f>
        <v/>
      </c>
      <c r="R650" s="46" t="str">
        <f aca="false">IF(J650="","",IFERROR(N(INDEX(Properties!$H$5:$H$24,MATCH(D650,Properties!$A$5:$A$24,0))),0))</f>
        <v/>
      </c>
      <c r="S650" s="46" t="str">
        <f aca="false">IF(Q650="","",Q650-R650)</f>
        <v/>
      </c>
      <c r="T650" s="6"/>
      <c r="U650" s="6"/>
      <c r="V650" s="6"/>
      <c r="W650" s="6"/>
      <c r="X650" s="6"/>
      <c r="Y650" s="8" t="str">
        <f aca="false">IF(OR(D650="",B650="",C650=""),"",IF(N(C650)&lt;=N(B650),"Check dates",IF(T650="Cancelled","",IF(COUNTIFS($D$5:$D$1004,D650,$B$5:$B$1004,"&lt;"&amp;C650,$C$5:$C$1004,"&gt;"&amp;B650,$T$5:$T$1004,"&lt;&gt;Cancelled")&gt;1,"Double-booked",""))))</f>
        <v/>
      </c>
      <c r="Z650" s="42" t="str">
        <f aca="false">IF(AND(AA650=1,ISNUMBER(C650)),C650+ROW()/100000,"")</f>
        <v/>
      </c>
      <c r="AA650" s="43" t="n">
        <f aca="false">IF(AND(D650&lt;&gt;"",ISNUMBER(B650),ISNUMBER(C650),N(H650)&gt;0,T650&lt;&gt;"Cancelled",J650&lt;&gt;""),1,0)</f>
        <v>0</v>
      </c>
      <c r="AB650" s="44" t="n">
        <f aca="false">IF(AA650=1,J650/H650,0)</f>
        <v>0</v>
      </c>
      <c r="AC650" s="44" t="n">
        <f aca="false">IF(AA650=1,Q650/H650,0)</f>
        <v>0</v>
      </c>
      <c r="AD650" s="44" t="n">
        <f aca="false">IF(AA650=1,R650/H650,0)</f>
        <v>0</v>
      </c>
      <c r="AE650" s="44" t="n">
        <f aca="false">IF(AA650=1,O650/H650,0)</f>
        <v>0</v>
      </c>
      <c r="AF650" s="44" t="n">
        <f aca="false">IF(AA650=1,K650/H650,0)</f>
        <v>0</v>
      </c>
      <c r="AG650" s="45" t="str">
        <f aca="false">IF(AA650=1,D650&amp;"|"&amp;TEXT(B650,"0"),"")</f>
        <v/>
      </c>
      <c r="AH650" s="43" t="n">
        <f aca="false">IF(AA650=1,H650,0)</f>
        <v>0</v>
      </c>
    </row>
    <row r="651" customFormat="false" ht="15" hidden="false" customHeight="false" outlineLevel="0" collapsed="false">
      <c r="A651" s="8" t="str">
        <f aca="false">IF(B651="","","B-"&amp;TEXT(ROW()-4,"0000"))</f>
        <v/>
      </c>
      <c r="B651" s="38"/>
      <c r="C651" s="38"/>
      <c r="D651" s="6"/>
      <c r="E651" s="6"/>
      <c r="F651" s="6"/>
      <c r="G651" s="11"/>
      <c r="H651" s="18" t="str">
        <f aca="false">IF(AND(ISNUMBER(B651),ISNUMBER(C651)),MAX(0,C651-B651),"")</f>
        <v/>
      </c>
      <c r="I651" s="37"/>
      <c r="J651" s="41" t="str">
        <f aca="false">IF(OR(D651="",N(H651)=0),"",IFERROR(IF(I651&lt;&gt;"",H651*I651,ROUND(((H651-(INT((WEEKDAY(B651-6)+H651-1)/7)+INT((WEEKDAY(B651-7)+H651-1)/7)))*INDEX(Properties!$E$5:$E$24,MATCH(D651,Properties!$A$5:$A$24,0))+(INT((WEEKDAY(B651-6)+H651-1)/7)+INT((WEEKDAY(B651-7)+H651-1)/7))*INDEX(Properties!$F$5:$F$24,MATCH(D651,Properties!$A$5:$A$24,0)))*(1-IF(H651&gt;=28,Settings!$B$10,IF(H651&gt;=7,Settings!$B$9,0))),2)),0))</f>
        <v/>
      </c>
      <c r="K651" s="41" t="str">
        <f aca="false">IF(J651="","",IFERROR(N(INDEX(Properties!$G$5:$G$24,MATCH(D651,Properties!$A$5:$A$24,0))),0))</f>
        <v/>
      </c>
      <c r="L651" s="41" t="str">
        <f aca="false">IF(J651="","",IFERROR(MAX(0,N(G651)-INDEX(Properties!$I$5:$I$24,MATCH(D651,Properties!$A$5:$A$24,0)))*N(INDEX(Properties!$J$5:$J$24,MATCH(D651,Properties!$A$5:$A$24,0)))*H651,0))</f>
        <v/>
      </c>
      <c r="M651" s="37"/>
      <c r="N651" s="41" t="str">
        <f aca="false">IF(J651="","",J651+K651+L651+N(M651))</f>
        <v/>
      </c>
      <c r="O651" s="41" t="str">
        <f aca="false">IF(N651="","",IF(P651&lt;&gt;"",N651-P651,ROUND(N651*IFERROR(INDEX(Settings!$E$5:$E$12,MATCH(F651,Settings!$D$5:$D$12,0)),0),2)))</f>
        <v/>
      </c>
      <c r="P651" s="37"/>
      <c r="Q651" s="41" t="str">
        <f aca="false">IF(N651="","",IF(P651&lt;&gt;"",P651,N651-O651))</f>
        <v/>
      </c>
      <c r="R651" s="41" t="str">
        <f aca="false">IF(J651="","",IFERROR(N(INDEX(Properties!$H$5:$H$24,MATCH(D651,Properties!$A$5:$A$24,0))),0))</f>
        <v/>
      </c>
      <c r="S651" s="41" t="str">
        <f aca="false">IF(Q651="","",Q651-R651)</f>
        <v/>
      </c>
      <c r="T651" s="6"/>
      <c r="U651" s="6"/>
      <c r="V651" s="6"/>
      <c r="W651" s="6"/>
      <c r="X651" s="6"/>
      <c r="Y651" s="8" t="str">
        <f aca="false">IF(OR(D651="",B651="",C651=""),"",IF(N(C651)&lt;=N(B651),"Check dates",IF(T651="Cancelled","",IF(COUNTIFS($D$5:$D$1004,D651,$B$5:$B$1004,"&lt;"&amp;C651,$C$5:$C$1004,"&gt;"&amp;B651,$T$5:$T$1004,"&lt;&gt;Cancelled")&gt;1,"Double-booked",""))))</f>
        <v/>
      </c>
      <c r="Z651" s="42" t="str">
        <f aca="false">IF(AND(AA651=1,ISNUMBER(C651)),C651+ROW()/100000,"")</f>
        <v/>
      </c>
      <c r="AA651" s="43" t="n">
        <f aca="false">IF(AND(D651&lt;&gt;"",ISNUMBER(B651),ISNUMBER(C651),N(H651)&gt;0,T651&lt;&gt;"Cancelled",J651&lt;&gt;""),1,0)</f>
        <v>0</v>
      </c>
      <c r="AB651" s="44" t="n">
        <f aca="false">IF(AA651=1,J651/H651,0)</f>
        <v>0</v>
      </c>
      <c r="AC651" s="44" t="n">
        <f aca="false">IF(AA651=1,Q651/H651,0)</f>
        <v>0</v>
      </c>
      <c r="AD651" s="44" t="n">
        <f aca="false">IF(AA651=1,R651/H651,0)</f>
        <v>0</v>
      </c>
      <c r="AE651" s="44" t="n">
        <f aca="false">IF(AA651=1,O651/H651,0)</f>
        <v>0</v>
      </c>
      <c r="AF651" s="44" t="n">
        <f aca="false">IF(AA651=1,K651/H651,0)</f>
        <v>0</v>
      </c>
      <c r="AG651" s="45" t="str">
        <f aca="false">IF(AA651=1,D651&amp;"|"&amp;TEXT(B651,"0"),"")</f>
        <v/>
      </c>
      <c r="AH651" s="43" t="n">
        <f aca="false">IF(AA651=1,H651,0)</f>
        <v>0</v>
      </c>
    </row>
    <row r="652" customFormat="false" ht="15" hidden="false" customHeight="false" outlineLevel="0" collapsed="false">
      <c r="A652" s="23" t="str">
        <f aca="false">IF(B652="","","B-"&amp;TEXT(ROW()-4,"0000"))</f>
        <v/>
      </c>
      <c r="B652" s="38"/>
      <c r="C652" s="38"/>
      <c r="D652" s="6"/>
      <c r="E652" s="6"/>
      <c r="F652" s="6"/>
      <c r="G652" s="11"/>
      <c r="H652" s="24" t="str">
        <f aca="false">IF(AND(ISNUMBER(B652),ISNUMBER(C652)),MAX(0,C652-B652),"")</f>
        <v/>
      </c>
      <c r="I652" s="37"/>
      <c r="J652" s="46" t="str">
        <f aca="false">IF(OR(D652="",N(H652)=0),"",IFERROR(IF(I652&lt;&gt;"",H652*I652,ROUND(((H652-(INT((WEEKDAY(B652-6)+H652-1)/7)+INT((WEEKDAY(B652-7)+H652-1)/7)))*INDEX(Properties!$E$5:$E$24,MATCH(D652,Properties!$A$5:$A$24,0))+(INT((WEEKDAY(B652-6)+H652-1)/7)+INT((WEEKDAY(B652-7)+H652-1)/7))*INDEX(Properties!$F$5:$F$24,MATCH(D652,Properties!$A$5:$A$24,0)))*(1-IF(H652&gt;=28,Settings!$B$10,IF(H652&gt;=7,Settings!$B$9,0))),2)),0))</f>
        <v/>
      </c>
      <c r="K652" s="46" t="str">
        <f aca="false">IF(J652="","",IFERROR(N(INDEX(Properties!$G$5:$G$24,MATCH(D652,Properties!$A$5:$A$24,0))),0))</f>
        <v/>
      </c>
      <c r="L652" s="46" t="str">
        <f aca="false">IF(J652="","",IFERROR(MAX(0,N(G652)-INDEX(Properties!$I$5:$I$24,MATCH(D652,Properties!$A$5:$A$24,0)))*N(INDEX(Properties!$J$5:$J$24,MATCH(D652,Properties!$A$5:$A$24,0)))*H652,0))</f>
        <v/>
      </c>
      <c r="M652" s="37"/>
      <c r="N652" s="46" t="str">
        <f aca="false">IF(J652="","",J652+K652+L652+N(M652))</f>
        <v/>
      </c>
      <c r="O652" s="46" t="str">
        <f aca="false">IF(N652="","",IF(P652&lt;&gt;"",N652-P652,ROUND(N652*IFERROR(INDEX(Settings!$E$5:$E$12,MATCH(F652,Settings!$D$5:$D$12,0)),0),2)))</f>
        <v/>
      </c>
      <c r="P652" s="37"/>
      <c r="Q652" s="46" t="str">
        <f aca="false">IF(N652="","",IF(P652&lt;&gt;"",P652,N652-O652))</f>
        <v/>
      </c>
      <c r="R652" s="46" t="str">
        <f aca="false">IF(J652="","",IFERROR(N(INDEX(Properties!$H$5:$H$24,MATCH(D652,Properties!$A$5:$A$24,0))),0))</f>
        <v/>
      </c>
      <c r="S652" s="46" t="str">
        <f aca="false">IF(Q652="","",Q652-R652)</f>
        <v/>
      </c>
      <c r="T652" s="6"/>
      <c r="U652" s="6"/>
      <c r="V652" s="6"/>
      <c r="W652" s="6"/>
      <c r="X652" s="6"/>
      <c r="Y652" s="8" t="str">
        <f aca="false">IF(OR(D652="",B652="",C652=""),"",IF(N(C652)&lt;=N(B652),"Check dates",IF(T652="Cancelled","",IF(COUNTIFS($D$5:$D$1004,D652,$B$5:$B$1004,"&lt;"&amp;C652,$C$5:$C$1004,"&gt;"&amp;B652,$T$5:$T$1004,"&lt;&gt;Cancelled")&gt;1,"Double-booked",""))))</f>
        <v/>
      </c>
      <c r="Z652" s="42" t="str">
        <f aca="false">IF(AND(AA652=1,ISNUMBER(C652)),C652+ROW()/100000,"")</f>
        <v/>
      </c>
      <c r="AA652" s="43" t="n">
        <f aca="false">IF(AND(D652&lt;&gt;"",ISNUMBER(B652),ISNUMBER(C652),N(H652)&gt;0,T652&lt;&gt;"Cancelled",J652&lt;&gt;""),1,0)</f>
        <v>0</v>
      </c>
      <c r="AB652" s="44" t="n">
        <f aca="false">IF(AA652=1,J652/H652,0)</f>
        <v>0</v>
      </c>
      <c r="AC652" s="44" t="n">
        <f aca="false">IF(AA652=1,Q652/H652,0)</f>
        <v>0</v>
      </c>
      <c r="AD652" s="44" t="n">
        <f aca="false">IF(AA652=1,R652/H652,0)</f>
        <v>0</v>
      </c>
      <c r="AE652" s="44" t="n">
        <f aca="false">IF(AA652=1,O652/H652,0)</f>
        <v>0</v>
      </c>
      <c r="AF652" s="44" t="n">
        <f aca="false">IF(AA652=1,K652/H652,0)</f>
        <v>0</v>
      </c>
      <c r="AG652" s="45" t="str">
        <f aca="false">IF(AA652=1,D652&amp;"|"&amp;TEXT(B652,"0"),"")</f>
        <v/>
      </c>
      <c r="AH652" s="43" t="n">
        <f aca="false">IF(AA652=1,H652,0)</f>
        <v>0</v>
      </c>
    </row>
    <row r="653" customFormat="false" ht="15" hidden="false" customHeight="false" outlineLevel="0" collapsed="false">
      <c r="A653" s="8" t="str">
        <f aca="false">IF(B653="","","B-"&amp;TEXT(ROW()-4,"0000"))</f>
        <v/>
      </c>
      <c r="B653" s="38"/>
      <c r="C653" s="38"/>
      <c r="D653" s="6"/>
      <c r="E653" s="6"/>
      <c r="F653" s="6"/>
      <c r="G653" s="11"/>
      <c r="H653" s="18" t="str">
        <f aca="false">IF(AND(ISNUMBER(B653),ISNUMBER(C653)),MAX(0,C653-B653),"")</f>
        <v/>
      </c>
      <c r="I653" s="37"/>
      <c r="J653" s="41" t="str">
        <f aca="false">IF(OR(D653="",N(H653)=0),"",IFERROR(IF(I653&lt;&gt;"",H653*I653,ROUND(((H653-(INT((WEEKDAY(B653-6)+H653-1)/7)+INT((WEEKDAY(B653-7)+H653-1)/7)))*INDEX(Properties!$E$5:$E$24,MATCH(D653,Properties!$A$5:$A$24,0))+(INT((WEEKDAY(B653-6)+H653-1)/7)+INT((WEEKDAY(B653-7)+H653-1)/7))*INDEX(Properties!$F$5:$F$24,MATCH(D653,Properties!$A$5:$A$24,0)))*(1-IF(H653&gt;=28,Settings!$B$10,IF(H653&gt;=7,Settings!$B$9,0))),2)),0))</f>
        <v/>
      </c>
      <c r="K653" s="41" t="str">
        <f aca="false">IF(J653="","",IFERROR(N(INDEX(Properties!$G$5:$G$24,MATCH(D653,Properties!$A$5:$A$24,0))),0))</f>
        <v/>
      </c>
      <c r="L653" s="41" t="str">
        <f aca="false">IF(J653="","",IFERROR(MAX(0,N(G653)-INDEX(Properties!$I$5:$I$24,MATCH(D653,Properties!$A$5:$A$24,0)))*N(INDEX(Properties!$J$5:$J$24,MATCH(D653,Properties!$A$5:$A$24,0)))*H653,0))</f>
        <v/>
      </c>
      <c r="M653" s="37"/>
      <c r="N653" s="41" t="str">
        <f aca="false">IF(J653="","",J653+K653+L653+N(M653))</f>
        <v/>
      </c>
      <c r="O653" s="41" t="str">
        <f aca="false">IF(N653="","",IF(P653&lt;&gt;"",N653-P653,ROUND(N653*IFERROR(INDEX(Settings!$E$5:$E$12,MATCH(F653,Settings!$D$5:$D$12,0)),0),2)))</f>
        <v/>
      </c>
      <c r="P653" s="37"/>
      <c r="Q653" s="41" t="str">
        <f aca="false">IF(N653="","",IF(P653&lt;&gt;"",P653,N653-O653))</f>
        <v/>
      </c>
      <c r="R653" s="41" t="str">
        <f aca="false">IF(J653="","",IFERROR(N(INDEX(Properties!$H$5:$H$24,MATCH(D653,Properties!$A$5:$A$24,0))),0))</f>
        <v/>
      </c>
      <c r="S653" s="41" t="str">
        <f aca="false">IF(Q653="","",Q653-R653)</f>
        <v/>
      </c>
      <c r="T653" s="6"/>
      <c r="U653" s="6"/>
      <c r="V653" s="6"/>
      <c r="W653" s="6"/>
      <c r="X653" s="6"/>
      <c r="Y653" s="8" t="str">
        <f aca="false">IF(OR(D653="",B653="",C653=""),"",IF(N(C653)&lt;=N(B653),"Check dates",IF(T653="Cancelled","",IF(COUNTIFS($D$5:$D$1004,D653,$B$5:$B$1004,"&lt;"&amp;C653,$C$5:$C$1004,"&gt;"&amp;B653,$T$5:$T$1004,"&lt;&gt;Cancelled")&gt;1,"Double-booked",""))))</f>
        <v/>
      </c>
      <c r="Z653" s="42" t="str">
        <f aca="false">IF(AND(AA653=1,ISNUMBER(C653)),C653+ROW()/100000,"")</f>
        <v/>
      </c>
      <c r="AA653" s="43" t="n">
        <f aca="false">IF(AND(D653&lt;&gt;"",ISNUMBER(B653),ISNUMBER(C653),N(H653)&gt;0,T653&lt;&gt;"Cancelled",J653&lt;&gt;""),1,0)</f>
        <v>0</v>
      </c>
      <c r="AB653" s="44" t="n">
        <f aca="false">IF(AA653=1,J653/H653,0)</f>
        <v>0</v>
      </c>
      <c r="AC653" s="44" t="n">
        <f aca="false">IF(AA653=1,Q653/H653,0)</f>
        <v>0</v>
      </c>
      <c r="AD653" s="44" t="n">
        <f aca="false">IF(AA653=1,R653/H653,0)</f>
        <v>0</v>
      </c>
      <c r="AE653" s="44" t="n">
        <f aca="false">IF(AA653=1,O653/H653,0)</f>
        <v>0</v>
      </c>
      <c r="AF653" s="44" t="n">
        <f aca="false">IF(AA653=1,K653/H653,0)</f>
        <v>0</v>
      </c>
      <c r="AG653" s="45" t="str">
        <f aca="false">IF(AA653=1,D653&amp;"|"&amp;TEXT(B653,"0"),"")</f>
        <v/>
      </c>
      <c r="AH653" s="43" t="n">
        <f aca="false">IF(AA653=1,H653,0)</f>
        <v>0</v>
      </c>
    </row>
    <row r="654" customFormat="false" ht="15" hidden="false" customHeight="false" outlineLevel="0" collapsed="false">
      <c r="A654" s="23" t="str">
        <f aca="false">IF(B654="","","B-"&amp;TEXT(ROW()-4,"0000"))</f>
        <v/>
      </c>
      <c r="B654" s="38"/>
      <c r="C654" s="38"/>
      <c r="D654" s="6"/>
      <c r="E654" s="6"/>
      <c r="F654" s="6"/>
      <c r="G654" s="11"/>
      <c r="H654" s="24" t="str">
        <f aca="false">IF(AND(ISNUMBER(B654),ISNUMBER(C654)),MAX(0,C654-B654),"")</f>
        <v/>
      </c>
      <c r="I654" s="37"/>
      <c r="J654" s="46" t="str">
        <f aca="false">IF(OR(D654="",N(H654)=0),"",IFERROR(IF(I654&lt;&gt;"",H654*I654,ROUND(((H654-(INT((WEEKDAY(B654-6)+H654-1)/7)+INT((WEEKDAY(B654-7)+H654-1)/7)))*INDEX(Properties!$E$5:$E$24,MATCH(D654,Properties!$A$5:$A$24,0))+(INT((WEEKDAY(B654-6)+H654-1)/7)+INT((WEEKDAY(B654-7)+H654-1)/7))*INDEX(Properties!$F$5:$F$24,MATCH(D654,Properties!$A$5:$A$24,0)))*(1-IF(H654&gt;=28,Settings!$B$10,IF(H654&gt;=7,Settings!$B$9,0))),2)),0))</f>
        <v/>
      </c>
      <c r="K654" s="46" t="str">
        <f aca="false">IF(J654="","",IFERROR(N(INDEX(Properties!$G$5:$G$24,MATCH(D654,Properties!$A$5:$A$24,0))),0))</f>
        <v/>
      </c>
      <c r="L654" s="46" t="str">
        <f aca="false">IF(J654="","",IFERROR(MAX(0,N(G654)-INDEX(Properties!$I$5:$I$24,MATCH(D654,Properties!$A$5:$A$24,0)))*N(INDEX(Properties!$J$5:$J$24,MATCH(D654,Properties!$A$5:$A$24,0)))*H654,0))</f>
        <v/>
      </c>
      <c r="M654" s="37"/>
      <c r="N654" s="46" t="str">
        <f aca="false">IF(J654="","",J654+K654+L654+N(M654))</f>
        <v/>
      </c>
      <c r="O654" s="46" t="str">
        <f aca="false">IF(N654="","",IF(P654&lt;&gt;"",N654-P654,ROUND(N654*IFERROR(INDEX(Settings!$E$5:$E$12,MATCH(F654,Settings!$D$5:$D$12,0)),0),2)))</f>
        <v/>
      </c>
      <c r="P654" s="37"/>
      <c r="Q654" s="46" t="str">
        <f aca="false">IF(N654="","",IF(P654&lt;&gt;"",P654,N654-O654))</f>
        <v/>
      </c>
      <c r="R654" s="46" t="str">
        <f aca="false">IF(J654="","",IFERROR(N(INDEX(Properties!$H$5:$H$24,MATCH(D654,Properties!$A$5:$A$24,0))),0))</f>
        <v/>
      </c>
      <c r="S654" s="46" t="str">
        <f aca="false">IF(Q654="","",Q654-R654)</f>
        <v/>
      </c>
      <c r="T654" s="6"/>
      <c r="U654" s="6"/>
      <c r="V654" s="6"/>
      <c r="W654" s="6"/>
      <c r="X654" s="6"/>
      <c r="Y654" s="8" t="str">
        <f aca="false">IF(OR(D654="",B654="",C654=""),"",IF(N(C654)&lt;=N(B654),"Check dates",IF(T654="Cancelled","",IF(COUNTIFS($D$5:$D$1004,D654,$B$5:$B$1004,"&lt;"&amp;C654,$C$5:$C$1004,"&gt;"&amp;B654,$T$5:$T$1004,"&lt;&gt;Cancelled")&gt;1,"Double-booked",""))))</f>
        <v/>
      </c>
      <c r="Z654" s="42" t="str">
        <f aca="false">IF(AND(AA654=1,ISNUMBER(C654)),C654+ROW()/100000,"")</f>
        <v/>
      </c>
      <c r="AA654" s="43" t="n">
        <f aca="false">IF(AND(D654&lt;&gt;"",ISNUMBER(B654),ISNUMBER(C654),N(H654)&gt;0,T654&lt;&gt;"Cancelled",J654&lt;&gt;""),1,0)</f>
        <v>0</v>
      </c>
      <c r="AB654" s="44" t="n">
        <f aca="false">IF(AA654=1,J654/H654,0)</f>
        <v>0</v>
      </c>
      <c r="AC654" s="44" t="n">
        <f aca="false">IF(AA654=1,Q654/H654,0)</f>
        <v>0</v>
      </c>
      <c r="AD654" s="44" t="n">
        <f aca="false">IF(AA654=1,R654/H654,0)</f>
        <v>0</v>
      </c>
      <c r="AE654" s="44" t="n">
        <f aca="false">IF(AA654=1,O654/H654,0)</f>
        <v>0</v>
      </c>
      <c r="AF654" s="44" t="n">
        <f aca="false">IF(AA654=1,K654/H654,0)</f>
        <v>0</v>
      </c>
      <c r="AG654" s="45" t="str">
        <f aca="false">IF(AA654=1,D654&amp;"|"&amp;TEXT(B654,"0"),"")</f>
        <v/>
      </c>
      <c r="AH654" s="43" t="n">
        <f aca="false">IF(AA654=1,H654,0)</f>
        <v>0</v>
      </c>
    </row>
    <row r="655" customFormat="false" ht="15" hidden="false" customHeight="false" outlineLevel="0" collapsed="false">
      <c r="A655" s="8" t="str">
        <f aca="false">IF(B655="","","B-"&amp;TEXT(ROW()-4,"0000"))</f>
        <v/>
      </c>
      <c r="B655" s="38"/>
      <c r="C655" s="38"/>
      <c r="D655" s="6"/>
      <c r="E655" s="6"/>
      <c r="F655" s="6"/>
      <c r="G655" s="11"/>
      <c r="H655" s="18" t="str">
        <f aca="false">IF(AND(ISNUMBER(B655),ISNUMBER(C655)),MAX(0,C655-B655),"")</f>
        <v/>
      </c>
      <c r="I655" s="37"/>
      <c r="J655" s="41" t="str">
        <f aca="false">IF(OR(D655="",N(H655)=0),"",IFERROR(IF(I655&lt;&gt;"",H655*I655,ROUND(((H655-(INT((WEEKDAY(B655-6)+H655-1)/7)+INT((WEEKDAY(B655-7)+H655-1)/7)))*INDEX(Properties!$E$5:$E$24,MATCH(D655,Properties!$A$5:$A$24,0))+(INT((WEEKDAY(B655-6)+H655-1)/7)+INT((WEEKDAY(B655-7)+H655-1)/7))*INDEX(Properties!$F$5:$F$24,MATCH(D655,Properties!$A$5:$A$24,0)))*(1-IF(H655&gt;=28,Settings!$B$10,IF(H655&gt;=7,Settings!$B$9,0))),2)),0))</f>
        <v/>
      </c>
      <c r="K655" s="41" t="str">
        <f aca="false">IF(J655="","",IFERROR(N(INDEX(Properties!$G$5:$G$24,MATCH(D655,Properties!$A$5:$A$24,0))),0))</f>
        <v/>
      </c>
      <c r="L655" s="41" t="str">
        <f aca="false">IF(J655="","",IFERROR(MAX(0,N(G655)-INDEX(Properties!$I$5:$I$24,MATCH(D655,Properties!$A$5:$A$24,0)))*N(INDEX(Properties!$J$5:$J$24,MATCH(D655,Properties!$A$5:$A$24,0)))*H655,0))</f>
        <v/>
      </c>
      <c r="M655" s="37"/>
      <c r="N655" s="41" t="str">
        <f aca="false">IF(J655="","",J655+K655+L655+N(M655))</f>
        <v/>
      </c>
      <c r="O655" s="41" t="str">
        <f aca="false">IF(N655="","",IF(P655&lt;&gt;"",N655-P655,ROUND(N655*IFERROR(INDEX(Settings!$E$5:$E$12,MATCH(F655,Settings!$D$5:$D$12,0)),0),2)))</f>
        <v/>
      </c>
      <c r="P655" s="37"/>
      <c r="Q655" s="41" t="str">
        <f aca="false">IF(N655="","",IF(P655&lt;&gt;"",P655,N655-O655))</f>
        <v/>
      </c>
      <c r="R655" s="41" t="str">
        <f aca="false">IF(J655="","",IFERROR(N(INDEX(Properties!$H$5:$H$24,MATCH(D655,Properties!$A$5:$A$24,0))),0))</f>
        <v/>
      </c>
      <c r="S655" s="41" t="str">
        <f aca="false">IF(Q655="","",Q655-R655)</f>
        <v/>
      </c>
      <c r="T655" s="6"/>
      <c r="U655" s="6"/>
      <c r="V655" s="6"/>
      <c r="W655" s="6"/>
      <c r="X655" s="6"/>
      <c r="Y655" s="8" t="str">
        <f aca="false">IF(OR(D655="",B655="",C655=""),"",IF(N(C655)&lt;=N(B655),"Check dates",IF(T655="Cancelled","",IF(COUNTIFS($D$5:$D$1004,D655,$B$5:$B$1004,"&lt;"&amp;C655,$C$5:$C$1004,"&gt;"&amp;B655,$T$5:$T$1004,"&lt;&gt;Cancelled")&gt;1,"Double-booked",""))))</f>
        <v/>
      </c>
      <c r="Z655" s="42" t="str">
        <f aca="false">IF(AND(AA655=1,ISNUMBER(C655)),C655+ROW()/100000,"")</f>
        <v/>
      </c>
      <c r="AA655" s="43" t="n">
        <f aca="false">IF(AND(D655&lt;&gt;"",ISNUMBER(B655),ISNUMBER(C655),N(H655)&gt;0,T655&lt;&gt;"Cancelled",J655&lt;&gt;""),1,0)</f>
        <v>0</v>
      </c>
      <c r="AB655" s="44" t="n">
        <f aca="false">IF(AA655=1,J655/H655,0)</f>
        <v>0</v>
      </c>
      <c r="AC655" s="44" t="n">
        <f aca="false">IF(AA655=1,Q655/H655,0)</f>
        <v>0</v>
      </c>
      <c r="AD655" s="44" t="n">
        <f aca="false">IF(AA655=1,R655/H655,0)</f>
        <v>0</v>
      </c>
      <c r="AE655" s="44" t="n">
        <f aca="false">IF(AA655=1,O655/H655,0)</f>
        <v>0</v>
      </c>
      <c r="AF655" s="44" t="n">
        <f aca="false">IF(AA655=1,K655/H655,0)</f>
        <v>0</v>
      </c>
      <c r="AG655" s="45" t="str">
        <f aca="false">IF(AA655=1,D655&amp;"|"&amp;TEXT(B655,"0"),"")</f>
        <v/>
      </c>
      <c r="AH655" s="43" t="n">
        <f aca="false">IF(AA655=1,H655,0)</f>
        <v>0</v>
      </c>
    </row>
    <row r="656" customFormat="false" ht="15" hidden="false" customHeight="false" outlineLevel="0" collapsed="false">
      <c r="A656" s="23" t="str">
        <f aca="false">IF(B656="","","B-"&amp;TEXT(ROW()-4,"0000"))</f>
        <v/>
      </c>
      <c r="B656" s="38"/>
      <c r="C656" s="38"/>
      <c r="D656" s="6"/>
      <c r="E656" s="6"/>
      <c r="F656" s="6"/>
      <c r="G656" s="11"/>
      <c r="H656" s="24" t="str">
        <f aca="false">IF(AND(ISNUMBER(B656),ISNUMBER(C656)),MAX(0,C656-B656),"")</f>
        <v/>
      </c>
      <c r="I656" s="37"/>
      <c r="J656" s="46" t="str">
        <f aca="false">IF(OR(D656="",N(H656)=0),"",IFERROR(IF(I656&lt;&gt;"",H656*I656,ROUND(((H656-(INT((WEEKDAY(B656-6)+H656-1)/7)+INT((WEEKDAY(B656-7)+H656-1)/7)))*INDEX(Properties!$E$5:$E$24,MATCH(D656,Properties!$A$5:$A$24,0))+(INT((WEEKDAY(B656-6)+H656-1)/7)+INT((WEEKDAY(B656-7)+H656-1)/7))*INDEX(Properties!$F$5:$F$24,MATCH(D656,Properties!$A$5:$A$24,0)))*(1-IF(H656&gt;=28,Settings!$B$10,IF(H656&gt;=7,Settings!$B$9,0))),2)),0))</f>
        <v/>
      </c>
      <c r="K656" s="46" t="str">
        <f aca="false">IF(J656="","",IFERROR(N(INDEX(Properties!$G$5:$G$24,MATCH(D656,Properties!$A$5:$A$24,0))),0))</f>
        <v/>
      </c>
      <c r="L656" s="46" t="str">
        <f aca="false">IF(J656="","",IFERROR(MAX(0,N(G656)-INDEX(Properties!$I$5:$I$24,MATCH(D656,Properties!$A$5:$A$24,0)))*N(INDEX(Properties!$J$5:$J$24,MATCH(D656,Properties!$A$5:$A$24,0)))*H656,0))</f>
        <v/>
      </c>
      <c r="M656" s="37"/>
      <c r="N656" s="46" t="str">
        <f aca="false">IF(J656="","",J656+K656+L656+N(M656))</f>
        <v/>
      </c>
      <c r="O656" s="46" t="str">
        <f aca="false">IF(N656="","",IF(P656&lt;&gt;"",N656-P656,ROUND(N656*IFERROR(INDEX(Settings!$E$5:$E$12,MATCH(F656,Settings!$D$5:$D$12,0)),0),2)))</f>
        <v/>
      </c>
      <c r="P656" s="37"/>
      <c r="Q656" s="46" t="str">
        <f aca="false">IF(N656="","",IF(P656&lt;&gt;"",P656,N656-O656))</f>
        <v/>
      </c>
      <c r="R656" s="46" t="str">
        <f aca="false">IF(J656="","",IFERROR(N(INDEX(Properties!$H$5:$H$24,MATCH(D656,Properties!$A$5:$A$24,0))),0))</f>
        <v/>
      </c>
      <c r="S656" s="46" t="str">
        <f aca="false">IF(Q656="","",Q656-R656)</f>
        <v/>
      </c>
      <c r="T656" s="6"/>
      <c r="U656" s="6"/>
      <c r="V656" s="6"/>
      <c r="W656" s="6"/>
      <c r="X656" s="6"/>
      <c r="Y656" s="8" t="str">
        <f aca="false">IF(OR(D656="",B656="",C656=""),"",IF(N(C656)&lt;=N(B656),"Check dates",IF(T656="Cancelled","",IF(COUNTIFS($D$5:$D$1004,D656,$B$5:$B$1004,"&lt;"&amp;C656,$C$5:$C$1004,"&gt;"&amp;B656,$T$5:$T$1004,"&lt;&gt;Cancelled")&gt;1,"Double-booked",""))))</f>
        <v/>
      </c>
      <c r="Z656" s="42" t="str">
        <f aca="false">IF(AND(AA656=1,ISNUMBER(C656)),C656+ROW()/100000,"")</f>
        <v/>
      </c>
      <c r="AA656" s="43" t="n">
        <f aca="false">IF(AND(D656&lt;&gt;"",ISNUMBER(B656),ISNUMBER(C656),N(H656)&gt;0,T656&lt;&gt;"Cancelled",J656&lt;&gt;""),1,0)</f>
        <v>0</v>
      </c>
      <c r="AB656" s="44" t="n">
        <f aca="false">IF(AA656=1,J656/H656,0)</f>
        <v>0</v>
      </c>
      <c r="AC656" s="44" t="n">
        <f aca="false">IF(AA656=1,Q656/H656,0)</f>
        <v>0</v>
      </c>
      <c r="AD656" s="44" t="n">
        <f aca="false">IF(AA656=1,R656/H656,0)</f>
        <v>0</v>
      </c>
      <c r="AE656" s="44" t="n">
        <f aca="false">IF(AA656=1,O656/H656,0)</f>
        <v>0</v>
      </c>
      <c r="AF656" s="44" t="n">
        <f aca="false">IF(AA656=1,K656/H656,0)</f>
        <v>0</v>
      </c>
      <c r="AG656" s="45" t="str">
        <f aca="false">IF(AA656=1,D656&amp;"|"&amp;TEXT(B656,"0"),"")</f>
        <v/>
      </c>
      <c r="AH656" s="43" t="n">
        <f aca="false">IF(AA656=1,H656,0)</f>
        <v>0</v>
      </c>
    </row>
    <row r="657" customFormat="false" ht="15" hidden="false" customHeight="false" outlineLevel="0" collapsed="false">
      <c r="A657" s="8" t="str">
        <f aca="false">IF(B657="","","B-"&amp;TEXT(ROW()-4,"0000"))</f>
        <v/>
      </c>
      <c r="B657" s="38"/>
      <c r="C657" s="38"/>
      <c r="D657" s="6"/>
      <c r="E657" s="6"/>
      <c r="F657" s="6"/>
      <c r="G657" s="11"/>
      <c r="H657" s="18" t="str">
        <f aca="false">IF(AND(ISNUMBER(B657),ISNUMBER(C657)),MAX(0,C657-B657),"")</f>
        <v/>
      </c>
      <c r="I657" s="37"/>
      <c r="J657" s="41" t="str">
        <f aca="false">IF(OR(D657="",N(H657)=0),"",IFERROR(IF(I657&lt;&gt;"",H657*I657,ROUND(((H657-(INT((WEEKDAY(B657-6)+H657-1)/7)+INT((WEEKDAY(B657-7)+H657-1)/7)))*INDEX(Properties!$E$5:$E$24,MATCH(D657,Properties!$A$5:$A$24,0))+(INT((WEEKDAY(B657-6)+H657-1)/7)+INT((WEEKDAY(B657-7)+H657-1)/7))*INDEX(Properties!$F$5:$F$24,MATCH(D657,Properties!$A$5:$A$24,0)))*(1-IF(H657&gt;=28,Settings!$B$10,IF(H657&gt;=7,Settings!$B$9,0))),2)),0))</f>
        <v/>
      </c>
      <c r="K657" s="41" t="str">
        <f aca="false">IF(J657="","",IFERROR(N(INDEX(Properties!$G$5:$G$24,MATCH(D657,Properties!$A$5:$A$24,0))),0))</f>
        <v/>
      </c>
      <c r="L657" s="41" t="str">
        <f aca="false">IF(J657="","",IFERROR(MAX(0,N(G657)-INDEX(Properties!$I$5:$I$24,MATCH(D657,Properties!$A$5:$A$24,0)))*N(INDEX(Properties!$J$5:$J$24,MATCH(D657,Properties!$A$5:$A$24,0)))*H657,0))</f>
        <v/>
      </c>
      <c r="M657" s="37"/>
      <c r="N657" s="41" t="str">
        <f aca="false">IF(J657="","",J657+K657+L657+N(M657))</f>
        <v/>
      </c>
      <c r="O657" s="41" t="str">
        <f aca="false">IF(N657="","",IF(P657&lt;&gt;"",N657-P657,ROUND(N657*IFERROR(INDEX(Settings!$E$5:$E$12,MATCH(F657,Settings!$D$5:$D$12,0)),0),2)))</f>
        <v/>
      </c>
      <c r="P657" s="37"/>
      <c r="Q657" s="41" t="str">
        <f aca="false">IF(N657="","",IF(P657&lt;&gt;"",P657,N657-O657))</f>
        <v/>
      </c>
      <c r="R657" s="41" t="str">
        <f aca="false">IF(J657="","",IFERROR(N(INDEX(Properties!$H$5:$H$24,MATCH(D657,Properties!$A$5:$A$24,0))),0))</f>
        <v/>
      </c>
      <c r="S657" s="41" t="str">
        <f aca="false">IF(Q657="","",Q657-R657)</f>
        <v/>
      </c>
      <c r="T657" s="6"/>
      <c r="U657" s="6"/>
      <c r="V657" s="6"/>
      <c r="W657" s="6"/>
      <c r="X657" s="6"/>
      <c r="Y657" s="8" t="str">
        <f aca="false">IF(OR(D657="",B657="",C657=""),"",IF(N(C657)&lt;=N(B657),"Check dates",IF(T657="Cancelled","",IF(COUNTIFS($D$5:$D$1004,D657,$B$5:$B$1004,"&lt;"&amp;C657,$C$5:$C$1004,"&gt;"&amp;B657,$T$5:$T$1004,"&lt;&gt;Cancelled")&gt;1,"Double-booked",""))))</f>
        <v/>
      </c>
      <c r="Z657" s="42" t="str">
        <f aca="false">IF(AND(AA657=1,ISNUMBER(C657)),C657+ROW()/100000,"")</f>
        <v/>
      </c>
      <c r="AA657" s="43" t="n">
        <f aca="false">IF(AND(D657&lt;&gt;"",ISNUMBER(B657),ISNUMBER(C657),N(H657)&gt;0,T657&lt;&gt;"Cancelled",J657&lt;&gt;""),1,0)</f>
        <v>0</v>
      </c>
      <c r="AB657" s="44" t="n">
        <f aca="false">IF(AA657=1,J657/H657,0)</f>
        <v>0</v>
      </c>
      <c r="AC657" s="44" t="n">
        <f aca="false">IF(AA657=1,Q657/H657,0)</f>
        <v>0</v>
      </c>
      <c r="AD657" s="44" t="n">
        <f aca="false">IF(AA657=1,R657/H657,0)</f>
        <v>0</v>
      </c>
      <c r="AE657" s="44" t="n">
        <f aca="false">IF(AA657=1,O657/H657,0)</f>
        <v>0</v>
      </c>
      <c r="AF657" s="44" t="n">
        <f aca="false">IF(AA657=1,K657/H657,0)</f>
        <v>0</v>
      </c>
      <c r="AG657" s="45" t="str">
        <f aca="false">IF(AA657=1,D657&amp;"|"&amp;TEXT(B657,"0"),"")</f>
        <v/>
      </c>
      <c r="AH657" s="43" t="n">
        <f aca="false">IF(AA657=1,H657,0)</f>
        <v>0</v>
      </c>
    </row>
    <row r="658" customFormat="false" ht="15" hidden="false" customHeight="false" outlineLevel="0" collapsed="false">
      <c r="A658" s="23" t="str">
        <f aca="false">IF(B658="","","B-"&amp;TEXT(ROW()-4,"0000"))</f>
        <v/>
      </c>
      <c r="B658" s="38"/>
      <c r="C658" s="38"/>
      <c r="D658" s="6"/>
      <c r="E658" s="6"/>
      <c r="F658" s="6"/>
      <c r="G658" s="11"/>
      <c r="H658" s="24" t="str">
        <f aca="false">IF(AND(ISNUMBER(B658),ISNUMBER(C658)),MAX(0,C658-B658),"")</f>
        <v/>
      </c>
      <c r="I658" s="37"/>
      <c r="J658" s="46" t="str">
        <f aca="false">IF(OR(D658="",N(H658)=0),"",IFERROR(IF(I658&lt;&gt;"",H658*I658,ROUND(((H658-(INT((WEEKDAY(B658-6)+H658-1)/7)+INT((WEEKDAY(B658-7)+H658-1)/7)))*INDEX(Properties!$E$5:$E$24,MATCH(D658,Properties!$A$5:$A$24,0))+(INT((WEEKDAY(B658-6)+H658-1)/7)+INT((WEEKDAY(B658-7)+H658-1)/7))*INDEX(Properties!$F$5:$F$24,MATCH(D658,Properties!$A$5:$A$24,0)))*(1-IF(H658&gt;=28,Settings!$B$10,IF(H658&gt;=7,Settings!$B$9,0))),2)),0))</f>
        <v/>
      </c>
      <c r="K658" s="46" t="str">
        <f aca="false">IF(J658="","",IFERROR(N(INDEX(Properties!$G$5:$G$24,MATCH(D658,Properties!$A$5:$A$24,0))),0))</f>
        <v/>
      </c>
      <c r="L658" s="46" t="str">
        <f aca="false">IF(J658="","",IFERROR(MAX(0,N(G658)-INDEX(Properties!$I$5:$I$24,MATCH(D658,Properties!$A$5:$A$24,0)))*N(INDEX(Properties!$J$5:$J$24,MATCH(D658,Properties!$A$5:$A$24,0)))*H658,0))</f>
        <v/>
      </c>
      <c r="M658" s="37"/>
      <c r="N658" s="46" t="str">
        <f aca="false">IF(J658="","",J658+K658+L658+N(M658))</f>
        <v/>
      </c>
      <c r="O658" s="46" t="str">
        <f aca="false">IF(N658="","",IF(P658&lt;&gt;"",N658-P658,ROUND(N658*IFERROR(INDEX(Settings!$E$5:$E$12,MATCH(F658,Settings!$D$5:$D$12,0)),0),2)))</f>
        <v/>
      </c>
      <c r="P658" s="37"/>
      <c r="Q658" s="46" t="str">
        <f aca="false">IF(N658="","",IF(P658&lt;&gt;"",P658,N658-O658))</f>
        <v/>
      </c>
      <c r="R658" s="46" t="str">
        <f aca="false">IF(J658="","",IFERROR(N(INDEX(Properties!$H$5:$H$24,MATCH(D658,Properties!$A$5:$A$24,0))),0))</f>
        <v/>
      </c>
      <c r="S658" s="46" t="str">
        <f aca="false">IF(Q658="","",Q658-R658)</f>
        <v/>
      </c>
      <c r="T658" s="6"/>
      <c r="U658" s="6"/>
      <c r="V658" s="6"/>
      <c r="W658" s="6"/>
      <c r="X658" s="6"/>
      <c r="Y658" s="8" t="str">
        <f aca="false">IF(OR(D658="",B658="",C658=""),"",IF(N(C658)&lt;=N(B658),"Check dates",IF(T658="Cancelled","",IF(COUNTIFS($D$5:$D$1004,D658,$B$5:$B$1004,"&lt;"&amp;C658,$C$5:$C$1004,"&gt;"&amp;B658,$T$5:$T$1004,"&lt;&gt;Cancelled")&gt;1,"Double-booked",""))))</f>
        <v/>
      </c>
      <c r="Z658" s="42" t="str">
        <f aca="false">IF(AND(AA658=1,ISNUMBER(C658)),C658+ROW()/100000,"")</f>
        <v/>
      </c>
      <c r="AA658" s="43" t="n">
        <f aca="false">IF(AND(D658&lt;&gt;"",ISNUMBER(B658),ISNUMBER(C658),N(H658)&gt;0,T658&lt;&gt;"Cancelled",J658&lt;&gt;""),1,0)</f>
        <v>0</v>
      </c>
      <c r="AB658" s="44" t="n">
        <f aca="false">IF(AA658=1,J658/H658,0)</f>
        <v>0</v>
      </c>
      <c r="AC658" s="44" t="n">
        <f aca="false">IF(AA658=1,Q658/H658,0)</f>
        <v>0</v>
      </c>
      <c r="AD658" s="44" t="n">
        <f aca="false">IF(AA658=1,R658/H658,0)</f>
        <v>0</v>
      </c>
      <c r="AE658" s="44" t="n">
        <f aca="false">IF(AA658=1,O658/H658,0)</f>
        <v>0</v>
      </c>
      <c r="AF658" s="44" t="n">
        <f aca="false">IF(AA658=1,K658/H658,0)</f>
        <v>0</v>
      </c>
      <c r="AG658" s="45" t="str">
        <f aca="false">IF(AA658=1,D658&amp;"|"&amp;TEXT(B658,"0"),"")</f>
        <v/>
      </c>
      <c r="AH658" s="43" t="n">
        <f aca="false">IF(AA658=1,H658,0)</f>
        <v>0</v>
      </c>
    </row>
    <row r="659" customFormat="false" ht="15" hidden="false" customHeight="false" outlineLevel="0" collapsed="false">
      <c r="A659" s="8" t="str">
        <f aca="false">IF(B659="","","B-"&amp;TEXT(ROW()-4,"0000"))</f>
        <v/>
      </c>
      <c r="B659" s="38"/>
      <c r="C659" s="38"/>
      <c r="D659" s="6"/>
      <c r="E659" s="6"/>
      <c r="F659" s="6"/>
      <c r="G659" s="11"/>
      <c r="H659" s="18" t="str">
        <f aca="false">IF(AND(ISNUMBER(B659),ISNUMBER(C659)),MAX(0,C659-B659),"")</f>
        <v/>
      </c>
      <c r="I659" s="37"/>
      <c r="J659" s="41" t="str">
        <f aca="false">IF(OR(D659="",N(H659)=0),"",IFERROR(IF(I659&lt;&gt;"",H659*I659,ROUND(((H659-(INT((WEEKDAY(B659-6)+H659-1)/7)+INT((WEEKDAY(B659-7)+H659-1)/7)))*INDEX(Properties!$E$5:$E$24,MATCH(D659,Properties!$A$5:$A$24,0))+(INT((WEEKDAY(B659-6)+H659-1)/7)+INT((WEEKDAY(B659-7)+H659-1)/7))*INDEX(Properties!$F$5:$F$24,MATCH(D659,Properties!$A$5:$A$24,0)))*(1-IF(H659&gt;=28,Settings!$B$10,IF(H659&gt;=7,Settings!$B$9,0))),2)),0))</f>
        <v/>
      </c>
      <c r="K659" s="41" t="str">
        <f aca="false">IF(J659="","",IFERROR(N(INDEX(Properties!$G$5:$G$24,MATCH(D659,Properties!$A$5:$A$24,0))),0))</f>
        <v/>
      </c>
      <c r="L659" s="41" t="str">
        <f aca="false">IF(J659="","",IFERROR(MAX(0,N(G659)-INDEX(Properties!$I$5:$I$24,MATCH(D659,Properties!$A$5:$A$24,0)))*N(INDEX(Properties!$J$5:$J$24,MATCH(D659,Properties!$A$5:$A$24,0)))*H659,0))</f>
        <v/>
      </c>
      <c r="M659" s="37"/>
      <c r="N659" s="41" t="str">
        <f aca="false">IF(J659="","",J659+K659+L659+N(M659))</f>
        <v/>
      </c>
      <c r="O659" s="41" t="str">
        <f aca="false">IF(N659="","",IF(P659&lt;&gt;"",N659-P659,ROUND(N659*IFERROR(INDEX(Settings!$E$5:$E$12,MATCH(F659,Settings!$D$5:$D$12,0)),0),2)))</f>
        <v/>
      </c>
      <c r="P659" s="37"/>
      <c r="Q659" s="41" t="str">
        <f aca="false">IF(N659="","",IF(P659&lt;&gt;"",P659,N659-O659))</f>
        <v/>
      </c>
      <c r="R659" s="41" t="str">
        <f aca="false">IF(J659="","",IFERROR(N(INDEX(Properties!$H$5:$H$24,MATCH(D659,Properties!$A$5:$A$24,0))),0))</f>
        <v/>
      </c>
      <c r="S659" s="41" t="str">
        <f aca="false">IF(Q659="","",Q659-R659)</f>
        <v/>
      </c>
      <c r="T659" s="6"/>
      <c r="U659" s="6"/>
      <c r="V659" s="6"/>
      <c r="W659" s="6"/>
      <c r="X659" s="6"/>
      <c r="Y659" s="8" t="str">
        <f aca="false">IF(OR(D659="",B659="",C659=""),"",IF(N(C659)&lt;=N(B659),"Check dates",IF(T659="Cancelled","",IF(COUNTIFS($D$5:$D$1004,D659,$B$5:$B$1004,"&lt;"&amp;C659,$C$5:$C$1004,"&gt;"&amp;B659,$T$5:$T$1004,"&lt;&gt;Cancelled")&gt;1,"Double-booked",""))))</f>
        <v/>
      </c>
      <c r="Z659" s="42" t="str">
        <f aca="false">IF(AND(AA659=1,ISNUMBER(C659)),C659+ROW()/100000,"")</f>
        <v/>
      </c>
      <c r="AA659" s="43" t="n">
        <f aca="false">IF(AND(D659&lt;&gt;"",ISNUMBER(B659),ISNUMBER(C659),N(H659)&gt;0,T659&lt;&gt;"Cancelled",J659&lt;&gt;""),1,0)</f>
        <v>0</v>
      </c>
      <c r="AB659" s="44" t="n">
        <f aca="false">IF(AA659=1,J659/H659,0)</f>
        <v>0</v>
      </c>
      <c r="AC659" s="44" t="n">
        <f aca="false">IF(AA659=1,Q659/H659,0)</f>
        <v>0</v>
      </c>
      <c r="AD659" s="44" t="n">
        <f aca="false">IF(AA659=1,R659/H659,0)</f>
        <v>0</v>
      </c>
      <c r="AE659" s="44" t="n">
        <f aca="false">IF(AA659=1,O659/H659,0)</f>
        <v>0</v>
      </c>
      <c r="AF659" s="44" t="n">
        <f aca="false">IF(AA659=1,K659/H659,0)</f>
        <v>0</v>
      </c>
      <c r="AG659" s="45" t="str">
        <f aca="false">IF(AA659=1,D659&amp;"|"&amp;TEXT(B659,"0"),"")</f>
        <v/>
      </c>
      <c r="AH659" s="43" t="n">
        <f aca="false">IF(AA659=1,H659,0)</f>
        <v>0</v>
      </c>
    </row>
    <row r="660" customFormat="false" ht="15" hidden="false" customHeight="false" outlineLevel="0" collapsed="false">
      <c r="A660" s="23" t="str">
        <f aca="false">IF(B660="","","B-"&amp;TEXT(ROW()-4,"0000"))</f>
        <v/>
      </c>
      <c r="B660" s="38"/>
      <c r="C660" s="38"/>
      <c r="D660" s="6"/>
      <c r="E660" s="6"/>
      <c r="F660" s="6"/>
      <c r="G660" s="11"/>
      <c r="H660" s="24" t="str">
        <f aca="false">IF(AND(ISNUMBER(B660),ISNUMBER(C660)),MAX(0,C660-B660),"")</f>
        <v/>
      </c>
      <c r="I660" s="37"/>
      <c r="J660" s="46" t="str">
        <f aca="false">IF(OR(D660="",N(H660)=0),"",IFERROR(IF(I660&lt;&gt;"",H660*I660,ROUND(((H660-(INT((WEEKDAY(B660-6)+H660-1)/7)+INT((WEEKDAY(B660-7)+H660-1)/7)))*INDEX(Properties!$E$5:$E$24,MATCH(D660,Properties!$A$5:$A$24,0))+(INT((WEEKDAY(B660-6)+H660-1)/7)+INT((WEEKDAY(B660-7)+H660-1)/7))*INDEX(Properties!$F$5:$F$24,MATCH(D660,Properties!$A$5:$A$24,0)))*(1-IF(H660&gt;=28,Settings!$B$10,IF(H660&gt;=7,Settings!$B$9,0))),2)),0))</f>
        <v/>
      </c>
      <c r="K660" s="46" t="str">
        <f aca="false">IF(J660="","",IFERROR(N(INDEX(Properties!$G$5:$G$24,MATCH(D660,Properties!$A$5:$A$24,0))),0))</f>
        <v/>
      </c>
      <c r="L660" s="46" t="str">
        <f aca="false">IF(J660="","",IFERROR(MAX(0,N(G660)-INDEX(Properties!$I$5:$I$24,MATCH(D660,Properties!$A$5:$A$24,0)))*N(INDEX(Properties!$J$5:$J$24,MATCH(D660,Properties!$A$5:$A$24,0)))*H660,0))</f>
        <v/>
      </c>
      <c r="M660" s="37"/>
      <c r="N660" s="46" t="str">
        <f aca="false">IF(J660="","",J660+K660+L660+N(M660))</f>
        <v/>
      </c>
      <c r="O660" s="46" t="str">
        <f aca="false">IF(N660="","",IF(P660&lt;&gt;"",N660-P660,ROUND(N660*IFERROR(INDEX(Settings!$E$5:$E$12,MATCH(F660,Settings!$D$5:$D$12,0)),0),2)))</f>
        <v/>
      </c>
      <c r="P660" s="37"/>
      <c r="Q660" s="46" t="str">
        <f aca="false">IF(N660="","",IF(P660&lt;&gt;"",P660,N660-O660))</f>
        <v/>
      </c>
      <c r="R660" s="46" t="str">
        <f aca="false">IF(J660="","",IFERROR(N(INDEX(Properties!$H$5:$H$24,MATCH(D660,Properties!$A$5:$A$24,0))),0))</f>
        <v/>
      </c>
      <c r="S660" s="46" t="str">
        <f aca="false">IF(Q660="","",Q660-R660)</f>
        <v/>
      </c>
      <c r="T660" s="6"/>
      <c r="U660" s="6"/>
      <c r="V660" s="6"/>
      <c r="W660" s="6"/>
      <c r="X660" s="6"/>
      <c r="Y660" s="8" t="str">
        <f aca="false">IF(OR(D660="",B660="",C660=""),"",IF(N(C660)&lt;=N(B660),"Check dates",IF(T660="Cancelled","",IF(COUNTIFS($D$5:$D$1004,D660,$B$5:$B$1004,"&lt;"&amp;C660,$C$5:$C$1004,"&gt;"&amp;B660,$T$5:$T$1004,"&lt;&gt;Cancelled")&gt;1,"Double-booked",""))))</f>
        <v/>
      </c>
      <c r="Z660" s="42" t="str">
        <f aca="false">IF(AND(AA660=1,ISNUMBER(C660)),C660+ROW()/100000,"")</f>
        <v/>
      </c>
      <c r="AA660" s="43" t="n">
        <f aca="false">IF(AND(D660&lt;&gt;"",ISNUMBER(B660),ISNUMBER(C660),N(H660)&gt;0,T660&lt;&gt;"Cancelled",J660&lt;&gt;""),1,0)</f>
        <v>0</v>
      </c>
      <c r="AB660" s="44" t="n">
        <f aca="false">IF(AA660=1,J660/H660,0)</f>
        <v>0</v>
      </c>
      <c r="AC660" s="44" t="n">
        <f aca="false">IF(AA660=1,Q660/H660,0)</f>
        <v>0</v>
      </c>
      <c r="AD660" s="44" t="n">
        <f aca="false">IF(AA660=1,R660/H660,0)</f>
        <v>0</v>
      </c>
      <c r="AE660" s="44" t="n">
        <f aca="false">IF(AA660=1,O660/H660,0)</f>
        <v>0</v>
      </c>
      <c r="AF660" s="44" t="n">
        <f aca="false">IF(AA660=1,K660/H660,0)</f>
        <v>0</v>
      </c>
      <c r="AG660" s="45" t="str">
        <f aca="false">IF(AA660=1,D660&amp;"|"&amp;TEXT(B660,"0"),"")</f>
        <v/>
      </c>
      <c r="AH660" s="43" t="n">
        <f aca="false">IF(AA660=1,H660,0)</f>
        <v>0</v>
      </c>
    </row>
    <row r="661" customFormat="false" ht="15" hidden="false" customHeight="false" outlineLevel="0" collapsed="false">
      <c r="A661" s="8" t="str">
        <f aca="false">IF(B661="","","B-"&amp;TEXT(ROW()-4,"0000"))</f>
        <v/>
      </c>
      <c r="B661" s="38"/>
      <c r="C661" s="38"/>
      <c r="D661" s="6"/>
      <c r="E661" s="6"/>
      <c r="F661" s="6"/>
      <c r="G661" s="11"/>
      <c r="H661" s="18" t="str">
        <f aca="false">IF(AND(ISNUMBER(B661),ISNUMBER(C661)),MAX(0,C661-B661),"")</f>
        <v/>
      </c>
      <c r="I661" s="37"/>
      <c r="J661" s="41" t="str">
        <f aca="false">IF(OR(D661="",N(H661)=0),"",IFERROR(IF(I661&lt;&gt;"",H661*I661,ROUND(((H661-(INT((WEEKDAY(B661-6)+H661-1)/7)+INT((WEEKDAY(B661-7)+H661-1)/7)))*INDEX(Properties!$E$5:$E$24,MATCH(D661,Properties!$A$5:$A$24,0))+(INT((WEEKDAY(B661-6)+H661-1)/7)+INT((WEEKDAY(B661-7)+H661-1)/7))*INDEX(Properties!$F$5:$F$24,MATCH(D661,Properties!$A$5:$A$24,0)))*(1-IF(H661&gt;=28,Settings!$B$10,IF(H661&gt;=7,Settings!$B$9,0))),2)),0))</f>
        <v/>
      </c>
      <c r="K661" s="41" t="str">
        <f aca="false">IF(J661="","",IFERROR(N(INDEX(Properties!$G$5:$G$24,MATCH(D661,Properties!$A$5:$A$24,0))),0))</f>
        <v/>
      </c>
      <c r="L661" s="41" t="str">
        <f aca="false">IF(J661="","",IFERROR(MAX(0,N(G661)-INDEX(Properties!$I$5:$I$24,MATCH(D661,Properties!$A$5:$A$24,0)))*N(INDEX(Properties!$J$5:$J$24,MATCH(D661,Properties!$A$5:$A$24,0)))*H661,0))</f>
        <v/>
      </c>
      <c r="M661" s="37"/>
      <c r="N661" s="41" t="str">
        <f aca="false">IF(J661="","",J661+K661+L661+N(M661))</f>
        <v/>
      </c>
      <c r="O661" s="41" t="str">
        <f aca="false">IF(N661="","",IF(P661&lt;&gt;"",N661-P661,ROUND(N661*IFERROR(INDEX(Settings!$E$5:$E$12,MATCH(F661,Settings!$D$5:$D$12,0)),0),2)))</f>
        <v/>
      </c>
      <c r="P661" s="37"/>
      <c r="Q661" s="41" t="str">
        <f aca="false">IF(N661="","",IF(P661&lt;&gt;"",P661,N661-O661))</f>
        <v/>
      </c>
      <c r="R661" s="41" t="str">
        <f aca="false">IF(J661="","",IFERROR(N(INDEX(Properties!$H$5:$H$24,MATCH(D661,Properties!$A$5:$A$24,0))),0))</f>
        <v/>
      </c>
      <c r="S661" s="41" t="str">
        <f aca="false">IF(Q661="","",Q661-R661)</f>
        <v/>
      </c>
      <c r="T661" s="6"/>
      <c r="U661" s="6"/>
      <c r="V661" s="6"/>
      <c r="W661" s="6"/>
      <c r="X661" s="6"/>
      <c r="Y661" s="8" t="str">
        <f aca="false">IF(OR(D661="",B661="",C661=""),"",IF(N(C661)&lt;=N(B661),"Check dates",IF(T661="Cancelled","",IF(COUNTIFS($D$5:$D$1004,D661,$B$5:$B$1004,"&lt;"&amp;C661,$C$5:$C$1004,"&gt;"&amp;B661,$T$5:$T$1004,"&lt;&gt;Cancelled")&gt;1,"Double-booked",""))))</f>
        <v/>
      </c>
      <c r="Z661" s="42" t="str">
        <f aca="false">IF(AND(AA661=1,ISNUMBER(C661)),C661+ROW()/100000,"")</f>
        <v/>
      </c>
      <c r="AA661" s="43" t="n">
        <f aca="false">IF(AND(D661&lt;&gt;"",ISNUMBER(B661),ISNUMBER(C661),N(H661)&gt;0,T661&lt;&gt;"Cancelled",J661&lt;&gt;""),1,0)</f>
        <v>0</v>
      </c>
      <c r="AB661" s="44" t="n">
        <f aca="false">IF(AA661=1,J661/H661,0)</f>
        <v>0</v>
      </c>
      <c r="AC661" s="44" t="n">
        <f aca="false">IF(AA661=1,Q661/H661,0)</f>
        <v>0</v>
      </c>
      <c r="AD661" s="44" t="n">
        <f aca="false">IF(AA661=1,R661/H661,0)</f>
        <v>0</v>
      </c>
      <c r="AE661" s="44" t="n">
        <f aca="false">IF(AA661=1,O661/H661,0)</f>
        <v>0</v>
      </c>
      <c r="AF661" s="44" t="n">
        <f aca="false">IF(AA661=1,K661/H661,0)</f>
        <v>0</v>
      </c>
      <c r="AG661" s="45" t="str">
        <f aca="false">IF(AA661=1,D661&amp;"|"&amp;TEXT(B661,"0"),"")</f>
        <v/>
      </c>
      <c r="AH661" s="43" t="n">
        <f aca="false">IF(AA661=1,H661,0)</f>
        <v>0</v>
      </c>
    </row>
    <row r="662" customFormat="false" ht="15" hidden="false" customHeight="false" outlineLevel="0" collapsed="false">
      <c r="A662" s="23" t="str">
        <f aca="false">IF(B662="","","B-"&amp;TEXT(ROW()-4,"0000"))</f>
        <v/>
      </c>
      <c r="B662" s="38"/>
      <c r="C662" s="38"/>
      <c r="D662" s="6"/>
      <c r="E662" s="6"/>
      <c r="F662" s="6"/>
      <c r="G662" s="11"/>
      <c r="H662" s="24" t="str">
        <f aca="false">IF(AND(ISNUMBER(B662),ISNUMBER(C662)),MAX(0,C662-B662),"")</f>
        <v/>
      </c>
      <c r="I662" s="37"/>
      <c r="J662" s="46" t="str">
        <f aca="false">IF(OR(D662="",N(H662)=0),"",IFERROR(IF(I662&lt;&gt;"",H662*I662,ROUND(((H662-(INT((WEEKDAY(B662-6)+H662-1)/7)+INT((WEEKDAY(B662-7)+H662-1)/7)))*INDEX(Properties!$E$5:$E$24,MATCH(D662,Properties!$A$5:$A$24,0))+(INT((WEEKDAY(B662-6)+H662-1)/7)+INT((WEEKDAY(B662-7)+H662-1)/7))*INDEX(Properties!$F$5:$F$24,MATCH(D662,Properties!$A$5:$A$24,0)))*(1-IF(H662&gt;=28,Settings!$B$10,IF(H662&gt;=7,Settings!$B$9,0))),2)),0))</f>
        <v/>
      </c>
      <c r="K662" s="46" t="str">
        <f aca="false">IF(J662="","",IFERROR(N(INDEX(Properties!$G$5:$G$24,MATCH(D662,Properties!$A$5:$A$24,0))),0))</f>
        <v/>
      </c>
      <c r="L662" s="46" t="str">
        <f aca="false">IF(J662="","",IFERROR(MAX(0,N(G662)-INDEX(Properties!$I$5:$I$24,MATCH(D662,Properties!$A$5:$A$24,0)))*N(INDEX(Properties!$J$5:$J$24,MATCH(D662,Properties!$A$5:$A$24,0)))*H662,0))</f>
        <v/>
      </c>
      <c r="M662" s="37"/>
      <c r="N662" s="46" t="str">
        <f aca="false">IF(J662="","",J662+K662+L662+N(M662))</f>
        <v/>
      </c>
      <c r="O662" s="46" t="str">
        <f aca="false">IF(N662="","",IF(P662&lt;&gt;"",N662-P662,ROUND(N662*IFERROR(INDEX(Settings!$E$5:$E$12,MATCH(F662,Settings!$D$5:$D$12,0)),0),2)))</f>
        <v/>
      </c>
      <c r="P662" s="37"/>
      <c r="Q662" s="46" t="str">
        <f aca="false">IF(N662="","",IF(P662&lt;&gt;"",P662,N662-O662))</f>
        <v/>
      </c>
      <c r="R662" s="46" t="str">
        <f aca="false">IF(J662="","",IFERROR(N(INDEX(Properties!$H$5:$H$24,MATCH(D662,Properties!$A$5:$A$24,0))),0))</f>
        <v/>
      </c>
      <c r="S662" s="46" t="str">
        <f aca="false">IF(Q662="","",Q662-R662)</f>
        <v/>
      </c>
      <c r="T662" s="6"/>
      <c r="U662" s="6"/>
      <c r="V662" s="6"/>
      <c r="W662" s="6"/>
      <c r="X662" s="6"/>
      <c r="Y662" s="8" t="str">
        <f aca="false">IF(OR(D662="",B662="",C662=""),"",IF(N(C662)&lt;=N(B662),"Check dates",IF(T662="Cancelled","",IF(COUNTIFS($D$5:$D$1004,D662,$B$5:$B$1004,"&lt;"&amp;C662,$C$5:$C$1004,"&gt;"&amp;B662,$T$5:$T$1004,"&lt;&gt;Cancelled")&gt;1,"Double-booked",""))))</f>
        <v/>
      </c>
      <c r="Z662" s="42" t="str">
        <f aca="false">IF(AND(AA662=1,ISNUMBER(C662)),C662+ROW()/100000,"")</f>
        <v/>
      </c>
      <c r="AA662" s="43" t="n">
        <f aca="false">IF(AND(D662&lt;&gt;"",ISNUMBER(B662),ISNUMBER(C662),N(H662)&gt;0,T662&lt;&gt;"Cancelled",J662&lt;&gt;""),1,0)</f>
        <v>0</v>
      </c>
      <c r="AB662" s="44" t="n">
        <f aca="false">IF(AA662=1,J662/H662,0)</f>
        <v>0</v>
      </c>
      <c r="AC662" s="44" t="n">
        <f aca="false">IF(AA662=1,Q662/H662,0)</f>
        <v>0</v>
      </c>
      <c r="AD662" s="44" t="n">
        <f aca="false">IF(AA662=1,R662/H662,0)</f>
        <v>0</v>
      </c>
      <c r="AE662" s="44" t="n">
        <f aca="false">IF(AA662=1,O662/H662,0)</f>
        <v>0</v>
      </c>
      <c r="AF662" s="44" t="n">
        <f aca="false">IF(AA662=1,K662/H662,0)</f>
        <v>0</v>
      </c>
      <c r="AG662" s="45" t="str">
        <f aca="false">IF(AA662=1,D662&amp;"|"&amp;TEXT(B662,"0"),"")</f>
        <v/>
      </c>
      <c r="AH662" s="43" t="n">
        <f aca="false">IF(AA662=1,H662,0)</f>
        <v>0</v>
      </c>
    </row>
    <row r="663" customFormat="false" ht="15" hidden="false" customHeight="false" outlineLevel="0" collapsed="false">
      <c r="A663" s="8" t="str">
        <f aca="false">IF(B663="","","B-"&amp;TEXT(ROW()-4,"0000"))</f>
        <v/>
      </c>
      <c r="B663" s="38"/>
      <c r="C663" s="38"/>
      <c r="D663" s="6"/>
      <c r="E663" s="6"/>
      <c r="F663" s="6"/>
      <c r="G663" s="11"/>
      <c r="H663" s="18" t="str">
        <f aca="false">IF(AND(ISNUMBER(B663),ISNUMBER(C663)),MAX(0,C663-B663),"")</f>
        <v/>
      </c>
      <c r="I663" s="37"/>
      <c r="J663" s="41" t="str">
        <f aca="false">IF(OR(D663="",N(H663)=0),"",IFERROR(IF(I663&lt;&gt;"",H663*I663,ROUND(((H663-(INT((WEEKDAY(B663-6)+H663-1)/7)+INT((WEEKDAY(B663-7)+H663-1)/7)))*INDEX(Properties!$E$5:$E$24,MATCH(D663,Properties!$A$5:$A$24,0))+(INT((WEEKDAY(B663-6)+H663-1)/7)+INT((WEEKDAY(B663-7)+H663-1)/7))*INDEX(Properties!$F$5:$F$24,MATCH(D663,Properties!$A$5:$A$24,0)))*(1-IF(H663&gt;=28,Settings!$B$10,IF(H663&gt;=7,Settings!$B$9,0))),2)),0))</f>
        <v/>
      </c>
      <c r="K663" s="41" t="str">
        <f aca="false">IF(J663="","",IFERROR(N(INDEX(Properties!$G$5:$G$24,MATCH(D663,Properties!$A$5:$A$24,0))),0))</f>
        <v/>
      </c>
      <c r="L663" s="41" t="str">
        <f aca="false">IF(J663="","",IFERROR(MAX(0,N(G663)-INDEX(Properties!$I$5:$I$24,MATCH(D663,Properties!$A$5:$A$24,0)))*N(INDEX(Properties!$J$5:$J$24,MATCH(D663,Properties!$A$5:$A$24,0)))*H663,0))</f>
        <v/>
      </c>
      <c r="M663" s="37"/>
      <c r="N663" s="41" t="str">
        <f aca="false">IF(J663="","",J663+K663+L663+N(M663))</f>
        <v/>
      </c>
      <c r="O663" s="41" t="str">
        <f aca="false">IF(N663="","",IF(P663&lt;&gt;"",N663-P663,ROUND(N663*IFERROR(INDEX(Settings!$E$5:$E$12,MATCH(F663,Settings!$D$5:$D$12,0)),0),2)))</f>
        <v/>
      </c>
      <c r="P663" s="37"/>
      <c r="Q663" s="41" t="str">
        <f aca="false">IF(N663="","",IF(P663&lt;&gt;"",P663,N663-O663))</f>
        <v/>
      </c>
      <c r="R663" s="41" t="str">
        <f aca="false">IF(J663="","",IFERROR(N(INDEX(Properties!$H$5:$H$24,MATCH(D663,Properties!$A$5:$A$24,0))),0))</f>
        <v/>
      </c>
      <c r="S663" s="41" t="str">
        <f aca="false">IF(Q663="","",Q663-R663)</f>
        <v/>
      </c>
      <c r="T663" s="6"/>
      <c r="U663" s="6"/>
      <c r="V663" s="6"/>
      <c r="W663" s="6"/>
      <c r="X663" s="6"/>
      <c r="Y663" s="8" t="str">
        <f aca="false">IF(OR(D663="",B663="",C663=""),"",IF(N(C663)&lt;=N(B663),"Check dates",IF(T663="Cancelled","",IF(COUNTIFS($D$5:$D$1004,D663,$B$5:$B$1004,"&lt;"&amp;C663,$C$5:$C$1004,"&gt;"&amp;B663,$T$5:$T$1004,"&lt;&gt;Cancelled")&gt;1,"Double-booked",""))))</f>
        <v/>
      </c>
      <c r="Z663" s="42" t="str">
        <f aca="false">IF(AND(AA663=1,ISNUMBER(C663)),C663+ROW()/100000,"")</f>
        <v/>
      </c>
      <c r="AA663" s="43" t="n">
        <f aca="false">IF(AND(D663&lt;&gt;"",ISNUMBER(B663),ISNUMBER(C663),N(H663)&gt;0,T663&lt;&gt;"Cancelled",J663&lt;&gt;""),1,0)</f>
        <v>0</v>
      </c>
      <c r="AB663" s="44" t="n">
        <f aca="false">IF(AA663=1,J663/H663,0)</f>
        <v>0</v>
      </c>
      <c r="AC663" s="44" t="n">
        <f aca="false">IF(AA663=1,Q663/H663,0)</f>
        <v>0</v>
      </c>
      <c r="AD663" s="44" t="n">
        <f aca="false">IF(AA663=1,R663/H663,0)</f>
        <v>0</v>
      </c>
      <c r="AE663" s="44" t="n">
        <f aca="false">IF(AA663=1,O663/H663,0)</f>
        <v>0</v>
      </c>
      <c r="AF663" s="44" t="n">
        <f aca="false">IF(AA663=1,K663/H663,0)</f>
        <v>0</v>
      </c>
      <c r="AG663" s="45" t="str">
        <f aca="false">IF(AA663=1,D663&amp;"|"&amp;TEXT(B663,"0"),"")</f>
        <v/>
      </c>
      <c r="AH663" s="43" t="n">
        <f aca="false">IF(AA663=1,H663,0)</f>
        <v>0</v>
      </c>
    </row>
    <row r="664" customFormat="false" ht="15" hidden="false" customHeight="false" outlineLevel="0" collapsed="false">
      <c r="A664" s="23" t="str">
        <f aca="false">IF(B664="","","B-"&amp;TEXT(ROW()-4,"0000"))</f>
        <v/>
      </c>
      <c r="B664" s="38"/>
      <c r="C664" s="38"/>
      <c r="D664" s="6"/>
      <c r="E664" s="6"/>
      <c r="F664" s="6"/>
      <c r="G664" s="11"/>
      <c r="H664" s="24" t="str">
        <f aca="false">IF(AND(ISNUMBER(B664),ISNUMBER(C664)),MAX(0,C664-B664),"")</f>
        <v/>
      </c>
      <c r="I664" s="37"/>
      <c r="J664" s="46" t="str">
        <f aca="false">IF(OR(D664="",N(H664)=0),"",IFERROR(IF(I664&lt;&gt;"",H664*I664,ROUND(((H664-(INT((WEEKDAY(B664-6)+H664-1)/7)+INT((WEEKDAY(B664-7)+H664-1)/7)))*INDEX(Properties!$E$5:$E$24,MATCH(D664,Properties!$A$5:$A$24,0))+(INT((WEEKDAY(B664-6)+H664-1)/7)+INT((WEEKDAY(B664-7)+H664-1)/7))*INDEX(Properties!$F$5:$F$24,MATCH(D664,Properties!$A$5:$A$24,0)))*(1-IF(H664&gt;=28,Settings!$B$10,IF(H664&gt;=7,Settings!$B$9,0))),2)),0))</f>
        <v/>
      </c>
      <c r="K664" s="46" t="str">
        <f aca="false">IF(J664="","",IFERROR(N(INDEX(Properties!$G$5:$G$24,MATCH(D664,Properties!$A$5:$A$24,0))),0))</f>
        <v/>
      </c>
      <c r="L664" s="46" t="str">
        <f aca="false">IF(J664="","",IFERROR(MAX(0,N(G664)-INDEX(Properties!$I$5:$I$24,MATCH(D664,Properties!$A$5:$A$24,0)))*N(INDEX(Properties!$J$5:$J$24,MATCH(D664,Properties!$A$5:$A$24,0)))*H664,0))</f>
        <v/>
      </c>
      <c r="M664" s="37"/>
      <c r="N664" s="46" t="str">
        <f aca="false">IF(J664="","",J664+K664+L664+N(M664))</f>
        <v/>
      </c>
      <c r="O664" s="46" t="str">
        <f aca="false">IF(N664="","",IF(P664&lt;&gt;"",N664-P664,ROUND(N664*IFERROR(INDEX(Settings!$E$5:$E$12,MATCH(F664,Settings!$D$5:$D$12,0)),0),2)))</f>
        <v/>
      </c>
      <c r="P664" s="37"/>
      <c r="Q664" s="46" t="str">
        <f aca="false">IF(N664="","",IF(P664&lt;&gt;"",P664,N664-O664))</f>
        <v/>
      </c>
      <c r="R664" s="46" t="str">
        <f aca="false">IF(J664="","",IFERROR(N(INDEX(Properties!$H$5:$H$24,MATCH(D664,Properties!$A$5:$A$24,0))),0))</f>
        <v/>
      </c>
      <c r="S664" s="46" t="str">
        <f aca="false">IF(Q664="","",Q664-R664)</f>
        <v/>
      </c>
      <c r="T664" s="6"/>
      <c r="U664" s="6"/>
      <c r="V664" s="6"/>
      <c r="W664" s="6"/>
      <c r="X664" s="6"/>
      <c r="Y664" s="8" t="str">
        <f aca="false">IF(OR(D664="",B664="",C664=""),"",IF(N(C664)&lt;=N(B664),"Check dates",IF(T664="Cancelled","",IF(COUNTIFS($D$5:$D$1004,D664,$B$5:$B$1004,"&lt;"&amp;C664,$C$5:$C$1004,"&gt;"&amp;B664,$T$5:$T$1004,"&lt;&gt;Cancelled")&gt;1,"Double-booked",""))))</f>
        <v/>
      </c>
      <c r="Z664" s="42" t="str">
        <f aca="false">IF(AND(AA664=1,ISNUMBER(C664)),C664+ROW()/100000,"")</f>
        <v/>
      </c>
      <c r="AA664" s="43" t="n">
        <f aca="false">IF(AND(D664&lt;&gt;"",ISNUMBER(B664),ISNUMBER(C664),N(H664)&gt;0,T664&lt;&gt;"Cancelled",J664&lt;&gt;""),1,0)</f>
        <v>0</v>
      </c>
      <c r="AB664" s="44" t="n">
        <f aca="false">IF(AA664=1,J664/H664,0)</f>
        <v>0</v>
      </c>
      <c r="AC664" s="44" t="n">
        <f aca="false">IF(AA664=1,Q664/H664,0)</f>
        <v>0</v>
      </c>
      <c r="AD664" s="44" t="n">
        <f aca="false">IF(AA664=1,R664/H664,0)</f>
        <v>0</v>
      </c>
      <c r="AE664" s="44" t="n">
        <f aca="false">IF(AA664=1,O664/H664,0)</f>
        <v>0</v>
      </c>
      <c r="AF664" s="44" t="n">
        <f aca="false">IF(AA664=1,K664/H664,0)</f>
        <v>0</v>
      </c>
      <c r="AG664" s="45" t="str">
        <f aca="false">IF(AA664=1,D664&amp;"|"&amp;TEXT(B664,"0"),"")</f>
        <v/>
      </c>
      <c r="AH664" s="43" t="n">
        <f aca="false">IF(AA664=1,H664,0)</f>
        <v>0</v>
      </c>
    </row>
    <row r="665" customFormat="false" ht="15" hidden="false" customHeight="false" outlineLevel="0" collapsed="false">
      <c r="A665" s="8" t="str">
        <f aca="false">IF(B665="","","B-"&amp;TEXT(ROW()-4,"0000"))</f>
        <v/>
      </c>
      <c r="B665" s="38"/>
      <c r="C665" s="38"/>
      <c r="D665" s="6"/>
      <c r="E665" s="6"/>
      <c r="F665" s="6"/>
      <c r="G665" s="11"/>
      <c r="H665" s="18" t="str">
        <f aca="false">IF(AND(ISNUMBER(B665),ISNUMBER(C665)),MAX(0,C665-B665),"")</f>
        <v/>
      </c>
      <c r="I665" s="37"/>
      <c r="J665" s="41" t="str">
        <f aca="false">IF(OR(D665="",N(H665)=0),"",IFERROR(IF(I665&lt;&gt;"",H665*I665,ROUND(((H665-(INT((WEEKDAY(B665-6)+H665-1)/7)+INT((WEEKDAY(B665-7)+H665-1)/7)))*INDEX(Properties!$E$5:$E$24,MATCH(D665,Properties!$A$5:$A$24,0))+(INT((WEEKDAY(B665-6)+H665-1)/7)+INT((WEEKDAY(B665-7)+H665-1)/7))*INDEX(Properties!$F$5:$F$24,MATCH(D665,Properties!$A$5:$A$24,0)))*(1-IF(H665&gt;=28,Settings!$B$10,IF(H665&gt;=7,Settings!$B$9,0))),2)),0))</f>
        <v/>
      </c>
      <c r="K665" s="41" t="str">
        <f aca="false">IF(J665="","",IFERROR(N(INDEX(Properties!$G$5:$G$24,MATCH(D665,Properties!$A$5:$A$24,0))),0))</f>
        <v/>
      </c>
      <c r="L665" s="41" t="str">
        <f aca="false">IF(J665="","",IFERROR(MAX(0,N(G665)-INDEX(Properties!$I$5:$I$24,MATCH(D665,Properties!$A$5:$A$24,0)))*N(INDEX(Properties!$J$5:$J$24,MATCH(D665,Properties!$A$5:$A$24,0)))*H665,0))</f>
        <v/>
      </c>
      <c r="M665" s="37"/>
      <c r="N665" s="41" t="str">
        <f aca="false">IF(J665="","",J665+K665+L665+N(M665))</f>
        <v/>
      </c>
      <c r="O665" s="41" t="str">
        <f aca="false">IF(N665="","",IF(P665&lt;&gt;"",N665-P665,ROUND(N665*IFERROR(INDEX(Settings!$E$5:$E$12,MATCH(F665,Settings!$D$5:$D$12,0)),0),2)))</f>
        <v/>
      </c>
      <c r="P665" s="37"/>
      <c r="Q665" s="41" t="str">
        <f aca="false">IF(N665="","",IF(P665&lt;&gt;"",P665,N665-O665))</f>
        <v/>
      </c>
      <c r="R665" s="41" t="str">
        <f aca="false">IF(J665="","",IFERROR(N(INDEX(Properties!$H$5:$H$24,MATCH(D665,Properties!$A$5:$A$24,0))),0))</f>
        <v/>
      </c>
      <c r="S665" s="41" t="str">
        <f aca="false">IF(Q665="","",Q665-R665)</f>
        <v/>
      </c>
      <c r="T665" s="6"/>
      <c r="U665" s="6"/>
      <c r="V665" s="6"/>
      <c r="W665" s="6"/>
      <c r="X665" s="6"/>
      <c r="Y665" s="8" t="str">
        <f aca="false">IF(OR(D665="",B665="",C665=""),"",IF(N(C665)&lt;=N(B665),"Check dates",IF(T665="Cancelled","",IF(COUNTIFS($D$5:$D$1004,D665,$B$5:$B$1004,"&lt;"&amp;C665,$C$5:$C$1004,"&gt;"&amp;B665,$T$5:$T$1004,"&lt;&gt;Cancelled")&gt;1,"Double-booked",""))))</f>
        <v/>
      </c>
      <c r="Z665" s="42" t="str">
        <f aca="false">IF(AND(AA665=1,ISNUMBER(C665)),C665+ROW()/100000,"")</f>
        <v/>
      </c>
      <c r="AA665" s="43" t="n">
        <f aca="false">IF(AND(D665&lt;&gt;"",ISNUMBER(B665),ISNUMBER(C665),N(H665)&gt;0,T665&lt;&gt;"Cancelled",J665&lt;&gt;""),1,0)</f>
        <v>0</v>
      </c>
      <c r="AB665" s="44" t="n">
        <f aca="false">IF(AA665=1,J665/H665,0)</f>
        <v>0</v>
      </c>
      <c r="AC665" s="44" t="n">
        <f aca="false">IF(AA665=1,Q665/H665,0)</f>
        <v>0</v>
      </c>
      <c r="AD665" s="44" t="n">
        <f aca="false">IF(AA665=1,R665/H665,0)</f>
        <v>0</v>
      </c>
      <c r="AE665" s="44" t="n">
        <f aca="false">IF(AA665=1,O665/H665,0)</f>
        <v>0</v>
      </c>
      <c r="AF665" s="44" t="n">
        <f aca="false">IF(AA665=1,K665/H665,0)</f>
        <v>0</v>
      </c>
      <c r="AG665" s="45" t="str">
        <f aca="false">IF(AA665=1,D665&amp;"|"&amp;TEXT(B665,"0"),"")</f>
        <v/>
      </c>
      <c r="AH665" s="43" t="n">
        <f aca="false">IF(AA665=1,H665,0)</f>
        <v>0</v>
      </c>
    </row>
    <row r="666" customFormat="false" ht="15" hidden="false" customHeight="false" outlineLevel="0" collapsed="false">
      <c r="A666" s="23" t="str">
        <f aca="false">IF(B666="","","B-"&amp;TEXT(ROW()-4,"0000"))</f>
        <v/>
      </c>
      <c r="B666" s="38"/>
      <c r="C666" s="38"/>
      <c r="D666" s="6"/>
      <c r="E666" s="6"/>
      <c r="F666" s="6"/>
      <c r="G666" s="11"/>
      <c r="H666" s="24" t="str">
        <f aca="false">IF(AND(ISNUMBER(B666),ISNUMBER(C666)),MAX(0,C666-B666),"")</f>
        <v/>
      </c>
      <c r="I666" s="37"/>
      <c r="J666" s="46" t="str">
        <f aca="false">IF(OR(D666="",N(H666)=0),"",IFERROR(IF(I666&lt;&gt;"",H666*I666,ROUND(((H666-(INT((WEEKDAY(B666-6)+H666-1)/7)+INT((WEEKDAY(B666-7)+H666-1)/7)))*INDEX(Properties!$E$5:$E$24,MATCH(D666,Properties!$A$5:$A$24,0))+(INT((WEEKDAY(B666-6)+H666-1)/7)+INT((WEEKDAY(B666-7)+H666-1)/7))*INDEX(Properties!$F$5:$F$24,MATCH(D666,Properties!$A$5:$A$24,0)))*(1-IF(H666&gt;=28,Settings!$B$10,IF(H666&gt;=7,Settings!$B$9,0))),2)),0))</f>
        <v/>
      </c>
      <c r="K666" s="46" t="str">
        <f aca="false">IF(J666="","",IFERROR(N(INDEX(Properties!$G$5:$G$24,MATCH(D666,Properties!$A$5:$A$24,0))),0))</f>
        <v/>
      </c>
      <c r="L666" s="46" t="str">
        <f aca="false">IF(J666="","",IFERROR(MAX(0,N(G666)-INDEX(Properties!$I$5:$I$24,MATCH(D666,Properties!$A$5:$A$24,0)))*N(INDEX(Properties!$J$5:$J$24,MATCH(D666,Properties!$A$5:$A$24,0)))*H666,0))</f>
        <v/>
      </c>
      <c r="M666" s="37"/>
      <c r="N666" s="46" t="str">
        <f aca="false">IF(J666="","",J666+K666+L666+N(M666))</f>
        <v/>
      </c>
      <c r="O666" s="46" t="str">
        <f aca="false">IF(N666="","",IF(P666&lt;&gt;"",N666-P666,ROUND(N666*IFERROR(INDEX(Settings!$E$5:$E$12,MATCH(F666,Settings!$D$5:$D$12,0)),0),2)))</f>
        <v/>
      </c>
      <c r="P666" s="37"/>
      <c r="Q666" s="46" t="str">
        <f aca="false">IF(N666="","",IF(P666&lt;&gt;"",P666,N666-O666))</f>
        <v/>
      </c>
      <c r="R666" s="46" t="str">
        <f aca="false">IF(J666="","",IFERROR(N(INDEX(Properties!$H$5:$H$24,MATCH(D666,Properties!$A$5:$A$24,0))),0))</f>
        <v/>
      </c>
      <c r="S666" s="46" t="str">
        <f aca="false">IF(Q666="","",Q666-R666)</f>
        <v/>
      </c>
      <c r="T666" s="6"/>
      <c r="U666" s="6"/>
      <c r="V666" s="6"/>
      <c r="W666" s="6"/>
      <c r="X666" s="6"/>
      <c r="Y666" s="8" t="str">
        <f aca="false">IF(OR(D666="",B666="",C666=""),"",IF(N(C666)&lt;=N(B666),"Check dates",IF(T666="Cancelled","",IF(COUNTIFS($D$5:$D$1004,D666,$B$5:$B$1004,"&lt;"&amp;C666,$C$5:$C$1004,"&gt;"&amp;B666,$T$5:$T$1004,"&lt;&gt;Cancelled")&gt;1,"Double-booked",""))))</f>
        <v/>
      </c>
      <c r="Z666" s="42" t="str">
        <f aca="false">IF(AND(AA666=1,ISNUMBER(C666)),C666+ROW()/100000,"")</f>
        <v/>
      </c>
      <c r="AA666" s="43" t="n">
        <f aca="false">IF(AND(D666&lt;&gt;"",ISNUMBER(B666),ISNUMBER(C666),N(H666)&gt;0,T666&lt;&gt;"Cancelled",J666&lt;&gt;""),1,0)</f>
        <v>0</v>
      </c>
      <c r="AB666" s="44" t="n">
        <f aca="false">IF(AA666=1,J666/H666,0)</f>
        <v>0</v>
      </c>
      <c r="AC666" s="44" t="n">
        <f aca="false">IF(AA666=1,Q666/H666,0)</f>
        <v>0</v>
      </c>
      <c r="AD666" s="44" t="n">
        <f aca="false">IF(AA666=1,R666/H666,0)</f>
        <v>0</v>
      </c>
      <c r="AE666" s="44" t="n">
        <f aca="false">IF(AA666=1,O666/H666,0)</f>
        <v>0</v>
      </c>
      <c r="AF666" s="44" t="n">
        <f aca="false">IF(AA666=1,K666/H666,0)</f>
        <v>0</v>
      </c>
      <c r="AG666" s="45" t="str">
        <f aca="false">IF(AA666=1,D666&amp;"|"&amp;TEXT(B666,"0"),"")</f>
        <v/>
      </c>
      <c r="AH666" s="43" t="n">
        <f aca="false">IF(AA666=1,H666,0)</f>
        <v>0</v>
      </c>
    </row>
    <row r="667" customFormat="false" ht="15" hidden="false" customHeight="false" outlineLevel="0" collapsed="false">
      <c r="A667" s="8" t="str">
        <f aca="false">IF(B667="","","B-"&amp;TEXT(ROW()-4,"0000"))</f>
        <v/>
      </c>
      <c r="B667" s="38"/>
      <c r="C667" s="38"/>
      <c r="D667" s="6"/>
      <c r="E667" s="6"/>
      <c r="F667" s="6"/>
      <c r="G667" s="11"/>
      <c r="H667" s="18" t="str">
        <f aca="false">IF(AND(ISNUMBER(B667),ISNUMBER(C667)),MAX(0,C667-B667),"")</f>
        <v/>
      </c>
      <c r="I667" s="37"/>
      <c r="J667" s="41" t="str">
        <f aca="false">IF(OR(D667="",N(H667)=0),"",IFERROR(IF(I667&lt;&gt;"",H667*I667,ROUND(((H667-(INT((WEEKDAY(B667-6)+H667-1)/7)+INT((WEEKDAY(B667-7)+H667-1)/7)))*INDEX(Properties!$E$5:$E$24,MATCH(D667,Properties!$A$5:$A$24,0))+(INT((WEEKDAY(B667-6)+H667-1)/7)+INT((WEEKDAY(B667-7)+H667-1)/7))*INDEX(Properties!$F$5:$F$24,MATCH(D667,Properties!$A$5:$A$24,0)))*(1-IF(H667&gt;=28,Settings!$B$10,IF(H667&gt;=7,Settings!$B$9,0))),2)),0))</f>
        <v/>
      </c>
      <c r="K667" s="41" t="str">
        <f aca="false">IF(J667="","",IFERROR(N(INDEX(Properties!$G$5:$G$24,MATCH(D667,Properties!$A$5:$A$24,0))),0))</f>
        <v/>
      </c>
      <c r="L667" s="41" t="str">
        <f aca="false">IF(J667="","",IFERROR(MAX(0,N(G667)-INDEX(Properties!$I$5:$I$24,MATCH(D667,Properties!$A$5:$A$24,0)))*N(INDEX(Properties!$J$5:$J$24,MATCH(D667,Properties!$A$5:$A$24,0)))*H667,0))</f>
        <v/>
      </c>
      <c r="M667" s="37"/>
      <c r="N667" s="41" t="str">
        <f aca="false">IF(J667="","",J667+K667+L667+N(M667))</f>
        <v/>
      </c>
      <c r="O667" s="41" t="str">
        <f aca="false">IF(N667="","",IF(P667&lt;&gt;"",N667-P667,ROUND(N667*IFERROR(INDEX(Settings!$E$5:$E$12,MATCH(F667,Settings!$D$5:$D$12,0)),0),2)))</f>
        <v/>
      </c>
      <c r="P667" s="37"/>
      <c r="Q667" s="41" t="str">
        <f aca="false">IF(N667="","",IF(P667&lt;&gt;"",P667,N667-O667))</f>
        <v/>
      </c>
      <c r="R667" s="41" t="str">
        <f aca="false">IF(J667="","",IFERROR(N(INDEX(Properties!$H$5:$H$24,MATCH(D667,Properties!$A$5:$A$24,0))),0))</f>
        <v/>
      </c>
      <c r="S667" s="41" t="str">
        <f aca="false">IF(Q667="","",Q667-R667)</f>
        <v/>
      </c>
      <c r="T667" s="6"/>
      <c r="U667" s="6"/>
      <c r="V667" s="6"/>
      <c r="W667" s="6"/>
      <c r="X667" s="6"/>
      <c r="Y667" s="8" t="str">
        <f aca="false">IF(OR(D667="",B667="",C667=""),"",IF(N(C667)&lt;=N(B667),"Check dates",IF(T667="Cancelled","",IF(COUNTIFS($D$5:$D$1004,D667,$B$5:$B$1004,"&lt;"&amp;C667,$C$5:$C$1004,"&gt;"&amp;B667,$T$5:$T$1004,"&lt;&gt;Cancelled")&gt;1,"Double-booked",""))))</f>
        <v/>
      </c>
      <c r="Z667" s="42" t="str">
        <f aca="false">IF(AND(AA667=1,ISNUMBER(C667)),C667+ROW()/100000,"")</f>
        <v/>
      </c>
      <c r="AA667" s="43" t="n">
        <f aca="false">IF(AND(D667&lt;&gt;"",ISNUMBER(B667),ISNUMBER(C667),N(H667)&gt;0,T667&lt;&gt;"Cancelled",J667&lt;&gt;""),1,0)</f>
        <v>0</v>
      </c>
      <c r="AB667" s="44" t="n">
        <f aca="false">IF(AA667=1,J667/H667,0)</f>
        <v>0</v>
      </c>
      <c r="AC667" s="44" t="n">
        <f aca="false">IF(AA667=1,Q667/H667,0)</f>
        <v>0</v>
      </c>
      <c r="AD667" s="44" t="n">
        <f aca="false">IF(AA667=1,R667/H667,0)</f>
        <v>0</v>
      </c>
      <c r="AE667" s="44" t="n">
        <f aca="false">IF(AA667=1,O667/H667,0)</f>
        <v>0</v>
      </c>
      <c r="AF667" s="44" t="n">
        <f aca="false">IF(AA667=1,K667/H667,0)</f>
        <v>0</v>
      </c>
      <c r="AG667" s="45" t="str">
        <f aca="false">IF(AA667=1,D667&amp;"|"&amp;TEXT(B667,"0"),"")</f>
        <v/>
      </c>
      <c r="AH667" s="43" t="n">
        <f aca="false">IF(AA667=1,H667,0)</f>
        <v>0</v>
      </c>
    </row>
    <row r="668" customFormat="false" ht="15" hidden="false" customHeight="false" outlineLevel="0" collapsed="false">
      <c r="A668" s="23" t="str">
        <f aca="false">IF(B668="","","B-"&amp;TEXT(ROW()-4,"0000"))</f>
        <v/>
      </c>
      <c r="B668" s="38"/>
      <c r="C668" s="38"/>
      <c r="D668" s="6"/>
      <c r="E668" s="6"/>
      <c r="F668" s="6"/>
      <c r="G668" s="11"/>
      <c r="H668" s="24" t="str">
        <f aca="false">IF(AND(ISNUMBER(B668),ISNUMBER(C668)),MAX(0,C668-B668),"")</f>
        <v/>
      </c>
      <c r="I668" s="37"/>
      <c r="J668" s="46" t="str">
        <f aca="false">IF(OR(D668="",N(H668)=0),"",IFERROR(IF(I668&lt;&gt;"",H668*I668,ROUND(((H668-(INT((WEEKDAY(B668-6)+H668-1)/7)+INT((WEEKDAY(B668-7)+H668-1)/7)))*INDEX(Properties!$E$5:$E$24,MATCH(D668,Properties!$A$5:$A$24,0))+(INT((WEEKDAY(B668-6)+H668-1)/7)+INT((WEEKDAY(B668-7)+H668-1)/7))*INDEX(Properties!$F$5:$F$24,MATCH(D668,Properties!$A$5:$A$24,0)))*(1-IF(H668&gt;=28,Settings!$B$10,IF(H668&gt;=7,Settings!$B$9,0))),2)),0))</f>
        <v/>
      </c>
      <c r="K668" s="46" t="str">
        <f aca="false">IF(J668="","",IFERROR(N(INDEX(Properties!$G$5:$G$24,MATCH(D668,Properties!$A$5:$A$24,0))),0))</f>
        <v/>
      </c>
      <c r="L668" s="46" t="str">
        <f aca="false">IF(J668="","",IFERROR(MAX(0,N(G668)-INDEX(Properties!$I$5:$I$24,MATCH(D668,Properties!$A$5:$A$24,0)))*N(INDEX(Properties!$J$5:$J$24,MATCH(D668,Properties!$A$5:$A$24,0)))*H668,0))</f>
        <v/>
      </c>
      <c r="M668" s="37"/>
      <c r="N668" s="46" t="str">
        <f aca="false">IF(J668="","",J668+K668+L668+N(M668))</f>
        <v/>
      </c>
      <c r="O668" s="46" t="str">
        <f aca="false">IF(N668="","",IF(P668&lt;&gt;"",N668-P668,ROUND(N668*IFERROR(INDEX(Settings!$E$5:$E$12,MATCH(F668,Settings!$D$5:$D$12,0)),0),2)))</f>
        <v/>
      </c>
      <c r="P668" s="37"/>
      <c r="Q668" s="46" t="str">
        <f aca="false">IF(N668="","",IF(P668&lt;&gt;"",P668,N668-O668))</f>
        <v/>
      </c>
      <c r="R668" s="46" t="str">
        <f aca="false">IF(J668="","",IFERROR(N(INDEX(Properties!$H$5:$H$24,MATCH(D668,Properties!$A$5:$A$24,0))),0))</f>
        <v/>
      </c>
      <c r="S668" s="46" t="str">
        <f aca="false">IF(Q668="","",Q668-R668)</f>
        <v/>
      </c>
      <c r="T668" s="6"/>
      <c r="U668" s="6"/>
      <c r="V668" s="6"/>
      <c r="W668" s="6"/>
      <c r="X668" s="6"/>
      <c r="Y668" s="8" t="str">
        <f aca="false">IF(OR(D668="",B668="",C668=""),"",IF(N(C668)&lt;=N(B668),"Check dates",IF(T668="Cancelled","",IF(COUNTIFS($D$5:$D$1004,D668,$B$5:$B$1004,"&lt;"&amp;C668,$C$5:$C$1004,"&gt;"&amp;B668,$T$5:$T$1004,"&lt;&gt;Cancelled")&gt;1,"Double-booked",""))))</f>
        <v/>
      </c>
      <c r="Z668" s="42" t="str">
        <f aca="false">IF(AND(AA668=1,ISNUMBER(C668)),C668+ROW()/100000,"")</f>
        <v/>
      </c>
      <c r="AA668" s="43" t="n">
        <f aca="false">IF(AND(D668&lt;&gt;"",ISNUMBER(B668),ISNUMBER(C668),N(H668)&gt;0,T668&lt;&gt;"Cancelled",J668&lt;&gt;""),1,0)</f>
        <v>0</v>
      </c>
      <c r="AB668" s="44" t="n">
        <f aca="false">IF(AA668=1,J668/H668,0)</f>
        <v>0</v>
      </c>
      <c r="AC668" s="44" t="n">
        <f aca="false">IF(AA668=1,Q668/H668,0)</f>
        <v>0</v>
      </c>
      <c r="AD668" s="44" t="n">
        <f aca="false">IF(AA668=1,R668/H668,0)</f>
        <v>0</v>
      </c>
      <c r="AE668" s="44" t="n">
        <f aca="false">IF(AA668=1,O668/H668,0)</f>
        <v>0</v>
      </c>
      <c r="AF668" s="44" t="n">
        <f aca="false">IF(AA668=1,K668/H668,0)</f>
        <v>0</v>
      </c>
      <c r="AG668" s="45" t="str">
        <f aca="false">IF(AA668=1,D668&amp;"|"&amp;TEXT(B668,"0"),"")</f>
        <v/>
      </c>
      <c r="AH668" s="43" t="n">
        <f aca="false">IF(AA668=1,H668,0)</f>
        <v>0</v>
      </c>
    </row>
    <row r="669" customFormat="false" ht="15" hidden="false" customHeight="false" outlineLevel="0" collapsed="false">
      <c r="A669" s="8" t="str">
        <f aca="false">IF(B669="","","B-"&amp;TEXT(ROW()-4,"0000"))</f>
        <v/>
      </c>
      <c r="B669" s="38"/>
      <c r="C669" s="38"/>
      <c r="D669" s="6"/>
      <c r="E669" s="6"/>
      <c r="F669" s="6"/>
      <c r="G669" s="11"/>
      <c r="H669" s="18" t="str">
        <f aca="false">IF(AND(ISNUMBER(B669),ISNUMBER(C669)),MAX(0,C669-B669),"")</f>
        <v/>
      </c>
      <c r="I669" s="37"/>
      <c r="J669" s="41" t="str">
        <f aca="false">IF(OR(D669="",N(H669)=0),"",IFERROR(IF(I669&lt;&gt;"",H669*I669,ROUND(((H669-(INT((WEEKDAY(B669-6)+H669-1)/7)+INT((WEEKDAY(B669-7)+H669-1)/7)))*INDEX(Properties!$E$5:$E$24,MATCH(D669,Properties!$A$5:$A$24,0))+(INT((WEEKDAY(B669-6)+H669-1)/7)+INT((WEEKDAY(B669-7)+H669-1)/7))*INDEX(Properties!$F$5:$F$24,MATCH(D669,Properties!$A$5:$A$24,0)))*(1-IF(H669&gt;=28,Settings!$B$10,IF(H669&gt;=7,Settings!$B$9,0))),2)),0))</f>
        <v/>
      </c>
      <c r="K669" s="41" t="str">
        <f aca="false">IF(J669="","",IFERROR(N(INDEX(Properties!$G$5:$G$24,MATCH(D669,Properties!$A$5:$A$24,0))),0))</f>
        <v/>
      </c>
      <c r="L669" s="41" t="str">
        <f aca="false">IF(J669="","",IFERROR(MAX(0,N(G669)-INDEX(Properties!$I$5:$I$24,MATCH(D669,Properties!$A$5:$A$24,0)))*N(INDEX(Properties!$J$5:$J$24,MATCH(D669,Properties!$A$5:$A$24,0)))*H669,0))</f>
        <v/>
      </c>
      <c r="M669" s="37"/>
      <c r="N669" s="41" t="str">
        <f aca="false">IF(J669="","",J669+K669+L669+N(M669))</f>
        <v/>
      </c>
      <c r="O669" s="41" t="str">
        <f aca="false">IF(N669="","",IF(P669&lt;&gt;"",N669-P669,ROUND(N669*IFERROR(INDEX(Settings!$E$5:$E$12,MATCH(F669,Settings!$D$5:$D$12,0)),0),2)))</f>
        <v/>
      </c>
      <c r="P669" s="37"/>
      <c r="Q669" s="41" t="str">
        <f aca="false">IF(N669="","",IF(P669&lt;&gt;"",P669,N669-O669))</f>
        <v/>
      </c>
      <c r="R669" s="41" t="str">
        <f aca="false">IF(J669="","",IFERROR(N(INDEX(Properties!$H$5:$H$24,MATCH(D669,Properties!$A$5:$A$24,0))),0))</f>
        <v/>
      </c>
      <c r="S669" s="41" t="str">
        <f aca="false">IF(Q669="","",Q669-R669)</f>
        <v/>
      </c>
      <c r="T669" s="6"/>
      <c r="U669" s="6"/>
      <c r="V669" s="6"/>
      <c r="W669" s="6"/>
      <c r="X669" s="6"/>
      <c r="Y669" s="8" t="str">
        <f aca="false">IF(OR(D669="",B669="",C669=""),"",IF(N(C669)&lt;=N(B669),"Check dates",IF(T669="Cancelled","",IF(COUNTIFS($D$5:$D$1004,D669,$B$5:$B$1004,"&lt;"&amp;C669,$C$5:$C$1004,"&gt;"&amp;B669,$T$5:$T$1004,"&lt;&gt;Cancelled")&gt;1,"Double-booked",""))))</f>
        <v/>
      </c>
      <c r="Z669" s="42" t="str">
        <f aca="false">IF(AND(AA669=1,ISNUMBER(C669)),C669+ROW()/100000,"")</f>
        <v/>
      </c>
      <c r="AA669" s="43" t="n">
        <f aca="false">IF(AND(D669&lt;&gt;"",ISNUMBER(B669),ISNUMBER(C669),N(H669)&gt;0,T669&lt;&gt;"Cancelled",J669&lt;&gt;""),1,0)</f>
        <v>0</v>
      </c>
      <c r="AB669" s="44" t="n">
        <f aca="false">IF(AA669=1,J669/H669,0)</f>
        <v>0</v>
      </c>
      <c r="AC669" s="44" t="n">
        <f aca="false">IF(AA669=1,Q669/H669,0)</f>
        <v>0</v>
      </c>
      <c r="AD669" s="44" t="n">
        <f aca="false">IF(AA669=1,R669/H669,0)</f>
        <v>0</v>
      </c>
      <c r="AE669" s="44" t="n">
        <f aca="false">IF(AA669=1,O669/H669,0)</f>
        <v>0</v>
      </c>
      <c r="AF669" s="44" t="n">
        <f aca="false">IF(AA669=1,K669/H669,0)</f>
        <v>0</v>
      </c>
      <c r="AG669" s="45" t="str">
        <f aca="false">IF(AA669=1,D669&amp;"|"&amp;TEXT(B669,"0"),"")</f>
        <v/>
      </c>
      <c r="AH669" s="43" t="n">
        <f aca="false">IF(AA669=1,H669,0)</f>
        <v>0</v>
      </c>
    </row>
    <row r="670" customFormat="false" ht="15" hidden="false" customHeight="false" outlineLevel="0" collapsed="false">
      <c r="A670" s="23" t="str">
        <f aca="false">IF(B670="","","B-"&amp;TEXT(ROW()-4,"0000"))</f>
        <v/>
      </c>
      <c r="B670" s="38"/>
      <c r="C670" s="38"/>
      <c r="D670" s="6"/>
      <c r="E670" s="6"/>
      <c r="F670" s="6"/>
      <c r="G670" s="11"/>
      <c r="H670" s="24" t="str">
        <f aca="false">IF(AND(ISNUMBER(B670),ISNUMBER(C670)),MAX(0,C670-B670),"")</f>
        <v/>
      </c>
      <c r="I670" s="37"/>
      <c r="J670" s="46" t="str">
        <f aca="false">IF(OR(D670="",N(H670)=0),"",IFERROR(IF(I670&lt;&gt;"",H670*I670,ROUND(((H670-(INT((WEEKDAY(B670-6)+H670-1)/7)+INT((WEEKDAY(B670-7)+H670-1)/7)))*INDEX(Properties!$E$5:$E$24,MATCH(D670,Properties!$A$5:$A$24,0))+(INT((WEEKDAY(B670-6)+H670-1)/7)+INT((WEEKDAY(B670-7)+H670-1)/7))*INDEX(Properties!$F$5:$F$24,MATCH(D670,Properties!$A$5:$A$24,0)))*(1-IF(H670&gt;=28,Settings!$B$10,IF(H670&gt;=7,Settings!$B$9,0))),2)),0))</f>
        <v/>
      </c>
      <c r="K670" s="46" t="str">
        <f aca="false">IF(J670="","",IFERROR(N(INDEX(Properties!$G$5:$G$24,MATCH(D670,Properties!$A$5:$A$24,0))),0))</f>
        <v/>
      </c>
      <c r="L670" s="46" t="str">
        <f aca="false">IF(J670="","",IFERROR(MAX(0,N(G670)-INDEX(Properties!$I$5:$I$24,MATCH(D670,Properties!$A$5:$A$24,0)))*N(INDEX(Properties!$J$5:$J$24,MATCH(D670,Properties!$A$5:$A$24,0)))*H670,0))</f>
        <v/>
      </c>
      <c r="M670" s="37"/>
      <c r="N670" s="46" t="str">
        <f aca="false">IF(J670="","",J670+K670+L670+N(M670))</f>
        <v/>
      </c>
      <c r="O670" s="46" t="str">
        <f aca="false">IF(N670="","",IF(P670&lt;&gt;"",N670-P670,ROUND(N670*IFERROR(INDEX(Settings!$E$5:$E$12,MATCH(F670,Settings!$D$5:$D$12,0)),0),2)))</f>
        <v/>
      </c>
      <c r="P670" s="37"/>
      <c r="Q670" s="46" t="str">
        <f aca="false">IF(N670="","",IF(P670&lt;&gt;"",P670,N670-O670))</f>
        <v/>
      </c>
      <c r="R670" s="46" t="str">
        <f aca="false">IF(J670="","",IFERROR(N(INDEX(Properties!$H$5:$H$24,MATCH(D670,Properties!$A$5:$A$24,0))),0))</f>
        <v/>
      </c>
      <c r="S670" s="46" t="str">
        <f aca="false">IF(Q670="","",Q670-R670)</f>
        <v/>
      </c>
      <c r="T670" s="6"/>
      <c r="U670" s="6"/>
      <c r="V670" s="6"/>
      <c r="W670" s="6"/>
      <c r="X670" s="6"/>
      <c r="Y670" s="8" t="str">
        <f aca="false">IF(OR(D670="",B670="",C670=""),"",IF(N(C670)&lt;=N(B670),"Check dates",IF(T670="Cancelled","",IF(COUNTIFS($D$5:$D$1004,D670,$B$5:$B$1004,"&lt;"&amp;C670,$C$5:$C$1004,"&gt;"&amp;B670,$T$5:$T$1004,"&lt;&gt;Cancelled")&gt;1,"Double-booked",""))))</f>
        <v/>
      </c>
      <c r="Z670" s="42" t="str">
        <f aca="false">IF(AND(AA670=1,ISNUMBER(C670)),C670+ROW()/100000,"")</f>
        <v/>
      </c>
      <c r="AA670" s="43" t="n">
        <f aca="false">IF(AND(D670&lt;&gt;"",ISNUMBER(B670),ISNUMBER(C670),N(H670)&gt;0,T670&lt;&gt;"Cancelled",J670&lt;&gt;""),1,0)</f>
        <v>0</v>
      </c>
      <c r="AB670" s="44" t="n">
        <f aca="false">IF(AA670=1,J670/H670,0)</f>
        <v>0</v>
      </c>
      <c r="AC670" s="44" t="n">
        <f aca="false">IF(AA670=1,Q670/H670,0)</f>
        <v>0</v>
      </c>
      <c r="AD670" s="44" t="n">
        <f aca="false">IF(AA670=1,R670/H670,0)</f>
        <v>0</v>
      </c>
      <c r="AE670" s="44" t="n">
        <f aca="false">IF(AA670=1,O670/H670,0)</f>
        <v>0</v>
      </c>
      <c r="AF670" s="44" t="n">
        <f aca="false">IF(AA670=1,K670/H670,0)</f>
        <v>0</v>
      </c>
      <c r="AG670" s="45" t="str">
        <f aca="false">IF(AA670=1,D670&amp;"|"&amp;TEXT(B670,"0"),"")</f>
        <v/>
      </c>
      <c r="AH670" s="43" t="n">
        <f aca="false">IF(AA670=1,H670,0)</f>
        <v>0</v>
      </c>
    </row>
    <row r="671" customFormat="false" ht="15" hidden="false" customHeight="false" outlineLevel="0" collapsed="false">
      <c r="A671" s="8" t="str">
        <f aca="false">IF(B671="","","B-"&amp;TEXT(ROW()-4,"0000"))</f>
        <v/>
      </c>
      <c r="B671" s="38"/>
      <c r="C671" s="38"/>
      <c r="D671" s="6"/>
      <c r="E671" s="6"/>
      <c r="F671" s="6"/>
      <c r="G671" s="11"/>
      <c r="H671" s="18" t="str">
        <f aca="false">IF(AND(ISNUMBER(B671),ISNUMBER(C671)),MAX(0,C671-B671),"")</f>
        <v/>
      </c>
      <c r="I671" s="37"/>
      <c r="J671" s="41" t="str">
        <f aca="false">IF(OR(D671="",N(H671)=0),"",IFERROR(IF(I671&lt;&gt;"",H671*I671,ROUND(((H671-(INT((WEEKDAY(B671-6)+H671-1)/7)+INT((WEEKDAY(B671-7)+H671-1)/7)))*INDEX(Properties!$E$5:$E$24,MATCH(D671,Properties!$A$5:$A$24,0))+(INT((WEEKDAY(B671-6)+H671-1)/7)+INT((WEEKDAY(B671-7)+H671-1)/7))*INDEX(Properties!$F$5:$F$24,MATCH(D671,Properties!$A$5:$A$24,0)))*(1-IF(H671&gt;=28,Settings!$B$10,IF(H671&gt;=7,Settings!$B$9,0))),2)),0))</f>
        <v/>
      </c>
      <c r="K671" s="41" t="str">
        <f aca="false">IF(J671="","",IFERROR(N(INDEX(Properties!$G$5:$G$24,MATCH(D671,Properties!$A$5:$A$24,0))),0))</f>
        <v/>
      </c>
      <c r="L671" s="41" t="str">
        <f aca="false">IF(J671="","",IFERROR(MAX(0,N(G671)-INDEX(Properties!$I$5:$I$24,MATCH(D671,Properties!$A$5:$A$24,0)))*N(INDEX(Properties!$J$5:$J$24,MATCH(D671,Properties!$A$5:$A$24,0)))*H671,0))</f>
        <v/>
      </c>
      <c r="M671" s="37"/>
      <c r="N671" s="41" t="str">
        <f aca="false">IF(J671="","",J671+K671+L671+N(M671))</f>
        <v/>
      </c>
      <c r="O671" s="41" t="str">
        <f aca="false">IF(N671="","",IF(P671&lt;&gt;"",N671-P671,ROUND(N671*IFERROR(INDEX(Settings!$E$5:$E$12,MATCH(F671,Settings!$D$5:$D$12,0)),0),2)))</f>
        <v/>
      </c>
      <c r="P671" s="37"/>
      <c r="Q671" s="41" t="str">
        <f aca="false">IF(N671="","",IF(P671&lt;&gt;"",P671,N671-O671))</f>
        <v/>
      </c>
      <c r="R671" s="41" t="str">
        <f aca="false">IF(J671="","",IFERROR(N(INDEX(Properties!$H$5:$H$24,MATCH(D671,Properties!$A$5:$A$24,0))),0))</f>
        <v/>
      </c>
      <c r="S671" s="41" t="str">
        <f aca="false">IF(Q671="","",Q671-R671)</f>
        <v/>
      </c>
      <c r="T671" s="6"/>
      <c r="U671" s="6"/>
      <c r="V671" s="6"/>
      <c r="W671" s="6"/>
      <c r="X671" s="6"/>
      <c r="Y671" s="8" t="str">
        <f aca="false">IF(OR(D671="",B671="",C671=""),"",IF(N(C671)&lt;=N(B671),"Check dates",IF(T671="Cancelled","",IF(COUNTIFS($D$5:$D$1004,D671,$B$5:$B$1004,"&lt;"&amp;C671,$C$5:$C$1004,"&gt;"&amp;B671,$T$5:$T$1004,"&lt;&gt;Cancelled")&gt;1,"Double-booked",""))))</f>
        <v/>
      </c>
      <c r="Z671" s="42" t="str">
        <f aca="false">IF(AND(AA671=1,ISNUMBER(C671)),C671+ROW()/100000,"")</f>
        <v/>
      </c>
      <c r="AA671" s="43" t="n">
        <f aca="false">IF(AND(D671&lt;&gt;"",ISNUMBER(B671),ISNUMBER(C671),N(H671)&gt;0,T671&lt;&gt;"Cancelled",J671&lt;&gt;""),1,0)</f>
        <v>0</v>
      </c>
      <c r="AB671" s="44" t="n">
        <f aca="false">IF(AA671=1,J671/H671,0)</f>
        <v>0</v>
      </c>
      <c r="AC671" s="44" t="n">
        <f aca="false">IF(AA671=1,Q671/H671,0)</f>
        <v>0</v>
      </c>
      <c r="AD671" s="44" t="n">
        <f aca="false">IF(AA671=1,R671/H671,0)</f>
        <v>0</v>
      </c>
      <c r="AE671" s="44" t="n">
        <f aca="false">IF(AA671=1,O671/H671,0)</f>
        <v>0</v>
      </c>
      <c r="AF671" s="44" t="n">
        <f aca="false">IF(AA671=1,K671/H671,0)</f>
        <v>0</v>
      </c>
      <c r="AG671" s="45" t="str">
        <f aca="false">IF(AA671=1,D671&amp;"|"&amp;TEXT(B671,"0"),"")</f>
        <v/>
      </c>
      <c r="AH671" s="43" t="n">
        <f aca="false">IF(AA671=1,H671,0)</f>
        <v>0</v>
      </c>
    </row>
    <row r="672" customFormat="false" ht="15" hidden="false" customHeight="false" outlineLevel="0" collapsed="false">
      <c r="A672" s="23" t="str">
        <f aca="false">IF(B672="","","B-"&amp;TEXT(ROW()-4,"0000"))</f>
        <v/>
      </c>
      <c r="B672" s="38"/>
      <c r="C672" s="38"/>
      <c r="D672" s="6"/>
      <c r="E672" s="6"/>
      <c r="F672" s="6"/>
      <c r="G672" s="11"/>
      <c r="H672" s="24" t="str">
        <f aca="false">IF(AND(ISNUMBER(B672),ISNUMBER(C672)),MAX(0,C672-B672),"")</f>
        <v/>
      </c>
      <c r="I672" s="37"/>
      <c r="J672" s="46" t="str">
        <f aca="false">IF(OR(D672="",N(H672)=0),"",IFERROR(IF(I672&lt;&gt;"",H672*I672,ROUND(((H672-(INT((WEEKDAY(B672-6)+H672-1)/7)+INT((WEEKDAY(B672-7)+H672-1)/7)))*INDEX(Properties!$E$5:$E$24,MATCH(D672,Properties!$A$5:$A$24,0))+(INT((WEEKDAY(B672-6)+H672-1)/7)+INT((WEEKDAY(B672-7)+H672-1)/7))*INDEX(Properties!$F$5:$F$24,MATCH(D672,Properties!$A$5:$A$24,0)))*(1-IF(H672&gt;=28,Settings!$B$10,IF(H672&gt;=7,Settings!$B$9,0))),2)),0))</f>
        <v/>
      </c>
      <c r="K672" s="46" t="str">
        <f aca="false">IF(J672="","",IFERROR(N(INDEX(Properties!$G$5:$G$24,MATCH(D672,Properties!$A$5:$A$24,0))),0))</f>
        <v/>
      </c>
      <c r="L672" s="46" t="str">
        <f aca="false">IF(J672="","",IFERROR(MAX(0,N(G672)-INDEX(Properties!$I$5:$I$24,MATCH(D672,Properties!$A$5:$A$24,0)))*N(INDEX(Properties!$J$5:$J$24,MATCH(D672,Properties!$A$5:$A$24,0)))*H672,0))</f>
        <v/>
      </c>
      <c r="M672" s="37"/>
      <c r="N672" s="46" t="str">
        <f aca="false">IF(J672="","",J672+K672+L672+N(M672))</f>
        <v/>
      </c>
      <c r="O672" s="46" t="str">
        <f aca="false">IF(N672="","",IF(P672&lt;&gt;"",N672-P672,ROUND(N672*IFERROR(INDEX(Settings!$E$5:$E$12,MATCH(F672,Settings!$D$5:$D$12,0)),0),2)))</f>
        <v/>
      </c>
      <c r="P672" s="37"/>
      <c r="Q672" s="46" t="str">
        <f aca="false">IF(N672="","",IF(P672&lt;&gt;"",P672,N672-O672))</f>
        <v/>
      </c>
      <c r="R672" s="46" t="str">
        <f aca="false">IF(J672="","",IFERROR(N(INDEX(Properties!$H$5:$H$24,MATCH(D672,Properties!$A$5:$A$24,0))),0))</f>
        <v/>
      </c>
      <c r="S672" s="46" t="str">
        <f aca="false">IF(Q672="","",Q672-R672)</f>
        <v/>
      </c>
      <c r="T672" s="6"/>
      <c r="U672" s="6"/>
      <c r="V672" s="6"/>
      <c r="W672" s="6"/>
      <c r="X672" s="6"/>
      <c r="Y672" s="8" t="str">
        <f aca="false">IF(OR(D672="",B672="",C672=""),"",IF(N(C672)&lt;=N(B672),"Check dates",IF(T672="Cancelled","",IF(COUNTIFS($D$5:$D$1004,D672,$B$5:$B$1004,"&lt;"&amp;C672,$C$5:$C$1004,"&gt;"&amp;B672,$T$5:$T$1004,"&lt;&gt;Cancelled")&gt;1,"Double-booked",""))))</f>
        <v/>
      </c>
      <c r="Z672" s="42" t="str">
        <f aca="false">IF(AND(AA672=1,ISNUMBER(C672)),C672+ROW()/100000,"")</f>
        <v/>
      </c>
      <c r="AA672" s="43" t="n">
        <f aca="false">IF(AND(D672&lt;&gt;"",ISNUMBER(B672),ISNUMBER(C672),N(H672)&gt;0,T672&lt;&gt;"Cancelled",J672&lt;&gt;""),1,0)</f>
        <v>0</v>
      </c>
      <c r="AB672" s="44" t="n">
        <f aca="false">IF(AA672=1,J672/H672,0)</f>
        <v>0</v>
      </c>
      <c r="AC672" s="44" t="n">
        <f aca="false">IF(AA672=1,Q672/H672,0)</f>
        <v>0</v>
      </c>
      <c r="AD672" s="44" t="n">
        <f aca="false">IF(AA672=1,R672/H672,0)</f>
        <v>0</v>
      </c>
      <c r="AE672" s="44" t="n">
        <f aca="false">IF(AA672=1,O672/H672,0)</f>
        <v>0</v>
      </c>
      <c r="AF672" s="44" t="n">
        <f aca="false">IF(AA672=1,K672/H672,0)</f>
        <v>0</v>
      </c>
      <c r="AG672" s="45" t="str">
        <f aca="false">IF(AA672=1,D672&amp;"|"&amp;TEXT(B672,"0"),"")</f>
        <v/>
      </c>
      <c r="AH672" s="43" t="n">
        <f aca="false">IF(AA672=1,H672,0)</f>
        <v>0</v>
      </c>
    </row>
    <row r="673" customFormat="false" ht="15" hidden="false" customHeight="false" outlineLevel="0" collapsed="false">
      <c r="A673" s="8" t="str">
        <f aca="false">IF(B673="","","B-"&amp;TEXT(ROW()-4,"0000"))</f>
        <v/>
      </c>
      <c r="B673" s="38"/>
      <c r="C673" s="38"/>
      <c r="D673" s="6"/>
      <c r="E673" s="6"/>
      <c r="F673" s="6"/>
      <c r="G673" s="11"/>
      <c r="H673" s="18" t="str">
        <f aca="false">IF(AND(ISNUMBER(B673),ISNUMBER(C673)),MAX(0,C673-B673),"")</f>
        <v/>
      </c>
      <c r="I673" s="37"/>
      <c r="J673" s="41" t="str">
        <f aca="false">IF(OR(D673="",N(H673)=0),"",IFERROR(IF(I673&lt;&gt;"",H673*I673,ROUND(((H673-(INT((WEEKDAY(B673-6)+H673-1)/7)+INT((WEEKDAY(B673-7)+H673-1)/7)))*INDEX(Properties!$E$5:$E$24,MATCH(D673,Properties!$A$5:$A$24,0))+(INT((WEEKDAY(B673-6)+H673-1)/7)+INT((WEEKDAY(B673-7)+H673-1)/7))*INDEX(Properties!$F$5:$F$24,MATCH(D673,Properties!$A$5:$A$24,0)))*(1-IF(H673&gt;=28,Settings!$B$10,IF(H673&gt;=7,Settings!$B$9,0))),2)),0))</f>
        <v/>
      </c>
      <c r="K673" s="41" t="str">
        <f aca="false">IF(J673="","",IFERROR(N(INDEX(Properties!$G$5:$G$24,MATCH(D673,Properties!$A$5:$A$24,0))),0))</f>
        <v/>
      </c>
      <c r="L673" s="41" t="str">
        <f aca="false">IF(J673="","",IFERROR(MAX(0,N(G673)-INDEX(Properties!$I$5:$I$24,MATCH(D673,Properties!$A$5:$A$24,0)))*N(INDEX(Properties!$J$5:$J$24,MATCH(D673,Properties!$A$5:$A$24,0)))*H673,0))</f>
        <v/>
      </c>
      <c r="M673" s="37"/>
      <c r="N673" s="41" t="str">
        <f aca="false">IF(J673="","",J673+K673+L673+N(M673))</f>
        <v/>
      </c>
      <c r="O673" s="41" t="str">
        <f aca="false">IF(N673="","",IF(P673&lt;&gt;"",N673-P673,ROUND(N673*IFERROR(INDEX(Settings!$E$5:$E$12,MATCH(F673,Settings!$D$5:$D$12,0)),0),2)))</f>
        <v/>
      </c>
      <c r="P673" s="37"/>
      <c r="Q673" s="41" t="str">
        <f aca="false">IF(N673="","",IF(P673&lt;&gt;"",P673,N673-O673))</f>
        <v/>
      </c>
      <c r="R673" s="41" t="str">
        <f aca="false">IF(J673="","",IFERROR(N(INDEX(Properties!$H$5:$H$24,MATCH(D673,Properties!$A$5:$A$24,0))),0))</f>
        <v/>
      </c>
      <c r="S673" s="41" t="str">
        <f aca="false">IF(Q673="","",Q673-R673)</f>
        <v/>
      </c>
      <c r="T673" s="6"/>
      <c r="U673" s="6"/>
      <c r="V673" s="6"/>
      <c r="W673" s="6"/>
      <c r="X673" s="6"/>
      <c r="Y673" s="8" t="str">
        <f aca="false">IF(OR(D673="",B673="",C673=""),"",IF(N(C673)&lt;=N(B673),"Check dates",IF(T673="Cancelled","",IF(COUNTIFS($D$5:$D$1004,D673,$B$5:$B$1004,"&lt;"&amp;C673,$C$5:$C$1004,"&gt;"&amp;B673,$T$5:$T$1004,"&lt;&gt;Cancelled")&gt;1,"Double-booked",""))))</f>
        <v/>
      </c>
      <c r="Z673" s="42" t="str">
        <f aca="false">IF(AND(AA673=1,ISNUMBER(C673)),C673+ROW()/100000,"")</f>
        <v/>
      </c>
      <c r="AA673" s="43" t="n">
        <f aca="false">IF(AND(D673&lt;&gt;"",ISNUMBER(B673),ISNUMBER(C673),N(H673)&gt;0,T673&lt;&gt;"Cancelled",J673&lt;&gt;""),1,0)</f>
        <v>0</v>
      </c>
      <c r="AB673" s="44" t="n">
        <f aca="false">IF(AA673=1,J673/H673,0)</f>
        <v>0</v>
      </c>
      <c r="AC673" s="44" t="n">
        <f aca="false">IF(AA673=1,Q673/H673,0)</f>
        <v>0</v>
      </c>
      <c r="AD673" s="44" t="n">
        <f aca="false">IF(AA673=1,R673/H673,0)</f>
        <v>0</v>
      </c>
      <c r="AE673" s="44" t="n">
        <f aca="false">IF(AA673=1,O673/H673,0)</f>
        <v>0</v>
      </c>
      <c r="AF673" s="44" t="n">
        <f aca="false">IF(AA673=1,K673/H673,0)</f>
        <v>0</v>
      </c>
      <c r="AG673" s="45" t="str">
        <f aca="false">IF(AA673=1,D673&amp;"|"&amp;TEXT(B673,"0"),"")</f>
        <v/>
      </c>
      <c r="AH673" s="43" t="n">
        <f aca="false">IF(AA673=1,H673,0)</f>
        <v>0</v>
      </c>
    </row>
    <row r="674" customFormat="false" ht="15" hidden="false" customHeight="false" outlineLevel="0" collapsed="false">
      <c r="A674" s="23" t="str">
        <f aca="false">IF(B674="","","B-"&amp;TEXT(ROW()-4,"0000"))</f>
        <v/>
      </c>
      <c r="B674" s="38"/>
      <c r="C674" s="38"/>
      <c r="D674" s="6"/>
      <c r="E674" s="6"/>
      <c r="F674" s="6"/>
      <c r="G674" s="11"/>
      <c r="H674" s="24" t="str">
        <f aca="false">IF(AND(ISNUMBER(B674),ISNUMBER(C674)),MAX(0,C674-B674),"")</f>
        <v/>
      </c>
      <c r="I674" s="37"/>
      <c r="J674" s="46" t="str">
        <f aca="false">IF(OR(D674="",N(H674)=0),"",IFERROR(IF(I674&lt;&gt;"",H674*I674,ROUND(((H674-(INT((WEEKDAY(B674-6)+H674-1)/7)+INT((WEEKDAY(B674-7)+H674-1)/7)))*INDEX(Properties!$E$5:$E$24,MATCH(D674,Properties!$A$5:$A$24,0))+(INT((WEEKDAY(B674-6)+H674-1)/7)+INT((WEEKDAY(B674-7)+H674-1)/7))*INDEX(Properties!$F$5:$F$24,MATCH(D674,Properties!$A$5:$A$24,0)))*(1-IF(H674&gt;=28,Settings!$B$10,IF(H674&gt;=7,Settings!$B$9,0))),2)),0))</f>
        <v/>
      </c>
      <c r="K674" s="46" t="str">
        <f aca="false">IF(J674="","",IFERROR(N(INDEX(Properties!$G$5:$G$24,MATCH(D674,Properties!$A$5:$A$24,0))),0))</f>
        <v/>
      </c>
      <c r="L674" s="46" t="str">
        <f aca="false">IF(J674="","",IFERROR(MAX(0,N(G674)-INDEX(Properties!$I$5:$I$24,MATCH(D674,Properties!$A$5:$A$24,0)))*N(INDEX(Properties!$J$5:$J$24,MATCH(D674,Properties!$A$5:$A$24,0)))*H674,0))</f>
        <v/>
      </c>
      <c r="M674" s="37"/>
      <c r="N674" s="46" t="str">
        <f aca="false">IF(J674="","",J674+K674+L674+N(M674))</f>
        <v/>
      </c>
      <c r="O674" s="46" t="str">
        <f aca="false">IF(N674="","",IF(P674&lt;&gt;"",N674-P674,ROUND(N674*IFERROR(INDEX(Settings!$E$5:$E$12,MATCH(F674,Settings!$D$5:$D$12,0)),0),2)))</f>
        <v/>
      </c>
      <c r="P674" s="37"/>
      <c r="Q674" s="46" t="str">
        <f aca="false">IF(N674="","",IF(P674&lt;&gt;"",P674,N674-O674))</f>
        <v/>
      </c>
      <c r="R674" s="46" t="str">
        <f aca="false">IF(J674="","",IFERROR(N(INDEX(Properties!$H$5:$H$24,MATCH(D674,Properties!$A$5:$A$24,0))),0))</f>
        <v/>
      </c>
      <c r="S674" s="46" t="str">
        <f aca="false">IF(Q674="","",Q674-R674)</f>
        <v/>
      </c>
      <c r="T674" s="6"/>
      <c r="U674" s="6"/>
      <c r="V674" s="6"/>
      <c r="W674" s="6"/>
      <c r="X674" s="6"/>
      <c r="Y674" s="8" t="str">
        <f aca="false">IF(OR(D674="",B674="",C674=""),"",IF(N(C674)&lt;=N(B674),"Check dates",IF(T674="Cancelled","",IF(COUNTIFS($D$5:$D$1004,D674,$B$5:$B$1004,"&lt;"&amp;C674,$C$5:$C$1004,"&gt;"&amp;B674,$T$5:$T$1004,"&lt;&gt;Cancelled")&gt;1,"Double-booked",""))))</f>
        <v/>
      </c>
      <c r="Z674" s="42" t="str">
        <f aca="false">IF(AND(AA674=1,ISNUMBER(C674)),C674+ROW()/100000,"")</f>
        <v/>
      </c>
      <c r="AA674" s="43" t="n">
        <f aca="false">IF(AND(D674&lt;&gt;"",ISNUMBER(B674),ISNUMBER(C674),N(H674)&gt;0,T674&lt;&gt;"Cancelled",J674&lt;&gt;""),1,0)</f>
        <v>0</v>
      </c>
      <c r="AB674" s="44" t="n">
        <f aca="false">IF(AA674=1,J674/H674,0)</f>
        <v>0</v>
      </c>
      <c r="AC674" s="44" t="n">
        <f aca="false">IF(AA674=1,Q674/H674,0)</f>
        <v>0</v>
      </c>
      <c r="AD674" s="44" t="n">
        <f aca="false">IF(AA674=1,R674/H674,0)</f>
        <v>0</v>
      </c>
      <c r="AE674" s="44" t="n">
        <f aca="false">IF(AA674=1,O674/H674,0)</f>
        <v>0</v>
      </c>
      <c r="AF674" s="44" t="n">
        <f aca="false">IF(AA674=1,K674/H674,0)</f>
        <v>0</v>
      </c>
      <c r="AG674" s="45" t="str">
        <f aca="false">IF(AA674=1,D674&amp;"|"&amp;TEXT(B674,"0"),"")</f>
        <v/>
      </c>
      <c r="AH674" s="43" t="n">
        <f aca="false">IF(AA674=1,H674,0)</f>
        <v>0</v>
      </c>
    </row>
    <row r="675" customFormat="false" ht="15" hidden="false" customHeight="false" outlineLevel="0" collapsed="false">
      <c r="A675" s="8" t="str">
        <f aca="false">IF(B675="","","B-"&amp;TEXT(ROW()-4,"0000"))</f>
        <v/>
      </c>
      <c r="B675" s="38"/>
      <c r="C675" s="38"/>
      <c r="D675" s="6"/>
      <c r="E675" s="6"/>
      <c r="F675" s="6"/>
      <c r="G675" s="11"/>
      <c r="H675" s="18" t="str">
        <f aca="false">IF(AND(ISNUMBER(B675),ISNUMBER(C675)),MAX(0,C675-B675),"")</f>
        <v/>
      </c>
      <c r="I675" s="37"/>
      <c r="J675" s="41" t="str">
        <f aca="false">IF(OR(D675="",N(H675)=0),"",IFERROR(IF(I675&lt;&gt;"",H675*I675,ROUND(((H675-(INT((WEEKDAY(B675-6)+H675-1)/7)+INT((WEEKDAY(B675-7)+H675-1)/7)))*INDEX(Properties!$E$5:$E$24,MATCH(D675,Properties!$A$5:$A$24,0))+(INT((WEEKDAY(B675-6)+H675-1)/7)+INT((WEEKDAY(B675-7)+H675-1)/7))*INDEX(Properties!$F$5:$F$24,MATCH(D675,Properties!$A$5:$A$24,0)))*(1-IF(H675&gt;=28,Settings!$B$10,IF(H675&gt;=7,Settings!$B$9,0))),2)),0))</f>
        <v/>
      </c>
      <c r="K675" s="41" t="str">
        <f aca="false">IF(J675="","",IFERROR(N(INDEX(Properties!$G$5:$G$24,MATCH(D675,Properties!$A$5:$A$24,0))),0))</f>
        <v/>
      </c>
      <c r="L675" s="41" t="str">
        <f aca="false">IF(J675="","",IFERROR(MAX(0,N(G675)-INDEX(Properties!$I$5:$I$24,MATCH(D675,Properties!$A$5:$A$24,0)))*N(INDEX(Properties!$J$5:$J$24,MATCH(D675,Properties!$A$5:$A$24,0)))*H675,0))</f>
        <v/>
      </c>
      <c r="M675" s="37"/>
      <c r="N675" s="41" t="str">
        <f aca="false">IF(J675="","",J675+K675+L675+N(M675))</f>
        <v/>
      </c>
      <c r="O675" s="41" t="str">
        <f aca="false">IF(N675="","",IF(P675&lt;&gt;"",N675-P675,ROUND(N675*IFERROR(INDEX(Settings!$E$5:$E$12,MATCH(F675,Settings!$D$5:$D$12,0)),0),2)))</f>
        <v/>
      </c>
      <c r="P675" s="37"/>
      <c r="Q675" s="41" t="str">
        <f aca="false">IF(N675="","",IF(P675&lt;&gt;"",P675,N675-O675))</f>
        <v/>
      </c>
      <c r="R675" s="41" t="str">
        <f aca="false">IF(J675="","",IFERROR(N(INDEX(Properties!$H$5:$H$24,MATCH(D675,Properties!$A$5:$A$24,0))),0))</f>
        <v/>
      </c>
      <c r="S675" s="41" t="str">
        <f aca="false">IF(Q675="","",Q675-R675)</f>
        <v/>
      </c>
      <c r="T675" s="6"/>
      <c r="U675" s="6"/>
      <c r="V675" s="6"/>
      <c r="W675" s="6"/>
      <c r="X675" s="6"/>
      <c r="Y675" s="8" t="str">
        <f aca="false">IF(OR(D675="",B675="",C675=""),"",IF(N(C675)&lt;=N(B675),"Check dates",IF(T675="Cancelled","",IF(COUNTIFS($D$5:$D$1004,D675,$B$5:$B$1004,"&lt;"&amp;C675,$C$5:$C$1004,"&gt;"&amp;B675,$T$5:$T$1004,"&lt;&gt;Cancelled")&gt;1,"Double-booked",""))))</f>
        <v/>
      </c>
      <c r="Z675" s="42" t="str">
        <f aca="false">IF(AND(AA675=1,ISNUMBER(C675)),C675+ROW()/100000,"")</f>
        <v/>
      </c>
      <c r="AA675" s="43" t="n">
        <f aca="false">IF(AND(D675&lt;&gt;"",ISNUMBER(B675),ISNUMBER(C675),N(H675)&gt;0,T675&lt;&gt;"Cancelled",J675&lt;&gt;""),1,0)</f>
        <v>0</v>
      </c>
      <c r="AB675" s="44" t="n">
        <f aca="false">IF(AA675=1,J675/H675,0)</f>
        <v>0</v>
      </c>
      <c r="AC675" s="44" t="n">
        <f aca="false">IF(AA675=1,Q675/H675,0)</f>
        <v>0</v>
      </c>
      <c r="AD675" s="44" t="n">
        <f aca="false">IF(AA675=1,R675/H675,0)</f>
        <v>0</v>
      </c>
      <c r="AE675" s="44" t="n">
        <f aca="false">IF(AA675=1,O675/H675,0)</f>
        <v>0</v>
      </c>
      <c r="AF675" s="44" t="n">
        <f aca="false">IF(AA675=1,K675/H675,0)</f>
        <v>0</v>
      </c>
      <c r="AG675" s="45" t="str">
        <f aca="false">IF(AA675=1,D675&amp;"|"&amp;TEXT(B675,"0"),"")</f>
        <v/>
      </c>
      <c r="AH675" s="43" t="n">
        <f aca="false">IF(AA675=1,H675,0)</f>
        <v>0</v>
      </c>
    </row>
    <row r="676" customFormat="false" ht="15" hidden="false" customHeight="false" outlineLevel="0" collapsed="false">
      <c r="A676" s="23" t="str">
        <f aca="false">IF(B676="","","B-"&amp;TEXT(ROW()-4,"0000"))</f>
        <v/>
      </c>
      <c r="B676" s="38"/>
      <c r="C676" s="38"/>
      <c r="D676" s="6"/>
      <c r="E676" s="6"/>
      <c r="F676" s="6"/>
      <c r="G676" s="11"/>
      <c r="H676" s="24" t="str">
        <f aca="false">IF(AND(ISNUMBER(B676),ISNUMBER(C676)),MAX(0,C676-B676),"")</f>
        <v/>
      </c>
      <c r="I676" s="37"/>
      <c r="J676" s="46" t="str">
        <f aca="false">IF(OR(D676="",N(H676)=0),"",IFERROR(IF(I676&lt;&gt;"",H676*I676,ROUND(((H676-(INT((WEEKDAY(B676-6)+H676-1)/7)+INT((WEEKDAY(B676-7)+H676-1)/7)))*INDEX(Properties!$E$5:$E$24,MATCH(D676,Properties!$A$5:$A$24,0))+(INT((WEEKDAY(B676-6)+H676-1)/7)+INT((WEEKDAY(B676-7)+H676-1)/7))*INDEX(Properties!$F$5:$F$24,MATCH(D676,Properties!$A$5:$A$24,0)))*(1-IF(H676&gt;=28,Settings!$B$10,IF(H676&gt;=7,Settings!$B$9,0))),2)),0))</f>
        <v/>
      </c>
      <c r="K676" s="46" t="str">
        <f aca="false">IF(J676="","",IFERROR(N(INDEX(Properties!$G$5:$G$24,MATCH(D676,Properties!$A$5:$A$24,0))),0))</f>
        <v/>
      </c>
      <c r="L676" s="46" t="str">
        <f aca="false">IF(J676="","",IFERROR(MAX(0,N(G676)-INDEX(Properties!$I$5:$I$24,MATCH(D676,Properties!$A$5:$A$24,0)))*N(INDEX(Properties!$J$5:$J$24,MATCH(D676,Properties!$A$5:$A$24,0)))*H676,0))</f>
        <v/>
      </c>
      <c r="M676" s="37"/>
      <c r="N676" s="46" t="str">
        <f aca="false">IF(J676="","",J676+K676+L676+N(M676))</f>
        <v/>
      </c>
      <c r="O676" s="46" t="str">
        <f aca="false">IF(N676="","",IF(P676&lt;&gt;"",N676-P676,ROUND(N676*IFERROR(INDEX(Settings!$E$5:$E$12,MATCH(F676,Settings!$D$5:$D$12,0)),0),2)))</f>
        <v/>
      </c>
      <c r="P676" s="37"/>
      <c r="Q676" s="46" t="str">
        <f aca="false">IF(N676="","",IF(P676&lt;&gt;"",P676,N676-O676))</f>
        <v/>
      </c>
      <c r="R676" s="46" t="str">
        <f aca="false">IF(J676="","",IFERROR(N(INDEX(Properties!$H$5:$H$24,MATCH(D676,Properties!$A$5:$A$24,0))),0))</f>
        <v/>
      </c>
      <c r="S676" s="46" t="str">
        <f aca="false">IF(Q676="","",Q676-R676)</f>
        <v/>
      </c>
      <c r="T676" s="6"/>
      <c r="U676" s="6"/>
      <c r="V676" s="6"/>
      <c r="W676" s="6"/>
      <c r="X676" s="6"/>
      <c r="Y676" s="8" t="str">
        <f aca="false">IF(OR(D676="",B676="",C676=""),"",IF(N(C676)&lt;=N(B676),"Check dates",IF(T676="Cancelled","",IF(COUNTIFS($D$5:$D$1004,D676,$B$5:$B$1004,"&lt;"&amp;C676,$C$5:$C$1004,"&gt;"&amp;B676,$T$5:$T$1004,"&lt;&gt;Cancelled")&gt;1,"Double-booked",""))))</f>
        <v/>
      </c>
      <c r="Z676" s="42" t="str">
        <f aca="false">IF(AND(AA676=1,ISNUMBER(C676)),C676+ROW()/100000,"")</f>
        <v/>
      </c>
      <c r="AA676" s="43" t="n">
        <f aca="false">IF(AND(D676&lt;&gt;"",ISNUMBER(B676),ISNUMBER(C676),N(H676)&gt;0,T676&lt;&gt;"Cancelled",J676&lt;&gt;""),1,0)</f>
        <v>0</v>
      </c>
      <c r="AB676" s="44" t="n">
        <f aca="false">IF(AA676=1,J676/H676,0)</f>
        <v>0</v>
      </c>
      <c r="AC676" s="44" t="n">
        <f aca="false">IF(AA676=1,Q676/H676,0)</f>
        <v>0</v>
      </c>
      <c r="AD676" s="44" t="n">
        <f aca="false">IF(AA676=1,R676/H676,0)</f>
        <v>0</v>
      </c>
      <c r="AE676" s="44" t="n">
        <f aca="false">IF(AA676=1,O676/H676,0)</f>
        <v>0</v>
      </c>
      <c r="AF676" s="44" t="n">
        <f aca="false">IF(AA676=1,K676/H676,0)</f>
        <v>0</v>
      </c>
      <c r="AG676" s="45" t="str">
        <f aca="false">IF(AA676=1,D676&amp;"|"&amp;TEXT(B676,"0"),"")</f>
        <v/>
      </c>
      <c r="AH676" s="43" t="n">
        <f aca="false">IF(AA676=1,H676,0)</f>
        <v>0</v>
      </c>
    </row>
    <row r="677" customFormat="false" ht="15" hidden="false" customHeight="false" outlineLevel="0" collapsed="false">
      <c r="A677" s="8" t="str">
        <f aca="false">IF(B677="","","B-"&amp;TEXT(ROW()-4,"0000"))</f>
        <v/>
      </c>
      <c r="B677" s="38"/>
      <c r="C677" s="38"/>
      <c r="D677" s="6"/>
      <c r="E677" s="6"/>
      <c r="F677" s="6"/>
      <c r="G677" s="11"/>
      <c r="H677" s="18" t="str">
        <f aca="false">IF(AND(ISNUMBER(B677),ISNUMBER(C677)),MAX(0,C677-B677),"")</f>
        <v/>
      </c>
      <c r="I677" s="37"/>
      <c r="J677" s="41" t="str">
        <f aca="false">IF(OR(D677="",N(H677)=0),"",IFERROR(IF(I677&lt;&gt;"",H677*I677,ROUND(((H677-(INT((WEEKDAY(B677-6)+H677-1)/7)+INT((WEEKDAY(B677-7)+H677-1)/7)))*INDEX(Properties!$E$5:$E$24,MATCH(D677,Properties!$A$5:$A$24,0))+(INT((WEEKDAY(B677-6)+H677-1)/7)+INT((WEEKDAY(B677-7)+H677-1)/7))*INDEX(Properties!$F$5:$F$24,MATCH(D677,Properties!$A$5:$A$24,0)))*(1-IF(H677&gt;=28,Settings!$B$10,IF(H677&gt;=7,Settings!$B$9,0))),2)),0))</f>
        <v/>
      </c>
      <c r="K677" s="41" t="str">
        <f aca="false">IF(J677="","",IFERROR(N(INDEX(Properties!$G$5:$G$24,MATCH(D677,Properties!$A$5:$A$24,0))),0))</f>
        <v/>
      </c>
      <c r="L677" s="41" t="str">
        <f aca="false">IF(J677="","",IFERROR(MAX(0,N(G677)-INDEX(Properties!$I$5:$I$24,MATCH(D677,Properties!$A$5:$A$24,0)))*N(INDEX(Properties!$J$5:$J$24,MATCH(D677,Properties!$A$5:$A$24,0)))*H677,0))</f>
        <v/>
      </c>
      <c r="M677" s="37"/>
      <c r="N677" s="41" t="str">
        <f aca="false">IF(J677="","",J677+K677+L677+N(M677))</f>
        <v/>
      </c>
      <c r="O677" s="41" t="str">
        <f aca="false">IF(N677="","",IF(P677&lt;&gt;"",N677-P677,ROUND(N677*IFERROR(INDEX(Settings!$E$5:$E$12,MATCH(F677,Settings!$D$5:$D$12,0)),0),2)))</f>
        <v/>
      </c>
      <c r="P677" s="37"/>
      <c r="Q677" s="41" t="str">
        <f aca="false">IF(N677="","",IF(P677&lt;&gt;"",P677,N677-O677))</f>
        <v/>
      </c>
      <c r="R677" s="41" t="str">
        <f aca="false">IF(J677="","",IFERROR(N(INDEX(Properties!$H$5:$H$24,MATCH(D677,Properties!$A$5:$A$24,0))),0))</f>
        <v/>
      </c>
      <c r="S677" s="41" t="str">
        <f aca="false">IF(Q677="","",Q677-R677)</f>
        <v/>
      </c>
      <c r="T677" s="6"/>
      <c r="U677" s="6"/>
      <c r="V677" s="6"/>
      <c r="W677" s="6"/>
      <c r="X677" s="6"/>
      <c r="Y677" s="8" t="str">
        <f aca="false">IF(OR(D677="",B677="",C677=""),"",IF(N(C677)&lt;=N(B677),"Check dates",IF(T677="Cancelled","",IF(COUNTIFS($D$5:$D$1004,D677,$B$5:$B$1004,"&lt;"&amp;C677,$C$5:$C$1004,"&gt;"&amp;B677,$T$5:$T$1004,"&lt;&gt;Cancelled")&gt;1,"Double-booked",""))))</f>
        <v/>
      </c>
      <c r="Z677" s="42" t="str">
        <f aca="false">IF(AND(AA677=1,ISNUMBER(C677)),C677+ROW()/100000,"")</f>
        <v/>
      </c>
      <c r="AA677" s="43" t="n">
        <f aca="false">IF(AND(D677&lt;&gt;"",ISNUMBER(B677),ISNUMBER(C677),N(H677)&gt;0,T677&lt;&gt;"Cancelled",J677&lt;&gt;""),1,0)</f>
        <v>0</v>
      </c>
      <c r="AB677" s="44" t="n">
        <f aca="false">IF(AA677=1,J677/H677,0)</f>
        <v>0</v>
      </c>
      <c r="AC677" s="44" t="n">
        <f aca="false">IF(AA677=1,Q677/H677,0)</f>
        <v>0</v>
      </c>
      <c r="AD677" s="44" t="n">
        <f aca="false">IF(AA677=1,R677/H677,0)</f>
        <v>0</v>
      </c>
      <c r="AE677" s="44" t="n">
        <f aca="false">IF(AA677=1,O677/H677,0)</f>
        <v>0</v>
      </c>
      <c r="AF677" s="44" t="n">
        <f aca="false">IF(AA677=1,K677/H677,0)</f>
        <v>0</v>
      </c>
      <c r="AG677" s="45" t="str">
        <f aca="false">IF(AA677=1,D677&amp;"|"&amp;TEXT(B677,"0"),"")</f>
        <v/>
      </c>
      <c r="AH677" s="43" t="n">
        <f aca="false">IF(AA677=1,H677,0)</f>
        <v>0</v>
      </c>
    </row>
    <row r="678" customFormat="false" ht="15" hidden="false" customHeight="false" outlineLevel="0" collapsed="false">
      <c r="A678" s="23" t="str">
        <f aca="false">IF(B678="","","B-"&amp;TEXT(ROW()-4,"0000"))</f>
        <v/>
      </c>
      <c r="B678" s="38"/>
      <c r="C678" s="38"/>
      <c r="D678" s="6"/>
      <c r="E678" s="6"/>
      <c r="F678" s="6"/>
      <c r="G678" s="11"/>
      <c r="H678" s="24" t="str">
        <f aca="false">IF(AND(ISNUMBER(B678),ISNUMBER(C678)),MAX(0,C678-B678),"")</f>
        <v/>
      </c>
      <c r="I678" s="37"/>
      <c r="J678" s="46" t="str">
        <f aca="false">IF(OR(D678="",N(H678)=0),"",IFERROR(IF(I678&lt;&gt;"",H678*I678,ROUND(((H678-(INT((WEEKDAY(B678-6)+H678-1)/7)+INT((WEEKDAY(B678-7)+H678-1)/7)))*INDEX(Properties!$E$5:$E$24,MATCH(D678,Properties!$A$5:$A$24,0))+(INT((WEEKDAY(B678-6)+H678-1)/7)+INT((WEEKDAY(B678-7)+H678-1)/7))*INDEX(Properties!$F$5:$F$24,MATCH(D678,Properties!$A$5:$A$24,0)))*(1-IF(H678&gt;=28,Settings!$B$10,IF(H678&gt;=7,Settings!$B$9,0))),2)),0))</f>
        <v/>
      </c>
      <c r="K678" s="46" t="str">
        <f aca="false">IF(J678="","",IFERROR(N(INDEX(Properties!$G$5:$G$24,MATCH(D678,Properties!$A$5:$A$24,0))),0))</f>
        <v/>
      </c>
      <c r="L678" s="46" t="str">
        <f aca="false">IF(J678="","",IFERROR(MAX(0,N(G678)-INDEX(Properties!$I$5:$I$24,MATCH(D678,Properties!$A$5:$A$24,0)))*N(INDEX(Properties!$J$5:$J$24,MATCH(D678,Properties!$A$5:$A$24,0)))*H678,0))</f>
        <v/>
      </c>
      <c r="M678" s="37"/>
      <c r="N678" s="46" t="str">
        <f aca="false">IF(J678="","",J678+K678+L678+N(M678))</f>
        <v/>
      </c>
      <c r="O678" s="46" t="str">
        <f aca="false">IF(N678="","",IF(P678&lt;&gt;"",N678-P678,ROUND(N678*IFERROR(INDEX(Settings!$E$5:$E$12,MATCH(F678,Settings!$D$5:$D$12,0)),0),2)))</f>
        <v/>
      </c>
      <c r="P678" s="37"/>
      <c r="Q678" s="46" t="str">
        <f aca="false">IF(N678="","",IF(P678&lt;&gt;"",P678,N678-O678))</f>
        <v/>
      </c>
      <c r="R678" s="46" t="str">
        <f aca="false">IF(J678="","",IFERROR(N(INDEX(Properties!$H$5:$H$24,MATCH(D678,Properties!$A$5:$A$24,0))),0))</f>
        <v/>
      </c>
      <c r="S678" s="46" t="str">
        <f aca="false">IF(Q678="","",Q678-R678)</f>
        <v/>
      </c>
      <c r="T678" s="6"/>
      <c r="U678" s="6"/>
      <c r="V678" s="6"/>
      <c r="W678" s="6"/>
      <c r="X678" s="6"/>
      <c r="Y678" s="8" t="str">
        <f aca="false">IF(OR(D678="",B678="",C678=""),"",IF(N(C678)&lt;=N(B678),"Check dates",IF(T678="Cancelled","",IF(COUNTIFS($D$5:$D$1004,D678,$B$5:$B$1004,"&lt;"&amp;C678,$C$5:$C$1004,"&gt;"&amp;B678,$T$5:$T$1004,"&lt;&gt;Cancelled")&gt;1,"Double-booked",""))))</f>
        <v/>
      </c>
      <c r="Z678" s="42" t="str">
        <f aca="false">IF(AND(AA678=1,ISNUMBER(C678)),C678+ROW()/100000,"")</f>
        <v/>
      </c>
      <c r="AA678" s="43" t="n">
        <f aca="false">IF(AND(D678&lt;&gt;"",ISNUMBER(B678),ISNUMBER(C678),N(H678)&gt;0,T678&lt;&gt;"Cancelled",J678&lt;&gt;""),1,0)</f>
        <v>0</v>
      </c>
      <c r="AB678" s="44" t="n">
        <f aca="false">IF(AA678=1,J678/H678,0)</f>
        <v>0</v>
      </c>
      <c r="AC678" s="44" t="n">
        <f aca="false">IF(AA678=1,Q678/H678,0)</f>
        <v>0</v>
      </c>
      <c r="AD678" s="44" t="n">
        <f aca="false">IF(AA678=1,R678/H678,0)</f>
        <v>0</v>
      </c>
      <c r="AE678" s="44" t="n">
        <f aca="false">IF(AA678=1,O678/H678,0)</f>
        <v>0</v>
      </c>
      <c r="AF678" s="44" t="n">
        <f aca="false">IF(AA678=1,K678/H678,0)</f>
        <v>0</v>
      </c>
      <c r="AG678" s="45" t="str">
        <f aca="false">IF(AA678=1,D678&amp;"|"&amp;TEXT(B678,"0"),"")</f>
        <v/>
      </c>
      <c r="AH678" s="43" t="n">
        <f aca="false">IF(AA678=1,H678,0)</f>
        <v>0</v>
      </c>
    </row>
    <row r="679" customFormat="false" ht="15" hidden="false" customHeight="false" outlineLevel="0" collapsed="false">
      <c r="A679" s="8" t="str">
        <f aca="false">IF(B679="","","B-"&amp;TEXT(ROW()-4,"0000"))</f>
        <v/>
      </c>
      <c r="B679" s="38"/>
      <c r="C679" s="38"/>
      <c r="D679" s="6"/>
      <c r="E679" s="6"/>
      <c r="F679" s="6"/>
      <c r="G679" s="11"/>
      <c r="H679" s="18" t="str">
        <f aca="false">IF(AND(ISNUMBER(B679),ISNUMBER(C679)),MAX(0,C679-B679),"")</f>
        <v/>
      </c>
      <c r="I679" s="37"/>
      <c r="J679" s="41" t="str">
        <f aca="false">IF(OR(D679="",N(H679)=0),"",IFERROR(IF(I679&lt;&gt;"",H679*I679,ROUND(((H679-(INT((WEEKDAY(B679-6)+H679-1)/7)+INT((WEEKDAY(B679-7)+H679-1)/7)))*INDEX(Properties!$E$5:$E$24,MATCH(D679,Properties!$A$5:$A$24,0))+(INT((WEEKDAY(B679-6)+H679-1)/7)+INT((WEEKDAY(B679-7)+H679-1)/7))*INDEX(Properties!$F$5:$F$24,MATCH(D679,Properties!$A$5:$A$24,0)))*(1-IF(H679&gt;=28,Settings!$B$10,IF(H679&gt;=7,Settings!$B$9,0))),2)),0))</f>
        <v/>
      </c>
      <c r="K679" s="41" t="str">
        <f aca="false">IF(J679="","",IFERROR(N(INDEX(Properties!$G$5:$G$24,MATCH(D679,Properties!$A$5:$A$24,0))),0))</f>
        <v/>
      </c>
      <c r="L679" s="41" t="str">
        <f aca="false">IF(J679="","",IFERROR(MAX(0,N(G679)-INDEX(Properties!$I$5:$I$24,MATCH(D679,Properties!$A$5:$A$24,0)))*N(INDEX(Properties!$J$5:$J$24,MATCH(D679,Properties!$A$5:$A$24,0)))*H679,0))</f>
        <v/>
      </c>
      <c r="M679" s="37"/>
      <c r="N679" s="41" t="str">
        <f aca="false">IF(J679="","",J679+K679+L679+N(M679))</f>
        <v/>
      </c>
      <c r="O679" s="41" t="str">
        <f aca="false">IF(N679="","",IF(P679&lt;&gt;"",N679-P679,ROUND(N679*IFERROR(INDEX(Settings!$E$5:$E$12,MATCH(F679,Settings!$D$5:$D$12,0)),0),2)))</f>
        <v/>
      </c>
      <c r="P679" s="37"/>
      <c r="Q679" s="41" t="str">
        <f aca="false">IF(N679="","",IF(P679&lt;&gt;"",P679,N679-O679))</f>
        <v/>
      </c>
      <c r="R679" s="41" t="str">
        <f aca="false">IF(J679="","",IFERROR(N(INDEX(Properties!$H$5:$H$24,MATCH(D679,Properties!$A$5:$A$24,0))),0))</f>
        <v/>
      </c>
      <c r="S679" s="41" t="str">
        <f aca="false">IF(Q679="","",Q679-R679)</f>
        <v/>
      </c>
      <c r="T679" s="6"/>
      <c r="U679" s="6"/>
      <c r="V679" s="6"/>
      <c r="W679" s="6"/>
      <c r="X679" s="6"/>
      <c r="Y679" s="8" t="str">
        <f aca="false">IF(OR(D679="",B679="",C679=""),"",IF(N(C679)&lt;=N(B679),"Check dates",IF(T679="Cancelled","",IF(COUNTIFS($D$5:$D$1004,D679,$B$5:$B$1004,"&lt;"&amp;C679,$C$5:$C$1004,"&gt;"&amp;B679,$T$5:$T$1004,"&lt;&gt;Cancelled")&gt;1,"Double-booked",""))))</f>
        <v/>
      </c>
      <c r="Z679" s="42" t="str">
        <f aca="false">IF(AND(AA679=1,ISNUMBER(C679)),C679+ROW()/100000,"")</f>
        <v/>
      </c>
      <c r="AA679" s="43" t="n">
        <f aca="false">IF(AND(D679&lt;&gt;"",ISNUMBER(B679),ISNUMBER(C679),N(H679)&gt;0,T679&lt;&gt;"Cancelled",J679&lt;&gt;""),1,0)</f>
        <v>0</v>
      </c>
      <c r="AB679" s="44" t="n">
        <f aca="false">IF(AA679=1,J679/H679,0)</f>
        <v>0</v>
      </c>
      <c r="AC679" s="44" t="n">
        <f aca="false">IF(AA679=1,Q679/H679,0)</f>
        <v>0</v>
      </c>
      <c r="AD679" s="44" t="n">
        <f aca="false">IF(AA679=1,R679/H679,0)</f>
        <v>0</v>
      </c>
      <c r="AE679" s="44" t="n">
        <f aca="false">IF(AA679=1,O679/H679,0)</f>
        <v>0</v>
      </c>
      <c r="AF679" s="44" t="n">
        <f aca="false">IF(AA679=1,K679/H679,0)</f>
        <v>0</v>
      </c>
      <c r="AG679" s="45" t="str">
        <f aca="false">IF(AA679=1,D679&amp;"|"&amp;TEXT(B679,"0"),"")</f>
        <v/>
      </c>
      <c r="AH679" s="43" t="n">
        <f aca="false">IF(AA679=1,H679,0)</f>
        <v>0</v>
      </c>
    </row>
    <row r="680" customFormat="false" ht="15" hidden="false" customHeight="false" outlineLevel="0" collapsed="false">
      <c r="A680" s="23" t="str">
        <f aca="false">IF(B680="","","B-"&amp;TEXT(ROW()-4,"0000"))</f>
        <v/>
      </c>
      <c r="B680" s="38"/>
      <c r="C680" s="38"/>
      <c r="D680" s="6"/>
      <c r="E680" s="6"/>
      <c r="F680" s="6"/>
      <c r="G680" s="11"/>
      <c r="H680" s="24" t="str">
        <f aca="false">IF(AND(ISNUMBER(B680),ISNUMBER(C680)),MAX(0,C680-B680),"")</f>
        <v/>
      </c>
      <c r="I680" s="37"/>
      <c r="J680" s="46" t="str">
        <f aca="false">IF(OR(D680="",N(H680)=0),"",IFERROR(IF(I680&lt;&gt;"",H680*I680,ROUND(((H680-(INT((WEEKDAY(B680-6)+H680-1)/7)+INT((WEEKDAY(B680-7)+H680-1)/7)))*INDEX(Properties!$E$5:$E$24,MATCH(D680,Properties!$A$5:$A$24,0))+(INT((WEEKDAY(B680-6)+H680-1)/7)+INT((WEEKDAY(B680-7)+H680-1)/7))*INDEX(Properties!$F$5:$F$24,MATCH(D680,Properties!$A$5:$A$24,0)))*(1-IF(H680&gt;=28,Settings!$B$10,IF(H680&gt;=7,Settings!$B$9,0))),2)),0))</f>
        <v/>
      </c>
      <c r="K680" s="46" t="str">
        <f aca="false">IF(J680="","",IFERROR(N(INDEX(Properties!$G$5:$G$24,MATCH(D680,Properties!$A$5:$A$24,0))),0))</f>
        <v/>
      </c>
      <c r="L680" s="46" t="str">
        <f aca="false">IF(J680="","",IFERROR(MAX(0,N(G680)-INDEX(Properties!$I$5:$I$24,MATCH(D680,Properties!$A$5:$A$24,0)))*N(INDEX(Properties!$J$5:$J$24,MATCH(D680,Properties!$A$5:$A$24,0)))*H680,0))</f>
        <v/>
      </c>
      <c r="M680" s="37"/>
      <c r="N680" s="46" t="str">
        <f aca="false">IF(J680="","",J680+K680+L680+N(M680))</f>
        <v/>
      </c>
      <c r="O680" s="46" t="str">
        <f aca="false">IF(N680="","",IF(P680&lt;&gt;"",N680-P680,ROUND(N680*IFERROR(INDEX(Settings!$E$5:$E$12,MATCH(F680,Settings!$D$5:$D$12,0)),0),2)))</f>
        <v/>
      </c>
      <c r="P680" s="37"/>
      <c r="Q680" s="46" t="str">
        <f aca="false">IF(N680="","",IF(P680&lt;&gt;"",P680,N680-O680))</f>
        <v/>
      </c>
      <c r="R680" s="46" t="str">
        <f aca="false">IF(J680="","",IFERROR(N(INDEX(Properties!$H$5:$H$24,MATCH(D680,Properties!$A$5:$A$24,0))),0))</f>
        <v/>
      </c>
      <c r="S680" s="46" t="str">
        <f aca="false">IF(Q680="","",Q680-R680)</f>
        <v/>
      </c>
      <c r="T680" s="6"/>
      <c r="U680" s="6"/>
      <c r="V680" s="6"/>
      <c r="W680" s="6"/>
      <c r="X680" s="6"/>
      <c r="Y680" s="8" t="str">
        <f aca="false">IF(OR(D680="",B680="",C680=""),"",IF(N(C680)&lt;=N(B680),"Check dates",IF(T680="Cancelled","",IF(COUNTIFS($D$5:$D$1004,D680,$B$5:$B$1004,"&lt;"&amp;C680,$C$5:$C$1004,"&gt;"&amp;B680,$T$5:$T$1004,"&lt;&gt;Cancelled")&gt;1,"Double-booked",""))))</f>
        <v/>
      </c>
      <c r="Z680" s="42" t="str">
        <f aca="false">IF(AND(AA680=1,ISNUMBER(C680)),C680+ROW()/100000,"")</f>
        <v/>
      </c>
      <c r="AA680" s="43" t="n">
        <f aca="false">IF(AND(D680&lt;&gt;"",ISNUMBER(B680),ISNUMBER(C680),N(H680)&gt;0,T680&lt;&gt;"Cancelled",J680&lt;&gt;""),1,0)</f>
        <v>0</v>
      </c>
      <c r="AB680" s="44" t="n">
        <f aca="false">IF(AA680=1,J680/H680,0)</f>
        <v>0</v>
      </c>
      <c r="AC680" s="44" t="n">
        <f aca="false">IF(AA680=1,Q680/H680,0)</f>
        <v>0</v>
      </c>
      <c r="AD680" s="44" t="n">
        <f aca="false">IF(AA680=1,R680/H680,0)</f>
        <v>0</v>
      </c>
      <c r="AE680" s="44" t="n">
        <f aca="false">IF(AA680=1,O680/H680,0)</f>
        <v>0</v>
      </c>
      <c r="AF680" s="44" t="n">
        <f aca="false">IF(AA680=1,K680/H680,0)</f>
        <v>0</v>
      </c>
      <c r="AG680" s="45" t="str">
        <f aca="false">IF(AA680=1,D680&amp;"|"&amp;TEXT(B680,"0"),"")</f>
        <v/>
      </c>
      <c r="AH680" s="43" t="n">
        <f aca="false">IF(AA680=1,H680,0)</f>
        <v>0</v>
      </c>
    </row>
    <row r="681" customFormat="false" ht="15" hidden="false" customHeight="false" outlineLevel="0" collapsed="false">
      <c r="A681" s="8" t="str">
        <f aca="false">IF(B681="","","B-"&amp;TEXT(ROW()-4,"0000"))</f>
        <v/>
      </c>
      <c r="B681" s="38"/>
      <c r="C681" s="38"/>
      <c r="D681" s="6"/>
      <c r="E681" s="6"/>
      <c r="F681" s="6"/>
      <c r="G681" s="11"/>
      <c r="H681" s="18" t="str">
        <f aca="false">IF(AND(ISNUMBER(B681),ISNUMBER(C681)),MAX(0,C681-B681),"")</f>
        <v/>
      </c>
      <c r="I681" s="37"/>
      <c r="J681" s="41" t="str">
        <f aca="false">IF(OR(D681="",N(H681)=0),"",IFERROR(IF(I681&lt;&gt;"",H681*I681,ROUND(((H681-(INT((WEEKDAY(B681-6)+H681-1)/7)+INT((WEEKDAY(B681-7)+H681-1)/7)))*INDEX(Properties!$E$5:$E$24,MATCH(D681,Properties!$A$5:$A$24,0))+(INT((WEEKDAY(B681-6)+H681-1)/7)+INT((WEEKDAY(B681-7)+H681-1)/7))*INDEX(Properties!$F$5:$F$24,MATCH(D681,Properties!$A$5:$A$24,0)))*(1-IF(H681&gt;=28,Settings!$B$10,IF(H681&gt;=7,Settings!$B$9,0))),2)),0))</f>
        <v/>
      </c>
      <c r="K681" s="41" t="str">
        <f aca="false">IF(J681="","",IFERROR(N(INDEX(Properties!$G$5:$G$24,MATCH(D681,Properties!$A$5:$A$24,0))),0))</f>
        <v/>
      </c>
      <c r="L681" s="41" t="str">
        <f aca="false">IF(J681="","",IFERROR(MAX(0,N(G681)-INDEX(Properties!$I$5:$I$24,MATCH(D681,Properties!$A$5:$A$24,0)))*N(INDEX(Properties!$J$5:$J$24,MATCH(D681,Properties!$A$5:$A$24,0)))*H681,0))</f>
        <v/>
      </c>
      <c r="M681" s="37"/>
      <c r="N681" s="41" t="str">
        <f aca="false">IF(J681="","",J681+K681+L681+N(M681))</f>
        <v/>
      </c>
      <c r="O681" s="41" t="str">
        <f aca="false">IF(N681="","",IF(P681&lt;&gt;"",N681-P681,ROUND(N681*IFERROR(INDEX(Settings!$E$5:$E$12,MATCH(F681,Settings!$D$5:$D$12,0)),0),2)))</f>
        <v/>
      </c>
      <c r="P681" s="37"/>
      <c r="Q681" s="41" t="str">
        <f aca="false">IF(N681="","",IF(P681&lt;&gt;"",P681,N681-O681))</f>
        <v/>
      </c>
      <c r="R681" s="41" t="str">
        <f aca="false">IF(J681="","",IFERROR(N(INDEX(Properties!$H$5:$H$24,MATCH(D681,Properties!$A$5:$A$24,0))),0))</f>
        <v/>
      </c>
      <c r="S681" s="41" t="str">
        <f aca="false">IF(Q681="","",Q681-R681)</f>
        <v/>
      </c>
      <c r="T681" s="6"/>
      <c r="U681" s="6"/>
      <c r="V681" s="6"/>
      <c r="W681" s="6"/>
      <c r="X681" s="6"/>
      <c r="Y681" s="8" t="str">
        <f aca="false">IF(OR(D681="",B681="",C681=""),"",IF(N(C681)&lt;=N(B681),"Check dates",IF(T681="Cancelled","",IF(COUNTIFS($D$5:$D$1004,D681,$B$5:$B$1004,"&lt;"&amp;C681,$C$5:$C$1004,"&gt;"&amp;B681,$T$5:$T$1004,"&lt;&gt;Cancelled")&gt;1,"Double-booked",""))))</f>
        <v/>
      </c>
      <c r="Z681" s="42" t="str">
        <f aca="false">IF(AND(AA681=1,ISNUMBER(C681)),C681+ROW()/100000,"")</f>
        <v/>
      </c>
      <c r="AA681" s="43" t="n">
        <f aca="false">IF(AND(D681&lt;&gt;"",ISNUMBER(B681),ISNUMBER(C681),N(H681)&gt;0,T681&lt;&gt;"Cancelled",J681&lt;&gt;""),1,0)</f>
        <v>0</v>
      </c>
      <c r="AB681" s="44" t="n">
        <f aca="false">IF(AA681=1,J681/H681,0)</f>
        <v>0</v>
      </c>
      <c r="AC681" s="44" t="n">
        <f aca="false">IF(AA681=1,Q681/H681,0)</f>
        <v>0</v>
      </c>
      <c r="AD681" s="44" t="n">
        <f aca="false">IF(AA681=1,R681/H681,0)</f>
        <v>0</v>
      </c>
      <c r="AE681" s="44" t="n">
        <f aca="false">IF(AA681=1,O681/H681,0)</f>
        <v>0</v>
      </c>
      <c r="AF681" s="44" t="n">
        <f aca="false">IF(AA681=1,K681/H681,0)</f>
        <v>0</v>
      </c>
      <c r="AG681" s="45" t="str">
        <f aca="false">IF(AA681=1,D681&amp;"|"&amp;TEXT(B681,"0"),"")</f>
        <v/>
      </c>
      <c r="AH681" s="43" t="n">
        <f aca="false">IF(AA681=1,H681,0)</f>
        <v>0</v>
      </c>
    </row>
    <row r="682" customFormat="false" ht="15" hidden="false" customHeight="false" outlineLevel="0" collapsed="false">
      <c r="A682" s="23" t="str">
        <f aca="false">IF(B682="","","B-"&amp;TEXT(ROW()-4,"0000"))</f>
        <v/>
      </c>
      <c r="B682" s="38"/>
      <c r="C682" s="38"/>
      <c r="D682" s="6"/>
      <c r="E682" s="6"/>
      <c r="F682" s="6"/>
      <c r="G682" s="11"/>
      <c r="H682" s="24" t="str">
        <f aca="false">IF(AND(ISNUMBER(B682),ISNUMBER(C682)),MAX(0,C682-B682),"")</f>
        <v/>
      </c>
      <c r="I682" s="37"/>
      <c r="J682" s="46" t="str">
        <f aca="false">IF(OR(D682="",N(H682)=0),"",IFERROR(IF(I682&lt;&gt;"",H682*I682,ROUND(((H682-(INT((WEEKDAY(B682-6)+H682-1)/7)+INT((WEEKDAY(B682-7)+H682-1)/7)))*INDEX(Properties!$E$5:$E$24,MATCH(D682,Properties!$A$5:$A$24,0))+(INT((WEEKDAY(B682-6)+H682-1)/7)+INT((WEEKDAY(B682-7)+H682-1)/7))*INDEX(Properties!$F$5:$F$24,MATCH(D682,Properties!$A$5:$A$24,0)))*(1-IF(H682&gt;=28,Settings!$B$10,IF(H682&gt;=7,Settings!$B$9,0))),2)),0))</f>
        <v/>
      </c>
      <c r="K682" s="46" t="str">
        <f aca="false">IF(J682="","",IFERROR(N(INDEX(Properties!$G$5:$G$24,MATCH(D682,Properties!$A$5:$A$24,0))),0))</f>
        <v/>
      </c>
      <c r="L682" s="46" t="str">
        <f aca="false">IF(J682="","",IFERROR(MAX(0,N(G682)-INDEX(Properties!$I$5:$I$24,MATCH(D682,Properties!$A$5:$A$24,0)))*N(INDEX(Properties!$J$5:$J$24,MATCH(D682,Properties!$A$5:$A$24,0)))*H682,0))</f>
        <v/>
      </c>
      <c r="M682" s="37"/>
      <c r="N682" s="46" t="str">
        <f aca="false">IF(J682="","",J682+K682+L682+N(M682))</f>
        <v/>
      </c>
      <c r="O682" s="46" t="str">
        <f aca="false">IF(N682="","",IF(P682&lt;&gt;"",N682-P682,ROUND(N682*IFERROR(INDEX(Settings!$E$5:$E$12,MATCH(F682,Settings!$D$5:$D$12,0)),0),2)))</f>
        <v/>
      </c>
      <c r="P682" s="37"/>
      <c r="Q682" s="46" t="str">
        <f aca="false">IF(N682="","",IF(P682&lt;&gt;"",P682,N682-O682))</f>
        <v/>
      </c>
      <c r="R682" s="46" t="str">
        <f aca="false">IF(J682="","",IFERROR(N(INDEX(Properties!$H$5:$H$24,MATCH(D682,Properties!$A$5:$A$24,0))),0))</f>
        <v/>
      </c>
      <c r="S682" s="46" t="str">
        <f aca="false">IF(Q682="","",Q682-R682)</f>
        <v/>
      </c>
      <c r="T682" s="6"/>
      <c r="U682" s="6"/>
      <c r="V682" s="6"/>
      <c r="W682" s="6"/>
      <c r="X682" s="6"/>
      <c r="Y682" s="8" t="str">
        <f aca="false">IF(OR(D682="",B682="",C682=""),"",IF(N(C682)&lt;=N(B682),"Check dates",IF(T682="Cancelled","",IF(COUNTIFS($D$5:$D$1004,D682,$B$5:$B$1004,"&lt;"&amp;C682,$C$5:$C$1004,"&gt;"&amp;B682,$T$5:$T$1004,"&lt;&gt;Cancelled")&gt;1,"Double-booked",""))))</f>
        <v/>
      </c>
      <c r="Z682" s="42" t="str">
        <f aca="false">IF(AND(AA682=1,ISNUMBER(C682)),C682+ROW()/100000,"")</f>
        <v/>
      </c>
      <c r="AA682" s="43" t="n">
        <f aca="false">IF(AND(D682&lt;&gt;"",ISNUMBER(B682),ISNUMBER(C682),N(H682)&gt;0,T682&lt;&gt;"Cancelled",J682&lt;&gt;""),1,0)</f>
        <v>0</v>
      </c>
      <c r="AB682" s="44" t="n">
        <f aca="false">IF(AA682=1,J682/H682,0)</f>
        <v>0</v>
      </c>
      <c r="AC682" s="44" t="n">
        <f aca="false">IF(AA682=1,Q682/H682,0)</f>
        <v>0</v>
      </c>
      <c r="AD682" s="44" t="n">
        <f aca="false">IF(AA682=1,R682/H682,0)</f>
        <v>0</v>
      </c>
      <c r="AE682" s="44" t="n">
        <f aca="false">IF(AA682=1,O682/H682,0)</f>
        <v>0</v>
      </c>
      <c r="AF682" s="44" t="n">
        <f aca="false">IF(AA682=1,K682/H682,0)</f>
        <v>0</v>
      </c>
      <c r="AG682" s="45" t="str">
        <f aca="false">IF(AA682=1,D682&amp;"|"&amp;TEXT(B682,"0"),"")</f>
        <v/>
      </c>
      <c r="AH682" s="43" t="n">
        <f aca="false">IF(AA682=1,H682,0)</f>
        <v>0</v>
      </c>
    </row>
    <row r="683" customFormat="false" ht="15" hidden="false" customHeight="false" outlineLevel="0" collapsed="false">
      <c r="A683" s="8" t="str">
        <f aca="false">IF(B683="","","B-"&amp;TEXT(ROW()-4,"0000"))</f>
        <v/>
      </c>
      <c r="B683" s="38"/>
      <c r="C683" s="38"/>
      <c r="D683" s="6"/>
      <c r="E683" s="6"/>
      <c r="F683" s="6"/>
      <c r="G683" s="11"/>
      <c r="H683" s="18" t="str">
        <f aca="false">IF(AND(ISNUMBER(B683),ISNUMBER(C683)),MAX(0,C683-B683),"")</f>
        <v/>
      </c>
      <c r="I683" s="37"/>
      <c r="J683" s="41" t="str">
        <f aca="false">IF(OR(D683="",N(H683)=0),"",IFERROR(IF(I683&lt;&gt;"",H683*I683,ROUND(((H683-(INT((WEEKDAY(B683-6)+H683-1)/7)+INT((WEEKDAY(B683-7)+H683-1)/7)))*INDEX(Properties!$E$5:$E$24,MATCH(D683,Properties!$A$5:$A$24,0))+(INT((WEEKDAY(B683-6)+H683-1)/7)+INT((WEEKDAY(B683-7)+H683-1)/7))*INDEX(Properties!$F$5:$F$24,MATCH(D683,Properties!$A$5:$A$24,0)))*(1-IF(H683&gt;=28,Settings!$B$10,IF(H683&gt;=7,Settings!$B$9,0))),2)),0))</f>
        <v/>
      </c>
      <c r="K683" s="41" t="str">
        <f aca="false">IF(J683="","",IFERROR(N(INDEX(Properties!$G$5:$G$24,MATCH(D683,Properties!$A$5:$A$24,0))),0))</f>
        <v/>
      </c>
      <c r="L683" s="41" t="str">
        <f aca="false">IF(J683="","",IFERROR(MAX(0,N(G683)-INDEX(Properties!$I$5:$I$24,MATCH(D683,Properties!$A$5:$A$24,0)))*N(INDEX(Properties!$J$5:$J$24,MATCH(D683,Properties!$A$5:$A$24,0)))*H683,0))</f>
        <v/>
      </c>
      <c r="M683" s="37"/>
      <c r="N683" s="41" t="str">
        <f aca="false">IF(J683="","",J683+K683+L683+N(M683))</f>
        <v/>
      </c>
      <c r="O683" s="41" t="str">
        <f aca="false">IF(N683="","",IF(P683&lt;&gt;"",N683-P683,ROUND(N683*IFERROR(INDEX(Settings!$E$5:$E$12,MATCH(F683,Settings!$D$5:$D$12,0)),0),2)))</f>
        <v/>
      </c>
      <c r="P683" s="37"/>
      <c r="Q683" s="41" t="str">
        <f aca="false">IF(N683="","",IF(P683&lt;&gt;"",P683,N683-O683))</f>
        <v/>
      </c>
      <c r="R683" s="41" t="str">
        <f aca="false">IF(J683="","",IFERROR(N(INDEX(Properties!$H$5:$H$24,MATCH(D683,Properties!$A$5:$A$24,0))),0))</f>
        <v/>
      </c>
      <c r="S683" s="41" t="str">
        <f aca="false">IF(Q683="","",Q683-R683)</f>
        <v/>
      </c>
      <c r="T683" s="6"/>
      <c r="U683" s="6"/>
      <c r="V683" s="6"/>
      <c r="W683" s="6"/>
      <c r="X683" s="6"/>
      <c r="Y683" s="8" t="str">
        <f aca="false">IF(OR(D683="",B683="",C683=""),"",IF(N(C683)&lt;=N(B683),"Check dates",IF(T683="Cancelled","",IF(COUNTIFS($D$5:$D$1004,D683,$B$5:$B$1004,"&lt;"&amp;C683,$C$5:$C$1004,"&gt;"&amp;B683,$T$5:$T$1004,"&lt;&gt;Cancelled")&gt;1,"Double-booked",""))))</f>
        <v/>
      </c>
      <c r="Z683" s="42" t="str">
        <f aca="false">IF(AND(AA683=1,ISNUMBER(C683)),C683+ROW()/100000,"")</f>
        <v/>
      </c>
      <c r="AA683" s="43" t="n">
        <f aca="false">IF(AND(D683&lt;&gt;"",ISNUMBER(B683),ISNUMBER(C683),N(H683)&gt;0,T683&lt;&gt;"Cancelled",J683&lt;&gt;""),1,0)</f>
        <v>0</v>
      </c>
      <c r="AB683" s="44" t="n">
        <f aca="false">IF(AA683=1,J683/H683,0)</f>
        <v>0</v>
      </c>
      <c r="AC683" s="44" t="n">
        <f aca="false">IF(AA683=1,Q683/H683,0)</f>
        <v>0</v>
      </c>
      <c r="AD683" s="44" t="n">
        <f aca="false">IF(AA683=1,R683/H683,0)</f>
        <v>0</v>
      </c>
      <c r="AE683" s="44" t="n">
        <f aca="false">IF(AA683=1,O683/H683,0)</f>
        <v>0</v>
      </c>
      <c r="AF683" s="44" t="n">
        <f aca="false">IF(AA683=1,K683/H683,0)</f>
        <v>0</v>
      </c>
      <c r="AG683" s="45" t="str">
        <f aca="false">IF(AA683=1,D683&amp;"|"&amp;TEXT(B683,"0"),"")</f>
        <v/>
      </c>
      <c r="AH683" s="43" t="n">
        <f aca="false">IF(AA683=1,H683,0)</f>
        <v>0</v>
      </c>
    </row>
    <row r="684" customFormat="false" ht="15" hidden="false" customHeight="false" outlineLevel="0" collapsed="false">
      <c r="A684" s="23" t="str">
        <f aca="false">IF(B684="","","B-"&amp;TEXT(ROW()-4,"0000"))</f>
        <v/>
      </c>
      <c r="B684" s="38"/>
      <c r="C684" s="38"/>
      <c r="D684" s="6"/>
      <c r="E684" s="6"/>
      <c r="F684" s="6"/>
      <c r="G684" s="11"/>
      <c r="H684" s="24" t="str">
        <f aca="false">IF(AND(ISNUMBER(B684),ISNUMBER(C684)),MAX(0,C684-B684),"")</f>
        <v/>
      </c>
      <c r="I684" s="37"/>
      <c r="J684" s="46" t="str">
        <f aca="false">IF(OR(D684="",N(H684)=0),"",IFERROR(IF(I684&lt;&gt;"",H684*I684,ROUND(((H684-(INT((WEEKDAY(B684-6)+H684-1)/7)+INT((WEEKDAY(B684-7)+H684-1)/7)))*INDEX(Properties!$E$5:$E$24,MATCH(D684,Properties!$A$5:$A$24,0))+(INT((WEEKDAY(B684-6)+H684-1)/7)+INT((WEEKDAY(B684-7)+H684-1)/7))*INDEX(Properties!$F$5:$F$24,MATCH(D684,Properties!$A$5:$A$24,0)))*(1-IF(H684&gt;=28,Settings!$B$10,IF(H684&gt;=7,Settings!$B$9,0))),2)),0))</f>
        <v/>
      </c>
      <c r="K684" s="46" t="str">
        <f aca="false">IF(J684="","",IFERROR(N(INDEX(Properties!$G$5:$G$24,MATCH(D684,Properties!$A$5:$A$24,0))),0))</f>
        <v/>
      </c>
      <c r="L684" s="46" t="str">
        <f aca="false">IF(J684="","",IFERROR(MAX(0,N(G684)-INDEX(Properties!$I$5:$I$24,MATCH(D684,Properties!$A$5:$A$24,0)))*N(INDEX(Properties!$J$5:$J$24,MATCH(D684,Properties!$A$5:$A$24,0)))*H684,0))</f>
        <v/>
      </c>
      <c r="M684" s="37"/>
      <c r="N684" s="46" t="str">
        <f aca="false">IF(J684="","",J684+K684+L684+N(M684))</f>
        <v/>
      </c>
      <c r="O684" s="46" t="str">
        <f aca="false">IF(N684="","",IF(P684&lt;&gt;"",N684-P684,ROUND(N684*IFERROR(INDEX(Settings!$E$5:$E$12,MATCH(F684,Settings!$D$5:$D$12,0)),0),2)))</f>
        <v/>
      </c>
      <c r="P684" s="37"/>
      <c r="Q684" s="46" t="str">
        <f aca="false">IF(N684="","",IF(P684&lt;&gt;"",P684,N684-O684))</f>
        <v/>
      </c>
      <c r="R684" s="46" t="str">
        <f aca="false">IF(J684="","",IFERROR(N(INDEX(Properties!$H$5:$H$24,MATCH(D684,Properties!$A$5:$A$24,0))),0))</f>
        <v/>
      </c>
      <c r="S684" s="46" t="str">
        <f aca="false">IF(Q684="","",Q684-R684)</f>
        <v/>
      </c>
      <c r="T684" s="6"/>
      <c r="U684" s="6"/>
      <c r="V684" s="6"/>
      <c r="W684" s="6"/>
      <c r="X684" s="6"/>
      <c r="Y684" s="8" t="str">
        <f aca="false">IF(OR(D684="",B684="",C684=""),"",IF(N(C684)&lt;=N(B684),"Check dates",IF(T684="Cancelled","",IF(COUNTIFS($D$5:$D$1004,D684,$B$5:$B$1004,"&lt;"&amp;C684,$C$5:$C$1004,"&gt;"&amp;B684,$T$5:$T$1004,"&lt;&gt;Cancelled")&gt;1,"Double-booked",""))))</f>
        <v/>
      </c>
      <c r="Z684" s="42" t="str">
        <f aca="false">IF(AND(AA684=1,ISNUMBER(C684)),C684+ROW()/100000,"")</f>
        <v/>
      </c>
      <c r="AA684" s="43" t="n">
        <f aca="false">IF(AND(D684&lt;&gt;"",ISNUMBER(B684),ISNUMBER(C684),N(H684)&gt;0,T684&lt;&gt;"Cancelled",J684&lt;&gt;""),1,0)</f>
        <v>0</v>
      </c>
      <c r="AB684" s="44" t="n">
        <f aca="false">IF(AA684=1,J684/H684,0)</f>
        <v>0</v>
      </c>
      <c r="AC684" s="44" t="n">
        <f aca="false">IF(AA684=1,Q684/H684,0)</f>
        <v>0</v>
      </c>
      <c r="AD684" s="44" t="n">
        <f aca="false">IF(AA684=1,R684/H684,0)</f>
        <v>0</v>
      </c>
      <c r="AE684" s="44" t="n">
        <f aca="false">IF(AA684=1,O684/H684,0)</f>
        <v>0</v>
      </c>
      <c r="AF684" s="44" t="n">
        <f aca="false">IF(AA684=1,K684/H684,0)</f>
        <v>0</v>
      </c>
      <c r="AG684" s="45" t="str">
        <f aca="false">IF(AA684=1,D684&amp;"|"&amp;TEXT(B684,"0"),"")</f>
        <v/>
      </c>
      <c r="AH684" s="43" t="n">
        <f aca="false">IF(AA684=1,H684,0)</f>
        <v>0</v>
      </c>
    </row>
    <row r="685" customFormat="false" ht="15" hidden="false" customHeight="false" outlineLevel="0" collapsed="false">
      <c r="A685" s="8" t="str">
        <f aca="false">IF(B685="","","B-"&amp;TEXT(ROW()-4,"0000"))</f>
        <v/>
      </c>
      <c r="B685" s="38"/>
      <c r="C685" s="38"/>
      <c r="D685" s="6"/>
      <c r="E685" s="6"/>
      <c r="F685" s="6"/>
      <c r="G685" s="11"/>
      <c r="H685" s="18" t="str">
        <f aca="false">IF(AND(ISNUMBER(B685),ISNUMBER(C685)),MAX(0,C685-B685),"")</f>
        <v/>
      </c>
      <c r="I685" s="37"/>
      <c r="J685" s="41" t="str">
        <f aca="false">IF(OR(D685="",N(H685)=0),"",IFERROR(IF(I685&lt;&gt;"",H685*I685,ROUND(((H685-(INT((WEEKDAY(B685-6)+H685-1)/7)+INT((WEEKDAY(B685-7)+H685-1)/7)))*INDEX(Properties!$E$5:$E$24,MATCH(D685,Properties!$A$5:$A$24,0))+(INT((WEEKDAY(B685-6)+H685-1)/7)+INT((WEEKDAY(B685-7)+H685-1)/7))*INDEX(Properties!$F$5:$F$24,MATCH(D685,Properties!$A$5:$A$24,0)))*(1-IF(H685&gt;=28,Settings!$B$10,IF(H685&gt;=7,Settings!$B$9,0))),2)),0))</f>
        <v/>
      </c>
      <c r="K685" s="41" t="str">
        <f aca="false">IF(J685="","",IFERROR(N(INDEX(Properties!$G$5:$G$24,MATCH(D685,Properties!$A$5:$A$24,0))),0))</f>
        <v/>
      </c>
      <c r="L685" s="41" t="str">
        <f aca="false">IF(J685="","",IFERROR(MAX(0,N(G685)-INDEX(Properties!$I$5:$I$24,MATCH(D685,Properties!$A$5:$A$24,0)))*N(INDEX(Properties!$J$5:$J$24,MATCH(D685,Properties!$A$5:$A$24,0)))*H685,0))</f>
        <v/>
      </c>
      <c r="M685" s="37"/>
      <c r="N685" s="41" t="str">
        <f aca="false">IF(J685="","",J685+K685+L685+N(M685))</f>
        <v/>
      </c>
      <c r="O685" s="41" t="str">
        <f aca="false">IF(N685="","",IF(P685&lt;&gt;"",N685-P685,ROUND(N685*IFERROR(INDEX(Settings!$E$5:$E$12,MATCH(F685,Settings!$D$5:$D$12,0)),0),2)))</f>
        <v/>
      </c>
      <c r="P685" s="37"/>
      <c r="Q685" s="41" t="str">
        <f aca="false">IF(N685="","",IF(P685&lt;&gt;"",P685,N685-O685))</f>
        <v/>
      </c>
      <c r="R685" s="41" t="str">
        <f aca="false">IF(J685="","",IFERROR(N(INDEX(Properties!$H$5:$H$24,MATCH(D685,Properties!$A$5:$A$24,0))),0))</f>
        <v/>
      </c>
      <c r="S685" s="41" t="str">
        <f aca="false">IF(Q685="","",Q685-R685)</f>
        <v/>
      </c>
      <c r="T685" s="6"/>
      <c r="U685" s="6"/>
      <c r="V685" s="6"/>
      <c r="W685" s="6"/>
      <c r="X685" s="6"/>
      <c r="Y685" s="8" t="str">
        <f aca="false">IF(OR(D685="",B685="",C685=""),"",IF(N(C685)&lt;=N(B685),"Check dates",IF(T685="Cancelled","",IF(COUNTIFS($D$5:$D$1004,D685,$B$5:$B$1004,"&lt;"&amp;C685,$C$5:$C$1004,"&gt;"&amp;B685,$T$5:$T$1004,"&lt;&gt;Cancelled")&gt;1,"Double-booked",""))))</f>
        <v/>
      </c>
      <c r="Z685" s="42" t="str">
        <f aca="false">IF(AND(AA685=1,ISNUMBER(C685)),C685+ROW()/100000,"")</f>
        <v/>
      </c>
      <c r="AA685" s="43" t="n">
        <f aca="false">IF(AND(D685&lt;&gt;"",ISNUMBER(B685),ISNUMBER(C685),N(H685)&gt;0,T685&lt;&gt;"Cancelled",J685&lt;&gt;""),1,0)</f>
        <v>0</v>
      </c>
      <c r="AB685" s="44" t="n">
        <f aca="false">IF(AA685=1,J685/H685,0)</f>
        <v>0</v>
      </c>
      <c r="AC685" s="44" t="n">
        <f aca="false">IF(AA685=1,Q685/H685,0)</f>
        <v>0</v>
      </c>
      <c r="AD685" s="44" t="n">
        <f aca="false">IF(AA685=1,R685/H685,0)</f>
        <v>0</v>
      </c>
      <c r="AE685" s="44" t="n">
        <f aca="false">IF(AA685=1,O685/H685,0)</f>
        <v>0</v>
      </c>
      <c r="AF685" s="44" t="n">
        <f aca="false">IF(AA685=1,K685/H685,0)</f>
        <v>0</v>
      </c>
      <c r="AG685" s="45" t="str">
        <f aca="false">IF(AA685=1,D685&amp;"|"&amp;TEXT(B685,"0"),"")</f>
        <v/>
      </c>
      <c r="AH685" s="43" t="n">
        <f aca="false">IF(AA685=1,H685,0)</f>
        <v>0</v>
      </c>
    </row>
    <row r="686" customFormat="false" ht="15" hidden="false" customHeight="false" outlineLevel="0" collapsed="false">
      <c r="A686" s="23" t="str">
        <f aca="false">IF(B686="","","B-"&amp;TEXT(ROW()-4,"0000"))</f>
        <v/>
      </c>
      <c r="B686" s="38"/>
      <c r="C686" s="38"/>
      <c r="D686" s="6"/>
      <c r="E686" s="6"/>
      <c r="F686" s="6"/>
      <c r="G686" s="11"/>
      <c r="H686" s="24" t="str">
        <f aca="false">IF(AND(ISNUMBER(B686),ISNUMBER(C686)),MAX(0,C686-B686),"")</f>
        <v/>
      </c>
      <c r="I686" s="37"/>
      <c r="J686" s="46" t="str">
        <f aca="false">IF(OR(D686="",N(H686)=0),"",IFERROR(IF(I686&lt;&gt;"",H686*I686,ROUND(((H686-(INT((WEEKDAY(B686-6)+H686-1)/7)+INT((WEEKDAY(B686-7)+H686-1)/7)))*INDEX(Properties!$E$5:$E$24,MATCH(D686,Properties!$A$5:$A$24,0))+(INT((WEEKDAY(B686-6)+H686-1)/7)+INT((WEEKDAY(B686-7)+H686-1)/7))*INDEX(Properties!$F$5:$F$24,MATCH(D686,Properties!$A$5:$A$24,0)))*(1-IF(H686&gt;=28,Settings!$B$10,IF(H686&gt;=7,Settings!$B$9,0))),2)),0))</f>
        <v/>
      </c>
      <c r="K686" s="46" t="str">
        <f aca="false">IF(J686="","",IFERROR(N(INDEX(Properties!$G$5:$G$24,MATCH(D686,Properties!$A$5:$A$24,0))),0))</f>
        <v/>
      </c>
      <c r="L686" s="46" t="str">
        <f aca="false">IF(J686="","",IFERROR(MAX(0,N(G686)-INDEX(Properties!$I$5:$I$24,MATCH(D686,Properties!$A$5:$A$24,0)))*N(INDEX(Properties!$J$5:$J$24,MATCH(D686,Properties!$A$5:$A$24,0)))*H686,0))</f>
        <v/>
      </c>
      <c r="M686" s="37"/>
      <c r="N686" s="46" t="str">
        <f aca="false">IF(J686="","",J686+K686+L686+N(M686))</f>
        <v/>
      </c>
      <c r="O686" s="46" t="str">
        <f aca="false">IF(N686="","",IF(P686&lt;&gt;"",N686-P686,ROUND(N686*IFERROR(INDEX(Settings!$E$5:$E$12,MATCH(F686,Settings!$D$5:$D$12,0)),0),2)))</f>
        <v/>
      </c>
      <c r="P686" s="37"/>
      <c r="Q686" s="46" t="str">
        <f aca="false">IF(N686="","",IF(P686&lt;&gt;"",P686,N686-O686))</f>
        <v/>
      </c>
      <c r="R686" s="46" t="str">
        <f aca="false">IF(J686="","",IFERROR(N(INDEX(Properties!$H$5:$H$24,MATCH(D686,Properties!$A$5:$A$24,0))),0))</f>
        <v/>
      </c>
      <c r="S686" s="46" t="str">
        <f aca="false">IF(Q686="","",Q686-R686)</f>
        <v/>
      </c>
      <c r="T686" s="6"/>
      <c r="U686" s="6"/>
      <c r="V686" s="6"/>
      <c r="W686" s="6"/>
      <c r="X686" s="6"/>
      <c r="Y686" s="8" t="str">
        <f aca="false">IF(OR(D686="",B686="",C686=""),"",IF(N(C686)&lt;=N(B686),"Check dates",IF(T686="Cancelled","",IF(COUNTIFS($D$5:$D$1004,D686,$B$5:$B$1004,"&lt;"&amp;C686,$C$5:$C$1004,"&gt;"&amp;B686,$T$5:$T$1004,"&lt;&gt;Cancelled")&gt;1,"Double-booked",""))))</f>
        <v/>
      </c>
      <c r="Z686" s="42" t="str">
        <f aca="false">IF(AND(AA686=1,ISNUMBER(C686)),C686+ROW()/100000,"")</f>
        <v/>
      </c>
      <c r="AA686" s="43" t="n">
        <f aca="false">IF(AND(D686&lt;&gt;"",ISNUMBER(B686),ISNUMBER(C686),N(H686)&gt;0,T686&lt;&gt;"Cancelled",J686&lt;&gt;""),1,0)</f>
        <v>0</v>
      </c>
      <c r="AB686" s="44" t="n">
        <f aca="false">IF(AA686=1,J686/H686,0)</f>
        <v>0</v>
      </c>
      <c r="AC686" s="44" t="n">
        <f aca="false">IF(AA686=1,Q686/H686,0)</f>
        <v>0</v>
      </c>
      <c r="AD686" s="44" t="n">
        <f aca="false">IF(AA686=1,R686/H686,0)</f>
        <v>0</v>
      </c>
      <c r="AE686" s="44" t="n">
        <f aca="false">IF(AA686=1,O686/H686,0)</f>
        <v>0</v>
      </c>
      <c r="AF686" s="44" t="n">
        <f aca="false">IF(AA686=1,K686/H686,0)</f>
        <v>0</v>
      </c>
      <c r="AG686" s="45" t="str">
        <f aca="false">IF(AA686=1,D686&amp;"|"&amp;TEXT(B686,"0"),"")</f>
        <v/>
      </c>
      <c r="AH686" s="43" t="n">
        <f aca="false">IF(AA686=1,H686,0)</f>
        <v>0</v>
      </c>
    </row>
    <row r="687" customFormat="false" ht="15" hidden="false" customHeight="false" outlineLevel="0" collapsed="false">
      <c r="A687" s="8" t="str">
        <f aca="false">IF(B687="","","B-"&amp;TEXT(ROW()-4,"0000"))</f>
        <v/>
      </c>
      <c r="B687" s="38"/>
      <c r="C687" s="38"/>
      <c r="D687" s="6"/>
      <c r="E687" s="6"/>
      <c r="F687" s="6"/>
      <c r="G687" s="11"/>
      <c r="H687" s="18" t="str">
        <f aca="false">IF(AND(ISNUMBER(B687),ISNUMBER(C687)),MAX(0,C687-B687),"")</f>
        <v/>
      </c>
      <c r="I687" s="37"/>
      <c r="J687" s="41" t="str">
        <f aca="false">IF(OR(D687="",N(H687)=0),"",IFERROR(IF(I687&lt;&gt;"",H687*I687,ROUND(((H687-(INT((WEEKDAY(B687-6)+H687-1)/7)+INT((WEEKDAY(B687-7)+H687-1)/7)))*INDEX(Properties!$E$5:$E$24,MATCH(D687,Properties!$A$5:$A$24,0))+(INT((WEEKDAY(B687-6)+H687-1)/7)+INT((WEEKDAY(B687-7)+H687-1)/7))*INDEX(Properties!$F$5:$F$24,MATCH(D687,Properties!$A$5:$A$24,0)))*(1-IF(H687&gt;=28,Settings!$B$10,IF(H687&gt;=7,Settings!$B$9,0))),2)),0))</f>
        <v/>
      </c>
      <c r="K687" s="41" t="str">
        <f aca="false">IF(J687="","",IFERROR(N(INDEX(Properties!$G$5:$G$24,MATCH(D687,Properties!$A$5:$A$24,0))),0))</f>
        <v/>
      </c>
      <c r="L687" s="41" t="str">
        <f aca="false">IF(J687="","",IFERROR(MAX(0,N(G687)-INDEX(Properties!$I$5:$I$24,MATCH(D687,Properties!$A$5:$A$24,0)))*N(INDEX(Properties!$J$5:$J$24,MATCH(D687,Properties!$A$5:$A$24,0)))*H687,0))</f>
        <v/>
      </c>
      <c r="M687" s="37"/>
      <c r="N687" s="41" t="str">
        <f aca="false">IF(J687="","",J687+K687+L687+N(M687))</f>
        <v/>
      </c>
      <c r="O687" s="41" t="str">
        <f aca="false">IF(N687="","",IF(P687&lt;&gt;"",N687-P687,ROUND(N687*IFERROR(INDEX(Settings!$E$5:$E$12,MATCH(F687,Settings!$D$5:$D$12,0)),0),2)))</f>
        <v/>
      </c>
      <c r="P687" s="37"/>
      <c r="Q687" s="41" t="str">
        <f aca="false">IF(N687="","",IF(P687&lt;&gt;"",P687,N687-O687))</f>
        <v/>
      </c>
      <c r="R687" s="41" t="str">
        <f aca="false">IF(J687="","",IFERROR(N(INDEX(Properties!$H$5:$H$24,MATCH(D687,Properties!$A$5:$A$24,0))),0))</f>
        <v/>
      </c>
      <c r="S687" s="41" t="str">
        <f aca="false">IF(Q687="","",Q687-R687)</f>
        <v/>
      </c>
      <c r="T687" s="6"/>
      <c r="U687" s="6"/>
      <c r="V687" s="6"/>
      <c r="W687" s="6"/>
      <c r="X687" s="6"/>
      <c r="Y687" s="8" t="str">
        <f aca="false">IF(OR(D687="",B687="",C687=""),"",IF(N(C687)&lt;=N(B687),"Check dates",IF(T687="Cancelled","",IF(COUNTIFS($D$5:$D$1004,D687,$B$5:$B$1004,"&lt;"&amp;C687,$C$5:$C$1004,"&gt;"&amp;B687,$T$5:$T$1004,"&lt;&gt;Cancelled")&gt;1,"Double-booked",""))))</f>
        <v/>
      </c>
      <c r="Z687" s="42" t="str">
        <f aca="false">IF(AND(AA687=1,ISNUMBER(C687)),C687+ROW()/100000,"")</f>
        <v/>
      </c>
      <c r="AA687" s="43" t="n">
        <f aca="false">IF(AND(D687&lt;&gt;"",ISNUMBER(B687),ISNUMBER(C687),N(H687)&gt;0,T687&lt;&gt;"Cancelled",J687&lt;&gt;""),1,0)</f>
        <v>0</v>
      </c>
      <c r="AB687" s="44" t="n">
        <f aca="false">IF(AA687=1,J687/H687,0)</f>
        <v>0</v>
      </c>
      <c r="AC687" s="44" t="n">
        <f aca="false">IF(AA687=1,Q687/H687,0)</f>
        <v>0</v>
      </c>
      <c r="AD687" s="44" t="n">
        <f aca="false">IF(AA687=1,R687/H687,0)</f>
        <v>0</v>
      </c>
      <c r="AE687" s="44" t="n">
        <f aca="false">IF(AA687=1,O687/H687,0)</f>
        <v>0</v>
      </c>
      <c r="AF687" s="44" t="n">
        <f aca="false">IF(AA687=1,K687/H687,0)</f>
        <v>0</v>
      </c>
      <c r="AG687" s="45" t="str">
        <f aca="false">IF(AA687=1,D687&amp;"|"&amp;TEXT(B687,"0"),"")</f>
        <v/>
      </c>
      <c r="AH687" s="43" t="n">
        <f aca="false">IF(AA687=1,H687,0)</f>
        <v>0</v>
      </c>
    </row>
    <row r="688" customFormat="false" ht="15" hidden="false" customHeight="false" outlineLevel="0" collapsed="false">
      <c r="A688" s="23" t="str">
        <f aca="false">IF(B688="","","B-"&amp;TEXT(ROW()-4,"0000"))</f>
        <v/>
      </c>
      <c r="B688" s="38"/>
      <c r="C688" s="38"/>
      <c r="D688" s="6"/>
      <c r="E688" s="6"/>
      <c r="F688" s="6"/>
      <c r="G688" s="11"/>
      <c r="H688" s="24" t="str">
        <f aca="false">IF(AND(ISNUMBER(B688),ISNUMBER(C688)),MAX(0,C688-B688),"")</f>
        <v/>
      </c>
      <c r="I688" s="37"/>
      <c r="J688" s="46" t="str">
        <f aca="false">IF(OR(D688="",N(H688)=0),"",IFERROR(IF(I688&lt;&gt;"",H688*I688,ROUND(((H688-(INT((WEEKDAY(B688-6)+H688-1)/7)+INT((WEEKDAY(B688-7)+H688-1)/7)))*INDEX(Properties!$E$5:$E$24,MATCH(D688,Properties!$A$5:$A$24,0))+(INT((WEEKDAY(B688-6)+H688-1)/7)+INT((WEEKDAY(B688-7)+H688-1)/7))*INDEX(Properties!$F$5:$F$24,MATCH(D688,Properties!$A$5:$A$24,0)))*(1-IF(H688&gt;=28,Settings!$B$10,IF(H688&gt;=7,Settings!$B$9,0))),2)),0))</f>
        <v/>
      </c>
      <c r="K688" s="46" t="str">
        <f aca="false">IF(J688="","",IFERROR(N(INDEX(Properties!$G$5:$G$24,MATCH(D688,Properties!$A$5:$A$24,0))),0))</f>
        <v/>
      </c>
      <c r="L688" s="46" t="str">
        <f aca="false">IF(J688="","",IFERROR(MAX(0,N(G688)-INDEX(Properties!$I$5:$I$24,MATCH(D688,Properties!$A$5:$A$24,0)))*N(INDEX(Properties!$J$5:$J$24,MATCH(D688,Properties!$A$5:$A$24,0)))*H688,0))</f>
        <v/>
      </c>
      <c r="M688" s="37"/>
      <c r="N688" s="46" t="str">
        <f aca="false">IF(J688="","",J688+K688+L688+N(M688))</f>
        <v/>
      </c>
      <c r="O688" s="46" t="str">
        <f aca="false">IF(N688="","",IF(P688&lt;&gt;"",N688-P688,ROUND(N688*IFERROR(INDEX(Settings!$E$5:$E$12,MATCH(F688,Settings!$D$5:$D$12,0)),0),2)))</f>
        <v/>
      </c>
      <c r="P688" s="37"/>
      <c r="Q688" s="46" t="str">
        <f aca="false">IF(N688="","",IF(P688&lt;&gt;"",P688,N688-O688))</f>
        <v/>
      </c>
      <c r="R688" s="46" t="str">
        <f aca="false">IF(J688="","",IFERROR(N(INDEX(Properties!$H$5:$H$24,MATCH(D688,Properties!$A$5:$A$24,0))),0))</f>
        <v/>
      </c>
      <c r="S688" s="46" t="str">
        <f aca="false">IF(Q688="","",Q688-R688)</f>
        <v/>
      </c>
      <c r="T688" s="6"/>
      <c r="U688" s="6"/>
      <c r="V688" s="6"/>
      <c r="W688" s="6"/>
      <c r="X688" s="6"/>
      <c r="Y688" s="8" t="str">
        <f aca="false">IF(OR(D688="",B688="",C688=""),"",IF(N(C688)&lt;=N(B688),"Check dates",IF(T688="Cancelled","",IF(COUNTIFS($D$5:$D$1004,D688,$B$5:$B$1004,"&lt;"&amp;C688,$C$5:$C$1004,"&gt;"&amp;B688,$T$5:$T$1004,"&lt;&gt;Cancelled")&gt;1,"Double-booked",""))))</f>
        <v/>
      </c>
      <c r="Z688" s="42" t="str">
        <f aca="false">IF(AND(AA688=1,ISNUMBER(C688)),C688+ROW()/100000,"")</f>
        <v/>
      </c>
      <c r="AA688" s="43" t="n">
        <f aca="false">IF(AND(D688&lt;&gt;"",ISNUMBER(B688),ISNUMBER(C688),N(H688)&gt;0,T688&lt;&gt;"Cancelled",J688&lt;&gt;""),1,0)</f>
        <v>0</v>
      </c>
      <c r="AB688" s="44" t="n">
        <f aca="false">IF(AA688=1,J688/H688,0)</f>
        <v>0</v>
      </c>
      <c r="AC688" s="44" t="n">
        <f aca="false">IF(AA688=1,Q688/H688,0)</f>
        <v>0</v>
      </c>
      <c r="AD688" s="44" t="n">
        <f aca="false">IF(AA688=1,R688/H688,0)</f>
        <v>0</v>
      </c>
      <c r="AE688" s="44" t="n">
        <f aca="false">IF(AA688=1,O688/H688,0)</f>
        <v>0</v>
      </c>
      <c r="AF688" s="44" t="n">
        <f aca="false">IF(AA688=1,K688/H688,0)</f>
        <v>0</v>
      </c>
      <c r="AG688" s="45" t="str">
        <f aca="false">IF(AA688=1,D688&amp;"|"&amp;TEXT(B688,"0"),"")</f>
        <v/>
      </c>
      <c r="AH688" s="43" t="n">
        <f aca="false">IF(AA688=1,H688,0)</f>
        <v>0</v>
      </c>
    </row>
    <row r="689" customFormat="false" ht="15" hidden="false" customHeight="false" outlineLevel="0" collapsed="false">
      <c r="A689" s="8" t="str">
        <f aca="false">IF(B689="","","B-"&amp;TEXT(ROW()-4,"0000"))</f>
        <v/>
      </c>
      <c r="B689" s="38"/>
      <c r="C689" s="38"/>
      <c r="D689" s="6"/>
      <c r="E689" s="6"/>
      <c r="F689" s="6"/>
      <c r="G689" s="11"/>
      <c r="H689" s="18" t="str">
        <f aca="false">IF(AND(ISNUMBER(B689),ISNUMBER(C689)),MAX(0,C689-B689),"")</f>
        <v/>
      </c>
      <c r="I689" s="37"/>
      <c r="J689" s="41" t="str">
        <f aca="false">IF(OR(D689="",N(H689)=0),"",IFERROR(IF(I689&lt;&gt;"",H689*I689,ROUND(((H689-(INT((WEEKDAY(B689-6)+H689-1)/7)+INT((WEEKDAY(B689-7)+H689-1)/7)))*INDEX(Properties!$E$5:$E$24,MATCH(D689,Properties!$A$5:$A$24,0))+(INT((WEEKDAY(B689-6)+H689-1)/7)+INT((WEEKDAY(B689-7)+H689-1)/7))*INDEX(Properties!$F$5:$F$24,MATCH(D689,Properties!$A$5:$A$24,0)))*(1-IF(H689&gt;=28,Settings!$B$10,IF(H689&gt;=7,Settings!$B$9,0))),2)),0))</f>
        <v/>
      </c>
      <c r="K689" s="41" t="str">
        <f aca="false">IF(J689="","",IFERROR(N(INDEX(Properties!$G$5:$G$24,MATCH(D689,Properties!$A$5:$A$24,0))),0))</f>
        <v/>
      </c>
      <c r="L689" s="41" t="str">
        <f aca="false">IF(J689="","",IFERROR(MAX(0,N(G689)-INDEX(Properties!$I$5:$I$24,MATCH(D689,Properties!$A$5:$A$24,0)))*N(INDEX(Properties!$J$5:$J$24,MATCH(D689,Properties!$A$5:$A$24,0)))*H689,0))</f>
        <v/>
      </c>
      <c r="M689" s="37"/>
      <c r="N689" s="41" t="str">
        <f aca="false">IF(J689="","",J689+K689+L689+N(M689))</f>
        <v/>
      </c>
      <c r="O689" s="41" t="str">
        <f aca="false">IF(N689="","",IF(P689&lt;&gt;"",N689-P689,ROUND(N689*IFERROR(INDEX(Settings!$E$5:$E$12,MATCH(F689,Settings!$D$5:$D$12,0)),0),2)))</f>
        <v/>
      </c>
      <c r="P689" s="37"/>
      <c r="Q689" s="41" t="str">
        <f aca="false">IF(N689="","",IF(P689&lt;&gt;"",P689,N689-O689))</f>
        <v/>
      </c>
      <c r="R689" s="41" t="str">
        <f aca="false">IF(J689="","",IFERROR(N(INDEX(Properties!$H$5:$H$24,MATCH(D689,Properties!$A$5:$A$24,0))),0))</f>
        <v/>
      </c>
      <c r="S689" s="41" t="str">
        <f aca="false">IF(Q689="","",Q689-R689)</f>
        <v/>
      </c>
      <c r="T689" s="6"/>
      <c r="U689" s="6"/>
      <c r="V689" s="6"/>
      <c r="W689" s="6"/>
      <c r="X689" s="6"/>
      <c r="Y689" s="8" t="str">
        <f aca="false">IF(OR(D689="",B689="",C689=""),"",IF(N(C689)&lt;=N(B689),"Check dates",IF(T689="Cancelled","",IF(COUNTIFS($D$5:$D$1004,D689,$B$5:$B$1004,"&lt;"&amp;C689,$C$5:$C$1004,"&gt;"&amp;B689,$T$5:$T$1004,"&lt;&gt;Cancelled")&gt;1,"Double-booked",""))))</f>
        <v/>
      </c>
      <c r="Z689" s="42" t="str">
        <f aca="false">IF(AND(AA689=1,ISNUMBER(C689)),C689+ROW()/100000,"")</f>
        <v/>
      </c>
      <c r="AA689" s="43" t="n">
        <f aca="false">IF(AND(D689&lt;&gt;"",ISNUMBER(B689),ISNUMBER(C689),N(H689)&gt;0,T689&lt;&gt;"Cancelled",J689&lt;&gt;""),1,0)</f>
        <v>0</v>
      </c>
      <c r="AB689" s="44" t="n">
        <f aca="false">IF(AA689=1,J689/H689,0)</f>
        <v>0</v>
      </c>
      <c r="AC689" s="44" t="n">
        <f aca="false">IF(AA689=1,Q689/H689,0)</f>
        <v>0</v>
      </c>
      <c r="AD689" s="44" t="n">
        <f aca="false">IF(AA689=1,R689/H689,0)</f>
        <v>0</v>
      </c>
      <c r="AE689" s="44" t="n">
        <f aca="false">IF(AA689=1,O689/H689,0)</f>
        <v>0</v>
      </c>
      <c r="AF689" s="44" t="n">
        <f aca="false">IF(AA689=1,K689/H689,0)</f>
        <v>0</v>
      </c>
      <c r="AG689" s="45" t="str">
        <f aca="false">IF(AA689=1,D689&amp;"|"&amp;TEXT(B689,"0"),"")</f>
        <v/>
      </c>
      <c r="AH689" s="43" t="n">
        <f aca="false">IF(AA689=1,H689,0)</f>
        <v>0</v>
      </c>
    </row>
    <row r="690" customFormat="false" ht="15" hidden="false" customHeight="false" outlineLevel="0" collapsed="false">
      <c r="A690" s="23" t="str">
        <f aca="false">IF(B690="","","B-"&amp;TEXT(ROW()-4,"0000"))</f>
        <v/>
      </c>
      <c r="B690" s="38"/>
      <c r="C690" s="38"/>
      <c r="D690" s="6"/>
      <c r="E690" s="6"/>
      <c r="F690" s="6"/>
      <c r="G690" s="11"/>
      <c r="H690" s="24" t="str">
        <f aca="false">IF(AND(ISNUMBER(B690),ISNUMBER(C690)),MAX(0,C690-B690),"")</f>
        <v/>
      </c>
      <c r="I690" s="37"/>
      <c r="J690" s="46" t="str">
        <f aca="false">IF(OR(D690="",N(H690)=0),"",IFERROR(IF(I690&lt;&gt;"",H690*I690,ROUND(((H690-(INT((WEEKDAY(B690-6)+H690-1)/7)+INT((WEEKDAY(B690-7)+H690-1)/7)))*INDEX(Properties!$E$5:$E$24,MATCH(D690,Properties!$A$5:$A$24,0))+(INT((WEEKDAY(B690-6)+H690-1)/7)+INT((WEEKDAY(B690-7)+H690-1)/7))*INDEX(Properties!$F$5:$F$24,MATCH(D690,Properties!$A$5:$A$24,0)))*(1-IF(H690&gt;=28,Settings!$B$10,IF(H690&gt;=7,Settings!$B$9,0))),2)),0))</f>
        <v/>
      </c>
      <c r="K690" s="46" t="str">
        <f aca="false">IF(J690="","",IFERROR(N(INDEX(Properties!$G$5:$G$24,MATCH(D690,Properties!$A$5:$A$24,0))),0))</f>
        <v/>
      </c>
      <c r="L690" s="46" t="str">
        <f aca="false">IF(J690="","",IFERROR(MAX(0,N(G690)-INDEX(Properties!$I$5:$I$24,MATCH(D690,Properties!$A$5:$A$24,0)))*N(INDEX(Properties!$J$5:$J$24,MATCH(D690,Properties!$A$5:$A$24,0)))*H690,0))</f>
        <v/>
      </c>
      <c r="M690" s="37"/>
      <c r="N690" s="46" t="str">
        <f aca="false">IF(J690="","",J690+K690+L690+N(M690))</f>
        <v/>
      </c>
      <c r="O690" s="46" t="str">
        <f aca="false">IF(N690="","",IF(P690&lt;&gt;"",N690-P690,ROUND(N690*IFERROR(INDEX(Settings!$E$5:$E$12,MATCH(F690,Settings!$D$5:$D$12,0)),0),2)))</f>
        <v/>
      </c>
      <c r="P690" s="37"/>
      <c r="Q690" s="46" t="str">
        <f aca="false">IF(N690="","",IF(P690&lt;&gt;"",P690,N690-O690))</f>
        <v/>
      </c>
      <c r="R690" s="46" t="str">
        <f aca="false">IF(J690="","",IFERROR(N(INDEX(Properties!$H$5:$H$24,MATCH(D690,Properties!$A$5:$A$24,0))),0))</f>
        <v/>
      </c>
      <c r="S690" s="46" t="str">
        <f aca="false">IF(Q690="","",Q690-R690)</f>
        <v/>
      </c>
      <c r="T690" s="6"/>
      <c r="U690" s="6"/>
      <c r="V690" s="6"/>
      <c r="W690" s="6"/>
      <c r="X690" s="6"/>
      <c r="Y690" s="8" t="str">
        <f aca="false">IF(OR(D690="",B690="",C690=""),"",IF(N(C690)&lt;=N(B690),"Check dates",IF(T690="Cancelled","",IF(COUNTIFS($D$5:$D$1004,D690,$B$5:$B$1004,"&lt;"&amp;C690,$C$5:$C$1004,"&gt;"&amp;B690,$T$5:$T$1004,"&lt;&gt;Cancelled")&gt;1,"Double-booked",""))))</f>
        <v/>
      </c>
      <c r="Z690" s="42" t="str">
        <f aca="false">IF(AND(AA690=1,ISNUMBER(C690)),C690+ROW()/100000,"")</f>
        <v/>
      </c>
      <c r="AA690" s="43" t="n">
        <f aca="false">IF(AND(D690&lt;&gt;"",ISNUMBER(B690),ISNUMBER(C690),N(H690)&gt;0,T690&lt;&gt;"Cancelled",J690&lt;&gt;""),1,0)</f>
        <v>0</v>
      </c>
      <c r="AB690" s="44" t="n">
        <f aca="false">IF(AA690=1,J690/H690,0)</f>
        <v>0</v>
      </c>
      <c r="AC690" s="44" t="n">
        <f aca="false">IF(AA690=1,Q690/H690,0)</f>
        <v>0</v>
      </c>
      <c r="AD690" s="44" t="n">
        <f aca="false">IF(AA690=1,R690/H690,0)</f>
        <v>0</v>
      </c>
      <c r="AE690" s="44" t="n">
        <f aca="false">IF(AA690=1,O690/H690,0)</f>
        <v>0</v>
      </c>
      <c r="AF690" s="44" t="n">
        <f aca="false">IF(AA690=1,K690/H690,0)</f>
        <v>0</v>
      </c>
      <c r="AG690" s="45" t="str">
        <f aca="false">IF(AA690=1,D690&amp;"|"&amp;TEXT(B690,"0"),"")</f>
        <v/>
      </c>
      <c r="AH690" s="43" t="n">
        <f aca="false">IF(AA690=1,H690,0)</f>
        <v>0</v>
      </c>
    </row>
    <row r="691" customFormat="false" ht="15" hidden="false" customHeight="false" outlineLevel="0" collapsed="false">
      <c r="A691" s="8" t="str">
        <f aca="false">IF(B691="","","B-"&amp;TEXT(ROW()-4,"0000"))</f>
        <v/>
      </c>
      <c r="B691" s="38"/>
      <c r="C691" s="38"/>
      <c r="D691" s="6"/>
      <c r="E691" s="6"/>
      <c r="F691" s="6"/>
      <c r="G691" s="11"/>
      <c r="H691" s="18" t="str">
        <f aca="false">IF(AND(ISNUMBER(B691),ISNUMBER(C691)),MAX(0,C691-B691),"")</f>
        <v/>
      </c>
      <c r="I691" s="37"/>
      <c r="J691" s="41" t="str">
        <f aca="false">IF(OR(D691="",N(H691)=0),"",IFERROR(IF(I691&lt;&gt;"",H691*I691,ROUND(((H691-(INT((WEEKDAY(B691-6)+H691-1)/7)+INT((WEEKDAY(B691-7)+H691-1)/7)))*INDEX(Properties!$E$5:$E$24,MATCH(D691,Properties!$A$5:$A$24,0))+(INT((WEEKDAY(B691-6)+H691-1)/7)+INT((WEEKDAY(B691-7)+H691-1)/7))*INDEX(Properties!$F$5:$F$24,MATCH(D691,Properties!$A$5:$A$24,0)))*(1-IF(H691&gt;=28,Settings!$B$10,IF(H691&gt;=7,Settings!$B$9,0))),2)),0))</f>
        <v/>
      </c>
      <c r="K691" s="41" t="str">
        <f aca="false">IF(J691="","",IFERROR(N(INDEX(Properties!$G$5:$G$24,MATCH(D691,Properties!$A$5:$A$24,0))),0))</f>
        <v/>
      </c>
      <c r="L691" s="41" t="str">
        <f aca="false">IF(J691="","",IFERROR(MAX(0,N(G691)-INDEX(Properties!$I$5:$I$24,MATCH(D691,Properties!$A$5:$A$24,0)))*N(INDEX(Properties!$J$5:$J$24,MATCH(D691,Properties!$A$5:$A$24,0)))*H691,0))</f>
        <v/>
      </c>
      <c r="M691" s="37"/>
      <c r="N691" s="41" t="str">
        <f aca="false">IF(J691="","",J691+K691+L691+N(M691))</f>
        <v/>
      </c>
      <c r="O691" s="41" t="str">
        <f aca="false">IF(N691="","",IF(P691&lt;&gt;"",N691-P691,ROUND(N691*IFERROR(INDEX(Settings!$E$5:$E$12,MATCH(F691,Settings!$D$5:$D$12,0)),0),2)))</f>
        <v/>
      </c>
      <c r="P691" s="37"/>
      <c r="Q691" s="41" t="str">
        <f aca="false">IF(N691="","",IF(P691&lt;&gt;"",P691,N691-O691))</f>
        <v/>
      </c>
      <c r="R691" s="41" t="str">
        <f aca="false">IF(J691="","",IFERROR(N(INDEX(Properties!$H$5:$H$24,MATCH(D691,Properties!$A$5:$A$24,0))),0))</f>
        <v/>
      </c>
      <c r="S691" s="41" t="str">
        <f aca="false">IF(Q691="","",Q691-R691)</f>
        <v/>
      </c>
      <c r="T691" s="6"/>
      <c r="U691" s="6"/>
      <c r="V691" s="6"/>
      <c r="W691" s="6"/>
      <c r="X691" s="6"/>
      <c r="Y691" s="8" t="str">
        <f aca="false">IF(OR(D691="",B691="",C691=""),"",IF(N(C691)&lt;=N(B691),"Check dates",IF(T691="Cancelled","",IF(COUNTIFS($D$5:$D$1004,D691,$B$5:$B$1004,"&lt;"&amp;C691,$C$5:$C$1004,"&gt;"&amp;B691,$T$5:$T$1004,"&lt;&gt;Cancelled")&gt;1,"Double-booked",""))))</f>
        <v/>
      </c>
      <c r="Z691" s="42" t="str">
        <f aca="false">IF(AND(AA691=1,ISNUMBER(C691)),C691+ROW()/100000,"")</f>
        <v/>
      </c>
      <c r="AA691" s="43" t="n">
        <f aca="false">IF(AND(D691&lt;&gt;"",ISNUMBER(B691),ISNUMBER(C691),N(H691)&gt;0,T691&lt;&gt;"Cancelled",J691&lt;&gt;""),1,0)</f>
        <v>0</v>
      </c>
      <c r="AB691" s="44" t="n">
        <f aca="false">IF(AA691=1,J691/H691,0)</f>
        <v>0</v>
      </c>
      <c r="AC691" s="44" t="n">
        <f aca="false">IF(AA691=1,Q691/H691,0)</f>
        <v>0</v>
      </c>
      <c r="AD691" s="44" t="n">
        <f aca="false">IF(AA691=1,R691/H691,0)</f>
        <v>0</v>
      </c>
      <c r="AE691" s="44" t="n">
        <f aca="false">IF(AA691=1,O691/H691,0)</f>
        <v>0</v>
      </c>
      <c r="AF691" s="44" t="n">
        <f aca="false">IF(AA691=1,K691/H691,0)</f>
        <v>0</v>
      </c>
      <c r="AG691" s="45" t="str">
        <f aca="false">IF(AA691=1,D691&amp;"|"&amp;TEXT(B691,"0"),"")</f>
        <v/>
      </c>
      <c r="AH691" s="43" t="n">
        <f aca="false">IF(AA691=1,H691,0)</f>
        <v>0</v>
      </c>
    </row>
    <row r="692" customFormat="false" ht="15" hidden="false" customHeight="false" outlineLevel="0" collapsed="false">
      <c r="A692" s="23" t="str">
        <f aca="false">IF(B692="","","B-"&amp;TEXT(ROW()-4,"0000"))</f>
        <v/>
      </c>
      <c r="B692" s="38"/>
      <c r="C692" s="38"/>
      <c r="D692" s="6"/>
      <c r="E692" s="6"/>
      <c r="F692" s="6"/>
      <c r="G692" s="11"/>
      <c r="H692" s="24" t="str">
        <f aca="false">IF(AND(ISNUMBER(B692),ISNUMBER(C692)),MAX(0,C692-B692),"")</f>
        <v/>
      </c>
      <c r="I692" s="37"/>
      <c r="J692" s="46" t="str">
        <f aca="false">IF(OR(D692="",N(H692)=0),"",IFERROR(IF(I692&lt;&gt;"",H692*I692,ROUND(((H692-(INT((WEEKDAY(B692-6)+H692-1)/7)+INT((WEEKDAY(B692-7)+H692-1)/7)))*INDEX(Properties!$E$5:$E$24,MATCH(D692,Properties!$A$5:$A$24,0))+(INT((WEEKDAY(B692-6)+H692-1)/7)+INT((WEEKDAY(B692-7)+H692-1)/7))*INDEX(Properties!$F$5:$F$24,MATCH(D692,Properties!$A$5:$A$24,0)))*(1-IF(H692&gt;=28,Settings!$B$10,IF(H692&gt;=7,Settings!$B$9,0))),2)),0))</f>
        <v/>
      </c>
      <c r="K692" s="46" t="str">
        <f aca="false">IF(J692="","",IFERROR(N(INDEX(Properties!$G$5:$G$24,MATCH(D692,Properties!$A$5:$A$24,0))),0))</f>
        <v/>
      </c>
      <c r="L692" s="46" t="str">
        <f aca="false">IF(J692="","",IFERROR(MAX(0,N(G692)-INDEX(Properties!$I$5:$I$24,MATCH(D692,Properties!$A$5:$A$24,0)))*N(INDEX(Properties!$J$5:$J$24,MATCH(D692,Properties!$A$5:$A$24,0)))*H692,0))</f>
        <v/>
      </c>
      <c r="M692" s="37"/>
      <c r="N692" s="46" t="str">
        <f aca="false">IF(J692="","",J692+K692+L692+N(M692))</f>
        <v/>
      </c>
      <c r="O692" s="46" t="str">
        <f aca="false">IF(N692="","",IF(P692&lt;&gt;"",N692-P692,ROUND(N692*IFERROR(INDEX(Settings!$E$5:$E$12,MATCH(F692,Settings!$D$5:$D$12,0)),0),2)))</f>
        <v/>
      </c>
      <c r="P692" s="37"/>
      <c r="Q692" s="46" t="str">
        <f aca="false">IF(N692="","",IF(P692&lt;&gt;"",P692,N692-O692))</f>
        <v/>
      </c>
      <c r="R692" s="46" t="str">
        <f aca="false">IF(J692="","",IFERROR(N(INDEX(Properties!$H$5:$H$24,MATCH(D692,Properties!$A$5:$A$24,0))),0))</f>
        <v/>
      </c>
      <c r="S692" s="46" t="str">
        <f aca="false">IF(Q692="","",Q692-R692)</f>
        <v/>
      </c>
      <c r="T692" s="6"/>
      <c r="U692" s="6"/>
      <c r="V692" s="6"/>
      <c r="W692" s="6"/>
      <c r="X692" s="6"/>
      <c r="Y692" s="8" t="str">
        <f aca="false">IF(OR(D692="",B692="",C692=""),"",IF(N(C692)&lt;=N(B692),"Check dates",IF(T692="Cancelled","",IF(COUNTIFS($D$5:$D$1004,D692,$B$5:$B$1004,"&lt;"&amp;C692,$C$5:$C$1004,"&gt;"&amp;B692,$T$5:$T$1004,"&lt;&gt;Cancelled")&gt;1,"Double-booked",""))))</f>
        <v/>
      </c>
      <c r="Z692" s="42" t="str">
        <f aca="false">IF(AND(AA692=1,ISNUMBER(C692)),C692+ROW()/100000,"")</f>
        <v/>
      </c>
      <c r="AA692" s="43" t="n">
        <f aca="false">IF(AND(D692&lt;&gt;"",ISNUMBER(B692),ISNUMBER(C692),N(H692)&gt;0,T692&lt;&gt;"Cancelled",J692&lt;&gt;""),1,0)</f>
        <v>0</v>
      </c>
      <c r="AB692" s="44" t="n">
        <f aca="false">IF(AA692=1,J692/H692,0)</f>
        <v>0</v>
      </c>
      <c r="AC692" s="44" t="n">
        <f aca="false">IF(AA692=1,Q692/H692,0)</f>
        <v>0</v>
      </c>
      <c r="AD692" s="44" t="n">
        <f aca="false">IF(AA692=1,R692/H692,0)</f>
        <v>0</v>
      </c>
      <c r="AE692" s="44" t="n">
        <f aca="false">IF(AA692=1,O692/H692,0)</f>
        <v>0</v>
      </c>
      <c r="AF692" s="44" t="n">
        <f aca="false">IF(AA692=1,K692/H692,0)</f>
        <v>0</v>
      </c>
      <c r="AG692" s="45" t="str">
        <f aca="false">IF(AA692=1,D692&amp;"|"&amp;TEXT(B692,"0"),"")</f>
        <v/>
      </c>
      <c r="AH692" s="43" t="n">
        <f aca="false">IF(AA692=1,H692,0)</f>
        <v>0</v>
      </c>
    </row>
    <row r="693" customFormat="false" ht="15" hidden="false" customHeight="false" outlineLevel="0" collapsed="false">
      <c r="A693" s="8" t="str">
        <f aca="false">IF(B693="","","B-"&amp;TEXT(ROW()-4,"0000"))</f>
        <v/>
      </c>
      <c r="B693" s="38"/>
      <c r="C693" s="38"/>
      <c r="D693" s="6"/>
      <c r="E693" s="6"/>
      <c r="F693" s="6"/>
      <c r="G693" s="11"/>
      <c r="H693" s="18" t="str">
        <f aca="false">IF(AND(ISNUMBER(B693),ISNUMBER(C693)),MAX(0,C693-B693),"")</f>
        <v/>
      </c>
      <c r="I693" s="37"/>
      <c r="J693" s="41" t="str">
        <f aca="false">IF(OR(D693="",N(H693)=0),"",IFERROR(IF(I693&lt;&gt;"",H693*I693,ROUND(((H693-(INT((WEEKDAY(B693-6)+H693-1)/7)+INT((WEEKDAY(B693-7)+H693-1)/7)))*INDEX(Properties!$E$5:$E$24,MATCH(D693,Properties!$A$5:$A$24,0))+(INT((WEEKDAY(B693-6)+H693-1)/7)+INT((WEEKDAY(B693-7)+H693-1)/7))*INDEX(Properties!$F$5:$F$24,MATCH(D693,Properties!$A$5:$A$24,0)))*(1-IF(H693&gt;=28,Settings!$B$10,IF(H693&gt;=7,Settings!$B$9,0))),2)),0))</f>
        <v/>
      </c>
      <c r="K693" s="41" t="str">
        <f aca="false">IF(J693="","",IFERROR(N(INDEX(Properties!$G$5:$G$24,MATCH(D693,Properties!$A$5:$A$24,0))),0))</f>
        <v/>
      </c>
      <c r="L693" s="41" t="str">
        <f aca="false">IF(J693="","",IFERROR(MAX(0,N(G693)-INDEX(Properties!$I$5:$I$24,MATCH(D693,Properties!$A$5:$A$24,0)))*N(INDEX(Properties!$J$5:$J$24,MATCH(D693,Properties!$A$5:$A$24,0)))*H693,0))</f>
        <v/>
      </c>
      <c r="M693" s="37"/>
      <c r="N693" s="41" t="str">
        <f aca="false">IF(J693="","",J693+K693+L693+N(M693))</f>
        <v/>
      </c>
      <c r="O693" s="41" t="str">
        <f aca="false">IF(N693="","",IF(P693&lt;&gt;"",N693-P693,ROUND(N693*IFERROR(INDEX(Settings!$E$5:$E$12,MATCH(F693,Settings!$D$5:$D$12,0)),0),2)))</f>
        <v/>
      </c>
      <c r="P693" s="37"/>
      <c r="Q693" s="41" t="str">
        <f aca="false">IF(N693="","",IF(P693&lt;&gt;"",P693,N693-O693))</f>
        <v/>
      </c>
      <c r="R693" s="41" t="str">
        <f aca="false">IF(J693="","",IFERROR(N(INDEX(Properties!$H$5:$H$24,MATCH(D693,Properties!$A$5:$A$24,0))),0))</f>
        <v/>
      </c>
      <c r="S693" s="41" t="str">
        <f aca="false">IF(Q693="","",Q693-R693)</f>
        <v/>
      </c>
      <c r="T693" s="6"/>
      <c r="U693" s="6"/>
      <c r="V693" s="6"/>
      <c r="W693" s="6"/>
      <c r="X693" s="6"/>
      <c r="Y693" s="8" t="str">
        <f aca="false">IF(OR(D693="",B693="",C693=""),"",IF(N(C693)&lt;=N(B693),"Check dates",IF(T693="Cancelled","",IF(COUNTIFS($D$5:$D$1004,D693,$B$5:$B$1004,"&lt;"&amp;C693,$C$5:$C$1004,"&gt;"&amp;B693,$T$5:$T$1004,"&lt;&gt;Cancelled")&gt;1,"Double-booked",""))))</f>
        <v/>
      </c>
      <c r="Z693" s="42" t="str">
        <f aca="false">IF(AND(AA693=1,ISNUMBER(C693)),C693+ROW()/100000,"")</f>
        <v/>
      </c>
      <c r="AA693" s="43" t="n">
        <f aca="false">IF(AND(D693&lt;&gt;"",ISNUMBER(B693),ISNUMBER(C693),N(H693)&gt;0,T693&lt;&gt;"Cancelled",J693&lt;&gt;""),1,0)</f>
        <v>0</v>
      </c>
      <c r="AB693" s="44" t="n">
        <f aca="false">IF(AA693=1,J693/H693,0)</f>
        <v>0</v>
      </c>
      <c r="AC693" s="44" t="n">
        <f aca="false">IF(AA693=1,Q693/H693,0)</f>
        <v>0</v>
      </c>
      <c r="AD693" s="44" t="n">
        <f aca="false">IF(AA693=1,R693/H693,0)</f>
        <v>0</v>
      </c>
      <c r="AE693" s="44" t="n">
        <f aca="false">IF(AA693=1,O693/H693,0)</f>
        <v>0</v>
      </c>
      <c r="AF693" s="44" t="n">
        <f aca="false">IF(AA693=1,K693/H693,0)</f>
        <v>0</v>
      </c>
      <c r="AG693" s="45" t="str">
        <f aca="false">IF(AA693=1,D693&amp;"|"&amp;TEXT(B693,"0"),"")</f>
        <v/>
      </c>
      <c r="AH693" s="43" t="n">
        <f aca="false">IF(AA693=1,H693,0)</f>
        <v>0</v>
      </c>
    </row>
    <row r="694" customFormat="false" ht="15" hidden="false" customHeight="false" outlineLevel="0" collapsed="false">
      <c r="A694" s="23" t="str">
        <f aca="false">IF(B694="","","B-"&amp;TEXT(ROW()-4,"0000"))</f>
        <v/>
      </c>
      <c r="B694" s="38"/>
      <c r="C694" s="38"/>
      <c r="D694" s="6"/>
      <c r="E694" s="6"/>
      <c r="F694" s="6"/>
      <c r="G694" s="11"/>
      <c r="H694" s="24" t="str">
        <f aca="false">IF(AND(ISNUMBER(B694),ISNUMBER(C694)),MAX(0,C694-B694),"")</f>
        <v/>
      </c>
      <c r="I694" s="37"/>
      <c r="J694" s="46" t="str">
        <f aca="false">IF(OR(D694="",N(H694)=0),"",IFERROR(IF(I694&lt;&gt;"",H694*I694,ROUND(((H694-(INT((WEEKDAY(B694-6)+H694-1)/7)+INT((WEEKDAY(B694-7)+H694-1)/7)))*INDEX(Properties!$E$5:$E$24,MATCH(D694,Properties!$A$5:$A$24,0))+(INT((WEEKDAY(B694-6)+H694-1)/7)+INT((WEEKDAY(B694-7)+H694-1)/7))*INDEX(Properties!$F$5:$F$24,MATCH(D694,Properties!$A$5:$A$24,0)))*(1-IF(H694&gt;=28,Settings!$B$10,IF(H694&gt;=7,Settings!$B$9,0))),2)),0))</f>
        <v/>
      </c>
      <c r="K694" s="46" t="str">
        <f aca="false">IF(J694="","",IFERROR(N(INDEX(Properties!$G$5:$G$24,MATCH(D694,Properties!$A$5:$A$24,0))),0))</f>
        <v/>
      </c>
      <c r="L694" s="46" t="str">
        <f aca="false">IF(J694="","",IFERROR(MAX(0,N(G694)-INDEX(Properties!$I$5:$I$24,MATCH(D694,Properties!$A$5:$A$24,0)))*N(INDEX(Properties!$J$5:$J$24,MATCH(D694,Properties!$A$5:$A$24,0)))*H694,0))</f>
        <v/>
      </c>
      <c r="M694" s="37"/>
      <c r="N694" s="46" t="str">
        <f aca="false">IF(J694="","",J694+K694+L694+N(M694))</f>
        <v/>
      </c>
      <c r="O694" s="46" t="str">
        <f aca="false">IF(N694="","",IF(P694&lt;&gt;"",N694-P694,ROUND(N694*IFERROR(INDEX(Settings!$E$5:$E$12,MATCH(F694,Settings!$D$5:$D$12,0)),0),2)))</f>
        <v/>
      </c>
      <c r="P694" s="37"/>
      <c r="Q694" s="46" t="str">
        <f aca="false">IF(N694="","",IF(P694&lt;&gt;"",P694,N694-O694))</f>
        <v/>
      </c>
      <c r="R694" s="46" t="str">
        <f aca="false">IF(J694="","",IFERROR(N(INDEX(Properties!$H$5:$H$24,MATCH(D694,Properties!$A$5:$A$24,0))),0))</f>
        <v/>
      </c>
      <c r="S694" s="46" t="str">
        <f aca="false">IF(Q694="","",Q694-R694)</f>
        <v/>
      </c>
      <c r="T694" s="6"/>
      <c r="U694" s="6"/>
      <c r="V694" s="6"/>
      <c r="W694" s="6"/>
      <c r="X694" s="6"/>
      <c r="Y694" s="8" t="str">
        <f aca="false">IF(OR(D694="",B694="",C694=""),"",IF(N(C694)&lt;=N(B694),"Check dates",IF(T694="Cancelled","",IF(COUNTIFS($D$5:$D$1004,D694,$B$5:$B$1004,"&lt;"&amp;C694,$C$5:$C$1004,"&gt;"&amp;B694,$T$5:$T$1004,"&lt;&gt;Cancelled")&gt;1,"Double-booked",""))))</f>
        <v/>
      </c>
      <c r="Z694" s="42" t="str">
        <f aca="false">IF(AND(AA694=1,ISNUMBER(C694)),C694+ROW()/100000,"")</f>
        <v/>
      </c>
      <c r="AA694" s="43" t="n">
        <f aca="false">IF(AND(D694&lt;&gt;"",ISNUMBER(B694),ISNUMBER(C694),N(H694)&gt;0,T694&lt;&gt;"Cancelled",J694&lt;&gt;""),1,0)</f>
        <v>0</v>
      </c>
      <c r="AB694" s="44" t="n">
        <f aca="false">IF(AA694=1,J694/H694,0)</f>
        <v>0</v>
      </c>
      <c r="AC694" s="44" t="n">
        <f aca="false">IF(AA694=1,Q694/H694,0)</f>
        <v>0</v>
      </c>
      <c r="AD694" s="44" t="n">
        <f aca="false">IF(AA694=1,R694/H694,0)</f>
        <v>0</v>
      </c>
      <c r="AE694" s="44" t="n">
        <f aca="false">IF(AA694=1,O694/H694,0)</f>
        <v>0</v>
      </c>
      <c r="AF694" s="44" t="n">
        <f aca="false">IF(AA694=1,K694/H694,0)</f>
        <v>0</v>
      </c>
      <c r="AG694" s="45" t="str">
        <f aca="false">IF(AA694=1,D694&amp;"|"&amp;TEXT(B694,"0"),"")</f>
        <v/>
      </c>
      <c r="AH694" s="43" t="n">
        <f aca="false">IF(AA694=1,H694,0)</f>
        <v>0</v>
      </c>
    </row>
    <row r="695" customFormat="false" ht="15" hidden="false" customHeight="false" outlineLevel="0" collapsed="false">
      <c r="A695" s="8" t="str">
        <f aca="false">IF(B695="","","B-"&amp;TEXT(ROW()-4,"0000"))</f>
        <v/>
      </c>
      <c r="B695" s="38"/>
      <c r="C695" s="38"/>
      <c r="D695" s="6"/>
      <c r="E695" s="6"/>
      <c r="F695" s="6"/>
      <c r="G695" s="11"/>
      <c r="H695" s="18" t="str">
        <f aca="false">IF(AND(ISNUMBER(B695),ISNUMBER(C695)),MAX(0,C695-B695),"")</f>
        <v/>
      </c>
      <c r="I695" s="37"/>
      <c r="J695" s="41" t="str">
        <f aca="false">IF(OR(D695="",N(H695)=0),"",IFERROR(IF(I695&lt;&gt;"",H695*I695,ROUND(((H695-(INT((WEEKDAY(B695-6)+H695-1)/7)+INT((WEEKDAY(B695-7)+H695-1)/7)))*INDEX(Properties!$E$5:$E$24,MATCH(D695,Properties!$A$5:$A$24,0))+(INT((WEEKDAY(B695-6)+H695-1)/7)+INT((WEEKDAY(B695-7)+H695-1)/7))*INDEX(Properties!$F$5:$F$24,MATCH(D695,Properties!$A$5:$A$24,0)))*(1-IF(H695&gt;=28,Settings!$B$10,IF(H695&gt;=7,Settings!$B$9,0))),2)),0))</f>
        <v/>
      </c>
      <c r="K695" s="41" t="str">
        <f aca="false">IF(J695="","",IFERROR(N(INDEX(Properties!$G$5:$G$24,MATCH(D695,Properties!$A$5:$A$24,0))),0))</f>
        <v/>
      </c>
      <c r="L695" s="41" t="str">
        <f aca="false">IF(J695="","",IFERROR(MAX(0,N(G695)-INDEX(Properties!$I$5:$I$24,MATCH(D695,Properties!$A$5:$A$24,0)))*N(INDEX(Properties!$J$5:$J$24,MATCH(D695,Properties!$A$5:$A$24,0)))*H695,0))</f>
        <v/>
      </c>
      <c r="M695" s="37"/>
      <c r="N695" s="41" t="str">
        <f aca="false">IF(J695="","",J695+K695+L695+N(M695))</f>
        <v/>
      </c>
      <c r="O695" s="41" t="str">
        <f aca="false">IF(N695="","",IF(P695&lt;&gt;"",N695-P695,ROUND(N695*IFERROR(INDEX(Settings!$E$5:$E$12,MATCH(F695,Settings!$D$5:$D$12,0)),0),2)))</f>
        <v/>
      </c>
      <c r="P695" s="37"/>
      <c r="Q695" s="41" t="str">
        <f aca="false">IF(N695="","",IF(P695&lt;&gt;"",P695,N695-O695))</f>
        <v/>
      </c>
      <c r="R695" s="41" t="str">
        <f aca="false">IF(J695="","",IFERROR(N(INDEX(Properties!$H$5:$H$24,MATCH(D695,Properties!$A$5:$A$24,0))),0))</f>
        <v/>
      </c>
      <c r="S695" s="41" t="str">
        <f aca="false">IF(Q695="","",Q695-R695)</f>
        <v/>
      </c>
      <c r="T695" s="6"/>
      <c r="U695" s="6"/>
      <c r="V695" s="6"/>
      <c r="W695" s="6"/>
      <c r="X695" s="6"/>
      <c r="Y695" s="8" t="str">
        <f aca="false">IF(OR(D695="",B695="",C695=""),"",IF(N(C695)&lt;=N(B695),"Check dates",IF(T695="Cancelled","",IF(COUNTIFS($D$5:$D$1004,D695,$B$5:$B$1004,"&lt;"&amp;C695,$C$5:$C$1004,"&gt;"&amp;B695,$T$5:$T$1004,"&lt;&gt;Cancelled")&gt;1,"Double-booked",""))))</f>
        <v/>
      </c>
      <c r="Z695" s="42" t="str">
        <f aca="false">IF(AND(AA695=1,ISNUMBER(C695)),C695+ROW()/100000,"")</f>
        <v/>
      </c>
      <c r="AA695" s="43" t="n">
        <f aca="false">IF(AND(D695&lt;&gt;"",ISNUMBER(B695),ISNUMBER(C695),N(H695)&gt;0,T695&lt;&gt;"Cancelled",J695&lt;&gt;""),1,0)</f>
        <v>0</v>
      </c>
      <c r="AB695" s="44" t="n">
        <f aca="false">IF(AA695=1,J695/H695,0)</f>
        <v>0</v>
      </c>
      <c r="AC695" s="44" t="n">
        <f aca="false">IF(AA695=1,Q695/H695,0)</f>
        <v>0</v>
      </c>
      <c r="AD695" s="44" t="n">
        <f aca="false">IF(AA695=1,R695/H695,0)</f>
        <v>0</v>
      </c>
      <c r="AE695" s="44" t="n">
        <f aca="false">IF(AA695=1,O695/H695,0)</f>
        <v>0</v>
      </c>
      <c r="AF695" s="44" t="n">
        <f aca="false">IF(AA695=1,K695/H695,0)</f>
        <v>0</v>
      </c>
      <c r="AG695" s="45" t="str">
        <f aca="false">IF(AA695=1,D695&amp;"|"&amp;TEXT(B695,"0"),"")</f>
        <v/>
      </c>
      <c r="AH695" s="43" t="n">
        <f aca="false">IF(AA695=1,H695,0)</f>
        <v>0</v>
      </c>
    </row>
    <row r="696" customFormat="false" ht="15" hidden="false" customHeight="false" outlineLevel="0" collapsed="false">
      <c r="A696" s="23" t="str">
        <f aca="false">IF(B696="","","B-"&amp;TEXT(ROW()-4,"0000"))</f>
        <v/>
      </c>
      <c r="B696" s="38"/>
      <c r="C696" s="38"/>
      <c r="D696" s="6"/>
      <c r="E696" s="6"/>
      <c r="F696" s="6"/>
      <c r="G696" s="11"/>
      <c r="H696" s="24" t="str">
        <f aca="false">IF(AND(ISNUMBER(B696),ISNUMBER(C696)),MAX(0,C696-B696),"")</f>
        <v/>
      </c>
      <c r="I696" s="37"/>
      <c r="J696" s="46" t="str">
        <f aca="false">IF(OR(D696="",N(H696)=0),"",IFERROR(IF(I696&lt;&gt;"",H696*I696,ROUND(((H696-(INT((WEEKDAY(B696-6)+H696-1)/7)+INT((WEEKDAY(B696-7)+H696-1)/7)))*INDEX(Properties!$E$5:$E$24,MATCH(D696,Properties!$A$5:$A$24,0))+(INT((WEEKDAY(B696-6)+H696-1)/7)+INT((WEEKDAY(B696-7)+H696-1)/7))*INDEX(Properties!$F$5:$F$24,MATCH(D696,Properties!$A$5:$A$24,0)))*(1-IF(H696&gt;=28,Settings!$B$10,IF(H696&gt;=7,Settings!$B$9,0))),2)),0))</f>
        <v/>
      </c>
      <c r="K696" s="46" t="str">
        <f aca="false">IF(J696="","",IFERROR(N(INDEX(Properties!$G$5:$G$24,MATCH(D696,Properties!$A$5:$A$24,0))),0))</f>
        <v/>
      </c>
      <c r="L696" s="46" t="str">
        <f aca="false">IF(J696="","",IFERROR(MAX(0,N(G696)-INDEX(Properties!$I$5:$I$24,MATCH(D696,Properties!$A$5:$A$24,0)))*N(INDEX(Properties!$J$5:$J$24,MATCH(D696,Properties!$A$5:$A$24,0)))*H696,0))</f>
        <v/>
      </c>
      <c r="M696" s="37"/>
      <c r="N696" s="46" t="str">
        <f aca="false">IF(J696="","",J696+K696+L696+N(M696))</f>
        <v/>
      </c>
      <c r="O696" s="46" t="str">
        <f aca="false">IF(N696="","",IF(P696&lt;&gt;"",N696-P696,ROUND(N696*IFERROR(INDEX(Settings!$E$5:$E$12,MATCH(F696,Settings!$D$5:$D$12,0)),0),2)))</f>
        <v/>
      </c>
      <c r="P696" s="37"/>
      <c r="Q696" s="46" t="str">
        <f aca="false">IF(N696="","",IF(P696&lt;&gt;"",P696,N696-O696))</f>
        <v/>
      </c>
      <c r="R696" s="46" t="str">
        <f aca="false">IF(J696="","",IFERROR(N(INDEX(Properties!$H$5:$H$24,MATCH(D696,Properties!$A$5:$A$24,0))),0))</f>
        <v/>
      </c>
      <c r="S696" s="46" t="str">
        <f aca="false">IF(Q696="","",Q696-R696)</f>
        <v/>
      </c>
      <c r="T696" s="6"/>
      <c r="U696" s="6"/>
      <c r="V696" s="6"/>
      <c r="W696" s="6"/>
      <c r="X696" s="6"/>
      <c r="Y696" s="8" t="str">
        <f aca="false">IF(OR(D696="",B696="",C696=""),"",IF(N(C696)&lt;=N(B696),"Check dates",IF(T696="Cancelled","",IF(COUNTIFS($D$5:$D$1004,D696,$B$5:$B$1004,"&lt;"&amp;C696,$C$5:$C$1004,"&gt;"&amp;B696,$T$5:$T$1004,"&lt;&gt;Cancelled")&gt;1,"Double-booked",""))))</f>
        <v/>
      </c>
      <c r="Z696" s="42" t="str">
        <f aca="false">IF(AND(AA696=1,ISNUMBER(C696)),C696+ROW()/100000,"")</f>
        <v/>
      </c>
      <c r="AA696" s="43" t="n">
        <f aca="false">IF(AND(D696&lt;&gt;"",ISNUMBER(B696),ISNUMBER(C696),N(H696)&gt;0,T696&lt;&gt;"Cancelled",J696&lt;&gt;""),1,0)</f>
        <v>0</v>
      </c>
      <c r="AB696" s="44" t="n">
        <f aca="false">IF(AA696=1,J696/H696,0)</f>
        <v>0</v>
      </c>
      <c r="AC696" s="44" t="n">
        <f aca="false">IF(AA696=1,Q696/H696,0)</f>
        <v>0</v>
      </c>
      <c r="AD696" s="44" t="n">
        <f aca="false">IF(AA696=1,R696/H696,0)</f>
        <v>0</v>
      </c>
      <c r="AE696" s="44" t="n">
        <f aca="false">IF(AA696=1,O696/H696,0)</f>
        <v>0</v>
      </c>
      <c r="AF696" s="44" t="n">
        <f aca="false">IF(AA696=1,K696/H696,0)</f>
        <v>0</v>
      </c>
      <c r="AG696" s="45" t="str">
        <f aca="false">IF(AA696=1,D696&amp;"|"&amp;TEXT(B696,"0"),"")</f>
        <v/>
      </c>
      <c r="AH696" s="43" t="n">
        <f aca="false">IF(AA696=1,H696,0)</f>
        <v>0</v>
      </c>
    </row>
    <row r="697" customFormat="false" ht="15" hidden="false" customHeight="false" outlineLevel="0" collapsed="false">
      <c r="A697" s="8" t="str">
        <f aca="false">IF(B697="","","B-"&amp;TEXT(ROW()-4,"0000"))</f>
        <v/>
      </c>
      <c r="B697" s="38"/>
      <c r="C697" s="38"/>
      <c r="D697" s="6"/>
      <c r="E697" s="6"/>
      <c r="F697" s="6"/>
      <c r="G697" s="11"/>
      <c r="H697" s="18" t="str">
        <f aca="false">IF(AND(ISNUMBER(B697),ISNUMBER(C697)),MAX(0,C697-B697),"")</f>
        <v/>
      </c>
      <c r="I697" s="37"/>
      <c r="J697" s="41" t="str">
        <f aca="false">IF(OR(D697="",N(H697)=0),"",IFERROR(IF(I697&lt;&gt;"",H697*I697,ROUND(((H697-(INT((WEEKDAY(B697-6)+H697-1)/7)+INT((WEEKDAY(B697-7)+H697-1)/7)))*INDEX(Properties!$E$5:$E$24,MATCH(D697,Properties!$A$5:$A$24,0))+(INT((WEEKDAY(B697-6)+H697-1)/7)+INT((WEEKDAY(B697-7)+H697-1)/7))*INDEX(Properties!$F$5:$F$24,MATCH(D697,Properties!$A$5:$A$24,0)))*(1-IF(H697&gt;=28,Settings!$B$10,IF(H697&gt;=7,Settings!$B$9,0))),2)),0))</f>
        <v/>
      </c>
      <c r="K697" s="41" t="str">
        <f aca="false">IF(J697="","",IFERROR(N(INDEX(Properties!$G$5:$G$24,MATCH(D697,Properties!$A$5:$A$24,0))),0))</f>
        <v/>
      </c>
      <c r="L697" s="41" t="str">
        <f aca="false">IF(J697="","",IFERROR(MAX(0,N(G697)-INDEX(Properties!$I$5:$I$24,MATCH(D697,Properties!$A$5:$A$24,0)))*N(INDEX(Properties!$J$5:$J$24,MATCH(D697,Properties!$A$5:$A$24,0)))*H697,0))</f>
        <v/>
      </c>
      <c r="M697" s="37"/>
      <c r="N697" s="41" t="str">
        <f aca="false">IF(J697="","",J697+K697+L697+N(M697))</f>
        <v/>
      </c>
      <c r="O697" s="41" t="str">
        <f aca="false">IF(N697="","",IF(P697&lt;&gt;"",N697-P697,ROUND(N697*IFERROR(INDEX(Settings!$E$5:$E$12,MATCH(F697,Settings!$D$5:$D$12,0)),0),2)))</f>
        <v/>
      </c>
      <c r="P697" s="37"/>
      <c r="Q697" s="41" t="str">
        <f aca="false">IF(N697="","",IF(P697&lt;&gt;"",P697,N697-O697))</f>
        <v/>
      </c>
      <c r="R697" s="41" t="str">
        <f aca="false">IF(J697="","",IFERROR(N(INDEX(Properties!$H$5:$H$24,MATCH(D697,Properties!$A$5:$A$24,0))),0))</f>
        <v/>
      </c>
      <c r="S697" s="41" t="str">
        <f aca="false">IF(Q697="","",Q697-R697)</f>
        <v/>
      </c>
      <c r="T697" s="6"/>
      <c r="U697" s="6"/>
      <c r="V697" s="6"/>
      <c r="W697" s="6"/>
      <c r="X697" s="6"/>
      <c r="Y697" s="8" t="str">
        <f aca="false">IF(OR(D697="",B697="",C697=""),"",IF(N(C697)&lt;=N(B697),"Check dates",IF(T697="Cancelled","",IF(COUNTIFS($D$5:$D$1004,D697,$B$5:$B$1004,"&lt;"&amp;C697,$C$5:$C$1004,"&gt;"&amp;B697,$T$5:$T$1004,"&lt;&gt;Cancelled")&gt;1,"Double-booked",""))))</f>
        <v/>
      </c>
      <c r="Z697" s="42" t="str">
        <f aca="false">IF(AND(AA697=1,ISNUMBER(C697)),C697+ROW()/100000,"")</f>
        <v/>
      </c>
      <c r="AA697" s="43" t="n">
        <f aca="false">IF(AND(D697&lt;&gt;"",ISNUMBER(B697),ISNUMBER(C697),N(H697)&gt;0,T697&lt;&gt;"Cancelled",J697&lt;&gt;""),1,0)</f>
        <v>0</v>
      </c>
      <c r="AB697" s="44" t="n">
        <f aca="false">IF(AA697=1,J697/H697,0)</f>
        <v>0</v>
      </c>
      <c r="AC697" s="44" t="n">
        <f aca="false">IF(AA697=1,Q697/H697,0)</f>
        <v>0</v>
      </c>
      <c r="AD697" s="44" t="n">
        <f aca="false">IF(AA697=1,R697/H697,0)</f>
        <v>0</v>
      </c>
      <c r="AE697" s="44" t="n">
        <f aca="false">IF(AA697=1,O697/H697,0)</f>
        <v>0</v>
      </c>
      <c r="AF697" s="44" t="n">
        <f aca="false">IF(AA697=1,K697/H697,0)</f>
        <v>0</v>
      </c>
      <c r="AG697" s="45" t="str">
        <f aca="false">IF(AA697=1,D697&amp;"|"&amp;TEXT(B697,"0"),"")</f>
        <v/>
      </c>
      <c r="AH697" s="43" t="n">
        <f aca="false">IF(AA697=1,H697,0)</f>
        <v>0</v>
      </c>
    </row>
    <row r="698" customFormat="false" ht="15" hidden="false" customHeight="false" outlineLevel="0" collapsed="false">
      <c r="A698" s="23" t="str">
        <f aca="false">IF(B698="","","B-"&amp;TEXT(ROW()-4,"0000"))</f>
        <v/>
      </c>
      <c r="B698" s="38"/>
      <c r="C698" s="38"/>
      <c r="D698" s="6"/>
      <c r="E698" s="6"/>
      <c r="F698" s="6"/>
      <c r="G698" s="11"/>
      <c r="H698" s="24" t="str">
        <f aca="false">IF(AND(ISNUMBER(B698),ISNUMBER(C698)),MAX(0,C698-B698),"")</f>
        <v/>
      </c>
      <c r="I698" s="37"/>
      <c r="J698" s="46" t="str">
        <f aca="false">IF(OR(D698="",N(H698)=0),"",IFERROR(IF(I698&lt;&gt;"",H698*I698,ROUND(((H698-(INT((WEEKDAY(B698-6)+H698-1)/7)+INT((WEEKDAY(B698-7)+H698-1)/7)))*INDEX(Properties!$E$5:$E$24,MATCH(D698,Properties!$A$5:$A$24,0))+(INT((WEEKDAY(B698-6)+H698-1)/7)+INT((WEEKDAY(B698-7)+H698-1)/7))*INDEX(Properties!$F$5:$F$24,MATCH(D698,Properties!$A$5:$A$24,0)))*(1-IF(H698&gt;=28,Settings!$B$10,IF(H698&gt;=7,Settings!$B$9,0))),2)),0))</f>
        <v/>
      </c>
      <c r="K698" s="46" t="str">
        <f aca="false">IF(J698="","",IFERROR(N(INDEX(Properties!$G$5:$G$24,MATCH(D698,Properties!$A$5:$A$24,0))),0))</f>
        <v/>
      </c>
      <c r="L698" s="46" t="str">
        <f aca="false">IF(J698="","",IFERROR(MAX(0,N(G698)-INDEX(Properties!$I$5:$I$24,MATCH(D698,Properties!$A$5:$A$24,0)))*N(INDEX(Properties!$J$5:$J$24,MATCH(D698,Properties!$A$5:$A$24,0)))*H698,0))</f>
        <v/>
      </c>
      <c r="M698" s="37"/>
      <c r="N698" s="46" t="str">
        <f aca="false">IF(J698="","",J698+K698+L698+N(M698))</f>
        <v/>
      </c>
      <c r="O698" s="46" t="str">
        <f aca="false">IF(N698="","",IF(P698&lt;&gt;"",N698-P698,ROUND(N698*IFERROR(INDEX(Settings!$E$5:$E$12,MATCH(F698,Settings!$D$5:$D$12,0)),0),2)))</f>
        <v/>
      </c>
      <c r="P698" s="37"/>
      <c r="Q698" s="46" t="str">
        <f aca="false">IF(N698="","",IF(P698&lt;&gt;"",P698,N698-O698))</f>
        <v/>
      </c>
      <c r="R698" s="46" t="str">
        <f aca="false">IF(J698="","",IFERROR(N(INDEX(Properties!$H$5:$H$24,MATCH(D698,Properties!$A$5:$A$24,0))),0))</f>
        <v/>
      </c>
      <c r="S698" s="46" t="str">
        <f aca="false">IF(Q698="","",Q698-R698)</f>
        <v/>
      </c>
      <c r="T698" s="6"/>
      <c r="U698" s="6"/>
      <c r="V698" s="6"/>
      <c r="W698" s="6"/>
      <c r="X698" s="6"/>
      <c r="Y698" s="8" t="str">
        <f aca="false">IF(OR(D698="",B698="",C698=""),"",IF(N(C698)&lt;=N(B698),"Check dates",IF(T698="Cancelled","",IF(COUNTIFS($D$5:$D$1004,D698,$B$5:$B$1004,"&lt;"&amp;C698,$C$5:$C$1004,"&gt;"&amp;B698,$T$5:$T$1004,"&lt;&gt;Cancelled")&gt;1,"Double-booked",""))))</f>
        <v/>
      </c>
      <c r="Z698" s="42" t="str">
        <f aca="false">IF(AND(AA698=1,ISNUMBER(C698)),C698+ROW()/100000,"")</f>
        <v/>
      </c>
      <c r="AA698" s="43" t="n">
        <f aca="false">IF(AND(D698&lt;&gt;"",ISNUMBER(B698),ISNUMBER(C698),N(H698)&gt;0,T698&lt;&gt;"Cancelled",J698&lt;&gt;""),1,0)</f>
        <v>0</v>
      </c>
      <c r="AB698" s="44" t="n">
        <f aca="false">IF(AA698=1,J698/H698,0)</f>
        <v>0</v>
      </c>
      <c r="AC698" s="44" t="n">
        <f aca="false">IF(AA698=1,Q698/H698,0)</f>
        <v>0</v>
      </c>
      <c r="AD698" s="44" t="n">
        <f aca="false">IF(AA698=1,R698/H698,0)</f>
        <v>0</v>
      </c>
      <c r="AE698" s="44" t="n">
        <f aca="false">IF(AA698=1,O698/H698,0)</f>
        <v>0</v>
      </c>
      <c r="AF698" s="44" t="n">
        <f aca="false">IF(AA698=1,K698/H698,0)</f>
        <v>0</v>
      </c>
      <c r="AG698" s="45" t="str">
        <f aca="false">IF(AA698=1,D698&amp;"|"&amp;TEXT(B698,"0"),"")</f>
        <v/>
      </c>
      <c r="AH698" s="43" t="n">
        <f aca="false">IF(AA698=1,H698,0)</f>
        <v>0</v>
      </c>
    </row>
    <row r="699" customFormat="false" ht="15" hidden="false" customHeight="false" outlineLevel="0" collapsed="false">
      <c r="A699" s="8" t="str">
        <f aca="false">IF(B699="","","B-"&amp;TEXT(ROW()-4,"0000"))</f>
        <v/>
      </c>
      <c r="B699" s="38"/>
      <c r="C699" s="38"/>
      <c r="D699" s="6"/>
      <c r="E699" s="6"/>
      <c r="F699" s="6"/>
      <c r="G699" s="11"/>
      <c r="H699" s="18" t="str">
        <f aca="false">IF(AND(ISNUMBER(B699),ISNUMBER(C699)),MAX(0,C699-B699),"")</f>
        <v/>
      </c>
      <c r="I699" s="37"/>
      <c r="J699" s="41" t="str">
        <f aca="false">IF(OR(D699="",N(H699)=0),"",IFERROR(IF(I699&lt;&gt;"",H699*I699,ROUND(((H699-(INT((WEEKDAY(B699-6)+H699-1)/7)+INT((WEEKDAY(B699-7)+H699-1)/7)))*INDEX(Properties!$E$5:$E$24,MATCH(D699,Properties!$A$5:$A$24,0))+(INT((WEEKDAY(B699-6)+H699-1)/7)+INT((WEEKDAY(B699-7)+H699-1)/7))*INDEX(Properties!$F$5:$F$24,MATCH(D699,Properties!$A$5:$A$24,0)))*(1-IF(H699&gt;=28,Settings!$B$10,IF(H699&gt;=7,Settings!$B$9,0))),2)),0))</f>
        <v/>
      </c>
      <c r="K699" s="41" t="str">
        <f aca="false">IF(J699="","",IFERROR(N(INDEX(Properties!$G$5:$G$24,MATCH(D699,Properties!$A$5:$A$24,0))),0))</f>
        <v/>
      </c>
      <c r="L699" s="41" t="str">
        <f aca="false">IF(J699="","",IFERROR(MAX(0,N(G699)-INDEX(Properties!$I$5:$I$24,MATCH(D699,Properties!$A$5:$A$24,0)))*N(INDEX(Properties!$J$5:$J$24,MATCH(D699,Properties!$A$5:$A$24,0)))*H699,0))</f>
        <v/>
      </c>
      <c r="M699" s="37"/>
      <c r="N699" s="41" t="str">
        <f aca="false">IF(J699="","",J699+K699+L699+N(M699))</f>
        <v/>
      </c>
      <c r="O699" s="41" t="str">
        <f aca="false">IF(N699="","",IF(P699&lt;&gt;"",N699-P699,ROUND(N699*IFERROR(INDEX(Settings!$E$5:$E$12,MATCH(F699,Settings!$D$5:$D$12,0)),0),2)))</f>
        <v/>
      </c>
      <c r="P699" s="37"/>
      <c r="Q699" s="41" t="str">
        <f aca="false">IF(N699="","",IF(P699&lt;&gt;"",P699,N699-O699))</f>
        <v/>
      </c>
      <c r="R699" s="41" t="str">
        <f aca="false">IF(J699="","",IFERROR(N(INDEX(Properties!$H$5:$H$24,MATCH(D699,Properties!$A$5:$A$24,0))),0))</f>
        <v/>
      </c>
      <c r="S699" s="41" t="str">
        <f aca="false">IF(Q699="","",Q699-R699)</f>
        <v/>
      </c>
      <c r="T699" s="6"/>
      <c r="U699" s="6"/>
      <c r="V699" s="6"/>
      <c r="W699" s="6"/>
      <c r="X699" s="6"/>
      <c r="Y699" s="8" t="str">
        <f aca="false">IF(OR(D699="",B699="",C699=""),"",IF(N(C699)&lt;=N(B699),"Check dates",IF(T699="Cancelled","",IF(COUNTIFS($D$5:$D$1004,D699,$B$5:$B$1004,"&lt;"&amp;C699,$C$5:$C$1004,"&gt;"&amp;B699,$T$5:$T$1004,"&lt;&gt;Cancelled")&gt;1,"Double-booked",""))))</f>
        <v/>
      </c>
      <c r="Z699" s="42" t="str">
        <f aca="false">IF(AND(AA699=1,ISNUMBER(C699)),C699+ROW()/100000,"")</f>
        <v/>
      </c>
      <c r="AA699" s="43" t="n">
        <f aca="false">IF(AND(D699&lt;&gt;"",ISNUMBER(B699),ISNUMBER(C699),N(H699)&gt;0,T699&lt;&gt;"Cancelled",J699&lt;&gt;""),1,0)</f>
        <v>0</v>
      </c>
      <c r="AB699" s="44" t="n">
        <f aca="false">IF(AA699=1,J699/H699,0)</f>
        <v>0</v>
      </c>
      <c r="AC699" s="44" t="n">
        <f aca="false">IF(AA699=1,Q699/H699,0)</f>
        <v>0</v>
      </c>
      <c r="AD699" s="44" t="n">
        <f aca="false">IF(AA699=1,R699/H699,0)</f>
        <v>0</v>
      </c>
      <c r="AE699" s="44" t="n">
        <f aca="false">IF(AA699=1,O699/H699,0)</f>
        <v>0</v>
      </c>
      <c r="AF699" s="44" t="n">
        <f aca="false">IF(AA699=1,K699/H699,0)</f>
        <v>0</v>
      </c>
      <c r="AG699" s="45" t="str">
        <f aca="false">IF(AA699=1,D699&amp;"|"&amp;TEXT(B699,"0"),"")</f>
        <v/>
      </c>
      <c r="AH699" s="43" t="n">
        <f aca="false">IF(AA699=1,H699,0)</f>
        <v>0</v>
      </c>
    </row>
    <row r="700" customFormat="false" ht="15" hidden="false" customHeight="false" outlineLevel="0" collapsed="false">
      <c r="A700" s="23" t="str">
        <f aca="false">IF(B700="","","B-"&amp;TEXT(ROW()-4,"0000"))</f>
        <v/>
      </c>
      <c r="B700" s="38"/>
      <c r="C700" s="38"/>
      <c r="D700" s="6"/>
      <c r="E700" s="6"/>
      <c r="F700" s="6"/>
      <c r="G700" s="11"/>
      <c r="H700" s="24" t="str">
        <f aca="false">IF(AND(ISNUMBER(B700),ISNUMBER(C700)),MAX(0,C700-B700),"")</f>
        <v/>
      </c>
      <c r="I700" s="37"/>
      <c r="J700" s="46" t="str">
        <f aca="false">IF(OR(D700="",N(H700)=0),"",IFERROR(IF(I700&lt;&gt;"",H700*I700,ROUND(((H700-(INT((WEEKDAY(B700-6)+H700-1)/7)+INT((WEEKDAY(B700-7)+H700-1)/7)))*INDEX(Properties!$E$5:$E$24,MATCH(D700,Properties!$A$5:$A$24,0))+(INT((WEEKDAY(B700-6)+H700-1)/7)+INT((WEEKDAY(B700-7)+H700-1)/7))*INDEX(Properties!$F$5:$F$24,MATCH(D700,Properties!$A$5:$A$24,0)))*(1-IF(H700&gt;=28,Settings!$B$10,IF(H700&gt;=7,Settings!$B$9,0))),2)),0))</f>
        <v/>
      </c>
      <c r="K700" s="46" t="str">
        <f aca="false">IF(J700="","",IFERROR(N(INDEX(Properties!$G$5:$G$24,MATCH(D700,Properties!$A$5:$A$24,0))),0))</f>
        <v/>
      </c>
      <c r="L700" s="46" t="str">
        <f aca="false">IF(J700="","",IFERROR(MAX(0,N(G700)-INDEX(Properties!$I$5:$I$24,MATCH(D700,Properties!$A$5:$A$24,0)))*N(INDEX(Properties!$J$5:$J$24,MATCH(D700,Properties!$A$5:$A$24,0)))*H700,0))</f>
        <v/>
      </c>
      <c r="M700" s="37"/>
      <c r="N700" s="46" t="str">
        <f aca="false">IF(J700="","",J700+K700+L700+N(M700))</f>
        <v/>
      </c>
      <c r="O700" s="46" t="str">
        <f aca="false">IF(N700="","",IF(P700&lt;&gt;"",N700-P700,ROUND(N700*IFERROR(INDEX(Settings!$E$5:$E$12,MATCH(F700,Settings!$D$5:$D$12,0)),0),2)))</f>
        <v/>
      </c>
      <c r="P700" s="37"/>
      <c r="Q700" s="46" t="str">
        <f aca="false">IF(N700="","",IF(P700&lt;&gt;"",P700,N700-O700))</f>
        <v/>
      </c>
      <c r="R700" s="46" t="str">
        <f aca="false">IF(J700="","",IFERROR(N(INDEX(Properties!$H$5:$H$24,MATCH(D700,Properties!$A$5:$A$24,0))),0))</f>
        <v/>
      </c>
      <c r="S700" s="46" t="str">
        <f aca="false">IF(Q700="","",Q700-R700)</f>
        <v/>
      </c>
      <c r="T700" s="6"/>
      <c r="U700" s="6"/>
      <c r="V700" s="6"/>
      <c r="W700" s="6"/>
      <c r="X700" s="6"/>
      <c r="Y700" s="8" t="str">
        <f aca="false">IF(OR(D700="",B700="",C700=""),"",IF(N(C700)&lt;=N(B700),"Check dates",IF(T700="Cancelled","",IF(COUNTIFS($D$5:$D$1004,D700,$B$5:$B$1004,"&lt;"&amp;C700,$C$5:$C$1004,"&gt;"&amp;B700,$T$5:$T$1004,"&lt;&gt;Cancelled")&gt;1,"Double-booked",""))))</f>
        <v/>
      </c>
      <c r="Z700" s="42" t="str">
        <f aca="false">IF(AND(AA700=1,ISNUMBER(C700)),C700+ROW()/100000,"")</f>
        <v/>
      </c>
      <c r="AA700" s="43" t="n">
        <f aca="false">IF(AND(D700&lt;&gt;"",ISNUMBER(B700),ISNUMBER(C700),N(H700)&gt;0,T700&lt;&gt;"Cancelled",J700&lt;&gt;""),1,0)</f>
        <v>0</v>
      </c>
      <c r="AB700" s="44" t="n">
        <f aca="false">IF(AA700=1,J700/H700,0)</f>
        <v>0</v>
      </c>
      <c r="AC700" s="44" t="n">
        <f aca="false">IF(AA700=1,Q700/H700,0)</f>
        <v>0</v>
      </c>
      <c r="AD700" s="44" t="n">
        <f aca="false">IF(AA700=1,R700/H700,0)</f>
        <v>0</v>
      </c>
      <c r="AE700" s="44" t="n">
        <f aca="false">IF(AA700=1,O700/H700,0)</f>
        <v>0</v>
      </c>
      <c r="AF700" s="44" t="n">
        <f aca="false">IF(AA700=1,K700/H700,0)</f>
        <v>0</v>
      </c>
      <c r="AG700" s="45" t="str">
        <f aca="false">IF(AA700=1,D700&amp;"|"&amp;TEXT(B700,"0"),"")</f>
        <v/>
      </c>
      <c r="AH700" s="43" t="n">
        <f aca="false">IF(AA700=1,H700,0)</f>
        <v>0</v>
      </c>
    </row>
    <row r="701" customFormat="false" ht="15" hidden="false" customHeight="false" outlineLevel="0" collapsed="false">
      <c r="A701" s="8" t="str">
        <f aca="false">IF(B701="","","B-"&amp;TEXT(ROW()-4,"0000"))</f>
        <v/>
      </c>
      <c r="B701" s="38"/>
      <c r="C701" s="38"/>
      <c r="D701" s="6"/>
      <c r="E701" s="6"/>
      <c r="F701" s="6"/>
      <c r="G701" s="11"/>
      <c r="H701" s="18" t="str">
        <f aca="false">IF(AND(ISNUMBER(B701),ISNUMBER(C701)),MAX(0,C701-B701),"")</f>
        <v/>
      </c>
      <c r="I701" s="37"/>
      <c r="J701" s="41" t="str">
        <f aca="false">IF(OR(D701="",N(H701)=0),"",IFERROR(IF(I701&lt;&gt;"",H701*I701,ROUND(((H701-(INT((WEEKDAY(B701-6)+H701-1)/7)+INT((WEEKDAY(B701-7)+H701-1)/7)))*INDEX(Properties!$E$5:$E$24,MATCH(D701,Properties!$A$5:$A$24,0))+(INT((WEEKDAY(B701-6)+H701-1)/7)+INT((WEEKDAY(B701-7)+H701-1)/7))*INDEX(Properties!$F$5:$F$24,MATCH(D701,Properties!$A$5:$A$24,0)))*(1-IF(H701&gt;=28,Settings!$B$10,IF(H701&gt;=7,Settings!$B$9,0))),2)),0))</f>
        <v/>
      </c>
      <c r="K701" s="41" t="str">
        <f aca="false">IF(J701="","",IFERROR(N(INDEX(Properties!$G$5:$G$24,MATCH(D701,Properties!$A$5:$A$24,0))),0))</f>
        <v/>
      </c>
      <c r="L701" s="41" t="str">
        <f aca="false">IF(J701="","",IFERROR(MAX(0,N(G701)-INDEX(Properties!$I$5:$I$24,MATCH(D701,Properties!$A$5:$A$24,0)))*N(INDEX(Properties!$J$5:$J$24,MATCH(D701,Properties!$A$5:$A$24,0)))*H701,0))</f>
        <v/>
      </c>
      <c r="M701" s="37"/>
      <c r="N701" s="41" t="str">
        <f aca="false">IF(J701="","",J701+K701+L701+N(M701))</f>
        <v/>
      </c>
      <c r="O701" s="41" t="str">
        <f aca="false">IF(N701="","",IF(P701&lt;&gt;"",N701-P701,ROUND(N701*IFERROR(INDEX(Settings!$E$5:$E$12,MATCH(F701,Settings!$D$5:$D$12,0)),0),2)))</f>
        <v/>
      </c>
      <c r="P701" s="37"/>
      <c r="Q701" s="41" t="str">
        <f aca="false">IF(N701="","",IF(P701&lt;&gt;"",P701,N701-O701))</f>
        <v/>
      </c>
      <c r="R701" s="41" t="str">
        <f aca="false">IF(J701="","",IFERROR(N(INDEX(Properties!$H$5:$H$24,MATCH(D701,Properties!$A$5:$A$24,0))),0))</f>
        <v/>
      </c>
      <c r="S701" s="41" t="str">
        <f aca="false">IF(Q701="","",Q701-R701)</f>
        <v/>
      </c>
      <c r="T701" s="6"/>
      <c r="U701" s="6"/>
      <c r="V701" s="6"/>
      <c r="W701" s="6"/>
      <c r="X701" s="6"/>
      <c r="Y701" s="8" t="str">
        <f aca="false">IF(OR(D701="",B701="",C701=""),"",IF(N(C701)&lt;=N(B701),"Check dates",IF(T701="Cancelled","",IF(COUNTIFS($D$5:$D$1004,D701,$B$5:$B$1004,"&lt;"&amp;C701,$C$5:$C$1004,"&gt;"&amp;B701,$T$5:$T$1004,"&lt;&gt;Cancelled")&gt;1,"Double-booked",""))))</f>
        <v/>
      </c>
      <c r="Z701" s="42" t="str">
        <f aca="false">IF(AND(AA701=1,ISNUMBER(C701)),C701+ROW()/100000,"")</f>
        <v/>
      </c>
      <c r="AA701" s="43" t="n">
        <f aca="false">IF(AND(D701&lt;&gt;"",ISNUMBER(B701),ISNUMBER(C701),N(H701)&gt;0,T701&lt;&gt;"Cancelled",J701&lt;&gt;""),1,0)</f>
        <v>0</v>
      </c>
      <c r="AB701" s="44" t="n">
        <f aca="false">IF(AA701=1,J701/H701,0)</f>
        <v>0</v>
      </c>
      <c r="AC701" s="44" t="n">
        <f aca="false">IF(AA701=1,Q701/H701,0)</f>
        <v>0</v>
      </c>
      <c r="AD701" s="44" t="n">
        <f aca="false">IF(AA701=1,R701/H701,0)</f>
        <v>0</v>
      </c>
      <c r="AE701" s="44" t="n">
        <f aca="false">IF(AA701=1,O701/H701,0)</f>
        <v>0</v>
      </c>
      <c r="AF701" s="44" t="n">
        <f aca="false">IF(AA701=1,K701/H701,0)</f>
        <v>0</v>
      </c>
      <c r="AG701" s="45" t="str">
        <f aca="false">IF(AA701=1,D701&amp;"|"&amp;TEXT(B701,"0"),"")</f>
        <v/>
      </c>
      <c r="AH701" s="43" t="n">
        <f aca="false">IF(AA701=1,H701,0)</f>
        <v>0</v>
      </c>
    </row>
    <row r="702" customFormat="false" ht="15" hidden="false" customHeight="false" outlineLevel="0" collapsed="false">
      <c r="A702" s="23" t="str">
        <f aca="false">IF(B702="","","B-"&amp;TEXT(ROW()-4,"0000"))</f>
        <v/>
      </c>
      <c r="B702" s="38"/>
      <c r="C702" s="38"/>
      <c r="D702" s="6"/>
      <c r="E702" s="6"/>
      <c r="F702" s="6"/>
      <c r="G702" s="11"/>
      <c r="H702" s="24" t="str">
        <f aca="false">IF(AND(ISNUMBER(B702),ISNUMBER(C702)),MAX(0,C702-B702),"")</f>
        <v/>
      </c>
      <c r="I702" s="37"/>
      <c r="J702" s="46" t="str">
        <f aca="false">IF(OR(D702="",N(H702)=0),"",IFERROR(IF(I702&lt;&gt;"",H702*I702,ROUND(((H702-(INT((WEEKDAY(B702-6)+H702-1)/7)+INT((WEEKDAY(B702-7)+H702-1)/7)))*INDEX(Properties!$E$5:$E$24,MATCH(D702,Properties!$A$5:$A$24,0))+(INT((WEEKDAY(B702-6)+H702-1)/7)+INT((WEEKDAY(B702-7)+H702-1)/7))*INDEX(Properties!$F$5:$F$24,MATCH(D702,Properties!$A$5:$A$24,0)))*(1-IF(H702&gt;=28,Settings!$B$10,IF(H702&gt;=7,Settings!$B$9,0))),2)),0))</f>
        <v/>
      </c>
      <c r="K702" s="46" t="str">
        <f aca="false">IF(J702="","",IFERROR(N(INDEX(Properties!$G$5:$G$24,MATCH(D702,Properties!$A$5:$A$24,0))),0))</f>
        <v/>
      </c>
      <c r="L702" s="46" t="str">
        <f aca="false">IF(J702="","",IFERROR(MAX(0,N(G702)-INDEX(Properties!$I$5:$I$24,MATCH(D702,Properties!$A$5:$A$24,0)))*N(INDEX(Properties!$J$5:$J$24,MATCH(D702,Properties!$A$5:$A$24,0)))*H702,0))</f>
        <v/>
      </c>
      <c r="M702" s="37"/>
      <c r="N702" s="46" t="str">
        <f aca="false">IF(J702="","",J702+K702+L702+N(M702))</f>
        <v/>
      </c>
      <c r="O702" s="46" t="str">
        <f aca="false">IF(N702="","",IF(P702&lt;&gt;"",N702-P702,ROUND(N702*IFERROR(INDEX(Settings!$E$5:$E$12,MATCH(F702,Settings!$D$5:$D$12,0)),0),2)))</f>
        <v/>
      </c>
      <c r="P702" s="37"/>
      <c r="Q702" s="46" t="str">
        <f aca="false">IF(N702="","",IF(P702&lt;&gt;"",P702,N702-O702))</f>
        <v/>
      </c>
      <c r="R702" s="46" t="str">
        <f aca="false">IF(J702="","",IFERROR(N(INDEX(Properties!$H$5:$H$24,MATCH(D702,Properties!$A$5:$A$24,0))),0))</f>
        <v/>
      </c>
      <c r="S702" s="46" t="str">
        <f aca="false">IF(Q702="","",Q702-R702)</f>
        <v/>
      </c>
      <c r="T702" s="6"/>
      <c r="U702" s="6"/>
      <c r="V702" s="6"/>
      <c r="W702" s="6"/>
      <c r="X702" s="6"/>
      <c r="Y702" s="8" t="str">
        <f aca="false">IF(OR(D702="",B702="",C702=""),"",IF(N(C702)&lt;=N(B702),"Check dates",IF(T702="Cancelled","",IF(COUNTIFS($D$5:$D$1004,D702,$B$5:$B$1004,"&lt;"&amp;C702,$C$5:$C$1004,"&gt;"&amp;B702,$T$5:$T$1004,"&lt;&gt;Cancelled")&gt;1,"Double-booked",""))))</f>
        <v/>
      </c>
      <c r="Z702" s="42" t="str">
        <f aca="false">IF(AND(AA702=1,ISNUMBER(C702)),C702+ROW()/100000,"")</f>
        <v/>
      </c>
      <c r="AA702" s="43" t="n">
        <f aca="false">IF(AND(D702&lt;&gt;"",ISNUMBER(B702),ISNUMBER(C702),N(H702)&gt;0,T702&lt;&gt;"Cancelled",J702&lt;&gt;""),1,0)</f>
        <v>0</v>
      </c>
      <c r="AB702" s="44" t="n">
        <f aca="false">IF(AA702=1,J702/H702,0)</f>
        <v>0</v>
      </c>
      <c r="AC702" s="44" t="n">
        <f aca="false">IF(AA702=1,Q702/H702,0)</f>
        <v>0</v>
      </c>
      <c r="AD702" s="44" t="n">
        <f aca="false">IF(AA702=1,R702/H702,0)</f>
        <v>0</v>
      </c>
      <c r="AE702" s="44" t="n">
        <f aca="false">IF(AA702=1,O702/H702,0)</f>
        <v>0</v>
      </c>
      <c r="AF702" s="44" t="n">
        <f aca="false">IF(AA702=1,K702/H702,0)</f>
        <v>0</v>
      </c>
      <c r="AG702" s="45" t="str">
        <f aca="false">IF(AA702=1,D702&amp;"|"&amp;TEXT(B702,"0"),"")</f>
        <v/>
      </c>
      <c r="AH702" s="43" t="n">
        <f aca="false">IF(AA702=1,H702,0)</f>
        <v>0</v>
      </c>
    </row>
    <row r="703" customFormat="false" ht="15" hidden="false" customHeight="false" outlineLevel="0" collapsed="false">
      <c r="A703" s="8" t="str">
        <f aca="false">IF(B703="","","B-"&amp;TEXT(ROW()-4,"0000"))</f>
        <v/>
      </c>
      <c r="B703" s="38"/>
      <c r="C703" s="38"/>
      <c r="D703" s="6"/>
      <c r="E703" s="6"/>
      <c r="F703" s="6"/>
      <c r="G703" s="11"/>
      <c r="H703" s="18" t="str">
        <f aca="false">IF(AND(ISNUMBER(B703),ISNUMBER(C703)),MAX(0,C703-B703),"")</f>
        <v/>
      </c>
      <c r="I703" s="37"/>
      <c r="J703" s="41" t="str">
        <f aca="false">IF(OR(D703="",N(H703)=0),"",IFERROR(IF(I703&lt;&gt;"",H703*I703,ROUND(((H703-(INT((WEEKDAY(B703-6)+H703-1)/7)+INT((WEEKDAY(B703-7)+H703-1)/7)))*INDEX(Properties!$E$5:$E$24,MATCH(D703,Properties!$A$5:$A$24,0))+(INT((WEEKDAY(B703-6)+H703-1)/7)+INT((WEEKDAY(B703-7)+H703-1)/7))*INDEX(Properties!$F$5:$F$24,MATCH(D703,Properties!$A$5:$A$24,0)))*(1-IF(H703&gt;=28,Settings!$B$10,IF(H703&gt;=7,Settings!$B$9,0))),2)),0))</f>
        <v/>
      </c>
      <c r="K703" s="41" t="str">
        <f aca="false">IF(J703="","",IFERROR(N(INDEX(Properties!$G$5:$G$24,MATCH(D703,Properties!$A$5:$A$24,0))),0))</f>
        <v/>
      </c>
      <c r="L703" s="41" t="str">
        <f aca="false">IF(J703="","",IFERROR(MAX(0,N(G703)-INDEX(Properties!$I$5:$I$24,MATCH(D703,Properties!$A$5:$A$24,0)))*N(INDEX(Properties!$J$5:$J$24,MATCH(D703,Properties!$A$5:$A$24,0)))*H703,0))</f>
        <v/>
      </c>
      <c r="M703" s="37"/>
      <c r="N703" s="41" t="str">
        <f aca="false">IF(J703="","",J703+K703+L703+N(M703))</f>
        <v/>
      </c>
      <c r="O703" s="41" t="str">
        <f aca="false">IF(N703="","",IF(P703&lt;&gt;"",N703-P703,ROUND(N703*IFERROR(INDEX(Settings!$E$5:$E$12,MATCH(F703,Settings!$D$5:$D$12,0)),0),2)))</f>
        <v/>
      </c>
      <c r="P703" s="37"/>
      <c r="Q703" s="41" t="str">
        <f aca="false">IF(N703="","",IF(P703&lt;&gt;"",P703,N703-O703))</f>
        <v/>
      </c>
      <c r="R703" s="41" t="str">
        <f aca="false">IF(J703="","",IFERROR(N(INDEX(Properties!$H$5:$H$24,MATCH(D703,Properties!$A$5:$A$24,0))),0))</f>
        <v/>
      </c>
      <c r="S703" s="41" t="str">
        <f aca="false">IF(Q703="","",Q703-R703)</f>
        <v/>
      </c>
      <c r="T703" s="6"/>
      <c r="U703" s="6"/>
      <c r="V703" s="6"/>
      <c r="W703" s="6"/>
      <c r="X703" s="6"/>
      <c r="Y703" s="8" t="str">
        <f aca="false">IF(OR(D703="",B703="",C703=""),"",IF(N(C703)&lt;=N(B703),"Check dates",IF(T703="Cancelled","",IF(COUNTIFS($D$5:$D$1004,D703,$B$5:$B$1004,"&lt;"&amp;C703,$C$5:$C$1004,"&gt;"&amp;B703,$T$5:$T$1004,"&lt;&gt;Cancelled")&gt;1,"Double-booked",""))))</f>
        <v/>
      </c>
      <c r="Z703" s="42" t="str">
        <f aca="false">IF(AND(AA703=1,ISNUMBER(C703)),C703+ROW()/100000,"")</f>
        <v/>
      </c>
      <c r="AA703" s="43" t="n">
        <f aca="false">IF(AND(D703&lt;&gt;"",ISNUMBER(B703),ISNUMBER(C703),N(H703)&gt;0,T703&lt;&gt;"Cancelled",J703&lt;&gt;""),1,0)</f>
        <v>0</v>
      </c>
      <c r="AB703" s="44" t="n">
        <f aca="false">IF(AA703=1,J703/H703,0)</f>
        <v>0</v>
      </c>
      <c r="AC703" s="44" t="n">
        <f aca="false">IF(AA703=1,Q703/H703,0)</f>
        <v>0</v>
      </c>
      <c r="AD703" s="44" t="n">
        <f aca="false">IF(AA703=1,R703/H703,0)</f>
        <v>0</v>
      </c>
      <c r="AE703" s="44" t="n">
        <f aca="false">IF(AA703=1,O703/H703,0)</f>
        <v>0</v>
      </c>
      <c r="AF703" s="44" t="n">
        <f aca="false">IF(AA703=1,K703/H703,0)</f>
        <v>0</v>
      </c>
      <c r="AG703" s="45" t="str">
        <f aca="false">IF(AA703=1,D703&amp;"|"&amp;TEXT(B703,"0"),"")</f>
        <v/>
      </c>
      <c r="AH703" s="43" t="n">
        <f aca="false">IF(AA703=1,H703,0)</f>
        <v>0</v>
      </c>
    </row>
    <row r="704" customFormat="false" ht="15" hidden="false" customHeight="false" outlineLevel="0" collapsed="false">
      <c r="A704" s="23" t="str">
        <f aca="false">IF(B704="","","B-"&amp;TEXT(ROW()-4,"0000"))</f>
        <v/>
      </c>
      <c r="B704" s="38"/>
      <c r="C704" s="38"/>
      <c r="D704" s="6"/>
      <c r="E704" s="6"/>
      <c r="F704" s="6"/>
      <c r="G704" s="11"/>
      <c r="H704" s="24" t="str">
        <f aca="false">IF(AND(ISNUMBER(B704),ISNUMBER(C704)),MAX(0,C704-B704),"")</f>
        <v/>
      </c>
      <c r="I704" s="37"/>
      <c r="J704" s="46" t="str">
        <f aca="false">IF(OR(D704="",N(H704)=0),"",IFERROR(IF(I704&lt;&gt;"",H704*I704,ROUND(((H704-(INT((WEEKDAY(B704-6)+H704-1)/7)+INT((WEEKDAY(B704-7)+H704-1)/7)))*INDEX(Properties!$E$5:$E$24,MATCH(D704,Properties!$A$5:$A$24,0))+(INT((WEEKDAY(B704-6)+H704-1)/7)+INT((WEEKDAY(B704-7)+H704-1)/7))*INDEX(Properties!$F$5:$F$24,MATCH(D704,Properties!$A$5:$A$24,0)))*(1-IF(H704&gt;=28,Settings!$B$10,IF(H704&gt;=7,Settings!$B$9,0))),2)),0))</f>
        <v/>
      </c>
      <c r="K704" s="46" t="str">
        <f aca="false">IF(J704="","",IFERROR(N(INDEX(Properties!$G$5:$G$24,MATCH(D704,Properties!$A$5:$A$24,0))),0))</f>
        <v/>
      </c>
      <c r="L704" s="46" t="str">
        <f aca="false">IF(J704="","",IFERROR(MAX(0,N(G704)-INDEX(Properties!$I$5:$I$24,MATCH(D704,Properties!$A$5:$A$24,0)))*N(INDEX(Properties!$J$5:$J$24,MATCH(D704,Properties!$A$5:$A$24,0)))*H704,0))</f>
        <v/>
      </c>
      <c r="M704" s="37"/>
      <c r="N704" s="46" t="str">
        <f aca="false">IF(J704="","",J704+K704+L704+N(M704))</f>
        <v/>
      </c>
      <c r="O704" s="46" t="str">
        <f aca="false">IF(N704="","",IF(P704&lt;&gt;"",N704-P704,ROUND(N704*IFERROR(INDEX(Settings!$E$5:$E$12,MATCH(F704,Settings!$D$5:$D$12,0)),0),2)))</f>
        <v/>
      </c>
      <c r="P704" s="37"/>
      <c r="Q704" s="46" t="str">
        <f aca="false">IF(N704="","",IF(P704&lt;&gt;"",P704,N704-O704))</f>
        <v/>
      </c>
      <c r="R704" s="46" t="str">
        <f aca="false">IF(J704="","",IFERROR(N(INDEX(Properties!$H$5:$H$24,MATCH(D704,Properties!$A$5:$A$24,0))),0))</f>
        <v/>
      </c>
      <c r="S704" s="46" t="str">
        <f aca="false">IF(Q704="","",Q704-R704)</f>
        <v/>
      </c>
      <c r="T704" s="6"/>
      <c r="U704" s="6"/>
      <c r="V704" s="6"/>
      <c r="W704" s="6"/>
      <c r="X704" s="6"/>
      <c r="Y704" s="8" t="str">
        <f aca="false">IF(OR(D704="",B704="",C704=""),"",IF(N(C704)&lt;=N(B704),"Check dates",IF(T704="Cancelled","",IF(COUNTIFS($D$5:$D$1004,D704,$B$5:$B$1004,"&lt;"&amp;C704,$C$5:$C$1004,"&gt;"&amp;B704,$T$5:$T$1004,"&lt;&gt;Cancelled")&gt;1,"Double-booked",""))))</f>
        <v/>
      </c>
      <c r="Z704" s="42" t="str">
        <f aca="false">IF(AND(AA704=1,ISNUMBER(C704)),C704+ROW()/100000,"")</f>
        <v/>
      </c>
      <c r="AA704" s="43" t="n">
        <f aca="false">IF(AND(D704&lt;&gt;"",ISNUMBER(B704),ISNUMBER(C704),N(H704)&gt;0,T704&lt;&gt;"Cancelled",J704&lt;&gt;""),1,0)</f>
        <v>0</v>
      </c>
      <c r="AB704" s="44" t="n">
        <f aca="false">IF(AA704=1,J704/H704,0)</f>
        <v>0</v>
      </c>
      <c r="AC704" s="44" t="n">
        <f aca="false">IF(AA704=1,Q704/H704,0)</f>
        <v>0</v>
      </c>
      <c r="AD704" s="44" t="n">
        <f aca="false">IF(AA704=1,R704/H704,0)</f>
        <v>0</v>
      </c>
      <c r="AE704" s="44" t="n">
        <f aca="false">IF(AA704=1,O704/H704,0)</f>
        <v>0</v>
      </c>
      <c r="AF704" s="44" t="n">
        <f aca="false">IF(AA704=1,K704/H704,0)</f>
        <v>0</v>
      </c>
      <c r="AG704" s="45" t="str">
        <f aca="false">IF(AA704=1,D704&amp;"|"&amp;TEXT(B704,"0"),"")</f>
        <v/>
      </c>
      <c r="AH704" s="43" t="n">
        <f aca="false">IF(AA704=1,H704,0)</f>
        <v>0</v>
      </c>
    </row>
    <row r="705" customFormat="false" ht="15" hidden="false" customHeight="false" outlineLevel="0" collapsed="false">
      <c r="A705" s="8" t="str">
        <f aca="false">IF(B705="","","B-"&amp;TEXT(ROW()-4,"0000"))</f>
        <v/>
      </c>
      <c r="B705" s="38"/>
      <c r="C705" s="38"/>
      <c r="D705" s="6"/>
      <c r="E705" s="6"/>
      <c r="F705" s="6"/>
      <c r="G705" s="11"/>
      <c r="H705" s="18" t="str">
        <f aca="false">IF(AND(ISNUMBER(B705),ISNUMBER(C705)),MAX(0,C705-B705),"")</f>
        <v/>
      </c>
      <c r="I705" s="37"/>
      <c r="J705" s="41" t="str">
        <f aca="false">IF(OR(D705="",N(H705)=0),"",IFERROR(IF(I705&lt;&gt;"",H705*I705,ROUND(((H705-(INT((WEEKDAY(B705-6)+H705-1)/7)+INT((WEEKDAY(B705-7)+H705-1)/7)))*INDEX(Properties!$E$5:$E$24,MATCH(D705,Properties!$A$5:$A$24,0))+(INT((WEEKDAY(B705-6)+H705-1)/7)+INT((WEEKDAY(B705-7)+H705-1)/7))*INDEX(Properties!$F$5:$F$24,MATCH(D705,Properties!$A$5:$A$24,0)))*(1-IF(H705&gt;=28,Settings!$B$10,IF(H705&gt;=7,Settings!$B$9,0))),2)),0))</f>
        <v/>
      </c>
      <c r="K705" s="41" t="str">
        <f aca="false">IF(J705="","",IFERROR(N(INDEX(Properties!$G$5:$G$24,MATCH(D705,Properties!$A$5:$A$24,0))),0))</f>
        <v/>
      </c>
      <c r="L705" s="41" t="str">
        <f aca="false">IF(J705="","",IFERROR(MAX(0,N(G705)-INDEX(Properties!$I$5:$I$24,MATCH(D705,Properties!$A$5:$A$24,0)))*N(INDEX(Properties!$J$5:$J$24,MATCH(D705,Properties!$A$5:$A$24,0)))*H705,0))</f>
        <v/>
      </c>
      <c r="M705" s="37"/>
      <c r="N705" s="41" t="str">
        <f aca="false">IF(J705="","",J705+K705+L705+N(M705))</f>
        <v/>
      </c>
      <c r="O705" s="41" t="str">
        <f aca="false">IF(N705="","",IF(P705&lt;&gt;"",N705-P705,ROUND(N705*IFERROR(INDEX(Settings!$E$5:$E$12,MATCH(F705,Settings!$D$5:$D$12,0)),0),2)))</f>
        <v/>
      </c>
      <c r="P705" s="37"/>
      <c r="Q705" s="41" t="str">
        <f aca="false">IF(N705="","",IF(P705&lt;&gt;"",P705,N705-O705))</f>
        <v/>
      </c>
      <c r="R705" s="41" t="str">
        <f aca="false">IF(J705="","",IFERROR(N(INDEX(Properties!$H$5:$H$24,MATCH(D705,Properties!$A$5:$A$24,0))),0))</f>
        <v/>
      </c>
      <c r="S705" s="41" t="str">
        <f aca="false">IF(Q705="","",Q705-R705)</f>
        <v/>
      </c>
      <c r="T705" s="6"/>
      <c r="U705" s="6"/>
      <c r="V705" s="6"/>
      <c r="W705" s="6"/>
      <c r="X705" s="6"/>
      <c r="Y705" s="8" t="str">
        <f aca="false">IF(OR(D705="",B705="",C705=""),"",IF(N(C705)&lt;=N(B705),"Check dates",IF(T705="Cancelled","",IF(COUNTIFS($D$5:$D$1004,D705,$B$5:$B$1004,"&lt;"&amp;C705,$C$5:$C$1004,"&gt;"&amp;B705,$T$5:$T$1004,"&lt;&gt;Cancelled")&gt;1,"Double-booked",""))))</f>
        <v/>
      </c>
      <c r="Z705" s="42" t="str">
        <f aca="false">IF(AND(AA705=1,ISNUMBER(C705)),C705+ROW()/100000,"")</f>
        <v/>
      </c>
      <c r="AA705" s="43" t="n">
        <f aca="false">IF(AND(D705&lt;&gt;"",ISNUMBER(B705),ISNUMBER(C705),N(H705)&gt;0,T705&lt;&gt;"Cancelled",J705&lt;&gt;""),1,0)</f>
        <v>0</v>
      </c>
      <c r="AB705" s="44" t="n">
        <f aca="false">IF(AA705=1,J705/H705,0)</f>
        <v>0</v>
      </c>
      <c r="AC705" s="44" t="n">
        <f aca="false">IF(AA705=1,Q705/H705,0)</f>
        <v>0</v>
      </c>
      <c r="AD705" s="44" t="n">
        <f aca="false">IF(AA705=1,R705/H705,0)</f>
        <v>0</v>
      </c>
      <c r="AE705" s="44" t="n">
        <f aca="false">IF(AA705=1,O705/H705,0)</f>
        <v>0</v>
      </c>
      <c r="AF705" s="44" t="n">
        <f aca="false">IF(AA705=1,K705/H705,0)</f>
        <v>0</v>
      </c>
      <c r="AG705" s="45" t="str">
        <f aca="false">IF(AA705=1,D705&amp;"|"&amp;TEXT(B705,"0"),"")</f>
        <v/>
      </c>
      <c r="AH705" s="43" t="n">
        <f aca="false">IF(AA705=1,H705,0)</f>
        <v>0</v>
      </c>
    </row>
    <row r="706" customFormat="false" ht="15" hidden="false" customHeight="false" outlineLevel="0" collapsed="false">
      <c r="A706" s="23" t="str">
        <f aca="false">IF(B706="","","B-"&amp;TEXT(ROW()-4,"0000"))</f>
        <v/>
      </c>
      <c r="B706" s="38"/>
      <c r="C706" s="38"/>
      <c r="D706" s="6"/>
      <c r="E706" s="6"/>
      <c r="F706" s="6"/>
      <c r="G706" s="11"/>
      <c r="H706" s="24" t="str">
        <f aca="false">IF(AND(ISNUMBER(B706),ISNUMBER(C706)),MAX(0,C706-B706),"")</f>
        <v/>
      </c>
      <c r="I706" s="37"/>
      <c r="J706" s="46" t="str">
        <f aca="false">IF(OR(D706="",N(H706)=0),"",IFERROR(IF(I706&lt;&gt;"",H706*I706,ROUND(((H706-(INT((WEEKDAY(B706-6)+H706-1)/7)+INT((WEEKDAY(B706-7)+H706-1)/7)))*INDEX(Properties!$E$5:$E$24,MATCH(D706,Properties!$A$5:$A$24,0))+(INT((WEEKDAY(B706-6)+H706-1)/7)+INT((WEEKDAY(B706-7)+H706-1)/7))*INDEX(Properties!$F$5:$F$24,MATCH(D706,Properties!$A$5:$A$24,0)))*(1-IF(H706&gt;=28,Settings!$B$10,IF(H706&gt;=7,Settings!$B$9,0))),2)),0))</f>
        <v/>
      </c>
      <c r="K706" s="46" t="str">
        <f aca="false">IF(J706="","",IFERROR(N(INDEX(Properties!$G$5:$G$24,MATCH(D706,Properties!$A$5:$A$24,0))),0))</f>
        <v/>
      </c>
      <c r="L706" s="46" t="str">
        <f aca="false">IF(J706="","",IFERROR(MAX(0,N(G706)-INDEX(Properties!$I$5:$I$24,MATCH(D706,Properties!$A$5:$A$24,0)))*N(INDEX(Properties!$J$5:$J$24,MATCH(D706,Properties!$A$5:$A$24,0)))*H706,0))</f>
        <v/>
      </c>
      <c r="M706" s="37"/>
      <c r="N706" s="46" t="str">
        <f aca="false">IF(J706="","",J706+K706+L706+N(M706))</f>
        <v/>
      </c>
      <c r="O706" s="46" t="str">
        <f aca="false">IF(N706="","",IF(P706&lt;&gt;"",N706-P706,ROUND(N706*IFERROR(INDEX(Settings!$E$5:$E$12,MATCH(F706,Settings!$D$5:$D$12,0)),0),2)))</f>
        <v/>
      </c>
      <c r="P706" s="37"/>
      <c r="Q706" s="46" t="str">
        <f aca="false">IF(N706="","",IF(P706&lt;&gt;"",P706,N706-O706))</f>
        <v/>
      </c>
      <c r="R706" s="46" t="str">
        <f aca="false">IF(J706="","",IFERROR(N(INDEX(Properties!$H$5:$H$24,MATCH(D706,Properties!$A$5:$A$24,0))),0))</f>
        <v/>
      </c>
      <c r="S706" s="46" t="str">
        <f aca="false">IF(Q706="","",Q706-R706)</f>
        <v/>
      </c>
      <c r="T706" s="6"/>
      <c r="U706" s="6"/>
      <c r="V706" s="6"/>
      <c r="W706" s="6"/>
      <c r="X706" s="6"/>
      <c r="Y706" s="8" t="str">
        <f aca="false">IF(OR(D706="",B706="",C706=""),"",IF(N(C706)&lt;=N(B706),"Check dates",IF(T706="Cancelled","",IF(COUNTIFS($D$5:$D$1004,D706,$B$5:$B$1004,"&lt;"&amp;C706,$C$5:$C$1004,"&gt;"&amp;B706,$T$5:$T$1004,"&lt;&gt;Cancelled")&gt;1,"Double-booked",""))))</f>
        <v/>
      </c>
      <c r="Z706" s="42" t="str">
        <f aca="false">IF(AND(AA706=1,ISNUMBER(C706)),C706+ROW()/100000,"")</f>
        <v/>
      </c>
      <c r="AA706" s="43" t="n">
        <f aca="false">IF(AND(D706&lt;&gt;"",ISNUMBER(B706),ISNUMBER(C706),N(H706)&gt;0,T706&lt;&gt;"Cancelled",J706&lt;&gt;""),1,0)</f>
        <v>0</v>
      </c>
      <c r="AB706" s="44" t="n">
        <f aca="false">IF(AA706=1,J706/H706,0)</f>
        <v>0</v>
      </c>
      <c r="AC706" s="44" t="n">
        <f aca="false">IF(AA706=1,Q706/H706,0)</f>
        <v>0</v>
      </c>
      <c r="AD706" s="44" t="n">
        <f aca="false">IF(AA706=1,R706/H706,0)</f>
        <v>0</v>
      </c>
      <c r="AE706" s="44" t="n">
        <f aca="false">IF(AA706=1,O706/H706,0)</f>
        <v>0</v>
      </c>
      <c r="AF706" s="44" t="n">
        <f aca="false">IF(AA706=1,K706/H706,0)</f>
        <v>0</v>
      </c>
      <c r="AG706" s="45" t="str">
        <f aca="false">IF(AA706=1,D706&amp;"|"&amp;TEXT(B706,"0"),"")</f>
        <v/>
      </c>
      <c r="AH706" s="43" t="n">
        <f aca="false">IF(AA706=1,H706,0)</f>
        <v>0</v>
      </c>
    </row>
    <row r="707" customFormat="false" ht="15" hidden="false" customHeight="false" outlineLevel="0" collapsed="false">
      <c r="A707" s="8" t="str">
        <f aca="false">IF(B707="","","B-"&amp;TEXT(ROW()-4,"0000"))</f>
        <v/>
      </c>
      <c r="B707" s="38"/>
      <c r="C707" s="38"/>
      <c r="D707" s="6"/>
      <c r="E707" s="6"/>
      <c r="F707" s="6"/>
      <c r="G707" s="11"/>
      <c r="H707" s="18" t="str">
        <f aca="false">IF(AND(ISNUMBER(B707),ISNUMBER(C707)),MAX(0,C707-B707),"")</f>
        <v/>
      </c>
      <c r="I707" s="37"/>
      <c r="J707" s="41" t="str">
        <f aca="false">IF(OR(D707="",N(H707)=0),"",IFERROR(IF(I707&lt;&gt;"",H707*I707,ROUND(((H707-(INT((WEEKDAY(B707-6)+H707-1)/7)+INT((WEEKDAY(B707-7)+H707-1)/7)))*INDEX(Properties!$E$5:$E$24,MATCH(D707,Properties!$A$5:$A$24,0))+(INT((WEEKDAY(B707-6)+H707-1)/7)+INT((WEEKDAY(B707-7)+H707-1)/7))*INDEX(Properties!$F$5:$F$24,MATCH(D707,Properties!$A$5:$A$24,0)))*(1-IF(H707&gt;=28,Settings!$B$10,IF(H707&gt;=7,Settings!$B$9,0))),2)),0))</f>
        <v/>
      </c>
      <c r="K707" s="41" t="str">
        <f aca="false">IF(J707="","",IFERROR(N(INDEX(Properties!$G$5:$G$24,MATCH(D707,Properties!$A$5:$A$24,0))),0))</f>
        <v/>
      </c>
      <c r="L707" s="41" t="str">
        <f aca="false">IF(J707="","",IFERROR(MAX(0,N(G707)-INDEX(Properties!$I$5:$I$24,MATCH(D707,Properties!$A$5:$A$24,0)))*N(INDEX(Properties!$J$5:$J$24,MATCH(D707,Properties!$A$5:$A$24,0)))*H707,0))</f>
        <v/>
      </c>
      <c r="M707" s="37"/>
      <c r="N707" s="41" t="str">
        <f aca="false">IF(J707="","",J707+K707+L707+N(M707))</f>
        <v/>
      </c>
      <c r="O707" s="41" t="str">
        <f aca="false">IF(N707="","",IF(P707&lt;&gt;"",N707-P707,ROUND(N707*IFERROR(INDEX(Settings!$E$5:$E$12,MATCH(F707,Settings!$D$5:$D$12,0)),0),2)))</f>
        <v/>
      </c>
      <c r="P707" s="37"/>
      <c r="Q707" s="41" t="str">
        <f aca="false">IF(N707="","",IF(P707&lt;&gt;"",P707,N707-O707))</f>
        <v/>
      </c>
      <c r="R707" s="41" t="str">
        <f aca="false">IF(J707="","",IFERROR(N(INDEX(Properties!$H$5:$H$24,MATCH(D707,Properties!$A$5:$A$24,0))),0))</f>
        <v/>
      </c>
      <c r="S707" s="41" t="str">
        <f aca="false">IF(Q707="","",Q707-R707)</f>
        <v/>
      </c>
      <c r="T707" s="6"/>
      <c r="U707" s="6"/>
      <c r="V707" s="6"/>
      <c r="W707" s="6"/>
      <c r="X707" s="6"/>
      <c r="Y707" s="8" t="str">
        <f aca="false">IF(OR(D707="",B707="",C707=""),"",IF(N(C707)&lt;=N(B707),"Check dates",IF(T707="Cancelled","",IF(COUNTIFS($D$5:$D$1004,D707,$B$5:$B$1004,"&lt;"&amp;C707,$C$5:$C$1004,"&gt;"&amp;B707,$T$5:$T$1004,"&lt;&gt;Cancelled")&gt;1,"Double-booked",""))))</f>
        <v/>
      </c>
      <c r="Z707" s="42" t="str">
        <f aca="false">IF(AND(AA707=1,ISNUMBER(C707)),C707+ROW()/100000,"")</f>
        <v/>
      </c>
      <c r="AA707" s="43" t="n">
        <f aca="false">IF(AND(D707&lt;&gt;"",ISNUMBER(B707),ISNUMBER(C707),N(H707)&gt;0,T707&lt;&gt;"Cancelled",J707&lt;&gt;""),1,0)</f>
        <v>0</v>
      </c>
      <c r="AB707" s="44" t="n">
        <f aca="false">IF(AA707=1,J707/H707,0)</f>
        <v>0</v>
      </c>
      <c r="AC707" s="44" t="n">
        <f aca="false">IF(AA707=1,Q707/H707,0)</f>
        <v>0</v>
      </c>
      <c r="AD707" s="44" t="n">
        <f aca="false">IF(AA707=1,R707/H707,0)</f>
        <v>0</v>
      </c>
      <c r="AE707" s="44" t="n">
        <f aca="false">IF(AA707=1,O707/H707,0)</f>
        <v>0</v>
      </c>
      <c r="AF707" s="44" t="n">
        <f aca="false">IF(AA707=1,K707/H707,0)</f>
        <v>0</v>
      </c>
      <c r="AG707" s="45" t="str">
        <f aca="false">IF(AA707=1,D707&amp;"|"&amp;TEXT(B707,"0"),"")</f>
        <v/>
      </c>
      <c r="AH707" s="43" t="n">
        <f aca="false">IF(AA707=1,H707,0)</f>
        <v>0</v>
      </c>
    </row>
    <row r="708" customFormat="false" ht="15" hidden="false" customHeight="false" outlineLevel="0" collapsed="false">
      <c r="A708" s="23" t="str">
        <f aca="false">IF(B708="","","B-"&amp;TEXT(ROW()-4,"0000"))</f>
        <v/>
      </c>
      <c r="B708" s="38"/>
      <c r="C708" s="38"/>
      <c r="D708" s="6"/>
      <c r="E708" s="6"/>
      <c r="F708" s="6"/>
      <c r="G708" s="11"/>
      <c r="H708" s="24" t="str">
        <f aca="false">IF(AND(ISNUMBER(B708),ISNUMBER(C708)),MAX(0,C708-B708),"")</f>
        <v/>
      </c>
      <c r="I708" s="37"/>
      <c r="J708" s="46" t="str">
        <f aca="false">IF(OR(D708="",N(H708)=0),"",IFERROR(IF(I708&lt;&gt;"",H708*I708,ROUND(((H708-(INT((WEEKDAY(B708-6)+H708-1)/7)+INT((WEEKDAY(B708-7)+H708-1)/7)))*INDEX(Properties!$E$5:$E$24,MATCH(D708,Properties!$A$5:$A$24,0))+(INT((WEEKDAY(B708-6)+H708-1)/7)+INT((WEEKDAY(B708-7)+H708-1)/7))*INDEX(Properties!$F$5:$F$24,MATCH(D708,Properties!$A$5:$A$24,0)))*(1-IF(H708&gt;=28,Settings!$B$10,IF(H708&gt;=7,Settings!$B$9,0))),2)),0))</f>
        <v/>
      </c>
      <c r="K708" s="46" t="str">
        <f aca="false">IF(J708="","",IFERROR(N(INDEX(Properties!$G$5:$G$24,MATCH(D708,Properties!$A$5:$A$24,0))),0))</f>
        <v/>
      </c>
      <c r="L708" s="46" t="str">
        <f aca="false">IF(J708="","",IFERROR(MAX(0,N(G708)-INDEX(Properties!$I$5:$I$24,MATCH(D708,Properties!$A$5:$A$24,0)))*N(INDEX(Properties!$J$5:$J$24,MATCH(D708,Properties!$A$5:$A$24,0)))*H708,0))</f>
        <v/>
      </c>
      <c r="M708" s="37"/>
      <c r="N708" s="46" t="str">
        <f aca="false">IF(J708="","",J708+K708+L708+N(M708))</f>
        <v/>
      </c>
      <c r="O708" s="46" t="str">
        <f aca="false">IF(N708="","",IF(P708&lt;&gt;"",N708-P708,ROUND(N708*IFERROR(INDEX(Settings!$E$5:$E$12,MATCH(F708,Settings!$D$5:$D$12,0)),0),2)))</f>
        <v/>
      </c>
      <c r="P708" s="37"/>
      <c r="Q708" s="46" t="str">
        <f aca="false">IF(N708="","",IF(P708&lt;&gt;"",P708,N708-O708))</f>
        <v/>
      </c>
      <c r="R708" s="46" t="str">
        <f aca="false">IF(J708="","",IFERROR(N(INDEX(Properties!$H$5:$H$24,MATCH(D708,Properties!$A$5:$A$24,0))),0))</f>
        <v/>
      </c>
      <c r="S708" s="46" t="str">
        <f aca="false">IF(Q708="","",Q708-R708)</f>
        <v/>
      </c>
      <c r="T708" s="6"/>
      <c r="U708" s="6"/>
      <c r="V708" s="6"/>
      <c r="W708" s="6"/>
      <c r="X708" s="6"/>
      <c r="Y708" s="8" t="str">
        <f aca="false">IF(OR(D708="",B708="",C708=""),"",IF(N(C708)&lt;=N(B708),"Check dates",IF(T708="Cancelled","",IF(COUNTIFS($D$5:$D$1004,D708,$B$5:$B$1004,"&lt;"&amp;C708,$C$5:$C$1004,"&gt;"&amp;B708,$T$5:$T$1004,"&lt;&gt;Cancelled")&gt;1,"Double-booked",""))))</f>
        <v/>
      </c>
      <c r="Z708" s="42" t="str">
        <f aca="false">IF(AND(AA708=1,ISNUMBER(C708)),C708+ROW()/100000,"")</f>
        <v/>
      </c>
      <c r="AA708" s="43" t="n">
        <f aca="false">IF(AND(D708&lt;&gt;"",ISNUMBER(B708),ISNUMBER(C708),N(H708)&gt;0,T708&lt;&gt;"Cancelled",J708&lt;&gt;""),1,0)</f>
        <v>0</v>
      </c>
      <c r="AB708" s="44" t="n">
        <f aca="false">IF(AA708=1,J708/H708,0)</f>
        <v>0</v>
      </c>
      <c r="AC708" s="44" t="n">
        <f aca="false">IF(AA708=1,Q708/H708,0)</f>
        <v>0</v>
      </c>
      <c r="AD708" s="44" t="n">
        <f aca="false">IF(AA708=1,R708/H708,0)</f>
        <v>0</v>
      </c>
      <c r="AE708" s="44" t="n">
        <f aca="false">IF(AA708=1,O708/H708,0)</f>
        <v>0</v>
      </c>
      <c r="AF708" s="44" t="n">
        <f aca="false">IF(AA708=1,K708/H708,0)</f>
        <v>0</v>
      </c>
      <c r="AG708" s="45" t="str">
        <f aca="false">IF(AA708=1,D708&amp;"|"&amp;TEXT(B708,"0"),"")</f>
        <v/>
      </c>
      <c r="AH708" s="43" t="n">
        <f aca="false">IF(AA708=1,H708,0)</f>
        <v>0</v>
      </c>
    </row>
    <row r="709" customFormat="false" ht="15" hidden="false" customHeight="false" outlineLevel="0" collapsed="false">
      <c r="A709" s="8" t="str">
        <f aca="false">IF(B709="","","B-"&amp;TEXT(ROW()-4,"0000"))</f>
        <v/>
      </c>
      <c r="B709" s="38"/>
      <c r="C709" s="38"/>
      <c r="D709" s="6"/>
      <c r="E709" s="6"/>
      <c r="F709" s="6"/>
      <c r="G709" s="11"/>
      <c r="H709" s="18" t="str">
        <f aca="false">IF(AND(ISNUMBER(B709),ISNUMBER(C709)),MAX(0,C709-B709),"")</f>
        <v/>
      </c>
      <c r="I709" s="37"/>
      <c r="J709" s="41" t="str">
        <f aca="false">IF(OR(D709="",N(H709)=0),"",IFERROR(IF(I709&lt;&gt;"",H709*I709,ROUND(((H709-(INT((WEEKDAY(B709-6)+H709-1)/7)+INT((WEEKDAY(B709-7)+H709-1)/7)))*INDEX(Properties!$E$5:$E$24,MATCH(D709,Properties!$A$5:$A$24,0))+(INT((WEEKDAY(B709-6)+H709-1)/7)+INT((WEEKDAY(B709-7)+H709-1)/7))*INDEX(Properties!$F$5:$F$24,MATCH(D709,Properties!$A$5:$A$24,0)))*(1-IF(H709&gt;=28,Settings!$B$10,IF(H709&gt;=7,Settings!$B$9,0))),2)),0))</f>
        <v/>
      </c>
      <c r="K709" s="41" t="str">
        <f aca="false">IF(J709="","",IFERROR(N(INDEX(Properties!$G$5:$G$24,MATCH(D709,Properties!$A$5:$A$24,0))),0))</f>
        <v/>
      </c>
      <c r="L709" s="41" t="str">
        <f aca="false">IF(J709="","",IFERROR(MAX(0,N(G709)-INDEX(Properties!$I$5:$I$24,MATCH(D709,Properties!$A$5:$A$24,0)))*N(INDEX(Properties!$J$5:$J$24,MATCH(D709,Properties!$A$5:$A$24,0)))*H709,0))</f>
        <v/>
      </c>
      <c r="M709" s="37"/>
      <c r="N709" s="41" t="str">
        <f aca="false">IF(J709="","",J709+K709+L709+N(M709))</f>
        <v/>
      </c>
      <c r="O709" s="41" t="str">
        <f aca="false">IF(N709="","",IF(P709&lt;&gt;"",N709-P709,ROUND(N709*IFERROR(INDEX(Settings!$E$5:$E$12,MATCH(F709,Settings!$D$5:$D$12,0)),0),2)))</f>
        <v/>
      </c>
      <c r="P709" s="37"/>
      <c r="Q709" s="41" t="str">
        <f aca="false">IF(N709="","",IF(P709&lt;&gt;"",P709,N709-O709))</f>
        <v/>
      </c>
      <c r="R709" s="41" t="str">
        <f aca="false">IF(J709="","",IFERROR(N(INDEX(Properties!$H$5:$H$24,MATCH(D709,Properties!$A$5:$A$24,0))),0))</f>
        <v/>
      </c>
      <c r="S709" s="41" t="str">
        <f aca="false">IF(Q709="","",Q709-R709)</f>
        <v/>
      </c>
      <c r="T709" s="6"/>
      <c r="U709" s="6"/>
      <c r="V709" s="6"/>
      <c r="W709" s="6"/>
      <c r="X709" s="6"/>
      <c r="Y709" s="8" t="str">
        <f aca="false">IF(OR(D709="",B709="",C709=""),"",IF(N(C709)&lt;=N(B709),"Check dates",IF(T709="Cancelled","",IF(COUNTIFS($D$5:$D$1004,D709,$B$5:$B$1004,"&lt;"&amp;C709,$C$5:$C$1004,"&gt;"&amp;B709,$T$5:$T$1004,"&lt;&gt;Cancelled")&gt;1,"Double-booked",""))))</f>
        <v/>
      </c>
      <c r="Z709" s="42" t="str">
        <f aca="false">IF(AND(AA709=1,ISNUMBER(C709)),C709+ROW()/100000,"")</f>
        <v/>
      </c>
      <c r="AA709" s="43" t="n">
        <f aca="false">IF(AND(D709&lt;&gt;"",ISNUMBER(B709),ISNUMBER(C709),N(H709)&gt;0,T709&lt;&gt;"Cancelled",J709&lt;&gt;""),1,0)</f>
        <v>0</v>
      </c>
      <c r="AB709" s="44" t="n">
        <f aca="false">IF(AA709=1,J709/H709,0)</f>
        <v>0</v>
      </c>
      <c r="AC709" s="44" t="n">
        <f aca="false">IF(AA709=1,Q709/H709,0)</f>
        <v>0</v>
      </c>
      <c r="AD709" s="44" t="n">
        <f aca="false">IF(AA709=1,R709/H709,0)</f>
        <v>0</v>
      </c>
      <c r="AE709" s="44" t="n">
        <f aca="false">IF(AA709=1,O709/H709,0)</f>
        <v>0</v>
      </c>
      <c r="AF709" s="44" t="n">
        <f aca="false">IF(AA709=1,K709/H709,0)</f>
        <v>0</v>
      </c>
      <c r="AG709" s="45" t="str">
        <f aca="false">IF(AA709=1,D709&amp;"|"&amp;TEXT(B709,"0"),"")</f>
        <v/>
      </c>
      <c r="AH709" s="43" t="n">
        <f aca="false">IF(AA709=1,H709,0)</f>
        <v>0</v>
      </c>
    </row>
    <row r="710" customFormat="false" ht="15" hidden="false" customHeight="false" outlineLevel="0" collapsed="false">
      <c r="A710" s="23" t="str">
        <f aca="false">IF(B710="","","B-"&amp;TEXT(ROW()-4,"0000"))</f>
        <v/>
      </c>
      <c r="B710" s="38"/>
      <c r="C710" s="38"/>
      <c r="D710" s="6"/>
      <c r="E710" s="6"/>
      <c r="F710" s="6"/>
      <c r="G710" s="11"/>
      <c r="H710" s="24" t="str">
        <f aca="false">IF(AND(ISNUMBER(B710),ISNUMBER(C710)),MAX(0,C710-B710),"")</f>
        <v/>
      </c>
      <c r="I710" s="37"/>
      <c r="J710" s="46" t="str">
        <f aca="false">IF(OR(D710="",N(H710)=0),"",IFERROR(IF(I710&lt;&gt;"",H710*I710,ROUND(((H710-(INT((WEEKDAY(B710-6)+H710-1)/7)+INT((WEEKDAY(B710-7)+H710-1)/7)))*INDEX(Properties!$E$5:$E$24,MATCH(D710,Properties!$A$5:$A$24,0))+(INT((WEEKDAY(B710-6)+H710-1)/7)+INT((WEEKDAY(B710-7)+H710-1)/7))*INDEX(Properties!$F$5:$F$24,MATCH(D710,Properties!$A$5:$A$24,0)))*(1-IF(H710&gt;=28,Settings!$B$10,IF(H710&gt;=7,Settings!$B$9,0))),2)),0))</f>
        <v/>
      </c>
      <c r="K710" s="46" t="str">
        <f aca="false">IF(J710="","",IFERROR(N(INDEX(Properties!$G$5:$G$24,MATCH(D710,Properties!$A$5:$A$24,0))),0))</f>
        <v/>
      </c>
      <c r="L710" s="46" t="str">
        <f aca="false">IF(J710="","",IFERROR(MAX(0,N(G710)-INDEX(Properties!$I$5:$I$24,MATCH(D710,Properties!$A$5:$A$24,0)))*N(INDEX(Properties!$J$5:$J$24,MATCH(D710,Properties!$A$5:$A$24,0)))*H710,0))</f>
        <v/>
      </c>
      <c r="M710" s="37"/>
      <c r="N710" s="46" t="str">
        <f aca="false">IF(J710="","",J710+K710+L710+N(M710))</f>
        <v/>
      </c>
      <c r="O710" s="46" t="str">
        <f aca="false">IF(N710="","",IF(P710&lt;&gt;"",N710-P710,ROUND(N710*IFERROR(INDEX(Settings!$E$5:$E$12,MATCH(F710,Settings!$D$5:$D$12,0)),0),2)))</f>
        <v/>
      </c>
      <c r="P710" s="37"/>
      <c r="Q710" s="46" t="str">
        <f aca="false">IF(N710="","",IF(P710&lt;&gt;"",P710,N710-O710))</f>
        <v/>
      </c>
      <c r="R710" s="46" t="str">
        <f aca="false">IF(J710="","",IFERROR(N(INDEX(Properties!$H$5:$H$24,MATCH(D710,Properties!$A$5:$A$24,0))),0))</f>
        <v/>
      </c>
      <c r="S710" s="46" t="str">
        <f aca="false">IF(Q710="","",Q710-R710)</f>
        <v/>
      </c>
      <c r="T710" s="6"/>
      <c r="U710" s="6"/>
      <c r="V710" s="6"/>
      <c r="W710" s="6"/>
      <c r="X710" s="6"/>
      <c r="Y710" s="8" t="str">
        <f aca="false">IF(OR(D710="",B710="",C710=""),"",IF(N(C710)&lt;=N(B710),"Check dates",IF(T710="Cancelled","",IF(COUNTIFS($D$5:$D$1004,D710,$B$5:$B$1004,"&lt;"&amp;C710,$C$5:$C$1004,"&gt;"&amp;B710,$T$5:$T$1004,"&lt;&gt;Cancelled")&gt;1,"Double-booked",""))))</f>
        <v/>
      </c>
      <c r="Z710" s="42" t="str">
        <f aca="false">IF(AND(AA710=1,ISNUMBER(C710)),C710+ROW()/100000,"")</f>
        <v/>
      </c>
      <c r="AA710" s="43" t="n">
        <f aca="false">IF(AND(D710&lt;&gt;"",ISNUMBER(B710),ISNUMBER(C710),N(H710)&gt;0,T710&lt;&gt;"Cancelled",J710&lt;&gt;""),1,0)</f>
        <v>0</v>
      </c>
      <c r="AB710" s="44" t="n">
        <f aca="false">IF(AA710=1,J710/H710,0)</f>
        <v>0</v>
      </c>
      <c r="AC710" s="44" t="n">
        <f aca="false">IF(AA710=1,Q710/H710,0)</f>
        <v>0</v>
      </c>
      <c r="AD710" s="44" t="n">
        <f aca="false">IF(AA710=1,R710/H710,0)</f>
        <v>0</v>
      </c>
      <c r="AE710" s="44" t="n">
        <f aca="false">IF(AA710=1,O710/H710,0)</f>
        <v>0</v>
      </c>
      <c r="AF710" s="44" t="n">
        <f aca="false">IF(AA710=1,K710/H710,0)</f>
        <v>0</v>
      </c>
      <c r="AG710" s="45" t="str">
        <f aca="false">IF(AA710=1,D710&amp;"|"&amp;TEXT(B710,"0"),"")</f>
        <v/>
      </c>
      <c r="AH710" s="43" t="n">
        <f aca="false">IF(AA710=1,H710,0)</f>
        <v>0</v>
      </c>
    </row>
    <row r="711" customFormat="false" ht="15" hidden="false" customHeight="false" outlineLevel="0" collapsed="false">
      <c r="A711" s="8" t="str">
        <f aca="false">IF(B711="","","B-"&amp;TEXT(ROW()-4,"0000"))</f>
        <v/>
      </c>
      <c r="B711" s="38"/>
      <c r="C711" s="38"/>
      <c r="D711" s="6"/>
      <c r="E711" s="6"/>
      <c r="F711" s="6"/>
      <c r="G711" s="11"/>
      <c r="H711" s="18" t="str">
        <f aca="false">IF(AND(ISNUMBER(B711),ISNUMBER(C711)),MAX(0,C711-B711),"")</f>
        <v/>
      </c>
      <c r="I711" s="37"/>
      <c r="J711" s="41" t="str">
        <f aca="false">IF(OR(D711="",N(H711)=0),"",IFERROR(IF(I711&lt;&gt;"",H711*I711,ROUND(((H711-(INT((WEEKDAY(B711-6)+H711-1)/7)+INT((WEEKDAY(B711-7)+H711-1)/7)))*INDEX(Properties!$E$5:$E$24,MATCH(D711,Properties!$A$5:$A$24,0))+(INT((WEEKDAY(B711-6)+H711-1)/7)+INT((WEEKDAY(B711-7)+H711-1)/7))*INDEX(Properties!$F$5:$F$24,MATCH(D711,Properties!$A$5:$A$24,0)))*(1-IF(H711&gt;=28,Settings!$B$10,IF(H711&gt;=7,Settings!$B$9,0))),2)),0))</f>
        <v/>
      </c>
      <c r="K711" s="41" t="str">
        <f aca="false">IF(J711="","",IFERROR(N(INDEX(Properties!$G$5:$G$24,MATCH(D711,Properties!$A$5:$A$24,0))),0))</f>
        <v/>
      </c>
      <c r="L711" s="41" t="str">
        <f aca="false">IF(J711="","",IFERROR(MAX(0,N(G711)-INDEX(Properties!$I$5:$I$24,MATCH(D711,Properties!$A$5:$A$24,0)))*N(INDEX(Properties!$J$5:$J$24,MATCH(D711,Properties!$A$5:$A$24,0)))*H711,0))</f>
        <v/>
      </c>
      <c r="M711" s="37"/>
      <c r="N711" s="41" t="str">
        <f aca="false">IF(J711="","",J711+K711+L711+N(M711))</f>
        <v/>
      </c>
      <c r="O711" s="41" t="str">
        <f aca="false">IF(N711="","",IF(P711&lt;&gt;"",N711-P711,ROUND(N711*IFERROR(INDEX(Settings!$E$5:$E$12,MATCH(F711,Settings!$D$5:$D$12,0)),0),2)))</f>
        <v/>
      </c>
      <c r="P711" s="37"/>
      <c r="Q711" s="41" t="str">
        <f aca="false">IF(N711="","",IF(P711&lt;&gt;"",P711,N711-O711))</f>
        <v/>
      </c>
      <c r="R711" s="41" t="str">
        <f aca="false">IF(J711="","",IFERROR(N(INDEX(Properties!$H$5:$H$24,MATCH(D711,Properties!$A$5:$A$24,0))),0))</f>
        <v/>
      </c>
      <c r="S711" s="41" t="str">
        <f aca="false">IF(Q711="","",Q711-R711)</f>
        <v/>
      </c>
      <c r="T711" s="6"/>
      <c r="U711" s="6"/>
      <c r="V711" s="6"/>
      <c r="W711" s="6"/>
      <c r="X711" s="6"/>
      <c r="Y711" s="8" t="str">
        <f aca="false">IF(OR(D711="",B711="",C711=""),"",IF(N(C711)&lt;=N(B711),"Check dates",IF(T711="Cancelled","",IF(COUNTIFS($D$5:$D$1004,D711,$B$5:$B$1004,"&lt;"&amp;C711,$C$5:$C$1004,"&gt;"&amp;B711,$T$5:$T$1004,"&lt;&gt;Cancelled")&gt;1,"Double-booked",""))))</f>
        <v/>
      </c>
      <c r="Z711" s="42" t="str">
        <f aca="false">IF(AND(AA711=1,ISNUMBER(C711)),C711+ROW()/100000,"")</f>
        <v/>
      </c>
      <c r="AA711" s="43" t="n">
        <f aca="false">IF(AND(D711&lt;&gt;"",ISNUMBER(B711),ISNUMBER(C711),N(H711)&gt;0,T711&lt;&gt;"Cancelled",J711&lt;&gt;""),1,0)</f>
        <v>0</v>
      </c>
      <c r="AB711" s="44" t="n">
        <f aca="false">IF(AA711=1,J711/H711,0)</f>
        <v>0</v>
      </c>
      <c r="AC711" s="44" t="n">
        <f aca="false">IF(AA711=1,Q711/H711,0)</f>
        <v>0</v>
      </c>
      <c r="AD711" s="44" t="n">
        <f aca="false">IF(AA711=1,R711/H711,0)</f>
        <v>0</v>
      </c>
      <c r="AE711" s="44" t="n">
        <f aca="false">IF(AA711=1,O711/H711,0)</f>
        <v>0</v>
      </c>
      <c r="AF711" s="44" t="n">
        <f aca="false">IF(AA711=1,K711/H711,0)</f>
        <v>0</v>
      </c>
      <c r="AG711" s="45" t="str">
        <f aca="false">IF(AA711=1,D711&amp;"|"&amp;TEXT(B711,"0"),"")</f>
        <v/>
      </c>
      <c r="AH711" s="43" t="n">
        <f aca="false">IF(AA711=1,H711,0)</f>
        <v>0</v>
      </c>
    </row>
    <row r="712" customFormat="false" ht="15" hidden="false" customHeight="false" outlineLevel="0" collapsed="false">
      <c r="A712" s="23" t="str">
        <f aca="false">IF(B712="","","B-"&amp;TEXT(ROW()-4,"0000"))</f>
        <v/>
      </c>
      <c r="B712" s="38"/>
      <c r="C712" s="38"/>
      <c r="D712" s="6"/>
      <c r="E712" s="6"/>
      <c r="F712" s="6"/>
      <c r="G712" s="11"/>
      <c r="H712" s="24" t="str">
        <f aca="false">IF(AND(ISNUMBER(B712),ISNUMBER(C712)),MAX(0,C712-B712),"")</f>
        <v/>
      </c>
      <c r="I712" s="37"/>
      <c r="J712" s="46" t="str">
        <f aca="false">IF(OR(D712="",N(H712)=0),"",IFERROR(IF(I712&lt;&gt;"",H712*I712,ROUND(((H712-(INT((WEEKDAY(B712-6)+H712-1)/7)+INT((WEEKDAY(B712-7)+H712-1)/7)))*INDEX(Properties!$E$5:$E$24,MATCH(D712,Properties!$A$5:$A$24,0))+(INT((WEEKDAY(B712-6)+H712-1)/7)+INT((WEEKDAY(B712-7)+H712-1)/7))*INDEX(Properties!$F$5:$F$24,MATCH(D712,Properties!$A$5:$A$24,0)))*(1-IF(H712&gt;=28,Settings!$B$10,IF(H712&gt;=7,Settings!$B$9,0))),2)),0))</f>
        <v/>
      </c>
      <c r="K712" s="46" t="str">
        <f aca="false">IF(J712="","",IFERROR(N(INDEX(Properties!$G$5:$G$24,MATCH(D712,Properties!$A$5:$A$24,0))),0))</f>
        <v/>
      </c>
      <c r="L712" s="46" t="str">
        <f aca="false">IF(J712="","",IFERROR(MAX(0,N(G712)-INDEX(Properties!$I$5:$I$24,MATCH(D712,Properties!$A$5:$A$24,0)))*N(INDEX(Properties!$J$5:$J$24,MATCH(D712,Properties!$A$5:$A$24,0)))*H712,0))</f>
        <v/>
      </c>
      <c r="M712" s="37"/>
      <c r="N712" s="46" t="str">
        <f aca="false">IF(J712="","",J712+K712+L712+N(M712))</f>
        <v/>
      </c>
      <c r="O712" s="46" t="str">
        <f aca="false">IF(N712="","",IF(P712&lt;&gt;"",N712-P712,ROUND(N712*IFERROR(INDEX(Settings!$E$5:$E$12,MATCH(F712,Settings!$D$5:$D$12,0)),0),2)))</f>
        <v/>
      </c>
      <c r="P712" s="37"/>
      <c r="Q712" s="46" t="str">
        <f aca="false">IF(N712="","",IF(P712&lt;&gt;"",P712,N712-O712))</f>
        <v/>
      </c>
      <c r="R712" s="46" t="str">
        <f aca="false">IF(J712="","",IFERROR(N(INDEX(Properties!$H$5:$H$24,MATCH(D712,Properties!$A$5:$A$24,0))),0))</f>
        <v/>
      </c>
      <c r="S712" s="46" t="str">
        <f aca="false">IF(Q712="","",Q712-R712)</f>
        <v/>
      </c>
      <c r="T712" s="6"/>
      <c r="U712" s="6"/>
      <c r="V712" s="6"/>
      <c r="W712" s="6"/>
      <c r="X712" s="6"/>
      <c r="Y712" s="8" t="str">
        <f aca="false">IF(OR(D712="",B712="",C712=""),"",IF(N(C712)&lt;=N(B712),"Check dates",IF(T712="Cancelled","",IF(COUNTIFS($D$5:$D$1004,D712,$B$5:$B$1004,"&lt;"&amp;C712,$C$5:$C$1004,"&gt;"&amp;B712,$T$5:$T$1004,"&lt;&gt;Cancelled")&gt;1,"Double-booked",""))))</f>
        <v/>
      </c>
      <c r="Z712" s="42" t="str">
        <f aca="false">IF(AND(AA712=1,ISNUMBER(C712)),C712+ROW()/100000,"")</f>
        <v/>
      </c>
      <c r="AA712" s="43" t="n">
        <f aca="false">IF(AND(D712&lt;&gt;"",ISNUMBER(B712),ISNUMBER(C712),N(H712)&gt;0,T712&lt;&gt;"Cancelled",J712&lt;&gt;""),1,0)</f>
        <v>0</v>
      </c>
      <c r="AB712" s="44" t="n">
        <f aca="false">IF(AA712=1,J712/H712,0)</f>
        <v>0</v>
      </c>
      <c r="AC712" s="44" t="n">
        <f aca="false">IF(AA712=1,Q712/H712,0)</f>
        <v>0</v>
      </c>
      <c r="AD712" s="44" t="n">
        <f aca="false">IF(AA712=1,R712/H712,0)</f>
        <v>0</v>
      </c>
      <c r="AE712" s="44" t="n">
        <f aca="false">IF(AA712=1,O712/H712,0)</f>
        <v>0</v>
      </c>
      <c r="AF712" s="44" t="n">
        <f aca="false">IF(AA712=1,K712/H712,0)</f>
        <v>0</v>
      </c>
      <c r="AG712" s="45" t="str">
        <f aca="false">IF(AA712=1,D712&amp;"|"&amp;TEXT(B712,"0"),"")</f>
        <v/>
      </c>
      <c r="AH712" s="43" t="n">
        <f aca="false">IF(AA712=1,H712,0)</f>
        <v>0</v>
      </c>
    </row>
    <row r="713" customFormat="false" ht="15" hidden="false" customHeight="false" outlineLevel="0" collapsed="false">
      <c r="A713" s="8" t="str">
        <f aca="false">IF(B713="","","B-"&amp;TEXT(ROW()-4,"0000"))</f>
        <v/>
      </c>
      <c r="B713" s="38"/>
      <c r="C713" s="38"/>
      <c r="D713" s="6"/>
      <c r="E713" s="6"/>
      <c r="F713" s="6"/>
      <c r="G713" s="11"/>
      <c r="H713" s="18" t="str">
        <f aca="false">IF(AND(ISNUMBER(B713),ISNUMBER(C713)),MAX(0,C713-B713),"")</f>
        <v/>
      </c>
      <c r="I713" s="37"/>
      <c r="J713" s="41" t="str">
        <f aca="false">IF(OR(D713="",N(H713)=0),"",IFERROR(IF(I713&lt;&gt;"",H713*I713,ROUND(((H713-(INT((WEEKDAY(B713-6)+H713-1)/7)+INT((WEEKDAY(B713-7)+H713-1)/7)))*INDEX(Properties!$E$5:$E$24,MATCH(D713,Properties!$A$5:$A$24,0))+(INT((WEEKDAY(B713-6)+H713-1)/7)+INT((WEEKDAY(B713-7)+H713-1)/7))*INDEX(Properties!$F$5:$F$24,MATCH(D713,Properties!$A$5:$A$24,0)))*(1-IF(H713&gt;=28,Settings!$B$10,IF(H713&gt;=7,Settings!$B$9,0))),2)),0))</f>
        <v/>
      </c>
      <c r="K713" s="41" t="str">
        <f aca="false">IF(J713="","",IFERROR(N(INDEX(Properties!$G$5:$G$24,MATCH(D713,Properties!$A$5:$A$24,0))),0))</f>
        <v/>
      </c>
      <c r="L713" s="41" t="str">
        <f aca="false">IF(J713="","",IFERROR(MAX(0,N(G713)-INDEX(Properties!$I$5:$I$24,MATCH(D713,Properties!$A$5:$A$24,0)))*N(INDEX(Properties!$J$5:$J$24,MATCH(D713,Properties!$A$5:$A$24,0)))*H713,0))</f>
        <v/>
      </c>
      <c r="M713" s="37"/>
      <c r="N713" s="41" t="str">
        <f aca="false">IF(J713="","",J713+K713+L713+N(M713))</f>
        <v/>
      </c>
      <c r="O713" s="41" t="str">
        <f aca="false">IF(N713="","",IF(P713&lt;&gt;"",N713-P713,ROUND(N713*IFERROR(INDEX(Settings!$E$5:$E$12,MATCH(F713,Settings!$D$5:$D$12,0)),0),2)))</f>
        <v/>
      </c>
      <c r="P713" s="37"/>
      <c r="Q713" s="41" t="str">
        <f aca="false">IF(N713="","",IF(P713&lt;&gt;"",P713,N713-O713))</f>
        <v/>
      </c>
      <c r="R713" s="41" t="str">
        <f aca="false">IF(J713="","",IFERROR(N(INDEX(Properties!$H$5:$H$24,MATCH(D713,Properties!$A$5:$A$24,0))),0))</f>
        <v/>
      </c>
      <c r="S713" s="41" t="str">
        <f aca="false">IF(Q713="","",Q713-R713)</f>
        <v/>
      </c>
      <c r="T713" s="6"/>
      <c r="U713" s="6"/>
      <c r="V713" s="6"/>
      <c r="W713" s="6"/>
      <c r="X713" s="6"/>
      <c r="Y713" s="8" t="str">
        <f aca="false">IF(OR(D713="",B713="",C713=""),"",IF(N(C713)&lt;=N(B713),"Check dates",IF(T713="Cancelled","",IF(COUNTIFS($D$5:$D$1004,D713,$B$5:$B$1004,"&lt;"&amp;C713,$C$5:$C$1004,"&gt;"&amp;B713,$T$5:$T$1004,"&lt;&gt;Cancelled")&gt;1,"Double-booked",""))))</f>
        <v/>
      </c>
      <c r="Z713" s="42" t="str">
        <f aca="false">IF(AND(AA713=1,ISNUMBER(C713)),C713+ROW()/100000,"")</f>
        <v/>
      </c>
      <c r="AA713" s="43" t="n">
        <f aca="false">IF(AND(D713&lt;&gt;"",ISNUMBER(B713),ISNUMBER(C713),N(H713)&gt;0,T713&lt;&gt;"Cancelled",J713&lt;&gt;""),1,0)</f>
        <v>0</v>
      </c>
      <c r="AB713" s="44" t="n">
        <f aca="false">IF(AA713=1,J713/H713,0)</f>
        <v>0</v>
      </c>
      <c r="AC713" s="44" t="n">
        <f aca="false">IF(AA713=1,Q713/H713,0)</f>
        <v>0</v>
      </c>
      <c r="AD713" s="44" t="n">
        <f aca="false">IF(AA713=1,R713/H713,0)</f>
        <v>0</v>
      </c>
      <c r="AE713" s="44" t="n">
        <f aca="false">IF(AA713=1,O713/H713,0)</f>
        <v>0</v>
      </c>
      <c r="AF713" s="44" t="n">
        <f aca="false">IF(AA713=1,K713/H713,0)</f>
        <v>0</v>
      </c>
      <c r="AG713" s="45" t="str">
        <f aca="false">IF(AA713=1,D713&amp;"|"&amp;TEXT(B713,"0"),"")</f>
        <v/>
      </c>
      <c r="AH713" s="43" t="n">
        <f aca="false">IF(AA713=1,H713,0)</f>
        <v>0</v>
      </c>
    </row>
    <row r="714" customFormat="false" ht="15" hidden="false" customHeight="false" outlineLevel="0" collapsed="false">
      <c r="A714" s="23" t="str">
        <f aca="false">IF(B714="","","B-"&amp;TEXT(ROW()-4,"0000"))</f>
        <v/>
      </c>
      <c r="B714" s="38"/>
      <c r="C714" s="38"/>
      <c r="D714" s="6"/>
      <c r="E714" s="6"/>
      <c r="F714" s="6"/>
      <c r="G714" s="11"/>
      <c r="H714" s="24" t="str">
        <f aca="false">IF(AND(ISNUMBER(B714),ISNUMBER(C714)),MAX(0,C714-B714),"")</f>
        <v/>
      </c>
      <c r="I714" s="37"/>
      <c r="J714" s="46" t="str">
        <f aca="false">IF(OR(D714="",N(H714)=0),"",IFERROR(IF(I714&lt;&gt;"",H714*I714,ROUND(((H714-(INT((WEEKDAY(B714-6)+H714-1)/7)+INT((WEEKDAY(B714-7)+H714-1)/7)))*INDEX(Properties!$E$5:$E$24,MATCH(D714,Properties!$A$5:$A$24,0))+(INT((WEEKDAY(B714-6)+H714-1)/7)+INT((WEEKDAY(B714-7)+H714-1)/7))*INDEX(Properties!$F$5:$F$24,MATCH(D714,Properties!$A$5:$A$24,0)))*(1-IF(H714&gt;=28,Settings!$B$10,IF(H714&gt;=7,Settings!$B$9,0))),2)),0))</f>
        <v/>
      </c>
      <c r="K714" s="46" t="str">
        <f aca="false">IF(J714="","",IFERROR(N(INDEX(Properties!$G$5:$G$24,MATCH(D714,Properties!$A$5:$A$24,0))),0))</f>
        <v/>
      </c>
      <c r="L714" s="46" t="str">
        <f aca="false">IF(J714="","",IFERROR(MAX(0,N(G714)-INDEX(Properties!$I$5:$I$24,MATCH(D714,Properties!$A$5:$A$24,0)))*N(INDEX(Properties!$J$5:$J$24,MATCH(D714,Properties!$A$5:$A$24,0)))*H714,0))</f>
        <v/>
      </c>
      <c r="M714" s="37"/>
      <c r="N714" s="46" t="str">
        <f aca="false">IF(J714="","",J714+K714+L714+N(M714))</f>
        <v/>
      </c>
      <c r="O714" s="46" t="str">
        <f aca="false">IF(N714="","",IF(P714&lt;&gt;"",N714-P714,ROUND(N714*IFERROR(INDEX(Settings!$E$5:$E$12,MATCH(F714,Settings!$D$5:$D$12,0)),0),2)))</f>
        <v/>
      </c>
      <c r="P714" s="37"/>
      <c r="Q714" s="46" t="str">
        <f aca="false">IF(N714="","",IF(P714&lt;&gt;"",P714,N714-O714))</f>
        <v/>
      </c>
      <c r="R714" s="46" t="str">
        <f aca="false">IF(J714="","",IFERROR(N(INDEX(Properties!$H$5:$H$24,MATCH(D714,Properties!$A$5:$A$24,0))),0))</f>
        <v/>
      </c>
      <c r="S714" s="46" t="str">
        <f aca="false">IF(Q714="","",Q714-R714)</f>
        <v/>
      </c>
      <c r="T714" s="6"/>
      <c r="U714" s="6"/>
      <c r="V714" s="6"/>
      <c r="W714" s="6"/>
      <c r="X714" s="6"/>
      <c r="Y714" s="8" t="str">
        <f aca="false">IF(OR(D714="",B714="",C714=""),"",IF(N(C714)&lt;=N(B714),"Check dates",IF(T714="Cancelled","",IF(COUNTIFS($D$5:$D$1004,D714,$B$5:$B$1004,"&lt;"&amp;C714,$C$5:$C$1004,"&gt;"&amp;B714,$T$5:$T$1004,"&lt;&gt;Cancelled")&gt;1,"Double-booked",""))))</f>
        <v/>
      </c>
      <c r="Z714" s="42" t="str">
        <f aca="false">IF(AND(AA714=1,ISNUMBER(C714)),C714+ROW()/100000,"")</f>
        <v/>
      </c>
      <c r="AA714" s="43" t="n">
        <f aca="false">IF(AND(D714&lt;&gt;"",ISNUMBER(B714),ISNUMBER(C714),N(H714)&gt;0,T714&lt;&gt;"Cancelled",J714&lt;&gt;""),1,0)</f>
        <v>0</v>
      </c>
      <c r="AB714" s="44" t="n">
        <f aca="false">IF(AA714=1,J714/H714,0)</f>
        <v>0</v>
      </c>
      <c r="AC714" s="44" t="n">
        <f aca="false">IF(AA714=1,Q714/H714,0)</f>
        <v>0</v>
      </c>
      <c r="AD714" s="44" t="n">
        <f aca="false">IF(AA714=1,R714/H714,0)</f>
        <v>0</v>
      </c>
      <c r="AE714" s="44" t="n">
        <f aca="false">IF(AA714=1,O714/H714,0)</f>
        <v>0</v>
      </c>
      <c r="AF714" s="44" t="n">
        <f aca="false">IF(AA714=1,K714/H714,0)</f>
        <v>0</v>
      </c>
      <c r="AG714" s="45" t="str">
        <f aca="false">IF(AA714=1,D714&amp;"|"&amp;TEXT(B714,"0"),"")</f>
        <v/>
      </c>
      <c r="AH714" s="43" t="n">
        <f aca="false">IF(AA714=1,H714,0)</f>
        <v>0</v>
      </c>
    </row>
    <row r="715" customFormat="false" ht="15" hidden="false" customHeight="false" outlineLevel="0" collapsed="false">
      <c r="A715" s="8" t="str">
        <f aca="false">IF(B715="","","B-"&amp;TEXT(ROW()-4,"0000"))</f>
        <v/>
      </c>
      <c r="B715" s="38"/>
      <c r="C715" s="38"/>
      <c r="D715" s="6"/>
      <c r="E715" s="6"/>
      <c r="F715" s="6"/>
      <c r="G715" s="11"/>
      <c r="H715" s="18" t="str">
        <f aca="false">IF(AND(ISNUMBER(B715),ISNUMBER(C715)),MAX(0,C715-B715),"")</f>
        <v/>
      </c>
      <c r="I715" s="37"/>
      <c r="J715" s="41" t="str">
        <f aca="false">IF(OR(D715="",N(H715)=0),"",IFERROR(IF(I715&lt;&gt;"",H715*I715,ROUND(((H715-(INT((WEEKDAY(B715-6)+H715-1)/7)+INT((WEEKDAY(B715-7)+H715-1)/7)))*INDEX(Properties!$E$5:$E$24,MATCH(D715,Properties!$A$5:$A$24,0))+(INT((WEEKDAY(B715-6)+H715-1)/7)+INT((WEEKDAY(B715-7)+H715-1)/7))*INDEX(Properties!$F$5:$F$24,MATCH(D715,Properties!$A$5:$A$24,0)))*(1-IF(H715&gt;=28,Settings!$B$10,IF(H715&gt;=7,Settings!$B$9,0))),2)),0))</f>
        <v/>
      </c>
      <c r="K715" s="41" t="str">
        <f aca="false">IF(J715="","",IFERROR(N(INDEX(Properties!$G$5:$G$24,MATCH(D715,Properties!$A$5:$A$24,0))),0))</f>
        <v/>
      </c>
      <c r="L715" s="41" t="str">
        <f aca="false">IF(J715="","",IFERROR(MAX(0,N(G715)-INDEX(Properties!$I$5:$I$24,MATCH(D715,Properties!$A$5:$A$24,0)))*N(INDEX(Properties!$J$5:$J$24,MATCH(D715,Properties!$A$5:$A$24,0)))*H715,0))</f>
        <v/>
      </c>
      <c r="M715" s="37"/>
      <c r="N715" s="41" t="str">
        <f aca="false">IF(J715="","",J715+K715+L715+N(M715))</f>
        <v/>
      </c>
      <c r="O715" s="41" t="str">
        <f aca="false">IF(N715="","",IF(P715&lt;&gt;"",N715-P715,ROUND(N715*IFERROR(INDEX(Settings!$E$5:$E$12,MATCH(F715,Settings!$D$5:$D$12,0)),0),2)))</f>
        <v/>
      </c>
      <c r="P715" s="37"/>
      <c r="Q715" s="41" t="str">
        <f aca="false">IF(N715="","",IF(P715&lt;&gt;"",P715,N715-O715))</f>
        <v/>
      </c>
      <c r="R715" s="41" t="str">
        <f aca="false">IF(J715="","",IFERROR(N(INDEX(Properties!$H$5:$H$24,MATCH(D715,Properties!$A$5:$A$24,0))),0))</f>
        <v/>
      </c>
      <c r="S715" s="41" t="str">
        <f aca="false">IF(Q715="","",Q715-R715)</f>
        <v/>
      </c>
      <c r="T715" s="6"/>
      <c r="U715" s="6"/>
      <c r="V715" s="6"/>
      <c r="W715" s="6"/>
      <c r="X715" s="6"/>
      <c r="Y715" s="8" t="str">
        <f aca="false">IF(OR(D715="",B715="",C715=""),"",IF(N(C715)&lt;=N(B715),"Check dates",IF(T715="Cancelled","",IF(COUNTIFS($D$5:$D$1004,D715,$B$5:$B$1004,"&lt;"&amp;C715,$C$5:$C$1004,"&gt;"&amp;B715,$T$5:$T$1004,"&lt;&gt;Cancelled")&gt;1,"Double-booked",""))))</f>
        <v/>
      </c>
      <c r="Z715" s="42" t="str">
        <f aca="false">IF(AND(AA715=1,ISNUMBER(C715)),C715+ROW()/100000,"")</f>
        <v/>
      </c>
      <c r="AA715" s="43" t="n">
        <f aca="false">IF(AND(D715&lt;&gt;"",ISNUMBER(B715),ISNUMBER(C715),N(H715)&gt;0,T715&lt;&gt;"Cancelled",J715&lt;&gt;""),1,0)</f>
        <v>0</v>
      </c>
      <c r="AB715" s="44" t="n">
        <f aca="false">IF(AA715=1,J715/H715,0)</f>
        <v>0</v>
      </c>
      <c r="AC715" s="44" t="n">
        <f aca="false">IF(AA715=1,Q715/H715,0)</f>
        <v>0</v>
      </c>
      <c r="AD715" s="44" t="n">
        <f aca="false">IF(AA715=1,R715/H715,0)</f>
        <v>0</v>
      </c>
      <c r="AE715" s="44" t="n">
        <f aca="false">IF(AA715=1,O715/H715,0)</f>
        <v>0</v>
      </c>
      <c r="AF715" s="44" t="n">
        <f aca="false">IF(AA715=1,K715/H715,0)</f>
        <v>0</v>
      </c>
      <c r="AG715" s="45" t="str">
        <f aca="false">IF(AA715=1,D715&amp;"|"&amp;TEXT(B715,"0"),"")</f>
        <v/>
      </c>
      <c r="AH715" s="43" t="n">
        <f aca="false">IF(AA715=1,H715,0)</f>
        <v>0</v>
      </c>
    </row>
    <row r="716" customFormat="false" ht="15" hidden="false" customHeight="false" outlineLevel="0" collapsed="false">
      <c r="A716" s="23" t="str">
        <f aca="false">IF(B716="","","B-"&amp;TEXT(ROW()-4,"0000"))</f>
        <v/>
      </c>
      <c r="B716" s="38"/>
      <c r="C716" s="38"/>
      <c r="D716" s="6"/>
      <c r="E716" s="6"/>
      <c r="F716" s="6"/>
      <c r="G716" s="11"/>
      <c r="H716" s="24" t="str">
        <f aca="false">IF(AND(ISNUMBER(B716),ISNUMBER(C716)),MAX(0,C716-B716),"")</f>
        <v/>
      </c>
      <c r="I716" s="37"/>
      <c r="J716" s="46" t="str">
        <f aca="false">IF(OR(D716="",N(H716)=0),"",IFERROR(IF(I716&lt;&gt;"",H716*I716,ROUND(((H716-(INT((WEEKDAY(B716-6)+H716-1)/7)+INT((WEEKDAY(B716-7)+H716-1)/7)))*INDEX(Properties!$E$5:$E$24,MATCH(D716,Properties!$A$5:$A$24,0))+(INT((WEEKDAY(B716-6)+H716-1)/7)+INT((WEEKDAY(B716-7)+H716-1)/7))*INDEX(Properties!$F$5:$F$24,MATCH(D716,Properties!$A$5:$A$24,0)))*(1-IF(H716&gt;=28,Settings!$B$10,IF(H716&gt;=7,Settings!$B$9,0))),2)),0))</f>
        <v/>
      </c>
      <c r="K716" s="46" t="str">
        <f aca="false">IF(J716="","",IFERROR(N(INDEX(Properties!$G$5:$G$24,MATCH(D716,Properties!$A$5:$A$24,0))),0))</f>
        <v/>
      </c>
      <c r="L716" s="46" t="str">
        <f aca="false">IF(J716="","",IFERROR(MAX(0,N(G716)-INDEX(Properties!$I$5:$I$24,MATCH(D716,Properties!$A$5:$A$24,0)))*N(INDEX(Properties!$J$5:$J$24,MATCH(D716,Properties!$A$5:$A$24,0)))*H716,0))</f>
        <v/>
      </c>
      <c r="M716" s="37"/>
      <c r="N716" s="46" t="str">
        <f aca="false">IF(J716="","",J716+K716+L716+N(M716))</f>
        <v/>
      </c>
      <c r="O716" s="46" t="str">
        <f aca="false">IF(N716="","",IF(P716&lt;&gt;"",N716-P716,ROUND(N716*IFERROR(INDEX(Settings!$E$5:$E$12,MATCH(F716,Settings!$D$5:$D$12,0)),0),2)))</f>
        <v/>
      </c>
      <c r="P716" s="37"/>
      <c r="Q716" s="46" t="str">
        <f aca="false">IF(N716="","",IF(P716&lt;&gt;"",P716,N716-O716))</f>
        <v/>
      </c>
      <c r="R716" s="46" t="str">
        <f aca="false">IF(J716="","",IFERROR(N(INDEX(Properties!$H$5:$H$24,MATCH(D716,Properties!$A$5:$A$24,0))),0))</f>
        <v/>
      </c>
      <c r="S716" s="46" t="str">
        <f aca="false">IF(Q716="","",Q716-R716)</f>
        <v/>
      </c>
      <c r="T716" s="6"/>
      <c r="U716" s="6"/>
      <c r="V716" s="6"/>
      <c r="W716" s="6"/>
      <c r="X716" s="6"/>
      <c r="Y716" s="8" t="str">
        <f aca="false">IF(OR(D716="",B716="",C716=""),"",IF(N(C716)&lt;=N(B716),"Check dates",IF(T716="Cancelled","",IF(COUNTIFS($D$5:$D$1004,D716,$B$5:$B$1004,"&lt;"&amp;C716,$C$5:$C$1004,"&gt;"&amp;B716,$T$5:$T$1004,"&lt;&gt;Cancelled")&gt;1,"Double-booked",""))))</f>
        <v/>
      </c>
      <c r="Z716" s="42" t="str">
        <f aca="false">IF(AND(AA716=1,ISNUMBER(C716)),C716+ROW()/100000,"")</f>
        <v/>
      </c>
      <c r="AA716" s="43" t="n">
        <f aca="false">IF(AND(D716&lt;&gt;"",ISNUMBER(B716),ISNUMBER(C716),N(H716)&gt;0,T716&lt;&gt;"Cancelled",J716&lt;&gt;""),1,0)</f>
        <v>0</v>
      </c>
      <c r="AB716" s="44" t="n">
        <f aca="false">IF(AA716=1,J716/H716,0)</f>
        <v>0</v>
      </c>
      <c r="AC716" s="44" t="n">
        <f aca="false">IF(AA716=1,Q716/H716,0)</f>
        <v>0</v>
      </c>
      <c r="AD716" s="44" t="n">
        <f aca="false">IF(AA716=1,R716/H716,0)</f>
        <v>0</v>
      </c>
      <c r="AE716" s="44" t="n">
        <f aca="false">IF(AA716=1,O716/H716,0)</f>
        <v>0</v>
      </c>
      <c r="AF716" s="44" t="n">
        <f aca="false">IF(AA716=1,K716/H716,0)</f>
        <v>0</v>
      </c>
      <c r="AG716" s="45" t="str">
        <f aca="false">IF(AA716=1,D716&amp;"|"&amp;TEXT(B716,"0"),"")</f>
        <v/>
      </c>
      <c r="AH716" s="43" t="n">
        <f aca="false">IF(AA716=1,H716,0)</f>
        <v>0</v>
      </c>
    </row>
    <row r="717" customFormat="false" ht="15" hidden="false" customHeight="false" outlineLevel="0" collapsed="false">
      <c r="A717" s="8" t="str">
        <f aca="false">IF(B717="","","B-"&amp;TEXT(ROW()-4,"0000"))</f>
        <v/>
      </c>
      <c r="B717" s="38"/>
      <c r="C717" s="38"/>
      <c r="D717" s="6"/>
      <c r="E717" s="6"/>
      <c r="F717" s="6"/>
      <c r="G717" s="11"/>
      <c r="H717" s="18" t="str">
        <f aca="false">IF(AND(ISNUMBER(B717),ISNUMBER(C717)),MAX(0,C717-B717),"")</f>
        <v/>
      </c>
      <c r="I717" s="37"/>
      <c r="J717" s="41" t="str">
        <f aca="false">IF(OR(D717="",N(H717)=0),"",IFERROR(IF(I717&lt;&gt;"",H717*I717,ROUND(((H717-(INT((WEEKDAY(B717-6)+H717-1)/7)+INT((WEEKDAY(B717-7)+H717-1)/7)))*INDEX(Properties!$E$5:$E$24,MATCH(D717,Properties!$A$5:$A$24,0))+(INT((WEEKDAY(B717-6)+H717-1)/7)+INT((WEEKDAY(B717-7)+H717-1)/7))*INDEX(Properties!$F$5:$F$24,MATCH(D717,Properties!$A$5:$A$24,0)))*(1-IF(H717&gt;=28,Settings!$B$10,IF(H717&gt;=7,Settings!$B$9,0))),2)),0))</f>
        <v/>
      </c>
      <c r="K717" s="41" t="str">
        <f aca="false">IF(J717="","",IFERROR(N(INDEX(Properties!$G$5:$G$24,MATCH(D717,Properties!$A$5:$A$24,0))),0))</f>
        <v/>
      </c>
      <c r="L717" s="41" t="str">
        <f aca="false">IF(J717="","",IFERROR(MAX(0,N(G717)-INDEX(Properties!$I$5:$I$24,MATCH(D717,Properties!$A$5:$A$24,0)))*N(INDEX(Properties!$J$5:$J$24,MATCH(D717,Properties!$A$5:$A$24,0)))*H717,0))</f>
        <v/>
      </c>
      <c r="M717" s="37"/>
      <c r="N717" s="41" t="str">
        <f aca="false">IF(J717="","",J717+K717+L717+N(M717))</f>
        <v/>
      </c>
      <c r="O717" s="41" t="str">
        <f aca="false">IF(N717="","",IF(P717&lt;&gt;"",N717-P717,ROUND(N717*IFERROR(INDEX(Settings!$E$5:$E$12,MATCH(F717,Settings!$D$5:$D$12,0)),0),2)))</f>
        <v/>
      </c>
      <c r="P717" s="37"/>
      <c r="Q717" s="41" t="str">
        <f aca="false">IF(N717="","",IF(P717&lt;&gt;"",P717,N717-O717))</f>
        <v/>
      </c>
      <c r="R717" s="41" t="str">
        <f aca="false">IF(J717="","",IFERROR(N(INDEX(Properties!$H$5:$H$24,MATCH(D717,Properties!$A$5:$A$24,0))),0))</f>
        <v/>
      </c>
      <c r="S717" s="41" t="str">
        <f aca="false">IF(Q717="","",Q717-R717)</f>
        <v/>
      </c>
      <c r="T717" s="6"/>
      <c r="U717" s="6"/>
      <c r="V717" s="6"/>
      <c r="W717" s="6"/>
      <c r="X717" s="6"/>
      <c r="Y717" s="8" t="str">
        <f aca="false">IF(OR(D717="",B717="",C717=""),"",IF(N(C717)&lt;=N(B717),"Check dates",IF(T717="Cancelled","",IF(COUNTIFS($D$5:$D$1004,D717,$B$5:$B$1004,"&lt;"&amp;C717,$C$5:$C$1004,"&gt;"&amp;B717,$T$5:$T$1004,"&lt;&gt;Cancelled")&gt;1,"Double-booked",""))))</f>
        <v/>
      </c>
      <c r="Z717" s="42" t="str">
        <f aca="false">IF(AND(AA717=1,ISNUMBER(C717)),C717+ROW()/100000,"")</f>
        <v/>
      </c>
      <c r="AA717" s="43" t="n">
        <f aca="false">IF(AND(D717&lt;&gt;"",ISNUMBER(B717),ISNUMBER(C717),N(H717)&gt;0,T717&lt;&gt;"Cancelled",J717&lt;&gt;""),1,0)</f>
        <v>0</v>
      </c>
      <c r="AB717" s="44" t="n">
        <f aca="false">IF(AA717=1,J717/H717,0)</f>
        <v>0</v>
      </c>
      <c r="AC717" s="44" t="n">
        <f aca="false">IF(AA717=1,Q717/H717,0)</f>
        <v>0</v>
      </c>
      <c r="AD717" s="44" t="n">
        <f aca="false">IF(AA717=1,R717/H717,0)</f>
        <v>0</v>
      </c>
      <c r="AE717" s="44" t="n">
        <f aca="false">IF(AA717=1,O717/H717,0)</f>
        <v>0</v>
      </c>
      <c r="AF717" s="44" t="n">
        <f aca="false">IF(AA717=1,K717/H717,0)</f>
        <v>0</v>
      </c>
      <c r="AG717" s="45" t="str">
        <f aca="false">IF(AA717=1,D717&amp;"|"&amp;TEXT(B717,"0"),"")</f>
        <v/>
      </c>
      <c r="AH717" s="43" t="n">
        <f aca="false">IF(AA717=1,H717,0)</f>
        <v>0</v>
      </c>
    </row>
    <row r="718" customFormat="false" ht="15" hidden="false" customHeight="false" outlineLevel="0" collapsed="false">
      <c r="A718" s="23" t="str">
        <f aca="false">IF(B718="","","B-"&amp;TEXT(ROW()-4,"0000"))</f>
        <v/>
      </c>
      <c r="B718" s="38"/>
      <c r="C718" s="38"/>
      <c r="D718" s="6"/>
      <c r="E718" s="6"/>
      <c r="F718" s="6"/>
      <c r="G718" s="11"/>
      <c r="H718" s="24" t="str">
        <f aca="false">IF(AND(ISNUMBER(B718),ISNUMBER(C718)),MAX(0,C718-B718),"")</f>
        <v/>
      </c>
      <c r="I718" s="37"/>
      <c r="J718" s="46" t="str">
        <f aca="false">IF(OR(D718="",N(H718)=0),"",IFERROR(IF(I718&lt;&gt;"",H718*I718,ROUND(((H718-(INT((WEEKDAY(B718-6)+H718-1)/7)+INT((WEEKDAY(B718-7)+H718-1)/7)))*INDEX(Properties!$E$5:$E$24,MATCH(D718,Properties!$A$5:$A$24,0))+(INT((WEEKDAY(B718-6)+H718-1)/7)+INT((WEEKDAY(B718-7)+H718-1)/7))*INDEX(Properties!$F$5:$F$24,MATCH(D718,Properties!$A$5:$A$24,0)))*(1-IF(H718&gt;=28,Settings!$B$10,IF(H718&gt;=7,Settings!$B$9,0))),2)),0))</f>
        <v/>
      </c>
      <c r="K718" s="46" t="str">
        <f aca="false">IF(J718="","",IFERROR(N(INDEX(Properties!$G$5:$G$24,MATCH(D718,Properties!$A$5:$A$24,0))),0))</f>
        <v/>
      </c>
      <c r="L718" s="46" t="str">
        <f aca="false">IF(J718="","",IFERROR(MAX(0,N(G718)-INDEX(Properties!$I$5:$I$24,MATCH(D718,Properties!$A$5:$A$24,0)))*N(INDEX(Properties!$J$5:$J$24,MATCH(D718,Properties!$A$5:$A$24,0)))*H718,0))</f>
        <v/>
      </c>
      <c r="M718" s="37"/>
      <c r="N718" s="46" t="str">
        <f aca="false">IF(J718="","",J718+K718+L718+N(M718))</f>
        <v/>
      </c>
      <c r="O718" s="46" t="str">
        <f aca="false">IF(N718="","",IF(P718&lt;&gt;"",N718-P718,ROUND(N718*IFERROR(INDEX(Settings!$E$5:$E$12,MATCH(F718,Settings!$D$5:$D$12,0)),0),2)))</f>
        <v/>
      </c>
      <c r="P718" s="37"/>
      <c r="Q718" s="46" t="str">
        <f aca="false">IF(N718="","",IF(P718&lt;&gt;"",P718,N718-O718))</f>
        <v/>
      </c>
      <c r="R718" s="46" t="str">
        <f aca="false">IF(J718="","",IFERROR(N(INDEX(Properties!$H$5:$H$24,MATCH(D718,Properties!$A$5:$A$24,0))),0))</f>
        <v/>
      </c>
      <c r="S718" s="46" t="str">
        <f aca="false">IF(Q718="","",Q718-R718)</f>
        <v/>
      </c>
      <c r="T718" s="6"/>
      <c r="U718" s="6"/>
      <c r="V718" s="6"/>
      <c r="W718" s="6"/>
      <c r="X718" s="6"/>
      <c r="Y718" s="8" t="str">
        <f aca="false">IF(OR(D718="",B718="",C718=""),"",IF(N(C718)&lt;=N(B718),"Check dates",IF(T718="Cancelled","",IF(COUNTIFS($D$5:$D$1004,D718,$B$5:$B$1004,"&lt;"&amp;C718,$C$5:$C$1004,"&gt;"&amp;B718,$T$5:$T$1004,"&lt;&gt;Cancelled")&gt;1,"Double-booked",""))))</f>
        <v/>
      </c>
      <c r="Z718" s="42" t="str">
        <f aca="false">IF(AND(AA718=1,ISNUMBER(C718)),C718+ROW()/100000,"")</f>
        <v/>
      </c>
      <c r="AA718" s="43" t="n">
        <f aca="false">IF(AND(D718&lt;&gt;"",ISNUMBER(B718),ISNUMBER(C718),N(H718)&gt;0,T718&lt;&gt;"Cancelled",J718&lt;&gt;""),1,0)</f>
        <v>0</v>
      </c>
      <c r="AB718" s="44" t="n">
        <f aca="false">IF(AA718=1,J718/H718,0)</f>
        <v>0</v>
      </c>
      <c r="AC718" s="44" t="n">
        <f aca="false">IF(AA718=1,Q718/H718,0)</f>
        <v>0</v>
      </c>
      <c r="AD718" s="44" t="n">
        <f aca="false">IF(AA718=1,R718/H718,0)</f>
        <v>0</v>
      </c>
      <c r="AE718" s="44" t="n">
        <f aca="false">IF(AA718=1,O718/H718,0)</f>
        <v>0</v>
      </c>
      <c r="AF718" s="44" t="n">
        <f aca="false">IF(AA718=1,K718/H718,0)</f>
        <v>0</v>
      </c>
      <c r="AG718" s="45" t="str">
        <f aca="false">IF(AA718=1,D718&amp;"|"&amp;TEXT(B718,"0"),"")</f>
        <v/>
      </c>
      <c r="AH718" s="43" t="n">
        <f aca="false">IF(AA718=1,H718,0)</f>
        <v>0</v>
      </c>
    </row>
    <row r="719" customFormat="false" ht="15" hidden="false" customHeight="false" outlineLevel="0" collapsed="false">
      <c r="A719" s="8" t="str">
        <f aca="false">IF(B719="","","B-"&amp;TEXT(ROW()-4,"0000"))</f>
        <v/>
      </c>
      <c r="B719" s="38"/>
      <c r="C719" s="38"/>
      <c r="D719" s="6"/>
      <c r="E719" s="6"/>
      <c r="F719" s="6"/>
      <c r="G719" s="11"/>
      <c r="H719" s="18" t="str">
        <f aca="false">IF(AND(ISNUMBER(B719),ISNUMBER(C719)),MAX(0,C719-B719),"")</f>
        <v/>
      </c>
      <c r="I719" s="37"/>
      <c r="J719" s="41" t="str">
        <f aca="false">IF(OR(D719="",N(H719)=0),"",IFERROR(IF(I719&lt;&gt;"",H719*I719,ROUND(((H719-(INT((WEEKDAY(B719-6)+H719-1)/7)+INT((WEEKDAY(B719-7)+H719-1)/7)))*INDEX(Properties!$E$5:$E$24,MATCH(D719,Properties!$A$5:$A$24,0))+(INT((WEEKDAY(B719-6)+H719-1)/7)+INT((WEEKDAY(B719-7)+H719-1)/7))*INDEX(Properties!$F$5:$F$24,MATCH(D719,Properties!$A$5:$A$24,0)))*(1-IF(H719&gt;=28,Settings!$B$10,IF(H719&gt;=7,Settings!$B$9,0))),2)),0))</f>
        <v/>
      </c>
      <c r="K719" s="41" t="str">
        <f aca="false">IF(J719="","",IFERROR(N(INDEX(Properties!$G$5:$G$24,MATCH(D719,Properties!$A$5:$A$24,0))),0))</f>
        <v/>
      </c>
      <c r="L719" s="41" t="str">
        <f aca="false">IF(J719="","",IFERROR(MAX(0,N(G719)-INDEX(Properties!$I$5:$I$24,MATCH(D719,Properties!$A$5:$A$24,0)))*N(INDEX(Properties!$J$5:$J$24,MATCH(D719,Properties!$A$5:$A$24,0)))*H719,0))</f>
        <v/>
      </c>
      <c r="M719" s="37"/>
      <c r="N719" s="41" t="str">
        <f aca="false">IF(J719="","",J719+K719+L719+N(M719))</f>
        <v/>
      </c>
      <c r="O719" s="41" t="str">
        <f aca="false">IF(N719="","",IF(P719&lt;&gt;"",N719-P719,ROUND(N719*IFERROR(INDEX(Settings!$E$5:$E$12,MATCH(F719,Settings!$D$5:$D$12,0)),0),2)))</f>
        <v/>
      </c>
      <c r="P719" s="37"/>
      <c r="Q719" s="41" t="str">
        <f aca="false">IF(N719="","",IF(P719&lt;&gt;"",P719,N719-O719))</f>
        <v/>
      </c>
      <c r="R719" s="41" t="str">
        <f aca="false">IF(J719="","",IFERROR(N(INDEX(Properties!$H$5:$H$24,MATCH(D719,Properties!$A$5:$A$24,0))),0))</f>
        <v/>
      </c>
      <c r="S719" s="41" t="str">
        <f aca="false">IF(Q719="","",Q719-R719)</f>
        <v/>
      </c>
      <c r="T719" s="6"/>
      <c r="U719" s="6"/>
      <c r="V719" s="6"/>
      <c r="W719" s="6"/>
      <c r="X719" s="6"/>
      <c r="Y719" s="8" t="str">
        <f aca="false">IF(OR(D719="",B719="",C719=""),"",IF(N(C719)&lt;=N(B719),"Check dates",IF(T719="Cancelled","",IF(COUNTIFS($D$5:$D$1004,D719,$B$5:$B$1004,"&lt;"&amp;C719,$C$5:$C$1004,"&gt;"&amp;B719,$T$5:$T$1004,"&lt;&gt;Cancelled")&gt;1,"Double-booked",""))))</f>
        <v/>
      </c>
      <c r="Z719" s="42" t="str">
        <f aca="false">IF(AND(AA719=1,ISNUMBER(C719)),C719+ROW()/100000,"")</f>
        <v/>
      </c>
      <c r="AA719" s="43" t="n">
        <f aca="false">IF(AND(D719&lt;&gt;"",ISNUMBER(B719),ISNUMBER(C719),N(H719)&gt;0,T719&lt;&gt;"Cancelled",J719&lt;&gt;""),1,0)</f>
        <v>0</v>
      </c>
      <c r="AB719" s="44" t="n">
        <f aca="false">IF(AA719=1,J719/H719,0)</f>
        <v>0</v>
      </c>
      <c r="AC719" s="44" t="n">
        <f aca="false">IF(AA719=1,Q719/H719,0)</f>
        <v>0</v>
      </c>
      <c r="AD719" s="44" t="n">
        <f aca="false">IF(AA719=1,R719/H719,0)</f>
        <v>0</v>
      </c>
      <c r="AE719" s="44" t="n">
        <f aca="false">IF(AA719=1,O719/H719,0)</f>
        <v>0</v>
      </c>
      <c r="AF719" s="44" t="n">
        <f aca="false">IF(AA719=1,K719/H719,0)</f>
        <v>0</v>
      </c>
      <c r="AG719" s="45" t="str">
        <f aca="false">IF(AA719=1,D719&amp;"|"&amp;TEXT(B719,"0"),"")</f>
        <v/>
      </c>
      <c r="AH719" s="43" t="n">
        <f aca="false">IF(AA719=1,H719,0)</f>
        <v>0</v>
      </c>
    </row>
    <row r="720" customFormat="false" ht="15" hidden="false" customHeight="false" outlineLevel="0" collapsed="false">
      <c r="A720" s="23" t="str">
        <f aca="false">IF(B720="","","B-"&amp;TEXT(ROW()-4,"0000"))</f>
        <v/>
      </c>
      <c r="B720" s="38"/>
      <c r="C720" s="38"/>
      <c r="D720" s="6"/>
      <c r="E720" s="6"/>
      <c r="F720" s="6"/>
      <c r="G720" s="11"/>
      <c r="H720" s="24" t="str">
        <f aca="false">IF(AND(ISNUMBER(B720),ISNUMBER(C720)),MAX(0,C720-B720),"")</f>
        <v/>
      </c>
      <c r="I720" s="37"/>
      <c r="J720" s="46" t="str">
        <f aca="false">IF(OR(D720="",N(H720)=0),"",IFERROR(IF(I720&lt;&gt;"",H720*I720,ROUND(((H720-(INT((WEEKDAY(B720-6)+H720-1)/7)+INT((WEEKDAY(B720-7)+H720-1)/7)))*INDEX(Properties!$E$5:$E$24,MATCH(D720,Properties!$A$5:$A$24,0))+(INT((WEEKDAY(B720-6)+H720-1)/7)+INT((WEEKDAY(B720-7)+H720-1)/7))*INDEX(Properties!$F$5:$F$24,MATCH(D720,Properties!$A$5:$A$24,0)))*(1-IF(H720&gt;=28,Settings!$B$10,IF(H720&gt;=7,Settings!$B$9,0))),2)),0))</f>
        <v/>
      </c>
      <c r="K720" s="46" t="str">
        <f aca="false">IF(J720="","",IFERROR(N(INDEX(Properties!$G$5:$G$24,MATCH(D720,Properties!$A$5:$A$24,0))),0))</f>
        <v/>
      </c>
      <c r="L720" s="46" t="str">
        <f aca="false">IF(J720="","",IFERROR(MAX(0,N(G720)-INDEX(Properties!$I$5:$I$24,MATCH(D720,Properties!$A$5:$A$24,0)))*N(INDEX(Properties!$J$5:$J$24,MATCH(D720,Properties!$A$5:$A$24,0)))*H720,0))</f>
        <v/>
      </c>
      <c r="M720" s="37"/>
      <c r="N720" s="46" t="str">
        <f aca="false">IF(J720="","",J720+K720+L720+N(M720))</f>
        <v/>
      </c>
      <c r="O720" s="46" t="str">
        <f aca="false">IF(N720="","",IF(P720&lt;&gt;"",N720-P720,ROUND(N720*IFERROR(INDEX(Settings!$E$5:$E$12,MATCH(F720,Settings!$D$5:$D$12,0)),0),2)))</f>
        <v/>
      </c>
      <c r="P720" s="37"/>
      <c r="Q720" s="46" t="str">
        <f aca="false">IF(N720="","",IF(P720&lt;&gt;"",P720,N720-O720))</f>
        <v/>
      </c>
      <c r="R720" s="46" t="str">
        <f aca="false">IF(J720="","",IFERROR(N(INDEX(Properties!$H$5:$H$24,MATCH(D720,Properties!$A$5:$A$24,0))),0))</f>
        <v/>
      </c>
      <c r="S720" s="46" t="str">
        <f aca="false">IF(Q720="","",Q720-R720)</f>
        <v/>
      </c>
      <c r="T720" s="6"/>
      <c r="U720" s="6"/>
      <c r="V720" s="6"/>
      <c r="W720" s="6"/>
      <c r="X720" s="6"/>
      <c r="Y720" s="8" t="str">
        <f aca="false">IF(OR(D720="",B720="",C720=""),"",IF(N(C720)&lt;=N(B720),"Check dates",IF(T720="Cancelled","",IF(COUNTIFS($D$5:$D$1004,D720,$B$5:$B$1004,"&lt;"&amp;C720,$C$5:$C$1004,"&gt;"&amp;B720,$T$5:$T$1004,"&lt;&gt;Cancelled")&gt;1,"Double-booked",""))))</f>
        <v/>
      </c>
      <c r="Z720" s="42" t="str">
        <f aca="false">IF(AND(AA720=1,ISNUMBER(C720)),C720+ROW()/100000,"")</f>
        <v/>
      </c>
      <c r="AA720" s="43" t="n">
        <f aca="false">IF(AND(D720&lt;&gt;"",ISNUMBER(B720),ISNUMBER(C720),N(H720)&gt;0,T720&lt;&gt;"Cancelled",J720&lt;&gt;""),1,0)</f>
        <v>0</v>
      </c>
      <c r="AB720" s="44" t="n">
        <f aca="false">IF(AA720=1,J720/H720,0)</f>
        <v>0</v>
      </c>
      <c r="AC720" s="44" t="n">
        <f aca="false">IF(AA720=1,Q720/H720,0)</f>
        <v>0</v>
      </c>
      <c r="AD720" s="44" t="n">
        <f aca="false">IF(AA720=1,R720/H720,0)</f>
        <v>0</v>
      </c>
      <c r="AE720" s="44" t="n">
        <f aca="false">IF(AA720=1,O720/H720,0)</f>
        <v>0</v>
      </c>
      <c r="AF720" s="44" t="n">
        <f aca="false">IF(AA720=1,K720/H720,0)</f>
        <v>0</v>
      </c>
      <c r="AG720" s="45" t="str">
        <f aca="false">IF(AA720=1,D720&amp;"|"&amp;TEXT(B720,"0"),"")</f>
        <v/>
      </c>
      <c r="AH720" s="43" t="n">
        <f aca="false">IF(AA720=1,H720,0)</f>
        <v>0</v>
      </c>
    </row>
    <row r="721" customFormat="false" ht="15" hidden="false" customHeight="false" outlineLevel="0" collapsed="false">
      <c r="A721" s="8" t="str">
        <f aca="false">IF(B721="","","B-"&amp;TEXT(ROW()-4,"0000"))</f>
        <v/>
      </c>
      <c r="B721" s="38"/>
      <c r="C721" s="38"/>
      <c r="D721" s="6"/>
      <c r="E721" s="6"/>
      <c r="F721" s="6"/>
      <c r="G721" s="11"/>
      <c r="H721" s="18" t="str">
        <f aca="false">IF(AND(ISNUMBER(B721),ISNUMBER(C721)),MAX(0,C721-B721),"")</f>
        <v/>
      </c>
      <c r="I721" s="37"/>
      <c r="J721" s="41" t="str">
        <f aca="false">IF(OR(D721="",N(H721)=0),"",IFERROR(IF(I721&lt;&gt;"",H721*I721,ROUND(((H721-(INT((WEEKDAY(B721-6)+H721-1)/7)+INT((WEEKDAY(B721-7)+H721-1)/7)))*INDEX(Properties!$E$5:$E$24,MATCH(D721,Properties!$A$5:$A$24,0))+(INT((WEEKDAY(B721-6)+H721-1)/7)+INT((WEEKDAY(B721-7)+H721-1)/7))*INDEX(Properties!$F$5:$F$24,MATCH(D721,Properties!$A$5:$A$24,0)))*(1-IF(H721&gt;=28,Settings!$B$10,IF(H721&gt;=7,Settings!$B$9,0))),2)),0))</f>
        <v/>
      </c>
      <c r="K721" s="41" t="str">
        <f aca="false">IF(J721="","",IFERROR(N(INDEX(Properties!$G$5:$G$24,MATCH(D721,Properties!$A$5:$A$24,0))),0))</f>
        <v/>
      </c>
      <c r="L721" s="41" t="str">
        <f aca="false">IF(J721="","",IFERROR(MAX(0,N(G721)-INDEX(Properties!$I$5:$I$24,MATCH(D721,Properties!$A$5:$A$24,0)))*N(INDEX(Properties!$J$5:$J$24,MATCH(D721,Properties!$A$5:$A$24,0)))*H721,0))</f>
        <v/>
      </c>
      <c r="M721" s="37"/>
      <c r="N721" s="41" t="str">
        <f aca="false">IF(J721="","",J721+K721+L721+N(M721))</f>
        <v/>
      </c>
      <c r="O721" s="41" t="str">
        <f aca="false">IF(N721="","",IF(P721&lt;&gt;"",N721-P721,ROUND(N721*IFERROR(INDEX(Settings!$E$5:$E$12,MATCH(F721,Settings!$D$5:$D$12,0)),0),2)))</f>
        <v/>
      </c>
      <c r="P721" s="37"/>
      <c r="Q721" s="41" t="str">
        <f aca="false">IF(N721="","",IF(P721&lt;&gt;"",P721,N721-O721))</f>
        <v/>
      </c>
      <c r="R721" s="41" t="str">
        <f aca="false">IF(J721="","",IFERROR(N(INDEX(Properties!$H$5:$H$24,MATCH(D721,Properties!$A$5:$A$24,0))),0))</f>
        <v/>
      </c>
      <c r="S721" s="41" t="str">
        <f aca="false">IF(Q721="","",Q721-R721)</f>
        <v/>
      </c>
      <c r="T721" s="6"/>
      <c r="U721" s="6"/>
      <c r="V721" s="6"/>
      <c r="W721" s="6"/>
      <c r="X721" s="6"/>
      <c r="Y721" s="8" t="str">
        <f aca="false">IF(OR(D721="",B721="",C721=""),"",IF(N(C721)&lt;=N(B721),"Check dates",IF(T721="Cancelled","",IF(COUNTIFS($D$5:$D$1004,D721,$B$5:$B$1004,"&lt;"&amp;C721,$C$5:$C$1004,"&gt;"&amp;B721,$T$5:$T$1004,"&lt;&gt;Cancelled")&gt;1,"Double-booked",""))))</f>
        <v/>
      </c>
      <c r="Z721" s="42" t="str">
        <f aca="false">IF(AND(AA721=1,ISNUMBER(C721)),C721+ROW()/100000,"")</f>
        <v/>
      </c>
      <c r="AA721" s="43" t="n">
        <f aca="false">IF(AND(D721&lt;&gt;"",ISNUMBER(B721),ISNUMBER(C721),N(H721)&gt;0,T721&lt;&gt;"Cancelled",J721&lt;&gt;""),1,0)</f>
        <v>0</v>
      </c>
      <c r="AB721" s="44" t="n">
        <f aca="false">IF(AA721=1,J721/H721,0)</f>
        <v>0</v>
      </c>
      <c r="AC721" s="44" t="n">
        <f aca="false">IF(AA721=1,Q721/H721,0)</f>
        <v>0</v>
      </c>
      <c r="AD721" s="44" t="n">
        <f aca="false">IF(AA721=1,R721/H721,0)</f>
        <v>0</v>
      </c>
      <c r="AE721" s="44" t="n">
        <f aca="false">IF(AA721=1,O721/H721,0)</f>
        <v>0</v>
      </c>
      <c r="AF721" s="44" t="n">
        <f aca="false">IF(AA721=1,K721/H721,0)</f>
        <v>0</v>
      </c>
      <c r="AG721" s="45" t="str">
        <f aca="false">IF(AA721=1,D721&amp;"|"&amp;TEXT(B721,"0"),"")</f>
        <v/>
      </c>
      <c r="AH721" s="43" t="n">
        <f aca="false">IF(AA721=1,H721,0)</f>
        <v>0</v>
      </c>
    </row>
    <row r="722" customFormat="false" ht="15" hidden="false" customHeight="false" outlineLevel="0" collapsed="false">
      <c r="A722" s="23" t="str">
        <f aca="false">IF(B722="","","B-"&amp;TEXT(ROW()-4,"0000"))</f>
        <v/>
      </c>
      <c r="B722" s="38"/>
      <c r="C722" s="38"/>
      <c r="D722" s="6"/>
      <c r="E722" s="6"/>
      <c r="F722" s="6"/>
      <c r="G722" s="11"/>
      <c r="H722" s="24" t="str">
        <f aca="false">IF(AND(ISNUMBER(B722),ISNUMBER(C722)),MAX(0,C722-B722),"")</f>
        <v/>
      </c>
      <c r="I722" s="37"/>
      <c r="J722" s="46" t="str">
        <f aca="false">IF(OR(D722="",N(H722)=0),"",IFERROR(IF(I722&lt;&gt;"",H722*I722,ROUND(((H722-(INT((WEEKDAY(B722-6)+H722-1)/7)+INT((WEEKDAY(B722-7)+H722-1)/7)))*INDEX(Properties!$E$5:$E$24,MATCH(D722,Properties!$A$5:$A$24,0))+(INT((WEEKDAY(B722-6)+H722-1)/7)+INT((WEEKDAY(B722-7)+H722-1)/7))*INDEX(Properties!$F$5:$F$24,MATCH(D722,Properties!$A$5:$A$24,0)))*(1-IF(H722&gt;=28,Settings!$B$10,IF(H722&gt;=7,Settings!$B$9,0))),2)),0))</f>
        <v/>
      </c>
      <c r="K722" s="46" t="str">
        <f aca="false">IF(J722="","",IFERROR(N(INDEX(Properties!$G$5:$G$24,MATCH(D722,Properties!$A$5:$A$24,0))),0))</f>
        <v/>
      </c>
      <c r="L722" s="46" t="str">
        <f aca="false">IF(J722="","",IFERROR(MAX(0,N(G722)-INDEX(Properties!$I$5:$I$24,MATCH(D722,Properties!$A$5:$A$24,0)))*N(INDEX(Properties!$J$5:$J$24,MATCH(D722,Properties!$A$5:$A$24,0)))*H722,0))</f>
        <v/>
      </c>
      <c r="M722" s="37"/>
      <c r="N722" s="46" t="str">
        <f aca="false">IF(J722="","",J722+K722+L722+N(M722))</f>
        <v/>
      </c>
      <c r="O722" s="46" t="str">
        <f aca="false">IF(N722="","",IF(P722&lt;&gt;"",N722-P722,ROUND(N722*IFERROR(INDEX(Settings!$E$5:$E$12,MATCH(F722,Settings!$D$5:$D$12,0)),0),2)))</f>
        <v/>
      </c>
      <c r="P722" s="37"/>
      <c r="Q722" s="46" t="str">
        <f aca="false">IF(N722="","",IF(P722&lt;&gt;"",P722,N722-O722))</f>
        <v/>
      </c>
      <c r="R722" s="46" t="str">
        <f aca="false">IF(J722="","",IFERROR(N(INDEX(Properties!$H$5:$H$24,MATCH(D722,Properties!$A$5:$A$24,0))),0))</f>
        <v/>
      </c>
      <c r="S722" s="46" t="str">
        <f aca="false">IF(Q722="","",Q722-R722)</f>
        <v/>
      </c>
      <c r="T722" s="6"/>
      <c r="U722" s="6"/>
      <c r="V722" s="6"/>
      <c r="W722" s="6"/>
      <c r="X722" s="6"/>
      <c r="Y722" s="8" t="str">
        <f aca="false">IF(OR(D722="",B722="",C722=""),"",IF(N(C722)&lt;=N(B722),"Check dates",IF(T722="Cancelled","",IF(COUNTIFS($D$5:$D$1004,D722,$B$5:$B$1004,"&lt;"&amp;C722,$C$5:$C$1004,"&gt;"&amp;B722,$T$5:$T$1004,"&lt;&gt;Cancelled")&gt;1,"Double-booked",""))))</f>
        <v/>
      </c>
      <c r="Z722" s="42" t="str">
        <f aca="false">IF(AND(AA722=1,ISNUMBER(C722)),C722+ROW()/100000,"")</f>
        <v/>
      </c>
      <c r="AA722" s="43" t="n">
        <f aca="false">IF(AND(D722&lt;&gt;"",ISNUMBER(B722),ISNUMBER(C722),N(H722)&gt;0,T722&lt;&gt;"Cancelled",J722&lt;&gt;""),1,0)</f>
        <v>0</v>
      </c>
      <c r="AB722" s="44" t="n">
        <f aca="false">IF(AA722=1,J722/H722,0)</f>
        <v>0</v>
      </c>
      <c r="AC722" s="44" t="n">
        <f aca="false">IF(AA722=1,Q722/H722,0)</f>
        <v>0</v>
      </c>
      <c r="AD722" s="44" t="n">
        <f aca="false">IF(AA722=1,R722/H722,0)</f>
        <v>0</v>
      </c>
      <c r="AE722" s="44" t="n">
        <f aca="false">IF(AA722=1,O722/H722,0)</f>
        <v>0</v>
      </c>
      <c r="AF722" s="44" t="n">
        <f aca="false">IF(AA722=1,K722/H722,0)</f>
        <v>0</v>
      </c>
      <c r="AG722" s="45" t="str">
        <f aca="false">IF(AA722=1,D722&amp;"|"&amp;TEXT(B722,"0"),"")</f>
        <v/>
      </c>
      <c r="AH722" s="43" t="n">
        <f aca="false">IF(AA722=1,H722,0)</f>
        <v>0</v>
      </c>
    </row>
    <row r="723" customFormat="false" ht="15" hidden="false" customHeight="false" outlineLevel="0" collapsed="false">
      <c r="A723" s="8" t="str">
        <f aca="false">IF(B723="","","B-"&amp;TEXT(ROW()-4,"0000"))</f>
        <v/>
      </c>
      <c r="B723" s="38"/>
      <c r="C723" s="38"/>
      <c r="D723" s="6"/>
      <c r="E723" s="6"/>
      <c r="F723" s="6"/>
      <c r="G723" s="11"/>
      <c r="H723" s="18" t="str">
        <f aca="false">IF(AND(ISNUMBER(B723),ISNUMBER(C723)),MAX(0,C723-B723),"")</f>
        <v/>
      </c>
      <c r="I723" s="37"/>
      <c r="J723" s="41" t="str">
        <f aca="false">IF(OR(D723="",N(H723)=0),"",IFERROR(IF(I723&lt;&gt;"",H723*I723,ROUND(((H723-(INT((WEEKDAY(B723-6)+H723-1)/7)+INT((WEEKDAY(B723-7)+H723-1)/7)))*INDEX(Properties!$E$5:$E$24,MATCH(D723,Properties!$A$5:$A$24,0))+(INT((WEEKDAY(B723-6)+H723-1)/7)+INT((WEEKDAY(B723-7)+H723-1)/7))*INDEX(Properties!$F$5:$F$24,MATCH(D723,Properties!$A$5:$A$24,0)))*(1-IF(H723&gt;=28,Settings!$B$10,IF(H723&gt;=7,Settings!$B$9,0))),2)),0))</f>
        <v/>
      </c>
      <c r="K723" s="41" t="str">
        <f aca="false">IF(J723="","",IFERROR(N(INDEX(Properties!$G$5:$G$24,MATCH(D723,Properties!$A$5:$A$24,0))),0))</f>
        <v/>
      </c>
      <c r="L723" s="41" t="str">
        <f aca="false">IF(J723="","",IFERROR(MAX(0,N(G723)-INDEX(Properties!$I$5:$I$24,MATCH(D723,Properties!$A$5:$A$24,0)))*N(INDEX(Properties!$J$5:$J$24,MATCH(D723,Properties!$A$5:$A$24,0)))*H723,0))</f>
        <v/>
      </c>
      <c r="M723" s="37"/>
      <c r="N723" s="41" t="str">
        <f aca="false">IF(J723="","",J723+K723+L723+N(M723))</f>
        <v/>
      </c>
      <c r="O723" s="41" t="str">
        <f aca="false">IF(N723="","",IF(P723&lt;&gt;"",N723-P723,ROUND(N723*IFERROR(INDEX(Settings!$E$5:$E$12,MATCH(F723,Settings!$D$5:$D$12,0)),0),2)))</f>
        <v/>
      </c>
      <c r="P723" s="37"/>
      <c r="Q723" s="41" t="str">
        <f aca="false">IF(N723="","",IF(P723&lt;&gt;"",P723,N723-O723))</f>
        <v/>
      </c>
      <c r="R723" s="41" t="str">
        <f aca="false">IF(J723="","",IFERROR(N(INDEX(Properties!$H$5:$H$24,MATCH(D723,Properties!$A$5:$A$24,0))),0))</f>
        <v/>
      </c>
      <c r="S723" s="41" t="str">
        <f aca="false">IF(Q723="","",Q723-R723)</f>
        <v/>
      </c>
      <c r="T723" s="6"/>
      <c r="U723" s="6"/>
      <c r="V723" s="6"/>
      <c r="W723" s="6"/>
      <c r="X723" s="6"/>
      <c r="Y723" s="8" t="str">
        <f aca="false">IF(OR(D723="",B723="",C723=""),"",IF(N(C723)&lt;=N(B723),"Check dates",IF(T723="Cancelled","",IF(COUNTIFS($D$5:$D$1004,D723,$B$5:$B$1004,"&lt;"&amp;C723,$C$5:$C$1004,"&gt;"&amp;B723,$T$5:$T$1004,"&lt;&gt;Cancelled")&gt;1,"Double-booked",""))))</f>
        <v/>
      </c>
      <c r="Z723" s="42" t="str">
        <f aca="false">IF(AND(AA723=1,ISNUMBER(C723)),C723+ROW()/100000,"")</f>
        <v/>
      </c>
      <c r="AA723" s="43" t="n">
        <f aca="false">IF(AND(D723&lt;&gt;"",ISNUMBER(B723),ISNUMBER(C723),N(H723)&gt;0,T723&lt;&gt;"Cancelled",J723&lt;&gt;""),1,0)</f>
        <v>0</v>
      </c>
      <c r="AB723" s="44" t="n">
        <f aca="false">IF(AA723=1,J723/H723,0)</f>
        <v>0</v>
      </c>
      <c r="AC723" s="44" t="n">
        <f aca="false">IF(AA723=1,Q723/H723,0)</f>
        <v>0</v>
      </c>
      <c r="AD723" s="44" t="n">
        <f aca="false">IF(AA723=1,R723/H723,0)</f>
        <v>0</v>
      </c>
      <c r="AE723" s="44" t="n">
        <f aca="false">IF(AA723=1,O723/H723,0)</f>
        <v>0</v>
      </c>
      <c r="AF723" s="44" t="n">
        <f aca="false">IF(AA723=1,K723/H723,0)</f>
        <v>0</v>
      </c>
      <c r="AG723" s="45" t="str">
        <f aca="false">IF(AA723=1,D723&amp;"|"&amp;TEXT(B723,"0"),"")</f>
        <v/>
      </c>
      <c r="AH723" s="43" t="n">
        <f aca="false">IF(AA723=1,H723,0)</f>
        <v>0</v>
      </c>
    </row>
    <row r="724" customFormat="false" ht="15" hidden="false" customHeight="false" outlineLevel="0" collapsed="false">
      <c r="A724" s="23" t="str">
        <f aca="false">IF(B724="","","B-"&amp;TEXT(ROW()-4,"0000"))</f>
        <v/>
      </c>
      <c r="B724" s="38"/>
      <c r="C724" s="38"/>
      <c r="D724" s="6"/>
      <c r="E724" s="6"/>
      <c r="F724" s="6"/>
      <c r="G724" s="11"/>
      <c r="H724" s="24" t="str">
        <f aca="false">IF(AND(ISNUMBER(B724),ISNUMBER(C724)),MAX(0,C724-B724),"")</f>
        <v/>
      </c>
      <c r="I724" s="37"/>
      <c r="J724" s="46" t="str">
        <f aca="false">IF(OR(D724="",N(H724)=0),"",IFERROR(IF(I724&lt;&gt;"",H724*I724,ROUND(((H724-(INT((WEEKDAY(B724-6)+H724-1)/7)+INT((WEEKDAY(B724-7)+H724-1)/7)))*INDEX(Properties!$E$5:$E$24,MATCH(D724,Properties!$A$5:$A$24,0))+(INT((WEEKDAY(B724-6)+H724-1)/7)+INT((WEEKDAY(B724-7)+H724-1)/7))*INDEX(Properties!$F$5:$F$24,MATCH(D724,Properties!$A$5:$A$24,0)))*(1-IF(H724&gt;=28,Settings!$B$10,IF(H724&gt;=7,Settings!$B$9,0))),2)),0))</f>
        <v/>
      </c>
      <c r="K724" s="46" t="str">
        <f aca="false">IF(J724="","",IFERROR(N(INDEX(Properties!$G$5:$G$24,MATCH(D724,Properties!$A$5:$A$24,0))),0))</f>
        <v/>
      </c>
      <c r="L724" s="46" t="str">
        <f aca="false">IF(J724="","",IFERROR(MAX(0,N(G724)-INDEX(Properties!$I$5:$I$24,MATCH(D724,Properties!$A$5:$A$24,0)))*N(INDEX(Properties!$J$5:$J$24,MATCH(D724,Properties!$A$5:$A$24,0)))*H724,0))</f>
        <v/>
      </c>
      <c r="M724" s="37"/>
      <c r="N724" s="46" t="str">
        <f aca="false">IF(J724="","",J724+K724+L724+N(M724))</f>
        <v/>
      </c>
      <c r="O724" s="46" t="str">
        <f aca="false">IF(N724="","",IF(P724&lt;&gt;"",N724-P724,ROUND(N724*IFERROR(INDEX(Settings!$E$5:$E$12,MATCH(F724,Settings!$D$5:$D$12,0)),0),2)))</f>
        <v/>
      </c>
      <c r="P724" s="37"/>
      <c r="Q724" s="46" t="str">
        <f aca="false">IF(N724="","",IF(P724&lt;&gt;"",P724,N724-O724))</f>
        <v/>
      </c>
      <c r="R724" s="46" t="str">
        <f aca="false">IF(J724="","",IFERROR(N(INDEX(Properties!$H$5:$H$24,MATCH(D724,Properties!$A$5:$A$24,0))),0))</f>
        <v/>
      </c>
      <c r="S724" s="46" t="str">
        <f aca="false">IF(Q724="","",Q724-R724)</f>
        <v/>
      </c>
      <c r="T724" s="6"/>
      <c r="U724" s="6"/>
      <c r="V724" s="6"/>
      <c r="W724" s="6"/>
      <c r="X724" s="6"/>
      <c r="Y724" s="8" t="str">
        <f aca="false">IF(OR(D724="",B724="",C724=""),"",IF(N(C724)&lt;=N(B724),"Check dates",IF(T724="Cancelled","",IF(COUNTIFS($D$5:$D$1004,D724,$B$5:$B$1004,"&lt;"&amp;C724,$C$5:$C$1004,"&gt;"&amp;B724,$T$5:$T$1004,"&lt;&gt;Cancelled")&gt;1,"Double-booked",""))))</f>
        <v/>
      </c>
      <c r="Z724" s="42" t="str">
        <f aca="false">IF(AND(AA724=1,ISNUMBER(C724)),C724+ROW()/100000,"")</f>
        <v/>
      </c>
      <c r="AA724" s="43" t="n">
        <f aca="false">IF(AND(D724&lt;&gt;"",ISNUMBER(B724),ISNUMBER(C724),N(H724)&gt;0,T724&lt;&gt;"Cancelled",J724&lt;&gt;""),1,0)</f>
        <v>0</v>
      </c>
      <c r="AB724" s="44" t="n">
        <f aca="false">IF(AA724=1,J724/H724,0)</f>
        <v>0</v>
      </c>
      <c r="AC724" s="44" t="n">
        <f aca="false">IF(AA724=1,Q724/H724,0)</f>
        <v>0</v>
      </c>
      <c r="AD724" s="44" t="n">
        <f aca="false">IF(AA724=1,R724/H724,0)</f>
        <v>0</v>
      </c>
      <c r="AE724" s="44" t="n">
        <f aca="false">IF(AA724=1,O724/H724,0)</f>
        <v>0</v>
      </c>
      <c r="AF724" s="44" t="n">
        <f aca="false">IF(AA724=1,K724/H724,0)</f>
        <v>0</v>
      </c>
      <c r="AG724" s="45" t="str">
        <f aca="false">IF(AA724=1,D724&amp;"|"&amp;TEXT(B724,"0"),"")</f>
        <v/>
      </c>
      <c r="AH724" s="43" t="n">
        <f aca="false">IF(AA724=1,H724,0)</f>
        <v>0</v>
      </c>
    </row>
    <row r="725" customFormat="false" ht="15" hidden="false" customHeight="false" outlineLevel="0" collapsed="false">
      <c r="A725" s="8" t="str">
        <f aca="false">IF(B725="","","B-"&amp;TEXT(ROW()-4,"0000"))</f>
        <v/>
      </c>
      <c r="B725" s="38"/>
      <c r="C725" s="38"/>
      <c r="D725" s="6"/>
      <c r="E725" s="6"/>
      <c r="F725" s="6"/>
      <c r="G725" s="11"/>
      <c r="H725" s="18" t="str">
        <f aca="false">IF(AND(ISNUMBER(B725),ISNUMBER(C725)),MAX(0,C725-B725),"")</f>
        <v/>
      </c>
      <c r="I725" s="37"/>
      <c r="J725" s="41" t="str">
        <f aca="false">IF(OR(D725="",N(H725)=0),"",IFERROR(IF(I725&lt;&gt;"",H725*I725,ROUND(((H725-(INT((WEEKDAY(B725-6)+H725-1)/7)+INT((WEEKDAY(B725-7)+H725-1)/7)))*INDEX(Properties!$E$5:$E$24,MATCH(D725,Properties!$A$5:$A$24,0))+(INT((WEEKDAY(B725-6)+H725-1)/7)+INT((WEEKDAY(B725-7)+H725-1)/7))*INDEX(Properties!$F$5:$F$24,MATCH(D725,Properties!$A$5:$A$24,0)))*(1-IF(H725&gt;=28,Settings!$B$10,IF(H725&gt;=7,Settings!$B$9,0))),2)),0))</f>
        <v/>
      </c>
      <c r="K725" s="41" t="str">
        <f aca="false">IF(J725="","",IFERROR(N(INDEX(Properties!$G$5:$G$24,MATCH(D725,Properties!$A$5:$A$24,0))),0))</f>
        <v/>
      </c>
      <c r="L725" s="41" t="str">
        <f aca="false">IF(J725="","",IFERROR(MAX(0,N(G725)-INDEX(Properties!$I$5:$I$24,MATCH(D725,Properties!$A$5:$A$24,0)))*N(INDEX(Properties!$J$5:$J$24,MATCH(D725,Properties!$A$5:$A$24,0)))*H725,0))</f>
        <v/>
      </c>
      <c r="M725" s="37"/>
      <c r="N725" s="41" t="str">
        <f aca="false">IF(J725="","",J725+K725+L725+N(M725))</f>
        <v/>
      </c>
      <c r="O725" s="41" t="str">
        <f aca="false">IF(N725="","",IF(P725&lt;&gt;"",N725-P725,ROUND(N725*IFERROR(INDEX(Settings!$E$5:$E$12,MATCH(F725,Settings!$D$5:$D$12,0)),0),2)))</f>
        <v/>
      </c>
      <c r="P725" s="37"/>
      <c r="Q725" s="41" t="str">
        <f aca="false">IF(N725="","",IF(P725&lt;&gt;"",P725,N725-O725))</f>
        <v/>
      </c>
      <c r="R725" s="41" t="str">
        <f aca="false">IF(J725="","",IFERROR(N(INDEX(Properties!$H$5:$H$24,MATCH(D725,Properties!$A$5:$A$24,0))),0))</f>
        <v/>
      </c>
      <c r="S725" s="41" t="str">
        <f aca="false">IF(Q725="","",Q725-R725)</f>
        <v/>
      </c>
      <c r="T725" s="6"/>
      <c r="U725" s="6"/>
      <c r="V725" s="6"/>
      <c r="W725" s="6"/>
      <c r="X725" s="6"/>
      <c r="Y725" s="8" t="str">
        <f aca="false">IF(OR(D725="",B725="",C725=""),"",IF(N(C725)&lt;=N(B725),"Check dates",IF(T725="Cancelled","",IF(COUNTIFS($D$5:$D$1004,D725,$B$5:$B$1004,"&lt;"&amp;C725,$C$5:$C$1004,"&gt;"&amp;B725,$T$5:$T$1004,"&lt;&gt;Cancelled")&gt;1,"Double-booked",""))))</f>
        <v/>
      </c>
      <c r="Z725" s="42" t="str">
        <f aca="false">IF(AND(AA725=1,ISNUMBER(C725)),C725+ROW()/100000,"")</f>
        <v/>
      </c>
      <c r="AA725" s="43" t="n">
        <f aca="false">IF(AND(D725&lt;&gt;"",ISNUMBER(B725),ISNUMBER(C725),N(H725)&gt;0,T725&lt;&gt;"Cancelled",J725&lt;&gt;""),1,0)</f>
        <v>0</v>
      </c>
      <c r="AB725" s="44" t="n">
        <f aca="false">IF(AA725=1,J725/H725,0)</f>
        <v>0</v>
      </c>
      <c r="AC725" s="44" t="n">
        <f aca="false">IF(AA725=1,Q725/H725,0)</f>
        <v>0</v>
      </c>
      <c r="AD725" s="44" t="n">
        <f aca="false">IF(AA725=1,R725/H725,0)</f>
        <v>0</v>
      </c>
      <c r="AE725" s="44" t="n">
        <f aca="false">IF(AA725=1,O725/H725,0)</f>
        <v>0</v>
      </c>
      <c r="AF725" s="44" t="n">
        <f aca="false">IF(AA725=1,K725/H725,0)</f>
        <v>0</v>
      </c>
      <c r="AG725" s="45" t="str">
        <f aca="false">IF(AA725=1,D725&amp;"|"&amp;TEXT(B725,"0"),"")</f>
        <v/>
      </c>
      <c r="AH725" s="43" t="n">
        <f aca="false">IF(AA725=1,H725,0)</f>
        <v>0</v>
      </c>
    </row>
    <row r="726" customFormat="false" ht="15" hidden="false" customHeight="false" outlineLevel="0" collapsed="false">
      <c r="A726" s="23" t="str">
        <f aca="false">IF(B726="","","B-"&amp;TEXT(ROW()-4,"0000"))</f>
        <v/>
      </c>
      <c r="B726" s="38"/>
      <c r="C726" s="38"/>
      <c r="D726" s="6"/>
      <c r="E726" s="6"/>
      <c r="F726" s="6"/>
      <c r="G726" s="11"/>
      <c r="H726" s="24" t="str">
        <f aca="false">IF(AND(ISNUMBER(B726),ISNUMBER(C726)),MAX(0,C726-B726),"")</f>
        <v/>
      </c>
      <c r="I726" s="37"/>
      <c r="J726" s="46" t="str">
        <f aca="false">IF(OR(D726="",N(H726)=0),"",IFERROR(IF(I726&lt;&gt;"",H726*I726,ROUND(((H726-(INT((WEEKDAY(B726-6)+H726-1)/7)+INT((WEEKDAY(B726-7)+H726-1)/7)))*INDEX(Properties!$E$5:$E$24,MATCH(D726,Properties!$A$5:$A$24,0))+(INT((WEEKDAY(B726-6)+H726-1)/7)+INT((WEEKDAY(B726-7)+H726-1)/7))*INDEX(Properties!$F$5:$F$24,MATCH(D726,Properties!$A$5:$A$24,0)))*(1-IF(H726&gt;=28,Settings!$B$10,IF(H726&gt;=7,Settings!$B$9,0))),2)),0))</f>
        <v/>
      </c>
      <c r="K726" s="46" t="str">
        <f aca="false">IF(J726="","",IFERROR(N(INDEX(Properties!$G$5:$G$24,MATCH(D726,Properties!$A$5:$A$24,0))),0))</f>
        <v/>
      </c>
      <c r="L726" s="46" t="str">
        <f aca="false">IF(J726="","",IFERROR(MAX(0,N(G726)-INDEX(Properties!$I$5:$I$24,MATCH(D726,Properties!$A$5:$A$24,0)))*N(INDEX(Properties!$J$5:$J$24,MATCH(D726,Properties!$A$5:$A$24,0)))*H726,0))</f>
        <v/>
      </c>
      <c r="M726" s="37"/>
      <c r="N726" s="46" t="str">
        <f aca="false">IF(J726="","",J726+K726+L726+N(M726))</f>
        <v/>
      </c>
      <c r="O726" s="46" t="str">
        <f aca="false">IF(N726="","",IF(P726&lt;&gt;"",N726-P726,ROUND(N726*IFERROR(INDEX(Settings!$E$5:$E$12,MATCH(F726,Settings!$D$5:$D$12,0)),0),2)))</f>
        <v/>
      </c>
      <c r="P726" s="37"/>
      <c r="Q726" s="46" t="str">
        <f aca="false">IF(N726="","",IF(P726&lt;&gt;"",P726,N726-O726))</f>
        <v/>
      </c>
      <c r="R726" s="46" t="str">
        <f aca="false">IF(J726="","",IFERROR(N(INDEX(Properties!$H$5:$H$24,MATCH(D726,Properties!$A$5:$A$24,0))),0))</f>
        <v/>
      </c>
      <c r="S726" s="46" t="str">
        <f aca="false">IF(Q726="","",Q726-R726)</f>
        <v/>
      </c>
      <c r="T726" s="6"/>
      <c r="U726" s="6"/>
      <c r="V726" s="6"/>
      <c r="W726" s="6"/>
      <c r="X726" s="6"/>
      <c r="Y726" s="8" t="str">
        <f aca="false">IF(OR(D726="",B726="",C726=""),"",IF(N(C726)&lt;=N(B726),"Check dates",IF(T726="Cancelled","",IF(COUNTIFS($D$5:$D$1004,D726,$B$5:$B$1004,"&lt;"&amp;C726,$C$5:$C$1004,"&gt;"&amp;B726,$T$5:$T$1004,"&lt;&gt;Cancelled")&gt;1,"Double-booked",""))))</f>
        <v/>
      </c>
      <c r="Z726" s="42" t="str">
        <f aca="false">IF(AND(AA726=1,ISNUMBER(C726)),C726+ROW()/100000,"")</f>
        <v/>
      </c>
      <c r="AA726" s="43" t="n">
        <f aca="false">IF(AND(D726&lt;&gt;"",ISNUMBER(B726),ISNUMBER(C726),N(H726)&gt;0,T726&lt;&gt;"Cancelled",J726&lt;&gt;""),1,0)</f>
        <v>0</v>
      </c>
      <c r="AB726" s="44" t="n">
        <f aca="false">IF(AA726=1,J726/H726,0)</f>
        <v>0</v>
      </c>
      <c r="AC726" s="44" t="n">
        <f aca="false">IF(AA726=1,Q726/H726,0)</f>
        <v>0</v>
      </c>
      <c r="AD726" s="44" t="n">
        <f aca="false">IF(AA726=1,R726/H726,0)</f>
        <v>0</v>
      </c>
      <c r="AE726" s="44" t="n">
        <f aca="false">IF(AA726=1,O726/H726,0)</f>
        <v>0</v>
      </c>
      <c r="AF726" s="44" t="n">
        <f aca="false">IF(AA726=1,K726/H726,0)</f>
        <v>0</v>
      </c>
      <c r="AG726" s="45" t="str">
        <f aca="false">IF(AA726=1,D726&amp;"|"&amp;TEXT(B726,"0"),"")</f>
        <v/>
      </c>
      <c r="AH726" s="43" t="n">
        <f aca="false">IF(AA726=1,H726,0)</f>
        <v>0</v>
      </c>
    </row>
    <row r="727" customFormat="false" ht="15" hidden="false" customHeight="false" outlineLevel="0" collapsed="false">
      <c r="A727" s="8" t="str">
        <f aca="false">IF(B727="","","B-"&amp;TEXT(ROW()-4,"0000"))</f>
        <v/>
      </c>
      <c r="B727" s="38"/>
      <c r="C727" s="38"/>
      <c r="D727" s="6"/>
      <c r="E727" s="6"/>
      <c r="F727" s="6"/>
      <c r="G727" s="11"/>
      <c r="H727" s="18" t="str">
        <f aca="false">IF(AND(ISNUMBER(B727),ISNUMBER(C727)),MAX(0,C727-B727),"")</f>
        <v/>
      </c>
      <c r="I727" s="37"/>
      <c r="J727" s="41" t="str">
        <f aca="false">IF(OR(D727="",N(H727)=0),"",IFERROR(IF(I727&lt;&gt;"",H727*I727,ROUND(((H727-(INT((WEEKDAY(B727-6)+H727-1)/7)+INT((WEEKDAY(B727-7)+H727-1)/7)))*INDEX(Properties!$E$5:$E$24,MATCH(D727,Properties!$A$5:$A$24,0))+(INT((WEEKDAY(B727-6)+H727-1)/7)+INT((WEEKDAY(B727-7)+H727-1)/7))*INDEX(Properties!$F$5:$F$24,MATCH(D727,Properties!$A$5:$A$24,0)))*(1-IF(H727&gt;=28,Settings!$B$10,IF(H727&gt;=7,Settings!$B$9,0))),2)),0))</f>
        <v/>
      </c>
      <c r="K727" s="41" t="str">
        <f aca="false">IF(J727="","",IFERROR(N(INDEX(Properties!$G$5:$G$24,MATCH(D727,Properties!$A$5:$A$24,0))),0))</f>
        <v/>
      </c>
      <c r="L727" s="41" t="str">
        <f aca="false">IF(J727="","",IFERROR(MAX(0,N(G727)-INDEX(Properties!$I$5:$I$24,MATCH(D727,Properties!$A$5:$A$24,0)))*N(INDEX(Properties!$J$5:$J$24,MATCH(D727,Properties!$A$5:$A$24,0)))*H727,0))</f>
        <v/>
      </c>
      <c r="M727" s="37"/>
      <c r="N727" s="41" t="str">
        <f aca="false">IF(J727="","",J727+K727+L727+N(M727))</f>
        <v/>
      </c>
      <c r="O727" s="41" t="str">
        <f aca="false">IF(N727="","",IF(P727&lt;&gt;"",N727-P727,ROUND(N727*IFERROR(INDEX(Settings!$E$5:$E$12,MATCH(F727,Settings!$D$5:$D$12,0)),0),2)))</f>
        <v/>
      </c>
      <c r="P727" s="37"/>
      <c r="Q727" s="41" t="str">
        <f aca="false">IF(N727="","",IF(P727&lt;&gt;"",P727,N727-O727))</f>
        <v/>
      </c>
      <c r="R727" s="41" t="str">
        <f aca="false">IF(J727="","",IFERROR(N(INDEX(Properties!$H$5:$H$24,MATCH(D727,Properties!$A$5:$A$24,0))),0))</f>
        <v/>
      </c>
      <c r="S727" s="41" t="str">
        <f aca="false">IF(Q727="","",Q727-R727)</f>
        <v/>
      </c>
      <c r="T727" s="6"/>
      <c r="U727" s="6"/>
      <c r="V727" s="6"/>
      <c r="W727" s="6"/>
      <c r="X727" s="6"/>
      <c r="Y727" s="8" t="str">
        <f aca="false">IF(OR(D727="",B727="",C727=""),"",IF(N(C727)&lt;=N(B727),"Check dates",IF(T727="Cancelled","",IF(COUNTIFS($D$5:$D$1004,D727,$B$5:$B$1004,"&lt;"&amp;C727,$C$5:$C$1004,"&gt;"&amp;B727,$T$5:$T$1004,"&lt;&gt;Cancelled")&gt;1,"Double-booked",""))))</f>
        <v/>
      </c>
      <c r="Z727" s="42" t="str">
        <f aca="false">IF(AND(AA727=1,ISNUMBER(C727)),C727+ROW()/100000,"")</f>
        <v/>
      </c>
      <c r="AA727" s="43" t="n">
        <f aca="false">IF(AND(D727&lt;&gt;"",ISNUMBER(B727),ISNUMBER(C727),N(H727)&gt;0,T727&lt;&gt;"Cancelled",J727&lt;&gt;""),1,0)</f>
        <v>0</v>
      </c>
      <c r="AB727" s="44" t="n">
        <f aca="false">IF(AA727=1,J727/H727,0)</f>
        <v>0</v>
      </c>
      <c r="AC727" s="44" t="n">
        <f aca="false">IF(AA727=1,Q727/H727,0)</f>
        <v>0</v>
      </c>
      <c r="AD727" s="44" t="n">
        <f aca="false">IF(AA727=1,R727/H727,0)</f>
        <v>0</v>
      </c>
      <c r="AE727" s="44" t="n">
        <f aca="false">IF(AA727=1,O727/H727,0)</f>
        <v>0</v>
      </c>
      <c r="AF727" s="44" t="n">
        <f aca="false">IF(AA727=1,K727/H727,0)</f>
        <v>0</v>
      </c>
      <c r="AG727" s="45" t="str">
        <f aca="false">IF(AA727=1,D727&amp;"|"&amp;TEXT(B727,"0"),"")</f>
        <v/>
      </c>
      <c r="AH727" s="43" t="n">
        <f aca="false">IF(AA727=1,H727,0)</f>
        <v>0</v>
      </c>
    </row>
    <row r="728" customFormat="false" ht="15" hidden="false" customHeight="false" outlineLevel="0" collapsed="false">
      <c r="A728" s="23" t="str">
        <f aca="false">IF(B728="","","B-"&amp;TEXT(ROW()-4,"0000"))</f>
        <v/>
      </c>
      <c r="B728" s="38"/>
      <c r="C728" s="38"/>
      <c r="D728" s="6"/>
      <c r="E728" s="6"/>
      <c r="F728" s="6"/>
      <c r="G728" s="11"/>
      <c r="H728" s="24" t="str">
        <f aca="false">IF(AND(ISNUMBER(B728),ISNUMBER(C728)),MAX(0,C728-B728),"")</f>
        <v/>
      </c>
      <c r="I728" s="37"/>
      <c r="J728" s="46" t="str">
        <f aca="false">IF(OR(D728="",N(H728)=0),"",IFERROR(IF(I728&lt;&gt;"",H728*I728,ROUND(((H728-(INT((WEEKDAY(B728-6)+H728-1)/7)+INT((WEEKDAY(B728-7)+H728-1)/7)))*INDEX(Properties!$E$5:$E$24,MATCH(D728,Properties!$A$5:$A$24,0))+(INT((WEEKDAY(B728-6)+H728-1)/7)+INT((WEEKDAY(B728-7)+H728-1)/7))*INDEX(Properties!$F$5:$F$24,MATCH(D728,Properties!$A$5:$A$24,0)))*(1-IF(H728&gt;=28,Settings!$B$10,IF(H728&gt;=7,Settings!$B$9,0))),2)),0))</f>
        <v/>
      </c>
      <c r="K728" s="46" t="str">
        <f aca="false">IF(J728="","",IFERROR(N(INDEX(Properties!$G$5:$G$24,MATCH(D728,Properties!$A$5:$A$24,0))),0))</f>
        <v/>
      </c>
      <c r="L728" s="46" t="str">
        <f aca="false">IF(J728="","",IFERROR(MAX(0,N(G728)-INDEX(Properties!$I$5:$I$24,MATCH(D728,Properties!$A$5:$A$24,0)))*N(INDEX(Properties!$J$5:$J$24,MATCH(D728,Properties!$A$5:$A$24,0)))*H728,0))</f>
        <v/>
      </c>
      <c r="M728" s="37"/>
      <c r="N728" s="46" t="str">
        <f aca="false">IF(J728="","",J728+K728+L728+N(M728))</f>
        <v/>
      </c>
      <c r="O728" s="46" t="str">
        <f aca="false">IF(N728="","",IF(P728&lt;&gt;"",N728-P728,ROUND(N728*IFERROR(INDEX(Settings!$E$5:$E$12,MATCH(F728,Settings!$D$5:$D$12,0)),0),2)))</f>
        <v/>
      </c>
      <c r="P728" s="37"/>
      <c r="Q728" s="46" t="str">
        <f aca="false">IF(N728="","",IF(P728&lt;&gt;"",P728,N728-O728))</f>
        <v/>
      </c>
      <c r="R728" s="46" t="str">
        <f aca="false">IF(J728="","",IFERROR(N(INDEX(Properties!$H$5:$H$24,MATCH(D728,Properties!$A$5:$A$24,0))),0))</f>
        <v/>
      </c>
      <c r="S728" s="46" t="str">
        <f aca="false">IF(Q728="","",Q728-R728)</f>
        <v/>
      </c>
      <c r="T728" s="6"/>
      <c r="U728" s="6"/>
      <c r="V728" s="6"/>
      <c r="W728" s="6"/>
      <c r="X728" s="6"/>
      <c r="Y728" s="8" t="str">
        <f aca="false">IF(OR(D728="",B728="",C728=""),"",IF(N(C728)&lt;=N(B728),"Check dates",IF(T728="Cancelled","",IF(COUNTIFS($D$5:$D$1004,D728,$B$5:$B$1004,"&lt;"&amp;C728,$C$5:$C$1004,"&gt;"&amp;B728,$T$5:$T$1004,"&lt;&gt;Cancelled")&gt;1,"Double-booked",""))))</f>
        <v/>
      </c>
      <c r="Z728" s="42" t="str">
        <f aca="false">IF(AND(AA728=1,ISNUMBER(C728)),C728+ROW()/100000,"")</f>
        <v/>
      </c>
      <c r="AA728" s="43" t="n">
        <f aca="false">IF(AND(D728&lt;&gt;"",ISNUMBER(B728),ISNUMBER(C728),N(H728)&gt;0,T728&lt;&gt;"Cancelled",J728&lt;&gt;""),1,0)</f>
        <v>0</v>
      </c>
      <c r="AB728" s="44" t="n">
        <f aca="false">IF(AA728=1,J728/H728,0)</f>
        <v>0</v>
      </c>
      <c r="AC728" s="44" t="n">
        <f aca="false">IF(AA728=1,Q728/H728,0)</f>
        <v>0</v>
      </c>
      <c r="AD728" s="44" t="n">
        <f aca="false">IF(AA728=1,R728/H728,0)</f>
        <v>0</v>
      </c>
      <c r="AE728" s="44" t="n">
        <f aca="false">IF(AA728=1,O728/H728,0)</f>
        <v>0</v>
      </c>
      <c r="AF728" s="44" t="n">
        <f aca="false">IF(AA728=1,K728/H728,0)</f>
        <v>0</v>
      </c>
      <c r="AG728" s="45" t="str">
        <f aca="false">IF(AA728=1,D728&amp;"|"&amp;TEXT(B728,"0"),"")</f>
        <v/>
      </c>
      <c r="AH728" s="43" t="n">
        <f aca="false">IF(AA728=1,H728,0)</f>
        <v>0</v>
      </c>
    </row>
    <row r="729" customFormat="false" ht="15" hidden="false" customHeight="false" outlineLevel="0" collapsed="false">
      <c r="A729" s="8" t="str">
        <f aca="false">IF(B729="","","B-"&amp;TEXT(ROW()-4,"0000"))</f>
        <v/>
      </c>
      <c r="B729" s="38"/>
      <c r="C729" s="38"/>
      <c r="D729" s="6"/>
      <c r="E729" s="6"/>
      <c r="F729" s="6"/>
      <c r="G729" s="11"/>
      <c r="H729" s="18" t="str">
        <f aca="false">IF(AND(ISNUMBER(B729),ISNUMBER(C729)),MAX(0,C729-B729),"")</f>
        <v/>
      </c>
      <c r="I729" s="37"/>
      <c r="J729" s="41" t="str">
        <f aca="false">IF(OR(D729="",N(H729)=0),"",IFERROR(IF(I729&lt;&gt;"",H729*I729,ROUND(((H729-(INT((WEEKDAY(B729-6)+H729-1)/7)+INT((WEEKDAY(B729-7)+H729-1)/7)))*INDEX(Properties!$E$5:$E$24,MATCH(D729,Properties!$A$5:$A$24,0))+(INT((WEEKDAY(B729-6)+H729-1)/7)+INT((WEEKDAY(B729-7)+H729-1)/7))*INDEX(Properties!$F$5:$F$24,MATCH(D729,Properties!$A$5:$A$24,0)))*(1-IF(H729&gt;=28,Settings!$B$10,IF(H729&gt;=7,Settings!$B$9,0))),2)),0))</f>
        <v/>
      </c>
      <c r="K729" s="41" t="str">
        <f aca="false">IF(J729="","",IFERROR(N(INDEX(Properties!$G$5:$G$24,MATCH(D729,Properties!$A$5:$A$24,0))),0))</f>
        <v/>
      </c>
      <c r="L729" s="41" t="str">
        <f aca="false">IF(J729="","",IFERROR(MAX(0,N(G729)-INDEX(Properties!$I$5:$I$24,MATCH(D729,Properties!$A$5:$A$24,0)))*N(INDEX(Properties!$J$5:$J$24,MATCH(D729,Properties!$A$5:$A$24,0)))*H729,0))</f>
        <v/>
      </c>
      <c r="M729" s="37"/>
      <c r="N729" s="41" t="str">
        <f aca="false">IF(J729="","",J729+K729+L729+N(M729))</f>
        <v/>
      </c>
      <c r="O729" s="41" t="str">
        <f aca="false">IF(N729="","",IF(P729&lt;&gt;"",N729-P729,ROUND(N729*IFERROR(INDEX(Settings!$E$5:$E$12,MATCH(F729,Settings!$D$5:$D$12,0)),0),2)))</f>
        <v/>
      </c>
      <c r="P729" s="37"/>
      <c r="Q729" s="41" t="str">
        <f aca="false">IF(N729="","",IF(P729&lt;&gt;"",P729,N729-O729))</f>
        <v/>
      </c>
      <c r="R729" s="41" t="str">
        <f aca="false">IF(J729="","",IFERROR(N(INDEX(Properties!$H$5:$H$24,MATCH(D729,Properties!$A$5:$A$24,0))),0))</f>
        <v/>
      </c>
      <c r="S729" s="41" t="str">
        <f aca="false">IF(Q729="","",Q729-R729)</f>
        <v/>
      </c>
      <c r="T729" s="6"/>
      <c r="U729" s="6"/>
      <c r="V729" s="6"/>
      <c r="W729" s="6"/>
      <c r="X729" s="6"/>
      <c r="Y729" s="8" t="str">
        <f aca="false">IF(OR(D729="",B729="",C729=""),"",IF(N(C729)&lt;=N(B729),"Check dates",IF(T729="Cancelled","",IF(COUNTIFS($D$5:$D$1004,D729,$B$5:$B$1004,"&lt;"&amp;C729,$C$5:$C$1004,"&gt;"&amp;B729,$T$5:$T$1004,"&lt;&gt;Cancelled")&gt;1,"Double-booked",""))))</f>
        <v/>
      </c>
      <c r="Z729" s="42" t="str">
        <f aca="false">IF(AND(AA729=1,ISNUMBER(C729)),C729+ROW()/100000,"")</f>
        <v/>
      </c>
      <c r="AA729" s="43" t="n">
        <f aca="false">IF(AND(D729&lt;&gt;"",ISNUMBER(B729),ISNUMBER(C729),N(H729)&gt;0,T729&lt;&gt;"Cancelled",J729&lt;&gt;""),1,0)</f>
        <v>0</v>
      </c>
      <c r="AB729" s="44" t="n">
        <f aca="false">IF(AA729=1,J729/H729,0)</f>
        <v>0</v>
      </c>
      <c r="AC729" s="44" t="n">
        <f aca="false">IF(AA729=1,Q729/H729,0)</f>
        <v>0</v>
      </c>
      <c r="AD729" s="44" t="n">
        <f aca="false">IF(AA729=1,R729/H729,0)</f>
        <v>0</v>
      </c>
      <c r="AE729" s="44" t="n">
        <f aca="false">IF(AA729=1,O729/H729,0)</f>
        <v>0</v>
      </c>
      <c r="AF729" s="44" t="n">
        <f aca="false">IF(AA729=1,K729/H729,0)</f>
        <v>0</v>
      </c>
      <c r="AG729" s="45" t="str">
        <f aca="false">IF(AA729=1,D729&amp;"|"&amp;TEXT(B729,"0"),"")</f>
        <v/>
      </c>
      <c r="AH729" s="43" t="n">
        <f aca="false">IF(AA729=1,H729,0)</f>
        <v>0</v>
      </c>
    </row>
    <row r="730" customFormat="false" ht="15" hidden="false" customHeight="false" outlineLevel="0" collapsed="false">
      <c r="A730" s="23" t="str">
        <f aca="false">IF(B730="","","B-"&amp;TEXT(ROW()-4,"0000"))</f>
        <v/>
      </c>
      <c r="B730" s="38"/>
      <c r="C730" s="38"/>
      <c r="D730" s="6"/>
      <c r="E730" s="6"/>
      <c r="F730" s="6"/>
      <c r="G730" s="11"/>
      <c r="H730" s="24" t="str">
        <f aca="false">IF(AND(ISNUMBER(B730),ISNUMBER(C730)),MAX(0,C730-B730),"")</f>
        <v/>
      </c>
      <c r="I730" s="37"/>
      <c r="J730" s="46" t="str">
        <f aca="false">IF(OR(D730="",N(H730)=0),"",IFERROR(IF(I730&lt;&gt;"",H730*I730,ROUND(((H730-(INT((WEEKDAY(B730-6)+H730-1)/7)+INT((WEEKDAY(B730-7)+H730-1)/7)))*INDEX(Properties!$E$5:$E$24,MATCH(D730,Properties!$A$5:$A$24,0))+(INT((WEEKDAY(B730-6)+H730-1)/7)+INT((WEEKDAY(B730-7)+H730-1)/7))*INDEX(Properties!$F$5:$F$24,MATCH(D730,Properties!$A$5:$A$24,0)))*(1-IF(H730&gt;=28,Settings!$B$10,IF(H730&gt;=7,Settings!$B$9,0))),2)),0))</f>
        <v/>
      </c>
      <c r="K730" s="46" t="str">
        <f aca="false">IF(J730="","",IFERROR(N(INDEX(Properties!$G$5:$G$24,MATCH(D730,Properties!$A$5:$A$24,0))),0))</f>
        <v/>
      </c>
      <c r="L730" s="46" t="str">
        <f aca="false">IF(J730="","",IFERROR(MAX(0,N(G730)-INDEX(Properties!$I$5:$I$24,MATCH(D730,Properties!$A$5:$A$24,0)))*N(INDEX(Properties!$J$5:$J$24,MATCH(D730,Properties!$A$5:$A$24,0)))*H730,0))</f>
        <v/>
      </c>
      <c r="M730" s="37"/>
      <c r="N730" s="46" t="str">
        <f aca="false">IF(J730="","",J730+K730+L730+N(M730))</f>
        <v/>
      </c>
      <c r="O730" s="46" t="str">
        <f aca="false">IF(N730="","",IF(P730&lt;&gt;"",N730-P730,ROUND(N730*IFERROR(INDEX(Settings!$E$5:$E$12,MATCH(F730,Settings!$D$5:$D$12,0)),0),2)))</f>
        <v/>
      </c>
      <c r="P730" s="37"/>
      <c r="Q730" s="46" t="str">
        <f aca="false">IF(N730="","",IF(P730&lt;&gt;"",P730,N730-O730))</f>
        <v/>
      </c>
      <c r="R730" s="46" t="str">
        <f aca="false">IF(J730="","",IFERROR(N(INDEX(Properties!$H$5:$H$24,MATCH(D730,Properties!$A$5:$A$24,0))),0))</f>
        <v/>
      </c>
      <c r="S730" s="46" t="str">
        <f aca="false">IF(Q730="","",Q730-R730)</f>
        <v/>
      </c>
      <c r="T730" s="6"/>
      <c r="U730" s="6"/>
      <c r="V730" s="6"/>
      <c r="W730" s="6"/>
      <c r="X730" s="6"/>
      <c r="Y730" s="8" t="str">
        <f aca="false">IF(OR(D730="",B730="",C730=""),"",IF(N(C730)&lt;=N(B730),"Check dates",IF(T730="Cancelled","",IF(COUNTIFS($D$5:$D$1004,D730,$B$5:$B$1004,"&lt;"&amp;C730,$C$5:$C$1004,"&gt;"&amp;B730,$T$5:$T$1004,"&lt;&gt;Cancelled")&gt;1,"Double-booked",""))))</f>
        <v/>
      </c>
      <c r="Z730" s="42" t="str">
        <f aca="false">IF(AND(AA730=1,ISNUMBER(C730)),C730+ROW()/100000,"")</f>
        <v/>
      </c>
      <c r="AA730" s="43" t="n">
        <f aca="false">IF(AND(D730&lt;&gt;"",ISNUMBER(B730),ISNUMBER(C730),N(H730)&gt;0,T730&lt;&gt;"Cancelled",J730&lt;&gt;""),1,0)</f>
        <v>0</v>
      </c>
      <c r="AB730" s="44" t="n">
        <f aca="false">IF(AA730=1,J730/H730,0)</f>
        <v>0</v>
      </c>
      <c r="AC730" s="44" t="n">
        <f aca="false">IF(AA730=1,Q730/H730,0)</f>
        <v>0</v>
      </c>
      <c r="AD730" s="44" t="n">
        <f aca="false">IF(AA730=1,R730/H730,0)</f>
        <v>0</v>
      </c>
      <c r="AE730" s="44" t="n">
        <f aca="false">IF(AA730=1,O730/H730,0)</f>
        <v>0</v>
      </c>
      <c r="AF730" s="44" t="n">
        <f aca="false">IF(AA730=1,K730/H730,0)</f>
        <v>0</v>
      </c>
      <c r="AG730" s="45" t="str">
        <f aca="false">IF(AA730=1,D730&amp;"|"&amp;TEXT(B730,"0"),"")</f>
        <v/>
      </c>
      <c r="AH730" s="43" t="n">
        <f aca="false">IF(AA730=1,H730,0)</f>
        <v>0</v>
      </c>
    </row>
    <row r="731" customFormat="false" ht="15" hidden="false" customHeight="false" outlineLevel="0" collapsed="false">
      <c r="A731" s="8" t="str">
        <f aca="false">IF(B731="","","B-"&amp;TEXT(ROW()-4,"0000"))</f>
        <v/>
      </c>
      <c r="B731" s="38"/>
      <c r="C731" s="38"/>
      <c r="D731" s="6"/>
      <c r="E731" s="6"/>
      <c r="F731" s="6"/>
      <c r="G731" s="11"/>
      <c r="H731" s="18" t="str">
        <f aca="false">IF(AND(ISNUMBER(B731),ISNUMBER(C731)),MAX(0,C731-B731),"")</f>
        <v/>
      </c>
      <c r="I731" s="37"/>
      <c r="J731" s="41" t="str">
        <f aca="false">IF(OR(D731="",N(H731)=0),"",IFERROR(IF(I731&lt;&gt;"",H731*I731,ROUND(((H731-(INT((WEEKDAY(B731-6)+H731-1)/7)+INT((WEEKDAY(B731-7)+H731-1)/7)))*INDEX(Properties!$E$5:$E$24,MATCH(D731,Properties!$A$5:$A$24,0))+(INT((WEEKDAY(B731-6)+H731-1)/7)+INT((WEEKDAY(B731-7)+H731-1)/7))*INDEX(Properties!$F$5:$F$24,MATCH(D731,Properties!$A$5:$A$24,0)))*(1-IF(H731&gt;=28,Settings!$B$10,IF(H731&gt;=7,Settings!$B$9,0))),2)),0))</f>
        <v/>
      </c>
      <c r="K731" s="41" t="str">
        <f aca="false">IF(J731="","",IFERROR(N(INDEX(Properties!$G$5:$G$24,MATCH(D731,Properties!$A$5:$A$24,0))),0))</f>
        <v/>
      </c>
      <c r="L731" s="41" t="str">
        <f aca="false">IF(J731="","",IFERROR(MAX(0,N(G731)-INDEX(Properties!$I$5:$I$24,MATCH(D731,Properties!$A$5:$A$24,0)))*N(INDEX(Properties!$J$5:$J$24,MATCH(D731,Properties!$A$5:$A$24,0)))*H731,0))</f>
        <v/>
      </c>
      <c r="M731" s="37"/>
      <c r="N731" s="41" t="str">
        <f aca="false">IF(J731="","",J731+K731+L731+N(M731))</f>
        <v/>
      </c>
      <c r="O731" s="41" t="str">
        <f aca="false">IF(N731="","",IF(P731&lt;&gt;"",N731-P731,ROUND(N731*IFERROR(INDEX(Settings!$E$5:$E$12,MATCH(F731,Settings!$D$5:$D$12,0)),0),2)))</f>
        <v/>
      </c>
      <c r="P731" s="37"/>
      <c r="Q731" s="41" t="str">
        <f aca="false">IF(N731="","",IF(P731&lt;&gt;"",P731,N731-O731))</f>
        <v/>
      </c>
      <c r="R731" s="41" t="str">
        <f aca="false">IF(J731="","",IFERROR(N(INDEX(Properties!$H$5:$H$24,MATCH(D731,Properties!$A$5:$A$24,0))),0))</f>
        <v/>
      </c>
      <c r="S731" s="41" t="str">
        <f aca="false">IF(Q731="","",Q731-R731)</f>
        <v/>
      </c>
      <c r="T731" s="6"/>
      <c r="U731" s="6"/>
      <c r="V731" s="6"/>
      <c r="W731" s="6"/>
      <c r="X731" s="6"/>
      <c r="Y731" s="8" t="str">
        <f aca="false">IF(OR(D731="",B731="",C731=""),"",IF(N(C731)&lt;=N(B731),"Check dates",IF(T731="Cancelled","",IF(COUNTIFS($D$5:$D$1004,D731,$B$5:$B$1004,"&lt;"&amp;C731,$C$5:$C$1004,"&gt;"&amp;B731,$T$5:$T$1004,"&lt;&gt;Cancelled")&gt;1,"Double-booked",""))))</f>
        <v/>
      </c>
      <c r="Z731" s="42" t="str">
        <f aca="false">IF(AND(AA731=1,ISNUMBER(C731)),C731+ROW()/100000,"")</f>
        <v/>
      </c>
      <c r="AA731" s="43" t="n">
        <f aca="false">IF(AND(D731&lt;&gt;"",ISNUMBER(B731),ISNUMBER(C731),N(H731)&gt;0,T731&lt;&gt;"Cancelled",J731&lt;&gt;""),1,0)</f>
        <v>0</v>
      </c>
      <c r="AB731" s="44" t="n">
        <f aca="false">IF(AA731=1,J731/H731,0)</f>
        <v>0</v>
      </c>
      <c r="AC731" s="44" t="n">
        <f aca="false">IF(AA731=1,Q731/H731,0)</f>
        <v>0</v>
      </c>
      <c r="AD731" s="44" t="n">
        <f aca="false">IF(AA731=1,R731/H731,0)</f>
        <v>0</v>
      </c>
      <c r="AE731" s="44" t="n">
        <f aca="false">IF(AA731=1,O731/H731,0)</f>
        <v>0</v>
      </c>
      <c r="AF731" s="44" t="n">
        <f aca="false">IF(AA731=1,K731/H731,0)</f>
        <v>0</v>
      </c>
      <c r="AG731" s="45" t="str">
        <f aca="false">IF(AA731=1,D731&amp;"|"&amp;TEXT(B731,"0"),"")</f>
        <v/>
      </c>
      <c r="AH731" s="43" t="n">
        <f aca="false">IF(AA731=1,H731,0)</f>
        <v>0</v>
      </c>
    </row>
    <row r="732" customFormat="false" ht="15" hidden="false" customHeight="false" outlineLevel="0" collapsed="false">
      <c r="A732" s="23" t="str">
        <f aca="false">IF(B732="","","B-"&amp;TEXT(ROW()-4,"0000"))</f>
        <v/>
      </c>
      <c r="B732" s="38"/>
      <c r="C732" s="38"/>
      <c r="D732" s="6"/>
      <c r="E732" s="6"/>
      <c r="F732" s="6"/>
      <c r="G732" s="11"/>
      <c r="H732" s="24" t="str">
        <f aca="false">IF(AND(ISNUMBER(B732),ISNUMBER(C732)),MAX(0,C732-B732),"")</f>
        <v/>
      </c>
      <c r="I732" s="37"/>
      <c r="J732" s="46" t="str">
        <f aca="false">IF(OR(D732="",N(H732)=0),"",IFERROR(IF(I732&lt;&gt;"",H732*I732,ROUND(((H732-(INT((WEEKDAY(B732-6)+H732-1)/7)+INT((WEEKDAY(B732-7)+H732-1)/7)))*INDEX(Properties!$E$5:$E$24,MATCH(D732,Properties!$A$5:$A$24,0))+(INT((WEEKDAY(B732-6)+H732-1)/7)+INT((WEEKDAY(B732-7)+H732-1)/7))*INDEX(Properties!$F$5:$F$24,MATCH(D732,Properties!$A$5:$A$24,0)))*(1-IF(H732&gt;=28,Settings!$B$10,IF(H732&gt;=7,Settings!$B$9,0))),2)),0))</f>
        <v/>
      </c>
      <c r="K732" s="46" t="str">
        <f aca="false">IF(J732="","",IFERROR(N(INDEX(Properties!$G$5:$G$24,MATCH(D732,Properties!$A$5:$A$24,0))),0))</f>
        <v/>
      </c>
      <c r="L732" s="46" t="str">
        <f aca="false">IF(J732="","",IFERROR(MAX(0,N(G732)-INDEX(Properties!$I$5:$I$24,MATCH(D732,Properties!$A$5:$A$24,0)))*N(INDEX(Properties!$J$5:$J$24,MATCH(D732,Properties!$A$5:$A$24,0)))*H732,0))</f>
        <v/>
      </c>
      <c r="M732" s="37"/>
      <c r="N732" s="46" t="str">
        <f aca="false">IF(J732="","",J732+K732+L732+N(M732))</f>
        <v/>
      </c>
      <c r="O732" s="46" t="str">
        <f aca="false">IF(N732="","",IF(P732&lt;&gt;"",N732-P732,ROUND(N732*IFERROR(INDEX(Settings!$E$5:$E$12,MATCH(F732,Settings!$D$5:$D$12,0)),0),2)))</f>
        <v/>
      </c>
      <c r="P732" s="37"/>
      <c r="Q732" s="46" t="str">
        <f aca="false">IF(N732="","",IF(P732&lt;&gt;"",P732,N732-O732))</f>
        <v/>
      </c>
      <c r="R732" s="46" t="str">
        <f aca="false">IF(J732="","",IFERROR(N(INDEX(Properties!$H$5:$H$24,MATCH(D732,Properties!$A$5:$A$24,0))),0))</f>
        <v/>
      </c>
      <c r="S732" s="46" t="str">
        <f aca="false">IF(Q732="","",Q732-R732)</f>
        <v/>
      </c>
      <c r="T732" s="6"/>
      <c r="U732" s="6"/>
      <c r="V732" s="6"/>
      <c r="W732" s="6"/>
      <c r="X732" s="6"/>
      <c r="Y732" s="8" t="str">
        <f aca="false">IF(OR(D732="",B732="",C732=""),"",IF(N(C732)&lt;=N(B732),"Check dates",IF(T732="Cancelled","",IF(COUNTIFS($D$5:$D$1004,D732,$B$5:$B$1004,"&lt;"&amp;C732,$C$5:$C$1004,"&gt;"&amp;B732,$T$5:$T$1004,"&lt;&gt;Cancelled")&gt;1,"Double-booked",""))))</f>
        <v/>
      </c>
      <c r="Z732" s="42" t="str">
        <f aca="false">IF(AND(AA732=1,ISNUMBER(C732)),C732+ROW()/100000,"")</f>
        <v/>
      </c>
      <c r="AA732" s="43" t="n">
        <f aca="false">IF(AND(D732&lt;&gt;"",ISNUMBER(B732),ISNUMBER(C732),N(H732)&gt;0,T732&lt;&gt;"Cancelled",J732&lt;&gt;""),1,0)</f>
        <v>0</v>
      </c>
      <c r="AB732" s="44" t="n">
        <f aca="false">IF(AA732=1,J732/H732,0)</f>
        <v>0</v>
      </c>
      <c r="AC732" s="44" t="n">
        <f aca="false">IF(AA732=1,Q732/H732,0)</f>
        <v>0</v>
      </c>
      <c r="AD732" s="44" t="n">
        <f aca="false">IF(AA732=1,R732/H732,0)</f>
        <v>0</v>
      </c>
      <c r="AE732" s="44" t="n">
        <f aca="false">IF(AA732=1,O732/H732,0)</f>
        <v>0</v>
      </c>
      <c r="AF732" s="44" t="n">
        <f aca="false">IF(AA732=1,K732/H732,0)</f>
        <v>0</v>
      </c>
      <c r="AG732" s="45" t="str">
        <f aca="false">IF(AA732=1,D732&amp;"|"&amp;TEXT(B732,"0"),"")</f>
        <v/>
      </c>
      <c r="AH732" s="43" t="n">
        <f aca="false">IF(AA732=1,H732,0)</f>
        <v>0</v>
      </c>
    </row>
    <row r="733" customFormat="false" ht="15" hidden="false" customHeight="false" outlineLevel="0" collapsed="false">
      <c r="A733" s="8" t="str">
        <f aca="false">IF(B733="","","B-"&amp;TEXT(ROW()-4,"0000"))</f>
        <v/>
      </c>
      <c r="B733" s="38"/>
      <c r="C733" s="38"/>
      <c r="D733" s="6"/>
      <c r="E733" s="6"/>
      <c r="F733" s="6"/>
      <c r="G733" s="11"/>
      <c r="H733" s="18" t="str">
        <f aca="false">IF(AND(ISNUMBER(B733),ISNUMBER(C733)),MAX(0,C733-B733),"")</f>
        <v/>
      </c>
      <c r="I733" s="37"/>
      <c r="J733" s="41" t="str">
        <f aca="false">IF(OR(D733="",N(H733)=0),"",IFERROR(IF(I733&lt;&gt;"",H733*I733,ROUND(((H733-(INT((WEEKDAY(B733-6)+H733-1)/7)+INT((WEEKDAY(B733-7)+H733-1)/7)))*INDEX(Properties!$E$5:$E$24,MATCH(D733,Properties!$A$5:$A$24,0))+(INT((WEEKDAY(B733-6)+H733-1)/7)+INT((WEEKDAY(B733-7)+H733-1)/7))*INDEX(Properties!$F$5:$F$24,MATCH(D733,Properties!$A$5:$A$24,0)))*(1-IF(H733&gt;=28,Settings!$B$10,IF(H733&gt;=7,Settings!$B$9,0))),2)),0))</f>
        <v/>
      </c>
      <c r="K733" s="41" t="str">
        <f aca="false">IF(J733="","",IFERROR(N(INDEX(Properties!$G$5:$G$24,MATCH(D733,Properties!$A$5:$A$24,0))),0))</f>
        <v/>
      </c>
      <c r="L733" s="41" t="str">
        <f aca="false">IF(J733="","",IFERROR(MAX(0,N(G733)-INDEX(Properties!$I$5:$I$24,MATCH(D733,Properties!$A$5:$A$24,0)))*N(INDEX(Properties!$J$5:$J$24,MATCH(D733,Properties!$A$5:$A$24,0)))*H733,0))</f>
        <v/>
      </c>
      <c r="M733" s="37"/>
      <c r="N733" s="41" t="str">
        <f aca="false">IF(J733="","",J733+K733+L733+N(M733))</f>
        <v/>
      </c>
      <c r="O733" s="41" t="str">
        <f aca="false">IF(N733="","",IF(P733&lt;&gt;"",N733-P733,ROUND(N733*IFERROR(INDEX(Settings!$E$5:$E$12,MATCH(F733,Settings!$D$5:$D$12,0)),0),2)))</f>
        <v/>
      </c>
      <c r="P733" s="37"/>
      <c r="Q733" s="41" t="str">
        <f aca="false">IF(N733="","",IF(P733&lt;&gt;"",P733,N733-O733))</f>
        <v/>
      </c>
      <c r="R733" s="41" t="str">
        <f aca="false">IF(J733="","",IFERROR(N(INDEX(Properties!$H$5:$H$24,MATCH(D733,Properties!$A$5:$A$24,0))),0))</f>
        <v/>
      </c>
      <c r="S733" s="41" t="str">
        <f aca="false">IF(Q733="","",Q733-R733)</f>
        <v/>
      </c>
      <c r="T733" s="6"/>
      <c r="U733" s="6"/>
      <c r="V733" s="6"/>
      <c r="W733" s="6"/>
      <c r="X733" s="6"/>
      <c r="Y733" s="8" t="str">
        <f aca="false">IF(OR(D733="",B733="",C733=""),"",IF(N(C733)&lt;=N(B733),"Check dates",IF(T733="Cancelled","",IF(COUNTIFS($D$5:$D$1004,D733,$B$5:$B$1004,"&lt;"&amp;C733,$C$5:$C$1004,"&gt;"&amp;B733,$T$5:$T$1004,"&lt;&gt;Cancelled")&gt;1,"Double-booked",""))))</f>
        <v/>
      </c>
      <c r="Z733" s="42" t="str">
        <f aca="false">IF(AND(AA733=1,ISNUMBER(C733)),C733+ROW()/100000,"")</f>
        <v/>
      </c>
      <c r="AA733" s="43" t="n">
        <f aca="false">IF(AND(D733&lt;&gt;"",ISNUMBER(B733),ISNUMBER(C733),N(H733)&gt;0,T733&lt;&gt;"Cancelled",J733&lt;&gt;""),1,0)</f>
        <v>0</v>
      </c>
      <c r="AB733" s="44" t="n">
        <f aca="false">IF(AA733=1,J733/H733,0)</f>
        <v>0</v>
      </c>
      <c r="AC733" s="44" t="n">
        <f aca="false">IF(AA733=1,Q733/H733,0)</f>
        <v>0</v>
      </c>
      <c r="AD733" s="44" t="n">
        <f aca="false">IF(AA733=1,R733/H733,0)</f>
        <v>0</v>
      </c>
      <c r="AE733" s="44" t="n">
        <f aca="false">IF(AA733=1,O733/H733,0)</f>
        <v>0</v>
      </c>
      <c r="AF733" s="44" t="n">
        <f aca="false">IF(AA733=1,K733/H733,0)</f>
        <v>0</v>
      </c>
      <c r="AG733" s="45" t="str">
        <f aca="false">IF(AA733=1,D733&amp;"|"&amp;TEXT(B733,"0"),"")</f>
        <v/>
      </c>
      <c r="AH733" s="43" t="n">
        <f aca="false">IF(AA733=1,H733,0)</f>
        <v>0</v>
      </c>
    </row>
    <row r="734" customFormat="false" ht="15" hidden="false" customHeight="false" outlineLevel="0" collapsed="false">
      <c r="A734" s="23" t="str">
        <f aca="false">IF(B734="","","B-"&amp;TEXT(ROW()-4,"0000"))</f>
        <v/>
      </c>
      <c r="B734" s="38"/>
      <c r="C734" s="38"/>
      <c r="D734" s="6"/>
      <c r="E734" s="6"/>
      <c r="F734" s="6"/>
      <c r="G734" s="11"/>
      <c r="H734" s="24" t="str">
        <f aca="false">IF(AND(ISNUMBER(B734),ISNUMBER(C734)),MAX(0,C734-B734),"")</f>
        <v/>
      </c>
      <c r="I734" s="37"/>
      <c r="J734" s="46" t="str">
        <f aca="false">IF(OR(D734="",N(H734)=0),"",IFERROR(IF(I734&lt;&gt;"",H734*I734,ROUND(((H734-(INT((WEEKDAY(B734-6)+H734-1)/7)+INT((WEEKDAY(B734-7)+H734-1)/7)))*INDEX(Properties!$E$5:$E$24,MATCH(D734,Properties!$A$5:$A$24,0))+(INT((WEEKDAY(B734-6)+H734-1)/7)+INT((WEEKDAY(B734-7)+H734-1)/7))*INDEX(Properties!$F$5:$F$24,MATCH(D734,Properties!$A$5:$A$24,0)))*(1-IF(H734&gt;=28,Settings!$B$10,IF(H734&gt;=7,Settings!$B$9,0))),2)),0))</f>
        <v/>
      </c>
      <c r="K734" s="46" t="str">
        <f aca="false">IF(J734="","",IFERROR(N(INDEX(Properties!$G$5:$G$24,MATCH(D734,Properties!$A$5:$A$24,0))),0))</f>
        <v/>
      </c>
      <c r="L734" s="46" t="str">
        <f aca="false">IF(J734="","",IFERROR(MAX(0,N(G734)-INDEX(Properties!$I$5:$I$24,MATCH(D734,Properties!$A$5:$A$24,0)))*N(INDEX(Properties!$J$5:$J$24,MATCH(D734,Properties!$A$5:$A$24,0)))*H734,0))</f>
        <v/>
      </c>
      <c r="M734" s="37"/>
      <c r="N734" s="46" t="str">
        <f aca="false">IF(J734="","",J734+K734+L734+N(M734))</f>
        <v/>
      </c>
      <c r="O734" s="46" t="str">
        <f aca="false">IF(N734="","",IF(P734&lt;&gt;"",N734-P734,ROUND(N734*IFERROR(INDEX(Settings!$E$5:$E$12,MATCH(F734,Settings!$D$5:$D$12,0)),0),2)))</f>
        <v/>
      </c>
      <c r="P734" s="37"/>
      <c r="Q734" s="46" t="str">
        <f aca="false">IF(N734="","",IF(P734&lt;&gt;"",P734,N734-O734))</f>
        <v/>
      </c>
      <c r="R734" s="46" t="str">
        <f aca="false">IF(J734="","",IFERROR(N(INDEX(Properties!$H$5:$H$24,MATCH(D734,Properties!$A$5:$A$24,0))),0))</f>
        <v/>
      </c>
      <c r="S734" s="46" t="str">
        <f aca="false">IF(Q734="","",Q734-R734)</f>
        <v/>
      </c>
      <c r="T734" s="6"/>
      <c r="U734" s="6"/>
      <c r="V734" s="6"/>
      <c r="W734" s="6"/>
      <c r="X734" s="6"/>
      <c r="Y734" s="8" t="str">
        <f aca="false">IF(OR(D734="",B734="",C734=""),"",IF(N(C734)&lt;=N(B734),"Check dates",IF(T734="Cancelled","",IF(COUNTIFS($D$5:$D$1004,D734,$B$5:$B$1004,"&lt;"&amp;C734,$C$5:$C$1004,"&gt;"&amp;B734,$T$5:$T$1004,"&lt;&gt;Cancelled")&gt;1,"Double-booked",""))))</f>
        <v/>
      </c>
      <c r="Z734" s="42" t="str">
        <f aca="false">IF(AND(AA734=1,ISNUMBER(C734)),C734+ROW()/100000,"")</f>
        <v/>
      </c>
      <c r="AA734" s="43" t="n">
        <f aca="false">IF(AND(D734&lt;&gt;"",ISNUMBER(B734),ISNUMBER(C734),N(H734)&gt;0,T734&lt;&gt;"Cancelled",J734&lt;&gt;""),1,0)</f>
        <v>0</v>
      </c>
      <c r="AB734" s="44" t="n">
        <f aca="false">IF(AA734=1,J734/H734,0)</f>
        <v>0</v>
      </c>
      <c r="AC734" s="44" t="n">
        <f aca="false">IF(AA734=1,Q734/H734,0)</f>
        <v>0</v>
      </c>
      <c r="AD734" s="44" t="n">
        <f aca="false">IF(AA734=1,R734/H734,0)</f>
        <v>0</v>
      </c>
      <c r="AE734" s="44" t="n">
        <f aca="false">IF(AA734=1,O734/H734,0)</f>
        <v>0</v>
      </c>
      <c r="AF734" s="44" t="n">
        <f aca="false">IF(AA734=1,K734/H734,0)</f>
        <v>0</v>
      </c>
      <c r="AG734" s="45" t="str">
        <f aca="false">IF(AA734=1,D734&amp;"|"&amp;TEXT(B734,"0"),"")</f>
        <v/>
      </c>
      <c r="AH734" s="43" t="n">
        <f aca="false">IF(AA734=1,H734,0)</f>
        <v>0</v>
      </c>
    </row>
    <row r="735" customFormat="false" ht="15" hidden="false" customHeight="false" outlineLevel="0" collapsed="false">
      <c r="A735" s="8" t="str">
        <f aca="false">IF(B735="","","B-"&amp;TEXT(ROW()-4,"0000"))</f>
        <v/>
      </c>
      <c r="B735" s="38"/>
      <c r="C735" s="38"/>
      <c r="D735" s="6"/>
      <c r="E735" s="6"/>
      <c r="F735" s="6"/>
      <c r="G735" s="11"/>
      <c r="H735" s="18" t="str">
        <f aca="false">IF(AND(ISNUMBER(B735),ISNUMBER(C735)),MAX(0,C735-B735),"")</f>
        <v/>
      </c>
      <c r="I735" s="37"/>
      <c r="J735" s="41" t="str">
        <f aca="false">IF(OR(D735="",N(H735)=0),"",IFERROR(IF(I735&lt;&gt;"",H735*I735,ROUND(((H735-(INT((WEEKDAY(B735-6)+H735-1)/7)+INT((WEEKDAY(B735-7)+H735-1)/7)))*INDEX(Properties!$E$5:$E$24,MATCH(D735,Properties!$A$5:$A$24,0))+(INT((WEEKDAY(B735-6)+H735-1)/7)+INT((WEEKDAY(B735-7)+H735-1)/7))*INDEX(Properties!$F$5:$F$24,MATCH(D735,Properties!$A$5:$A$24,0)))*(1-IF(H735&gt;=28,Settings!$B$10,IF(H735&gt;=7,Settings!$B$9,0))),2)),0))</f>
        <v/>
      </c>
      <c r="K735" s="41" t="str">
        <f aca="false">IF(J735="","",IFERROR(N(INDEX(Properties!$G$5:$G$24,MATCH(D735,Properties!$A$5:$A$24,0))),0))</f>
        <v/>
      </c>
      <c r="L735" s="41" t="str">
        <f aca="false">IF(J735="","",IFERROR(MAX(0,N(G735)-INDEX(Properties!$I$5:$I$24,MATCH(D735,Properties!$A$5:$A$24,0)))*N(INDEX(Properties!$J$5:$J$24,MATCH(D735,Properties!$A$5:$A$24,0)))*H735,0))</f>
        <v/>
      </c>
      <c r="M735" s="37"/>
      <c r="N735" s="41" t="str">
        <f aca="false">IF(J735="","",J735+K735+L735+N(M735))</f>
        <v/>
      </c>
      <c r="O735" s="41" t="str">
        <f aca="false">IF(N735="","",IF(P735&lt;&gt;"",N735-P735,ROUND(N735*IFERROR(INDEX(Settings!$E$5:$E$12,MATCH(F735,Settings!$D$5:$D$12,0)),0),2)))</f>
        <v/>
      </c>
      <c r="P735" s="37"/>
      <c r="Q735" s="41" t="str">
        <f aca="false">IF(N735="","",IF(P735&lt;&gt;"",P735,N735-O735))</f>
        <v/>
      </c>
      <c r="R735" s="41" t="str">
        <f aca="false">IF(J735="","",IFERROR(N(INDEX(Properties!$H$5:$H$24,MATCH(D735,Properties!$A$5:$A$24,0))),0))</f>
        <v/>
      </c>
      <c r="S735" s="41" t="str">
        <f aca="false">IF(Q735="","",Q735-R735)</f>
        <v/>
      </c>
      <c r="T735" s="6"/>
      <c r="U735" s="6"/>
      <c r="V735" s="6"/>
      <c r="W735" s="6"/>
      <c r="X735" s="6"/>
      <c r="Y735" s="8" t="str">
        <f aca="false">IF(OR(D735="",B735="",C735=""),"",IF(N(C735)&lt;=N(B735),"Check dates",IF(T735="Cancelled","",IF(COUNTIFS($D$5:$D$1004,D735,$B$5:$B$1004,"&lt;"&amp;C735,$C$5:$C$1004,"&gt;"&amp;B735,$T$5:$T$1004,"&lt;&gt;Cancelled")&gt;1,"Double-booked",""))))</f>
        <v/>
      </c>
      <c r="Z735" s="42" t="str">
        <f aca="false">IF(AND(AA735=1,ISNUMBER(C735)),C735+ROW()/100000,"")</f>
        <v/>
      </c>
      <c r="AA735" s="43" t="n">
        <f aca="false">IF(AND(D735&lt;&gt;"",ISNUMBER(B735),ISNUMBER(C735),N(H735)&gt;0,T735&lt;&gt;"Cancelled",J735&lt;&gt;""),1,0)</f>
        <v>0</v>
      </c>
      <c r="AB735" s="44" t="n">
        <f aca="false">IF(AA735=1,J735/H735,0)</f>
        <v>0</v>
      </c>
      <c r="AC735" s="44" t="n">
        <f aca="false">IF(AA735=1,Q735/H735,0)</f>
        <v>0</v>
      </c>
      <c r="AD735" s="44" t="n">
        <f aca="false">IF(AA735=1,R735/H735,0)</f>
        <v>0</v>
      </c>
      <c r="AE735" s="44" t="n">
        <f aca="false">IF(AA735=1,O735/H735,0)</f>
        <v>0</v>
      </c>
      <c r="AF735" s="44" t="n">
        <f aca="false">IF(AA735=1,K735/H735,0)</f>
        <v>0</v>
      </c>
      <c r="AG735" s="45" t="str">
        <f aca="false">IF(AA735=1,D735&amp;"|"&amp;TEXT(B735,"0"),"")</f>
        <v/>
      </c>
      <c r="AH735" s="43" t="n">
        <f aca="false">IF(AA735=1,H735,0)</f>
        <v>0</v>
      </c>
    </row>
    <row r="736" customFormat="false" ht="15" hidden="false" customHeight="false" outlineLevel="0" collapsed="false">
      <c r="A736" s="23" t="str">
        <f aca="false">IF(B736="","","B-"&amp;TEXT(ROW()-4,"0000"))</f>
        <v/>
      </c>
      <c r="B736" s="38"/>
      <c r="C736" s="38"/>
      <c r="D736" s="6"/>
      <c r="E736" s="6"/>
      <c r="F736" s="6"/>
      <c r="G736" s="11"/>
      <c r="H736" s="24" t="str">
        <f aca="false">IF(AND(ISNUMBER(B736),ISNUMBER(C736)),MAX(0,C736-B736),"")</f>
        <v/>
      </c>
      <c r="I736" s="37"/>
      <c r="J736" s="46" t="str">
        <f aca="false">IF(OR(D736="",N(H736)=0),"",IFERROR(IF(I736&lt;&gt;"",H736*I736,ROUND(((H736-(INT((WEEKDAY(B736-6)+H736-1)/7)+INT((WEEKDAY(B736-7)+H736-1)/7)))*INDEX(Properties!$E$5:$E$24,MATCH(D736,Properties!$A$5:$A$24,0))+(INT((WEEKDAY(B736-6)+H736-1)/7)+INT((WEEKDAY(B736-7)+H736-1)/7))*INDEX(Properties!$F$5:$F$24,MATCH(D736,Properties!$A$5:$A$24,0)))*(1-IF(H736&gt;=28,Settings!$B$10,IF(H736&gt;=7,Settings!$B$9,0))),2)),0))</f>
        <v/>
      </c>
      <c r="K736" s="46" t="str">
        <f aca="false">IF(J736="","",IFERROR(N(INDEX(Properties!$G$5:$G$24,MATCH(D736,Properties!$A$5:$A$24,0))),0))</f>
        <v/>
      </c>
      <c r="L736" s="46" t="str">
        <f aca="false">IF(J736="","",IFERROR(MAX(0,N(G736)-INDEX(Properties!$I$5:$I$24,MATCH(D736,Properties!$A$5:$A$24,0)))*N(INDEX(Properties!$J$5:$J$24,MATCH(D736,Properties!$A$5:$A$24,0)))*H736,0))</f>
        <v/>
      </c>
      <c r="M736" s="37"/>
      <c r="N736" s="46" t="str">
        <f aca="false">IF(J736="","",J736+K736+L736+N(M736))</f>
        <v/>
      </c>
      <c r="O736" s="46" t="str">
        <f aca="false">IF(N736="","",IF(P736&lt;&gt;"",N736-P736,ROUND(N736*IFERROR(INDEX(Settings!$E$5:$E$12,MATCH(F736,Settings!$D$5:$D$12,0)),0),2)))</f>
        <v/>
      </c>
      <c r="P736" s="37"/>
      <c r="Q736" s="46" t="str">
        <f aca="false">IF(N736="","",IF(P736&lt;&gt;"",P736,N736-O736))</f>
        <v/>
      </c>
      <c r="R736" s="46" t="str">
        <f aca="false">IF(J736="","",IFERROR(N(INDEX(Properties!$H$5:$H$24,MATCH(D736,Properties!$A$5:$A$24,0))),0))</f>
        <v/>
      </c>
      <c r="S736" s="46" t="str">
        <f aca="false">IF(Q736="","",Q736-R736)</f>
        <v/>
      </c>
      <c r="T736" s="6"/>
      <c r="U736" s="6"/>
      <c r="V736" s="6"/>
      <c r="W736" s="6"/>
      <c r="X736" s="6"/>
      <c r="Y736" s="8" t="str">
        <f aca="false">IF(OR(D736="",B736="",C736=""),"",IF(N(C736)&lt;=N(B736),"Check dates",IF(T736="Cancelled","",IF(COUNTIFS($D$5:$D$1004,D736,$B$5:$B$1004,"&lt;"&amp;C736,$C$5:$C$1004,"&gt;"&amp;B736,$T$5:$T$1004,"&lt;&gt;Cancelled")&gt;1,"Double-booked",""))))</f>
        <v/>
      </c>
      <c r="Z736" s="42" t="str">
        <f aca="false">IF(AND(AA736=1,ISNUMBER(C736)),C736+ROW()/100000,"")</f>
        <v/>
      </c>
      <c r="AA736" s="43" t="n">
        <f aca="false">IF(AND(D736&lt;&gt;"",ISNUMBER(B736),ISNUMBER(C736),N(H736)&gt;0,T736&lt;&gt;"Cancelled",J736&lt;&gt;""),1,0)</f>
        <v>0</v>
      </c>
      <c r="AB736" s="44" t="n">
        <f aca="false">IF(AA736=1,J736/H736,0)</f>
        <v>0</v>
      </c>
      <c r="AC736" s="44" t="n">
        <f aca="false">IF(AA736=1,Q736/H736,0)</f>
        <v>0</v>
      </c>
      <c r="AD736" s="44" t="n">
        <f aca="false">IF(AA736=1,R736/H736,0)</f>
        <v>0</v>
      </c>
      <c r="AE736" s="44" t="n">
        <f aca="false">IF(AA736=1,O736/H736,0)</f>
        <v>0</v>
      </c>
      <c r="AF736" s="44" t="n">
        <f aca="false">IF(AA736=1,K736/H736,0)</f>
        <v>0</v>
      </c>
      <c r="AG736" s="45" t="str">
        <f aca="false">IF(AA736=1,D736&amp;"|"&amp;TEXT(B736,"0"),"")</f>
        <v/>
      </c>
      <c r="AH736" s="43" t="n">
        <f aca="false">IF(AA736=1,H736,0)</f>
        <v>0</v>
      </c>
    </row>
    <row r="737" customFormat="false" ht="15" hidden="false" customHeight="false" outlineLevel="0" collapsed="false">
      <c r="A737" s="8" t="str">
        <f aca="false">IF(B737="","","B-"&amp;TEXT(ROW()-4,"0000"))</f>
        <v/>
      </c>
      <c r="B737" s="38"/>
      <c r="C737" s="38"/>
      <c r="D737" s="6"/>
      <c r="E737" s="6"/>
      <c r="F737" s="6"/>
      <c r="G737" s="11"/>
      <c r="H737" s="18" t="str">
        <f aca="false">IF(AND(ISNUMBER(B737),ISNUMBER(C737)),MAX(0,C737-B737),"")</f>
        <v/>
      </c>
      <c r="I737" s="37"/>
      <c r="J737" s="41" t="str">
        <f aca="false">IF(OR(D737="",N(H737)=0),"",IFERROR(IF(I737&lt;&gt;"",H737*I737,ROUND(((H737-(INT((WEEKDAY(B737-6)+H737-1)/7)+INT((WEEKDAY(B737-7)+H737-1)/7)))*INDEX(Properties!$E$5:$E$24,MATCH(D737,Properties!$A$5:$A$24,0))+(INT((WEEKDAY(B737-6)+H737-1)/7)+INT((WEEKDAY(B737-7)+H737-1)/7))*INDEX(Properties!$F$5:$F$24,MATCH(D737,Properties!$A$5:$A$24,0)))*(1-IF(H737&gt;=28,Settings!$B$10,IF(H737&gt;=7,Settings!$B$9,0))),2)),0))</f>
        <v/>
      </c>
      <c r="K737" s="41" t="str">
        <f aca="false">IF(J737="","",IFERROR(N(INDEX(Properties!$G$5:$G$24,MATCH(D737,Properties!$A$5:$A$24,0))),0))</f>
        <v/>
      </c>
      <c r="L737" s="41" t="str">
        <f aca="false">IF(J737="","",IFERROR(MAX(0,N(G737)-INDEX(Properties!$I$5:$I$24,MATCH(D737,Properties!$A$5:$A$24,0)))*N(INDEX(Properties!$J$5:$J$24,MATCH(D737,Properties!$A$5:$A$24,0)))*H737,0))</f>
        <v/>
      </c>
      <c r="M737" s="37"/>
      <c r="N737" s="41" t="str">
        <f aca="false">IF(J737="","",J737+K737+L737+N(M737))</f>
        <v/>
      </c>
      <c r="O737" s="41" t="str">
        <f aca="false">IF(N737="","",IF(P737&lt;&gt;"",N737-P737,ROUND(N737*IFERROR(INDEX(Settings!$E$5:$E$12,MATCH(F737,Settings!$D$5:$D$12,0)),0),2)))</f>
        <v/>
      </c>
      <c r="P737" s="37"/>
      <c r="Q737" s="41" t="str">
        <f aca="false">IF(N737="","",IF(P737&lt;&gt;"",P737,N737-O737))</f>
        <v/>
      </c>
      <c r="R737" s="41" t="str">
        <f aca="false">IF(J737="","",IFERROR(N(INDEX(Properties!$H$5:$H$24,MATCH(D737,Properties!$A$5:$A$24,0))),0))</f>
        <v/>
      </c>
      <c r="S737" s="41" t="str">
        <f aca="false">IF(Q737="","",Q737-R737)</f>
        <v/>
      </c>
      <c r="T737" s="6"/>
      <c r="U737" s="6"/>
      <c r="V737" s="6"/>
      <c r="W737" s="6"/>
      <c r="X737" s="6"/>
      <c r="Y737" s="8" t="str">
        <f aca="false">IF(OR(D737="",B737="",C737=""),"",IF(N(C737)&lt;=N(B737),"Check dates",IF(T737="Cancelled","",IF(COUNTIFS($D$5:$D$1004,D737,$B$5:$B$1004,"&lt;"&amp;C737,$C$5:$C$1004,"&gt;"&amp;B737,$T$5:$T$1004,"&lt;&gt;Cancelled")&gt;1,"Double-booked",""))))</f>
        <v/>
      </c>
      <c r="Z737" s="42" t="str">
        <f aca="false">IF(AND(AA737=1,ISNUMBER(C737)),C737+ROW()/100000,"")</f>
        <v/>
      </c>
      <c r="AA737" s="43" t="n">
        <f aca="false">IF(AND(D737&lt;&gt;"",ISNUMBER(B737),ISNUMBER(C737),N(H737)&gt;0,T737&lt;&gt;"Cancelled",J737&lt;&gt;""),1,0)</f>
        <v>0</v>
      </c>
      <c r="AB737" s="44" t="n">
        <f aca="false">IF(AA737=1,J737/H737,0)</f>
        <v>0</v>
      </c>
      <c r="AC737" s="44" t="n">
        <f aca="false">IF(AA737=1,Q737/H737,0)</f>
        <v>0</v>
      </c>
      <c r="AD737" s="44" t="n">
        <f aca="false">IF(AA737=1,R737/H737,0)</f>
        <v>0</v>
      </c>
      <c r="AE737" s="44" t="n">
        <f aca="false">IF(AA737=1,O737/H737,0)</f>
        <v>0</v>
      </c>
      <c r="AF737" s="44" t="n">
        <f aca="false">IF(AA737=1,K737/H737,0)</f>
        <v>0</v>
      </c>
      <c r="AG737" s="45" t="str">
        <f aca="false">IF(AA737=1,D737&amp;"|"&amp;TEXT(B737,"0"),"")</f>
        <v/>
      </c>
      <c r="AH737" s="43" t="n">
        <f aca="false">IF(AA737=1,H737,0)</f>
        <v>0</v>
      </c>
    </row>
    <row r="738" customFormat="false" ht="15" hidden="false" customHeight="false" outlineLevel="0" collapsed="false">
      <c r="A738" s="23" t="str">
        <f aca="false">IF(B738="","","B-"&amp;TEXT(ROW()-4,"0000"))</f>
        <v/>
      </c>
      <c r="B738" s="38"/>
      <c r="C738" s="38"/>
      <c r="D738" s="6"/>
      <c r="E738" s="6"/>
      <c r="F738" s="6"/>
      <c r="G738" s="11"/>
      <c r="H738" s="24" t="str">
        <f aca="false">IF(AND(ISNUMBER(B738),ISNUMBER(C738)),MAX(0,C738-B738),"")</f>
        <v/>
      </c>
      <c r="I738" s="37"/>
      <c r="J738" s="46" t="str">
        <f aca="false">IF(OR(D738="",N(H738)=0),"",IFERROR(IF(I738&lt;&gt;"",H738*I738,ROUND(((H738-(INT((WEEKDAY(B738-6)+H738-1)/7)+INT((WEEKDAY(B738-7)+H738-1)/7)))*INDEX(Properties!$E$5:$E$24,MATCH(D738,Properties!$A$5:$A$24,0))+(INT((WEEKDAY(B738-6)+H738-1)/7)+INT((WEEKDAY(B738-7)+H738-1)/7))*INDEX(Properties!$F$5:$F$24,MATCH(D738,Properties!$A$5:$A$24,0)))*(1-IF(H738&gt;=28,Settings!$B$10,IF(H738&gt;=7,Settings!$B$9,0))),2)),0))</f>
        <v/>
      </c>
      <c r="K738" s="46" t="str">
        <f aca="false">IF(J738="","",IFERROR(N(INDEX(Properties!$G$5:$G$24,MATCH(D738,Properties!$A$5:$A$24,0))),0))</f>
        <v/>
      </c>
      <c r="L738" s="46" t="str">
        <f aca="false">IF(J738="","",IFERROR(MAX(0,N(G738)-INDEX(Properties!$I$5:$I$24,MATCH(D738,Properties!$A$5:$A$24,0)))*N(INDEX(Properties!$J$5:$J$24,MATCH(D738,Properties!$A$5:$A$24,0)))*H738,0))</f>
        <v/>
      </c>
      <c r="M738" s="37"/>
      <c r="N738" s="46" t="str">
        <f aca="false">IF(J738="","",J738+K738+L738+N(M738))</f>
        <v/>
      </c>
      <c r="O738" s="46" t="str">
        <f aca="false">IF(N738="","",IF(P738&lt;&gt;"",N738-P738,ROUND(N738*IFERROR(INDEX(Settings!$E$5:$E$12,MATCH(F738,Settings!$D$5:$D$12,0)),0),2)))</f>
        <v/>
      </c>
      <c r="P738" s="37"/>
      <c r="Q738" s="46" t="str">
        <f aca="false">IF(N738="","",IF(P738&lt;&gt;"",P738,N738-O738))</f>
        <v/>
      </c>
      <c r="R738" s="46" t="str">
        <f aca="false">IF(J738="","",IFERROR(N(INDEX(Properties!$H$5:$H$24,MATCH(D738,Properties!$A$5:$A$24,0))),0))</f>
        <v/>
      </c>
      <c r="S738" s="46" t="str">
        <f aca="false">IF(Q738="","",Q738-R738)</f>
        <v/>
      </c>
      <c r="T738" s="6"/>
      <c r="U738" s="6"/>
      <c r="V738" s="6"/>
      <c r="W738" s="6"/>
      <c r="X738" s="6"/>
      <c r="Y738" s="8" t="str">
        <f aca="false">IF(OR(D738="",B738="",C738=""),"",IF(N(C738)&lt;=N(B738),"Check dates",IF(T738="Cancelled","",IF(COUNTIFS($D$5:$D$1004,D738,$B$5:$B$1004,"&lt;"&amp;C738,$C$5:$C$1004,"&gt;"&amp;B738,$T$5:$T$1004,"&lt;&gt;Cancelled")&gt;1,"Double-booked",""))))</f>
        <v/>
      </c>
      <c r="Z738" s="42" t="str">
        <f aca="false">IF(AND(AA738=1,ISNUMBER(C738)),C738+ROW()/100000,"")</f>
        <v/>
      </c>
      <c r="AA738" s="43" t="n">
        <f aca="false">IF(AND(D738&lt;&gt;"",ISNUMBER(B738),ISNUMBER(C738),N(H738)&gt;0,T738&lt;&gt;"Cancelled",J738&lt;&gt;""),1,0)</f>
        <v>0</v>
      </c>
      <c r="AB738" s="44" t="n">
        <f aca="false">IF(AA738=1,J738/H738,0)</f>
        <v>0</v>
      </c>
      <c r="AC738" s="44" t="n">
        <f aca="false">IF(AA738=1,Q738/H738,0)</f>
        <v>0</v>
      </c>
      <c r="AD738" s="44" t="n">
        <f aca="false">IF(AA738=1,R738/H738,0)</f>
        <v>0</v>
      </c>
      <c r="AE738" s="44" t="n">
        <f aca="false">IF(AA738=1,O738/H738,0)</f>
        <v>0</v>
      </c>
      <c r="AF738" s="44" t="n">
        <f aca="false">IF(AA738=1,K738/H738,0)</f>
        <v>0</v>
      </c>
      <c r="AG738" s="45" t="str">
        <f aca="false">IF(AA738=1,D738&amp;"|"&amp;TEXT(B738,"0"),"")</f>
        <v/>
      </c>
      <c r="AH738" s="43" t="n">
        <f aca="false">IF(AA738=1,H738,0)</f>
        <v>0</v>
      </c>
    </row>
    <row r="739" customFormat="false" ht="15" hidden="false" customHeight="false" outlineLevel="0" collapsed="false">
      <c r="A739" s="8" t="str">
        <f aca="false">IF(B739="","","B-"&amp;TEXT(ROW()-4,"0000"))</f>
        <v/>
      </c>
      <c r="B739" s="38"/>
      <c r="C739" s="38"/>
      <c r="D739" s="6"/>
      <c r="E739" s="6"/>
      <c r="F739" s="6"/>
      <c r="G739" s="11"/>
      <c r="H739" s="18" t="str">
        <f aca="false">IF(AND(ISNUMBER(B739),ISNUMBER(C739)),MAX(0,C739-B739),"")</f>
        <v/>
      </c>
      <c r="I739" s="37"/>
      <c r="J739" s="41" t="str">
        <f aca="false">IF(OR(D739="",N(H739)=0),"",IFERROR(IF(I739&lt;&gt;"",H739*I739,ROUND(((H739-(INT((WEEKDAY(B739-6)+H739-1)/7)+INT((WEEKDAY(B739-7)+H739-1)/7)))*INDEX(Properties!$E$5:$E$24,MATCH(D739,Properties!$A$5:$A$24,0))+(INT((WEEKDAY(B739-6)+H739-1)/7)+INT((WEEKDAY(B739-7)+H739-1)/7))*INDEX(Properties!$F$5:$F$24,MATCH(D739,Properties!$A$5:$A$24,0)))*(1-IF(H739&gt;=28,Settings!$B$10,IF(H739&gt;=7,Settings!$B$9,0))),2)),0))</f>
        <v/>
      </c>
      <c r="K739" s="41" t="str">
        <f aca="false">IF(J739="","",IFERROR(N(INDEX(Properties!$G$5:$G$24,MATCH(D739,Properties!$A$5:$A$24,0))),0))</f>
        <v/>
      </c>
      <c r="L739" s="41" t="str">
        <f aca="false">IF(J739="","",IFERROR(MAX(0,N(G739)-INDEX(Properties!$I$5:$I$24,MATCH(D739,Properties!$A$5:$A$24,0)))*N(INDEX(Properties!$J$5:$J$24,MATCH(D739,Properties!$A$5:$A$24,0)))*H739,0))</f>
        <v/>
      </c>
      <c r="M739" s="37"/>
      <c r="N739" s="41" t="str">
        <f aca="false">IF(J739="","",J739+K739+L739+N(M739))</f>
        <v/>
      </c>
      <c r="O739" s="41" t="str">
        <f aca="false">IF(N739="","",IF(P739&lt;&gt;"",N739-P739,ROUND(N739*IFERROR(INDEX(Settings!$E$5:$E$12,MATCH(F739,Settings!$D$5:$D$12,0)),0),2)))</f>
        <v/>
      </c>
      <c r="P739" s="37"/>
      <c r="Q739" s="41" t="str">
        <f aca="false">IF(N739="","",IF(P739&lt;&gt;"",P739,N739-O739))</f>
        <v/>
      </c>
      <c r="R739" s="41" t="str">
        <f aca="false">IF(J739="","",IFERROR(N(INDEX(Properties!$H$5:$H$24,MATCH(D739,Properties!$A$5:$A$24,0))),0))</f>
        <v/>
      </c>
      <c r="S739" s="41" t="str">
        <f aca="false">IF(Q739="","",Q739-R739)</f>
        <v/>
      </c>
      <c r="T739" s="6"/>
      <c r="U739" s="6"/>
      <c r="V739" s="6"/>
      <c r="W739" s="6"/>
      <c r="X739" s="6"/>
      <c r="Y739" s="8" t="str">
        <f aca="false">IF(OR(D739="",B739="",C739=""),"",IF(N(C739)&lt;=N(B739),"Check dates",IF(T739="Cancelled","",IF(COUNTIFS($D$5:$D$1004,D739,$B$5:$B$1004,"&lt;"&amp;C739,$C$5:$C$1004,"&gt;"&amp;B739,$T$5:$T$1004,"&lt;&gt;Cancelled")&gt;1,"Double-booked",""))))</f>
        <v/>
      </c>
      <c r="Z739" s="42" t="str">
        <f aca="false">IF(AND(AA739=1,ISNUMBER(C739)),C739+ROW()/100000,"")</f>
        <v/>
      </c>
      <c r="AA739" s="43" t="n">
        <f aca="false">IF(AND(D739&lt;&gt;"",ISNUMBER(B739),ISNUMBER(C739),N(H739)&gt;0,T739&lt;&gt;"Cancelled",J739&lt;&gt;""),1,0)</f>
        <v>0</v>
      </c>
      <c r="AB739" s="44" t="n">
        <f aca="false">IF(AA739=1,J739/H739,0)</f>
        <v>0</v>
      </c>
      <c r="AC739" s="44" t="n">
        <f aca="false">IF(AA739=1,Q739/H739,0)</f>
        <v>0</v>
      </c>
      <c r="AD739" s="44" t="n">
        <f aca="false">IF(AA739=1,R739/H739,0)</f>
        <v>0</v>
      </c>
      <c r="AE739" s="44" t="n">
        <f aca="false">IF(AA739=1,O739/H739,0)</f>
        <v>0</v>
      </c>
      <c r="AF739" s="44" t="n">
        <f aca="false">IF(AA739=1,K739/H739,0)</f>
        <v>0</v>
      </c>
      <c r="AG739" s="45" t="str">
        <f aca="false">IF(AA739=1,D739&amp;"|"&amp;TEXT(B739,"0"),"")</f>
        <v/>
      </c>
      <c r="AH739" s="43" t="n">
        <f aca="false">IF(AA739=1,H739,0)</f>
        <v>0</v>
      </c>
    </row>
    <row r="740" customFormat="false" ht="15" hidden="false" customHeight="false" outlineLevel="0" collapsed="false">
      <c r="A740" s="23" t="str">
        <f aca="false">IF(B740="","","B-"&amp;TEXT(ROW()-4,"0000"))</f>
        <v/>
      </c>
      <c r="B740" s="38"/>
      <c r="C740" s="38"/>
      <c r="D740" s="6"/>
      <c r="E740" s="6"/>
      <c r="F740" s="6"/>
      <c r="G740" s="11"/>
      <c r="H740" s="24" t="str">
        <f aca="false">IF(AND(ISNUMBER(B740),ISNUMBER(C740)),MAX(0,C740-B740),"")</f>
        <v/>
      </c>
      <c r="I740" s="37"/>
      <c r="J740" s="46" t="str">
        <f aca="false">IF(OR(D740="",N(H740)=0),"",IFERROR(IF(I740&lt;&gt;"",H740*I740,ROUND(((H740-(INT((WEEKDAY(B740-6)+H740-1)/7)+INT((WEEKDAY(B740-7)+H740-1)/7)))*INDEX(Properties!$E$5:$E$24,MATCH(D740,Properties!$A$5:$A$24,0))+(INT((WEEKDAY(B740-6)+H740-1)/7)+INT((WEEKDAY(B740-7)+H740-1)/7))*INDEX(Properties!$F$5:$F$24,MATCH(D740,Properties!$A$5:$A$24,0)))*(1-IF(H740&gt;=28,Settings!$B$10,IF(H740&gt;=7,Settings!$B$9,0))),2)),0))</f>
        <v/>
      </c>
      <c r="K740" s="46" t="str">
        <f aca="false">IF(J740="","",IFERROR(N(INDEX(Properties!$G$5:$G$24,MATCH(D740,Properties!$A$5:$A$24,0))),0))</f>
        <v/>
      </c>
      <c r="L740" s="46" t="str">
        <f aca="false">IF(J740="","",IFERROR(MAX(0,N(G740)-INDEX(Properties!$I$5:$I$24,MATCH(D740,Properties!$A$5:$A$24,0)))*N(INDEX(Properties!$J$5:$J$24,MATCH(D740,Properties!$A$5:$A$24,0)))*H740,0))</f>
        <v/>
      </c>
      <c r="M740" s="37"/>
      <c r="N740" s="46" t="str">
        <f aca="false">IF(J740="","",J740+K740+L740+N(M740))</f>
        <v/>
      </c>
      <c r="O740" s="46" t="str">
        <f aca="false">IF(N740="","",IF(P740&lt;&gt;"",N740-P740,ROUND(N740*IFERROR(INDEX(Settings!$E$5:$E$12,MATCH(F740,Settings!$D$5:$D$12,0)),0),2)))</f>
        <v/>
      </c>
      <c r="P740" s="37"/>
      <c r="Q740" s="46" t="str">
        <f aca="false">IF(N740="","",IF(P740&lt;&gt;"",P740,N740-O740))</f>
        <v/>
      </c>
      <c r="R740" s="46" t="str">
        <f aca="false">IF(J740="","",IFERROR(N(INDEX(Properties!$H$5:$H$24,MATCH(D740,Properties!$A$5:$A$24,0))),0))</f>
        <v/>
      </c>
      <c r="S740" s="46" t="str">
        <f aca="false">IF(Q740="","",Q740-R740)</f>
        <v/>
      </c>
      <c r="T740" s="6"/>
      <c r="U740" s="6"/>
      <c r="V740" s="6"/>
      <c r="W740" s="6"/>
      <c r="X740" s="6"/>
      <c r="Y740" s="8" t="str">
        <f aca="false">IF(OR(D740="",B740="",C740=""),"",IF(N(C740)&lt;=N(B740),"Check dates",IF(T740="Cancelled","",IF(COUNTIFS($D$5:$D$1004,D740,$B$5:$B$1004,"&lt;"&amp;C740,$C$5:$C$1004,"&gt;"&amp;B740,$T$5:$T$1004,"&lt;&gt;Cancelled")&gt;1,"Double-booked",""))))</f>
        <v/>
      </c>
      <c r="Z740" s="42" t="str">
        <f aca="false">IF(AND(AA740=1,ISNUMBER(C740)),C740+ROW()/100000,"")</f>
        <v/>
      </c>
      <c r="AA740" s="43" t="n">
        <f aca="false">IF(AND(D740&lt;&gt;"",ISNUMBER(B740),ISNUMBER(C740),N(H740)&gt;0,T740&lt;&gt;"Cancelled",J740&lt;&gt;""),1,0)</f>
        <v>0</v>
      </c>
      <c r="AB740" s="44" t="n">
        <f aca="false">IF(AA740=1,J740/H740,0)</f>
        <v>0</v>
      </c>
      <c r="AC740" s="44" t="n">
        <f aca="false">IF(AA740=1,Q740/H740,0)</f>
        <v>0</v>
      </c>
      <c r="AD740" s="44" t="n">
        <f aca="false">IF(AA740=1,R740/H740,0)</f>
        <v>0</v>
      </c>
      <c r="AE740" s="44" t="n">
        <f aca="false">IF(AA740=1,O740/H740,0)</f>
        <v>0</v>
      </c>
      <c r="AF740" s="44" t="n">
        <f aca="false">IF(AA740=1,K740/H740,0)</f>
        <v>0</v>
      </c>
      <c r="AG740" s="45" t="str">
        <f aca="false">IF(AA740=1,D740&amp;"|"&amp;TEXT(B740,"0"),"")</f>
        <v/>
      </c>
      <c r="AH740" s="43" t="n">
        <f aca="false">IF(AA740=1,H740,0)</f>
        <v>0</v>
      </c>
    </row>
    <row r="741" customFormat="false" ht="15" hidden="false" customHeight="false" outlineLevel="0" collapsed="false">
      <c r="A741" s="8" t="str">
        <f aca="false">IF(B741="","","B-"&amp;TEXT(ROW()-4,"0000"))</f>
        <v/>
      </c>
      <c r="B741" s="38"/>
      <c r="C741" s="38"/>
      <c r="D741" s="6"/>
      <c r="E741" s="6"/>
      <c r="F741" s="6"/>
      <c r="G741" s="11"/>
      <c r="H741" s="18" t="str">
        <f aca="false">IF(AND(ISNUMBER(B741),ISNUMBER(C741)),MAX(0,C741-B741),"")</f>
        <v/>
      </c>
      <c r="I741" s="37"/>
      <c r="J741" s="41" t="str">
        <f aca="false">IF(OR(D741="",N(H741)=0),"",IFERROR(IF(I741&lt;&gt;"",H741*I741,ROUND(((H741-(INT((WEEKDAY(B741-6)+H741-1)/7)+INT((WEEKDAY(B741-7)+H741-1)/7)))*INDEX(Properties!$E$5:$E$24,MATCH(D741,Properties!$A$5:$A$24,0))+(INT((WEEKDAY(B741-6)+H741-1)/7)+INT((WEEKDAY(B741-7)+H741-1)/7))*INDEX(Properties!$F$5:$F$24,MATCH(D741,Properties!$A$5:$A$24,0)))*(1-IF(H741&gt;=28,Settings!$B$10,IF(H741&gt;=7,Settings!$B$9,0))),2)),0))</f>
        <v/>
      </c>
      <c r="K741" s="41" t="str">
        <f aca="false">IF(J741="","",IFERROR(N(INDEX(Properties!$G$5:$G$24,MATCH(D741,Properties!$A$5:$A$24,0))),0))</f>
        <v/>
      </c>
      <c r="L741" s="41" t="str">
        <f aca="false">IF(J741="","",IFERROR(MAX(0,N(G741)-INDEX(Properties!$I$5:$I$24,MATCH(D741,Properties!$A$5:$A$24,0)))*N(INDEX(Properties!$J$5:$J$24,MATCH(D741,Properties!$A$5:$A$24,0)))*H741,0))</f>
        <v/>
      </c>
      <c r="M741" s="37"/>
      <c r="N741" s="41" t="str">
        <f aca="false">IF(J741="","",J741+K741+L741+N(M741))</f>
        <v/>
      </c>
      <c r="O741" s="41" t="str">
        <f aca="false">IF(N741="","",IF(P741&lt;&gt;"",N741-P741,ROUND(N741*IFERROR(INDEX(Settings!$E$5:$E$12,MATCH(F741,Settings!$D$5:$D$12,0)),0),2)))</f>
        <v/>
      </c>
      <c r="P741" s="37"/>
      <c r="Q741" s="41" t="str">
        <f aca="false">IF(N741="","",IF(P741&lt;&gt;"",P741,N741-O741))</f>
        <v/>
      </c>
      <c r="R741" s="41" t="str">
        <f aca="false">IF(J741="","",IFERROR(N(INDEX(Properties!$H$5:$H$24,MATCH(D741,Properties!$A$5:$A$24,0))),0))</f>
        <v/>
      </c>
      <c r="S741" s="41" t="str">
        <f aca="false">IF(Q741="","",Q741-R741)</f>
        <v/>
      </c>
      <c r="T741" s="6"/>
      <c r="U741" s="6"/>
      <c r="V741" s="6"/>
      <c r="W741" s="6"/>
      <c r="X741" s="6"/>
      <c r="Y741" s="8" t="str">
        <f aca="false">IF(OR(D741="",B741="",C741=""),"",IF(N(C741)&lt;=N(B741),"Check dates",IF(T741="Cancelled","",IF(COUNTIFS($D$5:$D$1004,D741,$B$5:$B$1004,"&lt;"&amp;C741,$C$5:$C$1004,"&gt;"&amp;B741,$T$5:$T$1004,"&lt;&gt;Cancelled")&gt;1,"Double-booked",""))))</f>
        <v/>
      </c>
      <c r="Z741" s="42" t="str">
        <f aca="false">IF(AND(AA741=1,ISNUMBER(C741)),C741+ROW()/100000,"")</f>
        <v/>
      </c>
      <c r="AA741" s="43" t="n">
        <f aca="false">IF(AND(D741&lt;&gt;"",ISNUMBER(B741),ISNUMBER(C741),N(H741)&gt;0,T741&lt;&gt;"Cancelled",J741&lt;&gt;""),1,0)</f>
        <v>0</v>
      </c>
      <c r="AB741" s="44" t="n">
        <f aca="false">IF(AA741=1,J741/H741,0)</f>
        <v>0</v>
      </c>
      <c r="AC741" s="44" t="n">
        <f aca="false">IF(AA741=1,Q741/H741,0)</f>
        <v>0</v>
      </c>
      <c r="AD741" s="44" t="n">
        <f aca="false">IF(AA741=1,R741/H741,0)</f>
        <v>0</v>
      </c>
      <c r="AE741" s="44" t="n">
        <f aca="false">IF(AA741=1,O741/H741,0)</f>
        <v>0</v>
      </c>
      <c r="AF741" s="44" t="n">
        <f aca="false">IF(AA741=1,K741/H741,0)</f>
        <v>0</v>
      </c>
      <c r="AG741" s="45" t="str">
        <f aca="false">IF(AA741=1,D741&amp;"|"&amp;TEXT(B741,"0"),"")</f>
        <v/>
      </c>
      <c r="AH741" s="43" t="n">
        <f aca="false">IF(AA741=1,H741,0)</f>
        <v>0</v>
      </c>
    </row>
    <row r="742" customFormat="false" ht="15" hidden="false" customHeight="false" outlineLevel="0" collapsed="false">
      <c r="A742" s="23" t="str">
        <f aca="false">IF(B742="","","B-"&amp;TEXT(ROW()-4,"0000"))</f>
        <v/>
      </c>
      <c r="B742" s="38"/>
      <c r="C742" s="38"/>
      <c r="D742" s="6"/>
      <c r="E742" s="6"/>
      <c r="F742" s="6"/>
      <c r="G742" s="11"/>
      <c r="H742" s="24" t="str">
        <f aca="false">IF(AND(ISNUMBER(B742),ISNUMBER(C742)),MAX(0,C742-B742),"")</f>
        <v/>
      </c>
      <c r="I742" s="37"/>
      <c r="J742" s="46" t="str">
        <f aca="false">IF(OR(D742="",N(H742)=0),"",IFERROR(IF(I742&lt;&gt;"",H742*I742,ROUND(((H742-(INT((WEEKDAY(B742-6)+H742-1)/7)+INT((WEEKDAY(B742-7)+H742-1)/7)))*INDEX(Properties!$E$5:$E$24,MATCH(D742,Properties!$A$5:$A$24,0))+(INT((WEEKDAY(B742-6)+H742-1)/7)+INT((WEEKDAY(B742-7)+H742-1)/7))*INDEX(Properties!$F$5:$F$24,MATCH(D742,Properties!$A$5:$A$24,0)))*(1-IF(H742&gt;=28,Settings!$B$10,IF(H742&gt;=7,Settings!$B$9,0))),2)),0))</f>
        <v/>
      </c>
      <c r="K742" s="46" t="str">
        <f aca="false">IF(J742="","",IFERROR(N(INDEX(Properties!$G$5:$G$24,MATCH(D742,Properties!$A$5:$A$24,0))),0))</f>
        <v/>
      </c>
      <c r="L742" s="46" t="str">
        <f aca="false">IF(J742="","",IFERROR(MAX(0,N(G742)-INDEX(Properties!$I$5:$I$24,MATCH(D742,Properties!$A$5:$A$24,0)))*N(INDEX(Properties!$J$5:$J$24,MATCH(D742,Properties!$A$5:$A$24,0)))*H742,0))</f>
        <v/>
      </c>
      <c r="M742" s="37"/>
      <c r="N742" s="46" t="str">
        <f aca="false">IF(J742="","",J742+K742+L742+N(M742))</f>
        <v/>
      </c>
      <c r="O742" s="46" t="str">
        <f aca="false">IF(N742="","",IF(P742&lt;&gt;"",N742-P742,ROUND(N742*IFERROR(INDEX(Settings!$E$5:$E$12,MATCH(F742,Settings!$D$5:$D$12,0)),0),2)))</f>
        <v/>
      </c>
      <c r="P742" s="37"/>
      <c r="Q742" s="46" t="str">
        <f aca="false">IF(N742="","",IF(P742&lt;&gt;"",P742,N742-O742))</f>
        <v/>
      </c>
      <c r="R742" s="46" t="str">
        <f aca="false">IF(J742="","",IFERROR(N(INDEX(Properties!$H$5:$H$24,MATCH(D742,Properties!$A$5:$A$24,0))),0))</f>
        <v/>
      </c>
      <c r="S742" s="46" t="str">
        <f aca="false">IF(Q742="","",Q742-R742)</f>
        <v/>
      </c>
      <c r="T742" s="6"/>
      <c r="U742" s="6"/>
      <c r="V742" s="6"/>
      <c r="W742" s="6"/>
      <c r="X742" s="6"/>
      <c r="Y742" s="8" t="str">
        <f aca="false">IF(OR(D742="",B742="",C742=""),"",IF(N(C742)&lt;=N(B742),"Check dates",IF(T742="Cancelled","",IF(COUNTIFS($D$5:$D$1004,D742,$B$5:$B$1004,"&lt;"&amp;C742,$C$5:$C$1004,"&gt;"&amp;B742,$T$5:$T$1004,"&lt;&gt;Cancelled")&gt;1,"Double-booked",""))))</f>
        <v/>
      </c>
      <c r="Z742" s="42" t="str">
        <f aca="false">IF(AND(AA742=1,ISNUMBER(C742)),C742+ROW()/100000,"")</f>
        <v/>
      </c>
      <c r="AA742" s="43" t="n">
        <f aca="false">IF(AND(D742&lt;&gt;"",ISNUMBER(B742),ISNUMBER(C742),N(H742)&gt;0,T742&lt;&gt;"Cancelled",J742&lt;&gt;""),1,0)</f>
        <v>0</v>
      </c>
      <c r="AB742" s="44" t="n">
        <f aca="false">IF(AA742=1,J742/H742,0)</f>
        <v>0</v>
      </c>
      <c r="AC742" s="44" t="n">
        <f aca="false">IF(AA742=1,Q742/H742,0)</f>
        <v>0</v>
      </c>
      <c r="AD742" s="44" t="n">
        <f aca="false">IF(AA742=1,R742/H742,0)</f>
        <v>0</v>
      </c>
      <c r="AE742" s="44" t="n">
        <f aca="false">IF(AA742=1,O742/H742,0)</f>
        <v>0</v>
      </c>
      <c r="AF742" s="44" t="n">
        <f aca="false">IF(AA742=1,K742/H742,0)</f>
        <v>0</v>
      </c>
      <c r="AG742" s="45" t="str">
        <f aca="false">IF(AA742=1,D742&amp;"|"&amp;TEXT(B742,"0"),"")</f>
        <v/>
      </c>
      <c r="AH742" s="43" t="n">
        <f aca="false">IF(AA742=1,H742,0)</f>
        <v>0</v>
      </c>
    </row>
    <row r="743" customFormat="false" ht="15" hidden="false" customHeight="false" outlineLevel="0" collapsed="false">
      <c r="A743" s="8" t="str">
        <f aca="false">IF(B743="","","B-"&amp;TEXT(ROW()-4,"0000"))</f>
        <v/>
      </c>
      <c r="B743" s="38"/>
      <c r="C743" s="38"/>
      <c r="D743" s="6"/>
      <c r="E743" s="6"/>
      <c r="F743" s="6"/>
      <c r="G743" s="11"/>
      <c r="H743" s="18" t="str">
        <f aca="false">IF(AND(ISNUMBER(B743),ISNUMBER(C743)),MAX(0,C743-B743),"")</f>
        <v/>
      </c>
      <c r="I743" s="37"/>
      <c r="J743" s="41" t="str">
        <f aca="false">IF(OR(D743="",N(H743)=0),"",IFERROR(IF(I743&lt;&gt;"",H743*I743,ROUND(((H743-(INT((WEEKDAY(B743-6)+H743-1)/7)+INT((WEEKDAY(B743-7)+H743-1)/7)))*INDEX(Properties!$E$5:$E$24,MATCH(D743,Properties!$A$5:$A$24,0))+(INT((WEEKDAY(B743-6)+H743-1)/7)+INT((WEEKDAY(B743-7)+H743-1)/7))*INDEX(Properties!$F$5:$F$24,MATCH(D743,Properties!$A$5:$A$24,0)))*(1-IF(H743&gt;=28,Settings!$B$10,IF(H743&gt;=7,Settings!$B$9,0))),2)),0))</f>
        <v/>
      </c>
      <c r="K743" s="41" t="str">
        <f aca="false">IF(J743="","",IFERROR(N(INDEX(Properties!$G$5:$G$24,MATCH(D743,Properties!$A$5:$A$24,0))),0))</f>
        <v/>
      </c>
      <c r="L743" s="41" t="str">
        <f aca="false">IF(J743="","",IFERROR(MAX(0,N(G743)-INDEX(Properties!$I$5:$I$24,MATCH(D743,Properties!$A$5:$A$24,0)))*N(INDEX(Properties!$J$5:$J$24,MATCH(D743,Properties!$A$5:$A$24,0)))*H743,0))</f>
        <v/>
      </c>
      <c r="M743" s="37"/>
      <c r="N743" s="41" t="str">
        <f aca="false">IF(J743="","",J743+K743+L743+N(M743))</f>
        <v/>
      </c>
      <c r="O743" s="41" t="str">
        <f aca="false">IF(N743="","",IF(P743&lt;&gt;"",N743-P743,ROUND(N743*IFERROR(INDEX(Settings!$E$5:$E$12,MATCH(F743,Settings!$D$5:$D$12,0)),0),2)))</f>
        <v/>
      </c>
      <c r="P743" s="37"/>
      <c r="Q743" s="41" t="str">
        <f aca="false">IF(N743="","",IF(P743&lt;&gt;"",P743,N743-O743))</f>
        <v/>
      </c>
      <c r="R743" s="41" t="str">
        <f aca="false">IF(J743="","",IFERROR(N(INDEX(Properties!$H$5:$H$24,MATCH(D743,Properties!$A$5:$A$24,0))),0))</f>
        <v/>
      </c>
      <c r="S743" s="41" t="str">
        <f aca="false">IF(Q743="","",Q743-R743)</f>
        <v/>
      </c>
      <c r="T743" s="6"/>
      <c r="U743" s="6"/>
      <c r="V743" s="6"/>
      <c r="W743" s="6"/>
      <c r="X743" s="6"/>
      <c r="Y743" s="8" t="str">
        <f aca="false">IF(OR(D743="",B743="",C743=""),"",IF(N(C743)&lt;=N(B743),"Check dates",IF(T743="Cancelled","",IF(COUNTIFS($D$5:$D$1004,D743,$B$5:$B$1004,"&lt;"&amp;C743,$C$5:$C$1004,"&gt;"&amp;B743,$T$5:$T$1004,"&lt;&gt;Cancelled")&gt;1,"Double-booked",""))))</f>
        <v/>
      </c>
      <c r="Z743" s="42" t="str">
        <f aca="false">IF(AND(AA743=1,ISNUMBER(C743)),C743+ROW()/100000,"")</f>
        <v/>
      </c>
      <c r="AA743" s="43" t="n">
        <f aca="false">IF(AND(D743&lt;&gt;"",ISNUMBER(B743),ISNUMBER(C743),N(H743)&gt;0,T743&lt;&gt;"Cancelled",J743&lt;&gt;""),1,0)</f>
        <v>0</v>
      </c>
      <c r="AB743" s="44" t="n">
        <f aca="false">IF(AA743=1,J743/H743,0)</f>
        <v>0</v>
      </c>
      <c r="AC743" s="44" t="n">
        <f aca="false">IF(AA743=1,Q743/H743,0)</f>
        <v>0</v>
      </c>
      <c r="AD743" s="44" t="n">
        <f aca="false">IF(AA743=1,R743/H743,0)</f>
        <v>0</v>
      </c>
      <c r="AE743" s="44" t="n">
        <f aca="false">IF(AA743=1,O743/H743,0)</f>
        <v>0</v>
      </c>
      <c r="AF743" s="44" t="n">
        <f aca="false">IF(AA743=1,K743/H743,0)</f>
        <v>0</v>
      </c>
      <c r="AG743" s="45" t="str">
        <f aca="false">IF(AA743=1,D743&amp;"|"&amp;TEXT(B743,"0"),"")</f>
        <v/>
      </c>
      <c r="AH743" s="43" t="n">
        <f aca="false">IF(AA743=1,H743,0)</f>
        <v>0</v>
      </c>
    </row>
    <row r="744" customFormat="false" ht="15" hidden="false" customHeight="false" outlineLevel="0" collapsed="false">
      <c r="A744" s="23" t="str">
        <f aca="false">IF(B744="","","B-"&amp;TEXT(ROW()-4,"0000"))</f>
        <v/>
      </c>
      <c r="B744" s="38"/>
      <c r="C744" s="38"/>
      <c r="D744" s="6"/>
      <c r="E744" s="6"/>
      <c r="F744" s="6"/>
      <c r="G744" s="11"/>
      <c r="H744" s="24" t="str">
        <f aca="false">IF(AND(ISNUMBER(B744),ISNUMBER(C744)),MAX(0,C744-B744),"")</f>
        <v/>
      </c>
      <c r="I744" s="37"/>
      <c r="J744" s="46" t="str">
        <f aca="false">IF(OR(D744="",N(H744)=0),"",IFERROR(IF(I744&lt;&gt;"",H744*I744,ROUND(((H744-(INT((WEEKDAY(B744-6)+H744-1)/7)+INT((WEEKDAY(B744-7)+H744-1)/7)))*INDEX(Properties!$E$5:$E$24,MATCH(D744,Properties!$A$5:$A$24,0))+(INT((WEEKDAY(B744-6)+H744-1)/7)+INT((WEEKDAY(B744-7)+H744-1)/7))*INDEX(Properties!$F$5:$F$24,MATCH(D744,Properties!$A$5:$A$24,0)))*(1-IF(H744&gt;=28,Settings!$B$10,IF(H744&gt;=7,Settings!$B$9,0))),2)),0))</f>
        <v/>
      </c>
      <c r="K744" s="46" t="str">
        <f aca="false">IF(J744="","",IFERROR(N(INDEX(Properties!$G$5:$G$24,MATCH(D744,Properties!$A$5:$A$24,0))),0))</f>
        <v/>
      </c>
      <c r="L744" s="46" t="str">
        <f aca="false">IF(J744="","",IFERROR(MAX(0,N(G744)-INDEX(Properties!$I$5:$I$24,MATCH(D744,Properties!$A$5:$A$24,0)))*N(INDEX(Properties!$J$5:$J$24,MATCH(D744,Properties!$A$5:$A$24,0)))*H744,0))</f>
        <v/>
      </c>
      <c r="M744" s="37"/>
      <c r="N744" s="46" t="str">
        <f aca="false">IF(J744="","",J744+K744+L744+N(M744))</f>
        <v/>
      </c>
      <c r="O744" s="46" t="str">
        <f aca="false">IF(N744="","",IF(P744&lt;&gt;"",N744-P744,ROUND(N744*IFERROR(INDEX(Settings!$E$5:$E$12,MATCH(F744,Settings!$D$5:$D$12,0)),0),2)))</f>
        <v/>
      </c>
      <c r="P744" s="37"/>
      <c r="Q744" s="46" t="str">
        <f aca="false">IF(N744="","",IF(P744&lt;&gt;"",P744,N744-O744))</f>
        <v/>
      </c>
      <c r="R744" s="46" t="str">
        <f aca="false">IF(J744="","",IFERROR(N(INDEX(Properties!$H$5:$H$24,MATCH(D744,Properties!$A$5:$A$24,0))),0))</f>
        <v/>
      </c>
      <c r="S744" s="46" t="str">
        <f aca="false">IF(Q744="","",Q744-R744)</f>
        <v/>
      </c>
      <c r="T744" s="6"/>
      <c r="U744" s="6"/>
      <c r="V744" s="6"/>
      <c r="W744" s="6"/>
      <c r="X744" s="6"/>
      <c r="Y744" s="8" t="str">
        <f aca="false">IF(OR(D744="",B744="",C744=""),"",IF(N(C744)&lt;=N(B744),"Check dates",IF(T744="Cancelled","",IF(COUNTIFS($D$5:$D$1004,D744,$B$5:$B$1004,"&lt;"&amp;C744,$C$5:$C$1004,"&gt;"&amp;B744,$T$5:$T$1004,"&lt;&gt;Cancelled")&gt;1,"Double-booked",""))))</f>
        <v/>
      </c>
      <c r="Z744" s="42" t="str">
        <f aca="false">IF(AND(AA744=1,ISNUMBER(C744)),C744+ROW()/100000,"")</f>
        <v/>
      </c>
      <c r="AA744" s="43" t="n">
        <f aca="false">IF(AND(D744&lt;&gt;"",ISNUMBER(B744),ISNUMBER(C744),N(H744)&gt;0,T744&lt;&gt;"Cancelled",J744&lt;&gt;""),1,0)</f>
        <v>0</v>
      </c>
      <c r="AB744" s="44" t="n">
        <f aca="false">IF(AA744=1,J744/H744,0)</f>
        <v>0</v>
      </c>
      <c r="AC744" s="44" t="n">
        <f aca="false">IF(AA744=1,Q744/H744,0)</f>
        <v>0</v>
      </c>
      <c r="AD744" s="44" t="n">
        <f aca="false">IF(AA744=1,R744/H744,0)</f>
        <v>0</v>
      </c>
      <c r="AE744" s="44" t="n">
        <f aca="false">IF(AA744=1,O744/H744,0)</f>
        <v>0</v>
      </c>
      <c r="AF744" s="44" t="n">
        <f aca="false">IF(AA744=1,K744/H744,0)</f>
        <v>0</v>
      </c>
      <c r="AG744" s="45" t="str">
        <f aca="false">IF(AA744=1,D744&amp;"|"&amp;TEXT(B744,"0"),"")</f>
        <v/>
      </c>
      <c r="AH744" s="43" t="n">
        <f aca="false">IF(AA744=1,H744,0)</f>
        <v>0</v>
      </c>
    </row>
    <row r="745" customFormat="false" ht="15" hidden="false" customHeight="false" outlineLevel="0" collapsed="false">
      <c r="A745" s="8" t="str">
        <f aca="false">IF(B745="","","B-"&amp;TEXT(ROW()-4,"0000"))</f>
        <v/>
      </c>
      <c r="B745" s="38"/>
      <c r="C745" s="38"/>
      <c r="D745" s="6"/>
      <c r="E745" s="6"/>
      <c r="F745" s="6"/>
      <c r="G745" s="11"/>
      <c r="H745" s="18" t="str">
        <f aca="false">IF(AND(ISNUMBER(B745),ISNUMBER(C745)),MAX(0,C745-B745),"")</f>
        <v/>
      </c>
      <c r="I745" s="37"/>
      <c r="J745" s="41" t="str">
        <f aca="false">IF(OR(D745="",N(H745)=0),"",IFERROR(IF(I745&lt;&gt;"",H745*I745,ROUND(((H745-(INT((WEEKDAY(B745-6)+H745-1)/7)+INT((WEEKDAY(B745-7)+H745-1)/7)))*INDEX(Properties!$E$5:$E$24,MATCH(D745,Properties!$A$5:$A$24,0))+(INT((WEEKDAY(B745-6)+H745-1)/7)+INT((WEEKDAY(B745-7)+H745-1)/7))*INDEX(Properties!$F$5:$F$24,MATCH(D745,Properties!$A$5:$A$24,0)))*(1-IF(H745&gt;=28,Settings!$B$10,IF(H745&gt;=7,Settings!$B$9,0))),2)),0))</f>
        <v/>
      </c>
      <c r="K745" s="41" t="str">
        <f aca="false">IF(J745="","",IFERROR(N(INDEX(Properties!$G$5:$G$24,MATCH(D745,Properties!$A$5:$A$24,0))),0))</f>
        <v/>
      </c>
      <c r="L745" s="41" t="str">
        <f aca="false">IF(J745="","",IFERROR(MAX(0,N(G745)-INDEX(Properties!$I$5:$I$24,MATCH(D745,Properties!$A$5:$A$24,0)))*N(INDEX(Properties!$J$5:$J$24,MATCH(D745,Properties!$A$5:$A$24,0)))*H745,0))</f>
        <v/>
      </c>
      <c r="M745" s="37"/>
      <c r="N745" s="41" t="str">
        <f aca="false">IF(J745="","",J745+K745+L745+N(M745))</f>
        <v/>
      </c>
      <c r="O745" s="41" t="str">
        <f aca="false">IF(N745="","",IF(P745&lt;&gt;"",N745-P745,ROUND(N745*IFERROR(INDEX(Settings!$E$5:$E$12,MATCH(F745,Settings!$D$5:$D$12,0)),0),2)))</f>
        <v/>
      </c>
      <c r="P745" s="37"/>
      <c r="Q745" s="41" t="str">
        <f aca="false">IF(N745="","",IF(P745&lt;&gt;"",P745,N745-O745))</f>
        <v/>
      </c>
      <c r="R745" s="41" t="str">
        <f aca="false">IF(J745="","",IFERROR(N(INDEX(Properties!$H$5:$H$24,MATCH(D745,Properties!$A$5:$A$24,0))),0))</f>
        <v/>
      </c>
      <c r="S745" s="41" t="str">
        <f aca="false">IF(Q745="","",Q745-R745)</f>
        <v/>
      </c>
      <c r="T745" s="6"/>
      <c r="U745" s="6"/>
      <c r="V745" s="6"/>
      <c r="W745" s="6"/>
      <c r="X745" s="6"/>
      <c r="Y745" s="8" t="str">
        <f aca="false">IF(OR(D745="",B745="",C745=""),"",IF(N(C745)&lt;=N(B745),"Check dates",IF(T745="Cancelled","",IF(COUNTIFS($D$5:$D$1004,D745,$B$5:$B$1004,"&lt;"&amp;C745,$C$5:$C$1004,"&gt;"&amp;B745,$T$5:$T$1004,"&lt;&gt;Cancelled")&gt;1,"Double-booked",""))))</f>
        <v/>
      </c>
      <c r="Z745" s="42" t="str">
        <f aca="false">IF(AND(AA745=1,ISNUMBER(C745)),C745+ROW()/100000,"")</f>
        <v/>
      </c>
      <c r="AA745" s="43" t="n">
        <f aca="false">IF(AND(D745&lt;&gt;"",ISNUMBER(B745),ISNUMBER(C745),N(H745)&gt;0,T745&lt;&gt;"Cancelled",J745&lt;&gt;""),1,0)</f>
        <v>0</v>
      </c>
      <c r="AB745" s="44" t="n">
        <f aca="false">IF(AA745=1,J745/H745,0)</f>
        <v>0</v>
      </c>
      <c r="AC745" s="44" t="n">
        <f aca="false">IF(AA745=1,Q745/H745,0)</f>
        <v>0</v>
      </c>
      <c r="AD745" s="44" t="n">
        <f aca="false">IF(AA745=1,R745/H745,0)</f>
        <v>0</v>
      </c>
      <c r="AE745" s="44" t="n">
        <f aca="false">IF(AA745=1,O745/H745,0)</f>
        <v>0</v>
      </c>
      <c r="AF745" s="44" t="n">
        <f aca="false">IF(AA745=1,K745/H745,0)</f>
        <v>0</v>
      </c>
      <c r="AG745" s="45" t="str">
        <f aca="false">IF(AA745=1,D745&amp;"|"&amp;TEXT(B745,"0"),"")</f>
        <v/>
      </c>
      <c r="AH745" s="43" t="n">
        <f aca="false">IF(AA745=1,H745,0)</f>
        <v>0</v>
      </c>
    </row>
    <row r="746" customFormat="false" ht="15" hidden="false" customHeight="false" outlineLevel="0" collapsed="false">
      <c r="A746" s="23" t="str">
        <f aca="false">IF(B746="","","B-"&amp;TEXT(ROW()-4,"0000"))</f>
        <v/>
      </c>
      <c r="B746" s="38"/>
      <c r="C746" s="38"/>
      <c r="D746" s="6"/>
      <c r="E746" s="6"/>
      <c r="F746" s="6"/>
      <c r="G746" s="11"/>
      <c r="H746" s="24" t="str">
        <f aca="false">IF(AND(ISNUMBER(B746),ISNUMBER(C746)),MAX(0,C746-B746),"")</f>
        <v/>
      </c>
      <c r="I746" s="37"/>
      <c r="J746" s="46" t="str">
        <f aca="false">IF(OR(D746="",N(H746)=0),"",IFERROR(IF(I746&lt;&gt;"",H746*I746,ROUND(((H746-(INT((WEEKDAY(B746-6)+H746-1)/7)+INT((WEEKDAY(B746-7)+H746-1)/7)))*INDEX(Properties!$E$5:$E$24,MATCH(D746,Properties!$A$5:$A$24,0))+(INT((WEEKDAY(B746-6)+H746-1)/7)+INT((WEEKDAY(B746-7)+H746-1)/7))*INDEX(Properties!$F$5:$F$24,MATCH(D746,Properties!$A$5:$A$24,0)))*(1-IF(H746&gt;=28,Settings!$B$10,IF(H746&gt;=7,Settings!$B$9,0))),2)),0))</f>
        <v/>
      </c>
      <c r="K746" s="46" t="str">
        <f aca="false">IF(J746="","",IFERROR(N(INDEX(Properties!$G$5:$G$24,MATCH(D746,Properties!$A$5:$A$24,0))),0))</f>
        <v/>
      </c>
      <c r="L746" s="46" t="str">
        <f aca="false">IF(J746="","",IFERROR(MAX(0,N(G746)-INDEX(Properties!$I$5:$I$24,MATCH(D746,Properties!$A$5:$A$24,0)))*N(INDEX(Properties!$J$5:$J$24,MATCH(D746,Properties!$A$5:$A$24,0)))*H746,0))</f>
        <v/>
      </c>
      <c r="M746" s="37"/>
      <c r="N746" s="46" t="str">
        <f aca="false">IF(J746="","",J746+K746+L746+N(M746))</f>
        <v/>
      </c>
      <c r="O746" s="46" t="str">
        <f aca="false">IF(N746="","",IF(P746&lt;&gt;"",N746-P746,ROUND(N746*IFERROR(INDEX(Settings!$E$5:$E$12,MATCH(F746,Settings!$D$5:$D$12,0)),0),2)))</f>
        <v/>
      </c>
      <c r="P746" s="37"/>
      <c r="Q746" s="46" t="str">
        <f aca="false">IF(N746="","",IF(P746&lt;&gt;"",P746,N746-O746))</f>
        <v/>
      </c>
      <c r="R746" s="46" t="str">
        <f aca="false">IF(J746="","",IFERROR(N(INDEX(Properties!$H$5:$H$24,MATCH(D746,Properties!$A$5:$A$24,0))),0))</f>
        <v/>
      </c>
      <c r="S746" s="46" t="str">
        <f aca="false">IF(Q746="","",Q746-R746)</f>
        <v/>
      </c>
      <c r="T746" s="6"/>
      <c r="U746" s="6"/>
      <c r="V746" s="6"/>
      <c r="W746" s="6"/>
      <c r="X746" s="6"/>
      <c r="Y746" s="8" t="str">
        <f aca="false">IF(OR(D746="",B746="",C746=""),"",IF(N(C746)&lt;=N(B746),"Check dates",IF(T746="Cancelled","",IF(COUNTIFS($D$5:$D$1004,D746,$B$5:$B$1004,"&lt;"&amp;C746,$C$5:$C$1004,"&gt;"&amp;B746,$T$5:$T$1004,"&lt;&gt;Cancelled")&gt;1,"Double-booked",""))))</f>
        <v/>
      </c>
      <c r="Z746" s="42" t="str">
        <f aca="false">IF(AND(AA746=1,ISNUMBER(C746)),C746+ROW()/100000,"")</f>
        <v/>
      </c>
      <c r="AA746" s="43" t="n">
        <f aca="false">IF(AND(D746&lt;&gt;"",ISNUMBER(B746),ISNUMBER(C746),N(H746)&gt;0,T746&lt;&gt;"Cancelled",J746&lt;&gt;""),1,0)</f>
        <v>0</v>
      </c>
      <c r="AB746" s="44" t="n">
        <f aca="false">IF(AA746=1,J746/H746,0)</f>
        <v>0</v>
      </c>
      <c r="AC746" s="44" t="n">
        <f aca="false">IF(AA746=1,Q746/H746,0)</f>
        <v>0</v>
      </c>
      <c r="AD746" s="44" t="n">
        <f aca="false">IF(AA746=1,R746/H746,0)</f>
        <v>0</v>
      </c>
      <c r="AE746" s="44" t="n">
        <f aca="false">IF(AA746=1,O746/H746,0)</f>
        <v>0</v>
      </c>
      <c r="AF746" s="44" t="n">
        <f aca="false">IF(AA746=1,K746/H746,0)</f>
        <v>0</v>
      </c>
      <c r="AG746" s="45" t="str">
        <f aca="false">IF(AA746=1,D746&amp;"|"&amp;TEXT(B746,"0"),"")</f>
        <v/>
      </c>
      <c r="AH746" s="43" t="n">
        <f aca="false">IF(AA746=1,H746,0)</f>
        <v>0</v>
      </c>
    </row>
    <row r="747" customFormat="false" ht="15" hidden="false" customHeight="false" outlineLevel="0" collapsed="false">
      <c r="A747" s="8" t="str">
        <f aca="false">IF(B747="","","B-"&amp;TEXT(ROW()-4,"0000"))</f>
        <v/>
      </c>
      <c r="B747" s="38"/>
      <c r="C747" s="38"/>
      <c r="D747" s="6"/>
      <c r="E747" s="6"/>
      <c r="F747" s="6"/>
      <c r="G747" s="11"/>
      <c r="H747" s="18" t="str">
        <f aca="false">IF(AND(ISNUMBER(B747),ISNUMBER(C747)),MAX(0,C747-B747),"")</f>
        <v/>
      </c>
      <c r="I747" s="37"/>
      <c r="J747" s="41" t="str">
        <f aca="false">IF(OR(D747="",N(H747)=0),"",IFERROR(IF(I747&lt;&gt;"",H747*I747,ROUND(((H747-(INT((WEEKDAY(B747-6)+H747-1)/7)+INT((WEEKDAY(B747-7)+H747-1)/7)))*INDEX(Properties!$E$5:$E$24,MATCH(D747,Properties!$A$5:$A$24,0))+(INT((WEEKDAY(B747-6)+H747-1)/7)+INT((WEEKDAY(B747-7)+H747-1)/7))*INDEX(Properties!$F$5:$F$24,MATCH(D747,Properties!$A$5:$A$24,0)))*(1-IF(H747&gt;=28,Settings!$B$10,IF(H747&gt;=7,Settings!$B$9,0))),2)),0))</f>
        <v/>
      </c>
      <c r="K747" s="41" t="str">
        <f aca="false">IF(J747="","",IFERROR(N(INDEX(Properties!$G$5:$G$24,MATCH(D747,Properties!$A$5:$A$24,0))),0))</f>
        <v/>
      </c>
      <c r="L747" s="41" t="str">
        <f aca="false">IF(J747="","",IFERROR(MAX(0,N(G747)-INDEX(Properties!$I$5:$I$24,MATCH(D747,Properties!$A$5:$A$24,0)))*N(INDEX(Properties!$J$5:$J$24,MATCH(D747,Properties!$A$5:$A$24,0)))*H747,0))</f>
        <v/>
      </c>
      <c r="M747" s="37"/>
      <c r="N747" s="41" t="str">
        <f aca="false">IF(J747="","",J747+K747+L747+N(M747))</f>
        <v/>
      </c>
      <c r="O747" s="41" t="str">
        <f aca="false">IF(N747="","",IF(P747&lt;&gt;"",N747-P747,ROUND(N747*IFERROR(INDEX(Settings!$E$5:$E$12,MATCH(F747,Settings!$D$5:$D$12,0)),0),2)))</f>
        <v/>
      </c>
      <c r="P747" s="37"/>
      <c r="Q747" s="41" t="str">
        <f aca="false">IF(N747="","",IF(P747&lt;&gt;"",P747,N747-O747))</f>
        <v/>
      </c>
      <c r="R747" s="41" t="str">
        <f aca="false">IF(J747="","",IFERROR(N(INDEX(Properties!$H$5:$H$24,MATCH(D747,Properties!$A$5:$A$24,0))),0))</f>
        <v/>
      </c>
      <c r="S747" s="41" t="str">
        <f aca="false">IF(Q747="","",Q747-R747)</f>
        <v/>
      </c>
      <c r="T747" s="6"/>
      <c r="U747" s="6"/>
      <c r="V747" s="6"/>
      <c r="W747" s="6"/>
      <c r="X747" s="6"/>
      <c r="Y747" s="8" t="str">
        <f aca="false">IF(OR(D747="",B747="",C747=""),"",IF(N(C747)&lt;=N(B747),"Check dates",IF(T747="Cancelled","",IF(COUNTIFS($D$5:$D$1004,D747,$B$5:$B$1004,"&lt;"&amp;C747,$C$5:$C$1004,"&gt;"&amp;B747,$T$5:$T$1004,"&lt;&gt;Cancelled")&gt;1,"Double-booked",""))))</f>
        <v/>
      </c>
      <c r="Z747" s="42" t="str">
        <f aca="false">IF(AND(AA747=1,ISNUMBER(C747)),C747+ROW()/100000,"")</f>
        <v/>
      </c>
      <c r="AA747" s="43" t="n">
        <f aca="false">IF(AND(D747&lt;&gt;"",ISNUMBER(B747),ISNUMBER(C747),N(H747)&gt;0,T747&lt;&gt;"Cancelled",J747&lt;&gt;""),1,0)</f>
        <v>0</v>
      </c>
      <c r="AB747" s="44" t="n">
        <f aca="false">IF(AA747=1,J747/H747,0)</f>
        <v>0</v>
      </c>
      <c r="AC747" s="44" t="n">
        <f aca="false">IF(AA747=1,Q747/H747,0)</f>
        <v>0</v>
      </c>
      <c r="AD747" s="44" t="n">
        <f aca="false">IF(AA747=1,R747/H747,0)</f>
        <v>0</v>
      </c>
      <c r="AE747" s="44" t="n">
        <f aca="false">IF(AA747=1,O747/H747,0)</f>
        <v>0</v>
      </c>
      <c r="AF747" s="44" t="n">
        <f aca="false">IF(AA747=1,K747/H747,0)</f>
        <v>0</v>
      </c>
      <c r="AG747" s="45" t="str">
        <f aca="false">IF(AA747=1,D747&amp;"|"&amp;TEXT(B747,"0"),"")</f>
        <v/>
      </c>
      <c r="AH747" s="43" t="n">
        <f aca="false">IF(AA747=1,H747,0)</f>
        <v>0</v>
      </c>
    </row>
    <row r="748" customFormat="false" ht="15" hidden="false" customHeight="false" outlineLevel="0" collapsed="false">
      <c r="A748" s="23" t="str">
        <f aca="false">IF(B748="","","B-"&amp;TEXT(ROW()-4,"0000"))</f>
        <v/>
      </c>
      <c r="B748" s="38"/>
      <c r="C748" s="38"/>
      <c r="D748" s="6"/>
      <c r="E748" s="6"/>
      <c r="F748" s="6"/>
      <c r="G748" s="11"/>
      <c r="H748" s="24" t="str">
        <f aca="false">IF(AND(ISNUMBER(B748),ISNUMBER(C748)),MAX(0,C748-B748),"")</f>
        <v/>
      </c>
      <c r="I748" s="37"/>
      <c r="J748" s="46" t="str">
        <f aca="false">IF(OR(D748="",N(H748)=0),"",IFERROR(IF(I748&lt;&gt;"",H748*I748,ROUND(((H748-(INT((WEEKDAY(B748-6)+H748-1)/7)+INT((WEEKDAY(B748-7)+H748-1)/7)))*INDEX(Properties!$E$5:$E$24,MATCH(D748,Properties!$A$5:$A$24,0))+(INT((WEEKDAY(B748-6)+H748-1)/7)+INT((WEEKDAY(B748-7)+H748-1)/7))*INDEX(Properties!$F$5:$F$24,MATCH(D748,Properties!$A$5:$A$24,0)))*(1-IF(H748&gt;=28,Settings!$B$10,IF(H748&gt;=7,Settings!$B$9,0))),2)),0))</f>
        <v/>
      </c>
      <c r="K748" s="46" t="str">
        <f aca="false">IF(J748="","",IFERROR(N(INDEX(Properties!$G$5:$G$24,MATCH(D748,Properties!$A$5:$A$24,0))),0))</f>
        <v/>
      </c>
      <c r="L748" s="46" t="str">
        <f aca="false">IF(J748="","",IFERROR(MAX(0,N(G748)-INDEX(Properties!$I$5:$I$24,MATCH(D748,Properties!$A$5:$A$24,0)))*N(INDEX(Properties!$J$5:$J$24,MATCH(D748,Properties!$A$5:$A$24,0)))*H748,0))</f>
        <v/>
      </c>
      <c r="M748" s="37"/>
      <c r="N748" s="46" t="str">
        <f aca="false">IF(J748="","",J748+K748+L748+N(M748))</f>
        <v/>
      </c>
      <c r="O748" s="46" t="str">
        <f aca="false">IF(N748="","",IF(P748&lt;&gt;"",N748-P748,ROUND(N748*IFERROR(INDEX(Settings!$E$5:$E$12,MATCH(F748,Settings!$D$5:$D$12,0)),0),2)))</f>
        <v/>
      </c>
      <c r="P748" s="37"/>
      <c r="Q748" s="46" t="str">
        <f aca="false">IF(N748="","",IF(P748&lt;&gt;"",P748,N748-O748))</f>
        <v/>
      </c>
      <c r="R748" s="46" t="str">
        <f aca="false">IF(J748="","",IFERROR(N(INDEX(Properties!$H$5:$H$24,MATCH(D748,Properties!$A$5:$A$24,0))),0))</f>
        <v/>
      </c>
      <c r="S748" s="46" t="str">
        <f aca="false">IF(Q748="","",Q748-R748)</f>
        <v/>
      </c>
      <c r="T748" s="6"/>
      <c r="U748" s="6"/>
      <c r="V748" s="6"/>
      <c r="W748" s="6"/>
      <c r="X748" s="6"/>
      <c r="Y748" s="8" t="str">
        <f aca="false">IF(OR(D748="",B748="",C748=""),"",IF(N(C748)&lt;=N(B748),"Check dates",IF(T748="Cancelled","",IF(COUNTIFS($D$5:$D$1004,D748,$B$5:$B$1004,"&lt;"&amp;C748,$C$5:$C$1004,"&gt;"&amp;B748,$T$5:$T$1004,"&lt;&gt;Cancelled")&gt;1,"Double-booked",""))))</f>
        <v/>
      </c>
      <c r="Z748" s="42" t="str">
        <f aca="false">IF(AND(AA748=1,ISNUMBER(C748)),C748+ROW()/100000,"")</f>
        <v/>
      </c>
      <c r="AA748" s="43" t="n">
        <f aca="false">IF(AND(D748&lt;&gt;"",ISNUMBER(B748),ISNUMBER(C748),N(H748)&gt;0,T748&lt;&gt;"Cancelled",J748&lt;&gt;""),1,0)</f>
        <v>0</v>
      </c>
      <c r="AB748" s="44" t="n">
        <f aca="false">IF(AA748=1,J748/H748,0)</f>
        <v>0</v>
      </c>
      <c r="AC748" s="44" t="n">
        <f aca="false">IF(AA748=1,Q748/H748,0)</f>
        <v>0</v>
      </c>
      <c r="AD748" s="44" t="n">
        <f aca="false">IF(AA748=1,R748/H748,0)</f>
        <v>0</v>
      </c>
      <c r="AE748" s="44" t="n">
        <f aca="false">IF(AA748=1,O748/H748,0)</f>
        <v>0</v>
      </c>
      <c r="AF748" s="44" t="n">
        <f aca="false">IF(AA748=1,K748/H748,0)</f>
        <v>0</v>
      </c>
      <c r="AG748" s="45" t="str">
        <f aca="false">IF(AA748=1,D748&amp;"|"&amp;TEXT(B748,"0"),"")</f>
        <v/>
      </c>
      <c r="AH748" s="43" t="n">
        <f aca="false">IF(AA748=1,H748,0)</f>
        <v>0</v>
      </c>
    </row>
    <row r="749" customFormat="false" ht="15" hidden="false" customHeight="false" outlineLevel="0" collapsed="false">
      <c r="A749" s="8" t="str">
        <f aca="false">IF(B749="","","B-"&amp;TEXT(ROW()-4,"0000"))</f>
        <v/>
      </c>
      <c r="B749" s="38"/>
      <c r="C749" s="38"/>
      <c r="D749" s="6"/>
      <c r="E749" s="6"/>
      <c r="F749" s="6"/>
      <c r="G749" s="11"/>
      <c r="H749" s="18" t="str">
        <f aca="false">IF(AND(ISNUMBER(B749),ISNUMBER(C749)),MAX(0,C749-B749),"")</f>
        <v/>
      </c>
      <c r="I749" s="37"/>
      <c r="J749" s="41" t="str">
        <f aca="false">IF(OR(D749="",N(H749)=0),"",IFERROR(IF(I749&lt;&gt;"",H749*I749,ROUND(((H749-(INT((WEEKDAY(B749-6)+H749-1)/7)+INT((WEEKDAY(B749-7)+H749-1)/7)))*INDEX(Properties!$E$5:$E$24,MATCH(D749,Properties!$A$5:$A$24,0))+(INT((WEEKDAY(B749-6)+H749-1)/7)+INT((WEEKDAY(B749-7)+H749-1)/7))*INDEX(Properties!$F$5:$F$24,MATCH(D749,Properties!$A$5:$A$24,0)))*(1-IF(H749&gt;=28,Settings!$B$10,IF(H749&gt;=7,Settings!$B$9,0))),2)),0))</f>
        <v/>
      </c>
      <c r="K749" s="41" t="str">
        <f aca="false">IF(J749="","",IFERROR(N(INDEX(Properties!$G$5:$G$24,MATCH(D749,Properties!$A$5:$A$24,0))),0))</f>
        <v/>
      </c>
      <c r="L749" s="41" t="str">
        <f aca="false">IF(J749="","",IFERROR(MAX(0,N(G749)-INDEX(Properties!$I$5:$I$24,MATCH(D749,Properties!$A$5:$A$24,0)))*N(INDEX(Properties!$J$5:$J$24,MATCH(D749,Properties!$A$5:$A$24,0)))*H749,0))</f>
        <v/>
      </c>
      <c r="M749" s="37"/>
      <c r="N749" s="41" t="str">
        <f aca="false">IF(J749="","",J749+K749+L749+N(M749))</f>
        <v/>
      </c>
      <c r="O749" s="41" t="str">
        <f aca="false">IF(N749="","",IF(P749&lt;&gt;"",N749-P749,ROUND(N749*IFERROR(INDEX(Settings!$E$5:$E$12,MATCH(F749,Settings!$D$5:$D$12,0)),0),2)))</f>
        <v/>
      </c>
      <c r="P749" s="37"/>
      <c r="Q749" s="41" t="str">
        <f aca="false">IF(N749="","",IF(P749&lt;&gt;"",P749,N749-O749))</f>
        <v/>
      </c>
      <c r="R749" s="41" t="str">
        <f aca="false">IF(J749="","",IFERROR(N(INDEX(Properties!$H$5:$H$24,MATCH(D749,Properties!$A$5:$A$24,0))),0))</f>
        <v/>
      </c>
      <c r="S749" s="41" t="str">
        <f aca="false">IF(Q749="","",Q749-R749)</f>
        <v/>
      </c>
      <c r="T749" s="6"/>
      <c r="U749" s="6"/>
      <c r="V749" s="6"/>
      <c r="W749" s="6"/>
      <c r="X749" s="6"/>
      <c r="Y749" s="8" t="str">
        <f aca="false">IF(OR(D749="",B749="",C749=""),"",IF(N(C749)&lt;=N(B749),"Check dates",IF(T749="Cancelled","",IF(COUNTIFS($D$5:$D$1004,D749,$B$5:$B$1004,"&lt;"&amp;C749,$C$5:$C$1004,"&gt;"&amp;B749,$T$5:$T$1004,"&lt;&gt;Cancelled")&gt;1,"Double-booked",""))))</f>
        <v/>
      </c>
      <c r="Z749" s="42" t="str">
        <f aca="false">IF(AND(AA749=1,ISNUMBER(C749)),C749+ROW()/100000,"")</f>
        <v/>
      </c>
      <c r="AA749" s="43" t="n">
        <f aca="false">IF(AND(D749&lt;&gt;"",ISNUMBER(B749),ISNUMBER(C749),N(H749)&gt;0,T749&lt;&gt;"Cancelled",J749&lt;&gt;""),1,0)</f>
        <v>0</v>
      </c>
      <c r="AB749" s="44" t="n">
        <f aca="false">IF(AA749=1,J749/H749,0)</f>
        <v>0</v>
      </c>
      <c r="AC749" s="44" t="n">
        <f aca="false">IF(AA749=1,Q749/H749,0)</f>
        <v>0</v>
      </c>
      <c r="AD749" s="44" t="n">
        <f aca="false">IF(AA749=1,R749/H749,0)</f>
        <v>0</v>
      </c>
      <c r="AE749" s="44" t="n">
        <f aca="false">IF(AA749=1,O749/H749,0)</f>
        <v>0</v>
      </c>
      <c r="AF749" s="44" t="n">
        <f aca="false">IF(AA749=1,K749/H749,0)</f>
        <v>0</v>
      </c>
      <c r="AG749" s="45" t="str">
        <f aca="false">IF(AA749=1,D749&amp;"|"&amp;TEXT(B749,"0"),"")</f>
        <v/>
      </c>
      <c r="AH749" s="43" t="n">
        <f aca="false">IF(AA749=1,H749,0)</f>
        <v>0</v>
      </c>
    </row>
    <row r="750" customFormat="false" ht="15" hidden="false" customHeight="false" outlineLevel="0" collapsed="false">
      <c r="A750" s="23" t="str">
        <f aca="false">IF(B750="","","B-"&amp;TEXT(ROW()-4,"0000"))</f>
        <v/>
      </c>
      <c r="B750" s="38"/>
      <c r="C750" s="38"/>
      <c r="D750" s="6"/>
      <c r="E750" s="6"/>
      <c r="F750" s="6"/>
      <c r="G750" s="11"/>
      <c r="H750" s="24" t="str">
        <f aca="false">IF(AND(ISNUMBER(B750),ISNUMBER(C750)),MAX(0,C750-B750),"")</f>
        <v/>
      </c>
      <c r="I750" s="37"/>
      <c r="J750" s="46" t="str">
        <f aca="false">IF(OR(D750="",N(H750)=0),"",IFERROR(IF(I750&lt;&gt;"",H750*I750,ROUND(((H750-(INT((WEEKDAY(B750-6)+H750-1)/7)+INT((WEEKDAY(B750-7)+H750-1)/7)))*INDEX(Properties!$E$5:$E$24,MATCH(D750,Properties!$A$5:$A$24,0))+(INT((WEEKDAY(B750-6)+H750-1)/7)+INT((WEEKDAY(B750-7)+H750-1)/7))*INDEX(Properties!$F$5:$F$24,MATCH(D750,Properties!$A$5:$A$24,0)))*(1-IF(H750&gt;=28,Settings!$B$10,IF(H750&gt;=7,Settings!$B$9,0))),2)),0))</f>
        <v/>
      </c>
      <c r="K750" s="46" t="str">
        <f aca="false">IF(J750="","",IFERROR(N(INDEX(Properties!$G$5:$G$24,MATCH(D750,Properties!$A$5:$A$24,0))),0))</f>
        <v/>
      </c>
      <c r="L750" s="46" t="str">
        <f aca="false">IF(J750="","",IFERROR(MAX(0,N(G750)-INDEX(Properties!$I$5:$I$24,MATCH(D750,Properties!$A$5:$A$24,0)))*N(INDEX(Properties!$J$5:$J$24,MATCH(D750,Properties!$A$5:$A$24,0)))*H750,0))</f>
        <v/>
      </c>
      <c r="M750" s="37"/>
      <c r="N750" s="46" t="str">
        <f aca="false">IF(J750="","",J750+K750+L750+N(M750))</f>
        <v/>
      </c>
      <c r="O750" s="46" t="str">
        <f aca="false">IF(N750="","",IF(P750&lt;&gt;"",N750-P750,ROUND(N750*IFERROR(INDEX(Settings!$E$5:$E$12,MATCH(F750,Settings!$D$5:$D$12,0)),0),2)))</f>
        <v/>
      </c>
      <c r="P750" s="37"/>
      <c r="Q750" s="46" t="str">
        <f aca="false">IF(N750="","",IF(P750&lt;&gt;"",P750,N750-O750))</f>
        <v/>
      </c>
      <c r="R750" s="46" t="str">
        <f aca="false">IF(J750="","",IFERROR(N(INDEX(Properties!$H$5:$H$24,MATCH(D750,Properties!$A$5:$A$24,0))),0))</f>
        <v/>
      </c>
      <c r="S750" s="46" t="str">
        <f aca="false">IF(Q750="","",Q750-R750)</f>
        <v/>
      </c>
      <c r="T750" s="6"/>
      <c r="U750" s="6"/>
      <c r="V750" s="6"/>
      <c r="W750" s="6"/>
      <c r="X750" s="6"/>
      <c r="Y750" s="8" t="str">
        <f aca="false">IF(OR(D750="",B750="",C750=""),"",IF(N(C750)&lt;=N(B750),"Check dates",IF(T750="Cancelled","",IF(COUNTIFS($D$5:$D$1004,D750,$B$5:$B$1004,"&lt;"&amp;C750,$C$5:$C$1004,"&gt;"&amp;B750,$T$5:$T$1004,"&lt;&gt;Cancelled")&gt;1,"Double-booked",""))))</f>
        <v/>
      </c>
      <c r="Z750" s="42" t="str">
        <f aca="false">IF(AND(AA750=1,ISNUMBER(C750)),C750+ROW()/100000,"")</f>
        <v/>
      </c>
      <c r="AA750" s="43" t="n">
        <f aca="false">IF(AND(D750&lt;&gt;"",ISNUMBER(B750),ISNUMBER(C750),N(H750)&gt;0,T750&lt;&gt;"Cancelled",J750&lt;&gt;""),1,0)</f>
        <v>0</v>
      </c>
      <c r="AB750" s="44" t="n">
        <f aca="false">IF(AA750=1,J750/H750,0)</f>
        <v>0</v>
      </c>
      <c r="AC750" s="44" t="n">
        <f aca="false">IF(AA750=1,Q750/H750,0)</f>
        <v>0</v>
      </c>
      <c r="AD750" s="44" t="n">
        <f aca="false">IF(AA750=1,R750/H750,0)</f>
        <v>0</v>
      </c>
      <c r="AE750" s="44" t="n">
        <f aca="false">IF(AA750=1,O750/H750,0)</f>
        <v>0</v>
      </c>
      <c r="AF750" s="44" t="n">
        <f aca="false">IF(AA750=1,K750/H750,0)</f>
        <v>0</v>
      </c>
      <c r="AG750" s="45" t="str">
        <f aca="false">IF(AA750=1,D750&amp;"|"&amp;TEXT(B750,"0"),"")</f>
        <v/>
      </c>
      <c r="AH750" s="43" t="n">
        <f aca="false">IF(AA750=1,H750,0)</f>
        <v>0</v>
      </c>
    </row>
    <row r="751" customFormat="false" ht="15" hidden="false" customHeight="false" outlineLevel="0" collapsed="false">
      <c r="A751" s="8" t="str">
        <f aca="false">IF(B751="","","B-"&amp;TEXT(ROW()-4,"0000"))</f>
        <v/>
      </c>
      <c r="B751" s="38"/>
      <c r="C751" s="38"/>
      <c r="D751" s="6"/>
      <c r="E751" s="6"/>
      <c r="F751" s="6"/>
      <c r="G751" s="11"/>
      <c r="H751" s="18" t="str">
        <f aca="false">IF(AND(ISNUMBER(B751),ISNUMBER(C751)),MAX(0,C751-B751),"")</f>
        <v/>
      </c>
      <c r="I751" s="37"/>
      <c r="J751" s="41" t="str">
        <f aca="false">IF(OR(D751="",N(H751)=0),"",IFERROR(IF(I751&lt;&gt;"",H751*I751,ROUND(((H751-(INT((WEEKDAY(B751-6)+H751-1)/7)+INT((WEEKDAY(B751-7)+H751-1)/7)))*INDEX(Properties!$E$5:$E$24,MATCH(D751,Properties!$A$5:$A$24,0))+(INT((WEEKDAY(B751-6)+H751-1)/7)+INT((WEEKDAY(B751-7)+H751-1)/7))*INDEX(Properties!$F$5:$F$24,MATCH(D751,Properties!$A$5:$A$24,0)))*(1-IF(H751&gt;=28,Settings!$B$10,IF(H751&gt;=7,Settings!$B$9,0))),2)),0))</f>
        <v/>
      </c>
      <c r="K751" s="41" t="str">
        <f aca="false">IF(J751="","",IFERROR(N(INDEX(Properties!$G$5:$G$24,MATCH(D751,Properties!$A$5:$A$24,0))),0))</f>
        <v/>
      </c>
      <c r="L751" s="41" t="str">
        <f aca="false">IF(J751="","",IFERROR(MAX(0,N(G751)-INDEX(Properties!$I$5:$I$24,MATCH(D751,Properties!$A$5:$A$24,0)))*N(INDEX(Properties!$J$5:$J$24,MATCH(D751,Properties!$A$5:$A$24,0)))*H751,0))</f>
        <v/>
      </c>
      <c r="M751" s="37"/>
      <c r="N751" s="41" t="str">
        <f aca="false">IF(J751="","",J751+K751+L751+N(M751))</f>
        <v/>
      </c>
      <c r="O751" s="41" t="str">
        <f aca="false">IF(N751="","",IF(P751&lt;&gt;"",N751-P751,ROUND(N751*IFERROR(INDEX(Settings!$E$5:$E$12,MATCH(F751,Settings!$D$5:$D$12,0)),0),2)))</f>
        <v/>
      </c>
      <c r="P751" s="37"/>
      <c r="Q751" s="41" t="str">
        <f aca="false">IF(N751="","",IF(P751&lt;&gt;"",P751,N751-O751))</f>
        <v/>
      </c>
      <c r="R751" s="41" t="str">
        <f aca="false">IF(J751="","",IFERROR(N(INDEX(Properties!$H$5:$H$24,MATCH(D751,Properties!$A$5:$A$24,0))),0))</f>
        <v/>
      </c>
      <c r="S751" s="41" t="str">
        <f aca="false">IF(Q751="","",Q751-R751)</f>
        <v/>
      </c>
      <c r="T751" s="6"/>
      <c r="U751" s="6"/>
      <c r="V751" s="6"/>
      <c r="W751" s="6"/>
      <c r="X751" s="6"/>
      <c r="Y751" s="8" t="str">
        <f aca="false">IF(OR(D751="",B751="",C751=""),"",IF(N(C751)&lt;=N(B751),"Check dates",IF(T751="Cancelled","",IF(COUNTIFS($D$5:$D$1004,D751,$B$5:$B$1004,"&lt;"&amp;C751,$C$5:$C$1004,"&gt;"&amp;B751,$T$5:$T$1004,"&lt;&gt;Cancelled")&gt;1,"Double-booked",""))))</f>
        <v/>
      </c>
      <c r="Z751" s="42" t="str">
        <f aca="false">IF(AND(AA751=1,ISNUMBER(C751)),C751+ROW()/100000,"")</f>
        <v/>
      </c>
      <c r="AA751" s="43" t="n">
        <f aca="false">IF(AND(D751&lt;&gt;"",ISNUMBER(B751),ISNUMBER(C751),N(H751)&gt;0,T751&lt;&gt;"Cancelled",J751&lt;&gt;""),1,0)</f>
        <v>0</v>
      </c>
      <c r="AB751" s="44" t="n">
        <f aca="false">IF(AA751=1,J751/H751,0)</f>
        <v>0</v>
      </c>
      <c r="AC751" s="44" t="n">
        <f aca="false">IF(AA751=1,Q751/H751,0)</f>
        <v>0</v>
      </c>
      <c r="AD751" s="44" t="n">
        <f aca="false">IF(AA751=1,R751/H751,0)</f>
        <v>0</v>
      </c>
      <c r="AE751" s="44" t="n">
        <f aca="false">IF(AA751=1,O751/H751,0)</f>
        <v>0</v>
      </c>
      <c r="AF751" s="44" t="n">
        <f aca="false">IF(AA751=1,K751/H751,0)</f>
        <v>0</v>
      </c>
      <c r="AG751" s="45" t="str">
        <f aca="false">IF(AA751=1,D751&amp;"|"&amp;TEXT(B751,"0"),"")</f>
        <v/>
      </c>
      <c r="AH751" s="43" t="n">
        <f aca="false">IF(AA751=1,H751,0)</f>
        <v>0</v>
      </c>
    </row>
    <row r="752" customFormat="false" ht="15" hidden="false" customHeight="false" outlineLevel="0" collapsed="false">
      <c r="A752" s="23" t="str">
        <f aca="false">IF(B752="","","B-"&amp;TEXT(ROW()-4,"0000"))</f>
        <v/>
      </c>
      <c r="B752" s="38"/>
      <c r="C752" s="38"/>
      <c r="D752" s="6"/>
      <c r="E752" s="6"/>
      <c r="F752" s="6"/>
      <c r="G752" s="11"/>
      <c r="H752" s="24" t="str">
        <f aca="false">IF(AND(ISNUMBER(B752),ISNUMBER(C752)),MAX(0,C752-B752),"")</f>
        <v/>
      </c>
      <c r="I752" s="37"/>
      <c r="J752" s="46" t="str">
        <f aca="false">IF(OR(D752="",N(H752)=0),"",IFERROR(IF(I752&lt;&gt;"",H752*I752,ROUND(((H752-(INT((WEEKDAY(B752-6)+H752-1)/7)+INT((WEEKDAY(B752-7)+H752-1)/7)))*INDEX(Properties!$E$5:$E$24,MATCH(D752,Properties!$A$5:$A$24,0))+(INT((WEEKDAY(B752-6)+H752-1)/7)+INT((WEEKDAY(B752-7)+H752-1)/7))*INDEX(Properties!$F$5:$F$24,MATCH(D752,Properties!$A$5:$A$24,0)))*(1-IF(H752&gt;=28,Settings!$B$10,IF(H752&gt;=7,Settings!$B$9,0))),2)),0))</f>
        <v/>
      </c>
      <c r="K752" s="46" t="str">
        <f aca="false">IF(J752="","",IFERROR(N(INDEX(Properties!$G$5:$G$24,MATCH(D752,Properties!$A$5:$A$24,0))),0))</f>
        <v/>
      </c>
      <c r="L752" s="46" t="str">
        <f aca="false">IF(J752="","",IFERROR(MAX(0,N(G752)-INDEX(Properties!$I$5:$I$24,MATCH(D752,Properties!$A$5:$A$24,0)))*N(INDEX(Properties!$J$5:$J$24,MATCH(D752,Properties!$A$5:$A$24,0)))*H752,0))</f>
        <v/>
      </c>
      <c r="M752" s="37"/>
      <c r="N752" s="46" t="str">
        <f aca="false">IF(J752="","",J752+K752+L752+N(M752))</f>
        <v/>
      </c>
      <c r="O752" s="46" t="str">
        <f aca="false">IF(N752="","",IF(P752&lt;&gt;"",N752-P752,ROUND(N752*IFERROR(INDEX(Settings!$E$5:$E$12,MATCH(F752,Settings!$D$5:$D$12,0)),0),2)))</f>
        <v/>
      </c>
      <c r="P752" s="37"/>
      <c r="Q752" s="46" t="str">
        <f aca="false">IF(N752="","",IF(P752&lt;&gt;"",P752,N752-O752))</f>
        <v/>
      </c>
      <c r="R752" s="46" t="str">
        <f aca="false">IF(J752="","",IFERROR(N(INDEX(Properties!$H$5:$H$24,MATCH(D752,Properties!$A$5:$A$24,0))),0))</f>
        <v/>
      </c>
      <c r="S752" s="46" t="str">
        <f aca="false">IF(Q752="","",Q752-R752)</f>
        <v/>
      </c>
      <c r="T752" s="6"/>
      <c r="U752" s="6"/>
      <c r="V752" s="6"/>
      <c r="W752" s="6"/>
      <c r="X752" s="6"/>
      <c r="Y752" s="8" t="str">
        <f aca="false">IF(OR(D752="",B752="",C752=""),"",IF(N(C752)&lt;=N(B752),"Check dates",IF(T752="Cancelled","",IF(COUNTIFS($D$5:$D$1004,D752,$B$5:$B$1004,"&lt;"&amp;C752,$C$5:$C$1004,"&gt;"&amp;B752,$T$5:$T$1004,"&lt;&gt;Cancelled")&gt;1,"Double-booked",""))))</f>
        <v/>
      </c>
      <c r="Z752" s="42" t="str">
        <f aca="false">IF(AND(AA752=1,ISNUMBER(C752)),C752+ROW()/100000,"")</f>
        <v/>
      </c>
      <c r="AA752" s="43" t="n">
        <f aca="false">IF(AND(D752&lt;&gt;"",ISNUMBER(B752),ISNUMBER(C752),N(H752)&gt;0,T752&lt;&gt;"Cancelled",J752&lt;&gt;""),1,0)</f>
        <v>0</v>
      </c>
      <c r="AB752" s="44" t="n">
        <f aca="false">IF(AA752=1,J752/H752,0)</f>
        <v>0</v>
      </c>
      <c r="AC752" s="44" t="n">
        <f aca="false">IF(AA752=1,Q752/H752,0)</f>
        <v>0</v>
      </c>
      <c r="AD752" s="44" t="n">
        <f aca="false">IF(AA752=1,R752/H752,0)</f>
        <v>0</v>
      </c>
      <c r="AE752" s="44" t="n">
        <f aca="false">IF(AA752=1,O752/H752,0)</f>
        <v>0</v>
      </c>
      <c r="AF752" s="44" t="n">
        <f aca="false">IF(AA752=1,K752/H752,0)</f>
        <v>0</v>
      </c>
      <c r="AG752" s="45" t="str">
        <f aca="false">IF(AA752=1,D752&amp;"|"&amp;TEXT(B752,"0"),"")</f>
        <v/>
      </c>
      <c r="AH752" s="43" t="n">
        <f aca="false">IF(AA752=1,H752,0)</f>
        <v>0</v>
      </c>
    </row>
    <row r="753" customFormat="false" ht="15" hidden="false" customHeight="false" outlineLevel="0" collapsed="false">
      <c r="A753" s="8" t="str">
        <f aca="false">IF(B753="","","B-"&amp;TEXT(ROW()-4,"0000"))</f>
        <v/>
      </c>
      <c r="B753" s="38"/>
      <c r="C753" s="38"/>
      <c r="D753" s="6"/>
      <c r="E753" s="6"/>
      <c r="F753" s="6"/>
      <c r="G753" s="11"/>
      <c r="H753" s="18" t="str">
        <f aca="false">IF(AND(ISNUMBER(B753),ISNUMBER(C753)),MAX(0,C753-B753),"")</f>
        <v/>
      </c>
      <c r="I753" s="37"/>
      <c r="J753" s="41" t="str">
        <f aca="false">IF(OR(D753="",N(H753)=0),"",IFERROR(IF(I753&lt;&gt;"",H753*I753,ROUND(((H753-(INT((WEEKDAY(B753-6)+H753-1)/7)+INT((WEEKDAY(B753-7)+H753-1)/7)))*INDEX(Properties!$E$5:$E$24,MATCH(D753,Properties!$A$5:$A$24,0))+(INT((WEEKDAY(B753-6)+H753-1)/7)+INT((WEEKDAY(B753-7)+H753-1)/7))*INDEX(Properties!$F$5:$F$24,MATCH(D753,Properties!$A$5:$A$24,0)))*(1-IF(H753&gt;=28,Settings!$B$10,IF(H753&gt;=7,Settings!$B$9,0))),2)),0))</f>
        <v/>
      </c>
      <c r="K753" s="41" t="str">
        <f aca="false">IF(J753="","",IFERROR(N(INDEX(Properties!$G$5:$G$24,MATCH(D753,Properties!$A$5:$A$24,0))),0))</f>
        <v/>
      </c>
      <c r="L753" s="41" t="str">
        <f aca="false">IF(J753="","",IFERROR(MAX(0,N(G753)-INDEX(Properties!$I$5:$I$24,MATCH(D753,Properties!$A$5:$A$24,0)))*N(INDEX(Properties!$J$5:$J$24,MATCH(D753,Properties!$A$5:$A$24,0)))*H753,0))</f>
        <v/>
      </c>
      <c r="M753" s="37"/>
      <c r="N753" s="41" t="str">
        <f aca="false">IF(J753="","",J753+K753+L753+N(M753))</f>
        <v/>
      </c>
      <c r="O753" s="41" t="str">
        <f aca="false">IF(N753="","",IF(P753&lt;&gt;"",N753-P753,ROUND(N753*IFERROR(INDEX(Settings!$E$5:$E$12,MATCH(F753,Settings!$D$5:$D$12,0)),0),2)))</f>
        <v/>
      </c>
      <c r="P753" s="37"/>
      <c r="Q753" s="41" t="str">
        <f aca="false">IF(N753="","",IF(P753&lt;&gt;"",P753,N753-O753))</f>
        <v/>
      </c>
      <c r="R753" s="41" t="str">
        <f aca="false">IF(J753="","",IFERROR(N(INDEX(Properties!$H$5:$H$24,MATCH(D753,Properties!$A$5:$A$24,0))),0))</f>
        <v/>
      </c>
      <c r="S753" s="41" t="str">
        <f aca="false">IF(Q753="","",Q753-R753)</f>
        <v/>
      </c>
      <c r="T753" s="6"/>
      <c r="U753" s="6"/>
      <c r="V753" s="6"/>
      <c r="W753" s="6"/>
      <c r="X753" s="6"/>
      <c r="Y753" s="8" t="str">
        <f aca="false">IF(OR(D753="",B753="",C753=""),"",IF(N(C753)&lt;=N(B753),"Check dates",IF(T753="Cancelled","",IF(COUNTIFS($D$5:$D$1004,D753,$B$5:$B$1004,"&lt;"&amp;C753,$C$5:$C$1004,"&gt;"&amp;B753,$T$5:$T$1004,"&lt;&gt;Cancelled")&gt;1,"Double-booked",""))))</f>
        <v/>
      </c>
      <c r="Z753" s="42" t="str">
        <f aca="false">IF(AND(AA753=1,ISNUMBER(C753)),C753+ROW()/100000,"")</f>
        <v/>
      </c>
      <c r="AA753" s="43" t="n">
        <f aca="false">IF(AND(D753&lt;&gt;"",ISNUMBER(B753),ISNUMBER(C753),N(H753)&gt;0,T753&lt;&gt;"Cancelled",J753&lt;&gt;""),1,0)</f>
        <v>0</v>
      </c>
      <c r="AB753" s="44" t="n">
        <f aca="false">IF(AA753=1,J753/H753,0)</f>
        <v>0</v>
      </c>
      <c r="AC753" s="44" t="n">
        <f aca="false">IF(AA753=1,Q753/H753,0)</f>
        <v>0</v>
      </c>
      <c r="AD753" s="44" t="n">
        <f aca="false">IF(AA753=1,R753/H753,0)</f>
        <v>0</v>
      </c>
      <c r="AE753" s="44" t="n">
        <f aca="false">IF(AA753=1,O753/H753,0)</f>
        <v>0</v>
      </c>
      <c r="AF753" s="44" t="n">
        <f aca="false">IF(AA753=1,K753/H753,0)</f>
        <v>0</v>
      </c>
      <c r="AG753" s="45" t="str">
        <f aca="false">IF(AA753=1,D753&amp;"|"&amp;TEXT(B753,"0"),"")</f>
        <v/>
      </c>
      <c r="AH753" s="43" t="n">
        <f aca="false">IF(AA753=1,H753,0)</f>
        <v>0</v>
      </c>
    </row>
    <row r="754" customFormat="false" ht="15" hidden="false" customHeight="false" outlineLevel="0" collapsed="false">
      <c r="A754" s="23" t="str">
        <f aca="false">IF(B754="","","B-"&amp;TEXT(ROW()-4,"0000"))</f>
        <v/>
      </c>
      <c r="B754" s="38"/>
      <c r="C754" s="38"/>
      <c r="D754" s="6"/>
      <c r="E754" s="6"/>
      <c r="F754" s="6"/>
      <c r="G754" s="11"/>
      <c r="H754" s="24" t="str">
        <f aca="false">IF(AND(ISNUMBER(B754),ISNUMBER(C754)),MAX(0,C754-B754),"")</f>
        <v/>
      </c>
      <c r="I754" s="37"/>
      <c r="J754" s="46" t="str">
        <f aca="false">IF(OR(D754="",N(H754)=0),"",IFERROR(IF(I754&lt;&gt;"",H754*I754,ROUND(((H754-(INT((WEEKDAY(B754-6)+H754-1)/7)+INT((WEEKDAY(B754-7)+H754-1)/7)))*INDEX(Properties!$E$5:$E$24,MATCH(D754,Properties!$A$5:$A$24,0))+(INT((WEEKDAY(B754-6)+H754-1)/7)+INT((WEEKDAY(B754-7)+H754-1)/7))*INDEX(Properties!$F$5:$F$24,MATCH(D754,Properties!$A$5:$A$24,0)))*(1-IF(H754&gt;=28,Settings!$B$10,IF(H754&gt;=7,Settings!$B$9,0))),2)),0))</f>
        <v/>
      </c>
      <c r="K754" s="46" t="str">
        <f aca="false">IF(J754="","",IFERROR(N(INDEX(Properties!$G$5:$G$24,MATCH(D754,Properties!$A$5:$A$24,0))),0))</f>
        <v/>
      </c>
      <c r="L754" s="46" t="str">
        <f aca="false">IF(J754="","",IFERROR(MAX(0,N(G754)-INDEX(Properties!$I$5:$I$24,MATCH(D754,Properties!$A$5:$A$24,0)))*N(INDEX(Properties!$J$5:$J$24,MATCH(D754,Properties!$A$5:$A$24,0)))*H754,0))</f>
        <v/>
      </c>
      <c r="M754" s="37"/>
      <c r="N754" s="46" t="str">
        <f aca="false">IF(J754="","",J754+K754+L754+N(M754))</f>
        <v/>
      </c>
      <c r="O754" s="46" t="str">
        <f aca="false">IF(N754="","",IF(P754&lt;&gt;"",N754-P754,ROUND(N754*IFERROR(INDEX(Settings!$E$5:$E$12,MATCH(F754,Settings!$D$5:$D$12,0)),0),2)))</f>
        <v/>
      </c>
      <c r="P754" s="37"/>
      <c r="Q754" s="46" t="str">
        <f aca="false">IF(N754="","",IF(P754&lt;&gt;"",P754,N754-O754))</f>
        <v/>
      </c>
      <c r="R754" s="46" t="str">
        <f aca="false">IF(J754="","",IFERROR(N(INDEX(Properties!$H$5:$H$24,MATCH(D754,Properties!$A$5:$A$24,0))),0))</f>
        <v/>
      </c>
      <c r="S754" s="46" t="str">
        <f aca="false">IF(Q754="","",Q754-R754)</f>
        <v/>
      </c>
      <c r="T754" s="6"/>
      <c r="U754" s="6"/>
      <c r="V754" s="6"/>
      <c r="W754" s="6"/>
      <c r="X754" s="6"/>
      <c r="Y754" s="8" t="str">
        <f aca="false">IF(OR(D754="",B754="",C754=""),"",IF(N(C754)&lt;=N(B754),"Check dates",IF(T754="Cancelled","",IF(COUNTIFS($D$5:$D$1004,D754,$B$5:$B$1004,"&lt;"&amp;C754,$C$5:$C$1004,"&gt;"&amp;B754,$T$5:$T$1004,"&lt;&gt;Cancelled")&gt;1,"Double-booked",""))))</f>
        <v/>
      </c>
      <c r="Z754" s="42" t="str">
        <f aca="false">IF(AND(AA754=1,ISNUMBER(C754)),C754+ROW()/100000,"")</f>
        <v/>
      </c>
      <c r="AA754" s="43" t="n">
        <f aca="false">IF(AND(D754&lt;&gt;"",ISNUMBER(B754),ISNUMBER(C754),N(H754)&gt;0,T754&lt;&gt;"Cancelled",J754&lt;&gt;""),1,0)</f>
        <v>0</v>
      </c>
      <c r="AB754" s="44" t="n">
        <f aca="false">IF(AA754=1,J754/H754,0)</f>
        <v>0</v>
      </c>
      <c r="AC754" s="44" t="n">
        <f aca="false">IF(AA754=1,Q754/H754,0)</f>
        <v>0</v>
      </c>
      <c r="AD754" s="44" t="n">
        <f aca="false">IF(AA754=1,R754/H754,0)</f>
        <v>0</v>
      </c>
      <c r="AE754" s="44" t="n">
        <f aca="false">IF(AA754=1,O754/H754,0)</f>
        <v>0</v>
      </c>
      <c r="AF754" s="44" t="n">
        <f aca="false">IF(AA754=1,K754/H754,0)</f>
        <v>0</v>
      </c>
      <c r="AG754" s="45" t="str">
        <f aca="false">IF(AA754=1,D754&amp;"|"&amp;TEXT(B754,"0"),"")</f>
        <v/>
      </c>
      <c r="AH754" s="43" t="n">
        <f aca="false">IF(AA754=1,H754,0)</f>
        <v>0</v>
      </c>
    </row>
    <row r="755" customFormat="false" ht="15" hidden="false" customHeight="false" outlineLevel="0" collapsed="false">
      <c r="A755" s="8" t="str">
        <f aca="false">IF(B755="","","B-"&amp;TEXT(ROW()-4,"0000"))</f>
        <v/>
      </c>
      <c r="B755" s="38"/>
      <c r="C755" s="38"/>
      <c r="D755" s="6"/>
      <c r="E755" s="6"/>
      <c r="F755" s="6"/>
      <c r="G755" s="11"/>
      <c r="H755" s="18" t="str">
        <f aca="false">IF(AND(ISNUMBER(B755),ISNUMBER(C755)),MAX(0,C755-B755),"")</f>
        <v/>
      </c>
      <c r="I755" s="37"/>
      <c r="J755" s="41" t="str">
        <f aca="false">IF(OR(D755="",N(H755)=0),"",IFERROR(IF(I755&lt;&gt;"",H755*I755,ROUND(((H755-(INT((WEEKDAY(B755-6)+H755-1)/7)+INT((WEEKDAY(B755-7)+H755-1)/7)))*INDEX(Properties!$E$5:$E$24,MATCH(D755,Properties!$A$5:$A$24,0))+(INT((WEEKDAY(B755-6)+H755-1)/7)+INT((WEEKDAY(B755-7)+H755-1)/7))*INDEX(Properties!$F$5:$F$24,MATCH(D755,Properties!$A$5:$A$24,0)))*(1-IF(H755&gt;=28,Settings!$B$10,IF(H755&gt;=7,Settings!$B$9,0))),2)),0))</f>
        <v/>
      </c>
      <c r="K755" s="41" t="str">
        <f aca="false">IF(J755="","",IFERROR(N(INDEX(Properties!$G$5:$G$24,MATCH(D755,Properties!$A$5:$A$24,0))),0))</f>
        <v/>
      </c>
      <c r="L755" s="41" t="str">
        <f aca="false">IF(J755="","",IFERROR(MAX(0,N(G755)-INDEX(Properties!$I$5:$I$24,MATCH(D755,Properties!$A$5:$A$24,0)))*N(INDEX(Properties!$J$5:$J$24,MATCH(D755,Properties!$A$5:$A$24,0)))*H755,0))</f>
        <v/>
      </c>
      <c r="M755" s="37"/>
      <c r="N755" s="41" t="str">
        <f aca="false">IF(J755="","",J755+K755+L755+N(M755))</f>
        <v/>
      </c>
      <c r="O755" s="41" t="str">
        <f aca="false">IF(N755="","",IF(P755&lt;&gt;"",N755-P755,ROUND(N755*IFERROR(INDEX(Settings!$E$5:$E$12,MATCH(F755,Settings!$D$5:$D$12,0)),0),2)))</f>
        <v/>
      </c>
      <c r="P755" s="37"/>
      <c r="Q755" s="41" t="str">
        <f aca="false">IF(N755="","",IF(P755&lt;&gt;"",P755,N755-O755))</f>
        <v/>
      </c>
      <c r="R755" s="41" t="str">
        <f aca="false">IF(J755="","",IFERROR(N(INDEX(Properties!$H$5:$H$24,MATCH(D755,Properties!$A$5:$A$24,0))),0))</f>
        <v/>
      </c>
      <c r="S755" s="41" t="str">
        <f aca="false">IF(Q755="","",Q755-R755)</f>
        <v/>
      </c>
      <c r="T755" s="6"/>
      <c r="U755" s="6"/>
      <c r="V755" s="6"/>
      <c r="W755" s="6"/>
      <c r="X755" s="6"/>
      <c r="Y755" s="8" t="str">
        <f aca="false">IF(OR(D755="",B755="",C755=""),"",IF(N(C755)&lt;=N(B755),"Check dates",IF(T755="Cancelled","",IF(COUNTIFS($D$5:$D$1004,D755,$B$5:$B$1004,"&lt;"&amp;C755,$C$5:$C$1004,"&gt;"&amp;B755,$T$5:$T$1004,"&lt;&gt;Cancelled")&gt;1,"Double-booked",""))))</f>
        <v/>
      </c>
      <c r="Z755" s="42" t="str">
        <f aca="false">IF(AND(AA755=1,ISNUMBER(C755)),C755+ROW()/100000,"")</f>
        <v/>
      </c>
      <c r="AA755" s="43" t="n">
        <f aca="false">IF(AND(D755&lt;&gt;"",ISNUMBER(B755),ISNUMBER(C755),N(H755)&gt;0,T755&lt;&gt;"Cancelled",J755&lt;&gt;""),1,0)</f>
        <v>0</v>
      </c>
      <c r="AB755" s="44" t="n">
        <f aca="false">IF(AA755=1,J755/H755,0)</f>
        <v>0</v>
      </c>
      <c r="AC755" s="44" t="n">
        <f aca="false">IF(AA755=1,Q755/H755,0)</f>
        <v>0</v>
      </c>
      <c r="AD755" s="44" t="n">
        <f aca="false">IF(AA755=1,R755/H755,0)</f>
        <v>0</v>
      </c>
      <c r="AE755" s="44" t="n">
        <f aca="false">IF(AA755=1,O755/H755,0)</f>
        <v>0</v>
      </c>
      <c r="AF755" s="44" t="n">
        <f aca="false">IF(AA755=1,K755/H755,0)</f>
        <v>0</v>
      </c>
      <c r="AG755" s="45" t="str">
        <f aca="false">IF(AA755=1,D755&amp;"|"&amp;TEXT(B755,"0"),"")</f>
        <v/>
      </c>
      <c r="AH755" s="43" t="n">
        <f aca="false">IF(AA755=1,H755,0)</f>
        <v>0</v>
      </c>
    </row>
    <row r="756" customFormat="false" ht="15" hidden="false" customHeight="false" outlineLevel="0" collapsed="false">
      <c r="A756" s="23" t="str">
        <f aca="false">IF(B756="","","B-"&amp;TEXT(ROW()-4,"0000"))</f>
        <v/>
      </c>
      <c r="B756" s="38"/>
      <c r="C756" s="38"/>
      <c r="D756" s="6"/>
      <c r="E756" s="6"/>
      <c r="F756" s="6"/>
      <c r="G756" s="11"/>
      <c r="H756" s="24" t="str">
        <f aca="false">IF(AND(ISNUMBER(B756),ISNUMBER(C756)),MAX(0,C756-B756),"")</f>
        <v/>
      </c>
      <c r="I756" s="37"/>
      <c r="J756" s="46" t="str">
        <f aca="false">IF(OR(D756="",N(H756)=0),"",IFERROR(IF(I756&lt;&gt;"",H756*I756,ROUND(((H756-(INT((WEEKDAY(B756-6)+H756-1)/7)+INT((WEEKDAY(B756-7)+H756-1)/7)))*INDEX(Properties!$E$5:$E$24,MATCH(D756,Properties!$A$5:$A$24,0))+(INT((WEEKDAY(B756-6)+H756-1)/7)+INT((WEEKDAY(B756-7)+H756-1)/7))*INDEX(Properties!$F$5:$F$24,MATCH(D756,Properties!$A$5:$A$24,0)))*(1-IF(H756&gt;=28,Settings!$B$10,IF(H756&gt;=7,Settings!$B$9,0))),2)),0))</f>
        <v/>
      </c>
      <c r="K756" s="46" t="str">
        <f aca="false">IF(J756="","",IFERROR(N(INDEX(Properties!$G$5:$G$24,MATCH(D756,Properties!$A$5:$A$24,0))),0))</f>
        <v/>
      </c>
      <c r="L756" s="46" t="str">
        <f aca="false">IF(J756="","",IFERROR(MAX(0,N(G756)-INDEX(Properties!$I$5:$I$24,MATCH(D756,Properties!$A$5:$A$24,0)))*N(INDEX(Properties!$J$5:$J$24,MATCH(D756,Properties!$A$5:$A$24,0)))*H756,0))</f>
        <v/>
      </c>
      <c r="M756" s="37"/>
      <c r="N756" s="46" t="str">
        <f aca="false">IF(J756="","",J756+K756+L756+N(M756))</f>
        <v/>
      </c>
      <c r="O756" s="46" t="str">
        <f aca="false">IF(N756="","",IF(P756&lt;&gt;"",N756-P756,ROUND(N756*IFERROR(INDEX(Settings!$E$5:$E$12,MATCH(F756,Settings!$D$5:$D$12,0)),0),2)))</f>
        <v/>
      </c>
      <c r="P756" s="37"/>
      <c r="Q756" s="46" t="str">
        <f aca="false">IF(N756="","",IF(P756&lt;&gt;"",P756,N756-O756))</f>
        <v/>
      </c>
      <c r="R756" s="46" t="str">
        <f aca="false">IF(J756="","",IFERROR(N(INDEX(Properties!$H$5:$H$24,MATCH(D756,Properties!$A$5:$A$24,0))),0))</f>
        <v/>
      </c>
      <c r="S756" s="46" t="str">
        <f aca="false">IF(Q756="","",Q756-R756)</f>
        <v/>
      </c>
      <c r="T756" s="6"/>
      <c r="U756" s="6"/>
      <c r="V756" s="6"/>
      <c r="W756" s="6"/>
      <c r="X756" s="6"/>
      <c r="Y756" s="8" t="str">
        <f aca="false">IF(OR(D756="",B756="",C756=""),"",IF(N(C756)&lt;=N(B756),"Check dates",IF(T756="Cancelled","",IF(COUNTIFS($D$5:$D$1004,D756,$B$5:$B$1004,"&lt;"&amp;C756,$C$5:$C$1004,"&gt;"&amp;B756,$T$5:$T$1004,"&lt;&gt;Cancelled")&gt;1,"Double-booked",""))))</f>
        <v/>
      </c>
      <c r="Z756" s="42" t="str">
        <f aca="false">IF(AND(AA756=1,ISNUMBER(C756)),C756+ROW()/100000,"")</f>
        <v/>
      </c>
      <c r="AA756" s="43" t="n">
        <f aca="false">IF(AND(D756&lt;&gt;"",ISNUMBER(B756),ISNUMBER(C756),N(H756)&gt;0,T756&lt;&gt;"Cancelled",J756&lt;&gt;""),1,0)</f>
        <v>0</v>
      </c>
      <c r="AB756" s="44" t="n">
        <f aca="false">IF(AA756=1,J756/H756,0)</f>
        <v>0</v>
      </c>
      <c r="AC756" s="44" t="n">
        <f aca="false">IF(AA756=1,Q756/H756,0)</f>
        <v>0</v>
      </c>
      <c r="AD756" s="44" t="n">
        <f aca="false">IF(AA756=1,R756/H756,0)</f>
        <v>0</v>
      </c>
      <c r="AE756" s="44" t="n">
        <f aca="false">IF(AA756=1,O756/H756,0)</f>
        <v>0</v>
      </c>
      <c r="AF756" s="44" t="n">
        <f aca="false">IF(AA756=1,K756/H756,0)</f>
        <v>0</v>
      </c>
      <c r="AG756" s="45" t="str">
        <f aca="false">IF(AA756=1,D756&amp;"|"&amp;TEXT(B756,"0"),"")</f>
        <v/>
      </c>
      <c r="AH756" s="43" t="n">
        <f aca="false">IF(AA756=1,H756,0)</f>
        <v>0</v>
      </c>
    </row>
    <row r="757" customFormat="false" ht="15" hidden="false" customHeight="false" outlineLevel="0" collapsed="false">
      <c r="A757" s="8" t="str">
        <f aca="false">IF(B757="","","B-"&amp;TEXT(ROW()-4,"0000"))</f>
        <v/>
      </c>
      <c r="B757" s="38"/>
      <c r="C757" s="38"/>
      <c r="D757" s="6"/>
      <c r="E757" s="6"/>
      <c r="F757" s="6"/>
      <c r="G757" s="11"/>
      <c r="H757" s="18" t="str">
        <f aca="false">IF(AND(ISNUMBER(B757),ISNUMBER(C757)),MAX(0,C757-B757),"")</f>
        <v/>
      </c>
      <c r="I757" s="37"/>
      <c r="J757" s="41" t="str">
        <f aca="false">IF(OR(D757="",N(H757)=0),"",IFERROR(IF(I757&lt;&gt;"",H757*I757,ROUND(((H757-(INT((WEEKDAY(B757-6)+H757-1)/7)+INT((WEEKDAY(B757-7)+H757-1)/7)))*INDEX(Properties!$E$5:$E$24,MATCH(D757,Properties!$A$5:$A$24,0))+(INT((WEEKDAY(B757-6)+H757-1)/7)+INT((WEEKDAY(B757-7)+H757-1)/7))*INDEX(Properties!$F$5:$F$24,MATCH(D757,Properties!$A$5:$A$24,0)))*(1-IF(H757&gt;=28,Settings!$B$10,IF(H757&gt;=7,Settings!$B$9,0))),2)),0))</f>
        <v/>
      </c>
      <c r="K757" s="41" t="str">
        <f aca="false">IF(J757="","",IFERROR(N(INDEX(Properties!$G$5:$G$24,MATCH(D757,Properties!$A$5:$A$24,0))),0))</f>
        <v/>
      </c>
      <c r="L757" s="41" t="str">
        <f aca="false">IF(J757="","",IFERROR(MAX(0,N(G757)-INDEX(Properties!$I$5:$I$24,MATCH(D757,Properties!$A$5:$A$24,0)))*N(INDEX(Properties!$J$5:$J$24,MATCH(D757,Properties!$A$5:$A$24,0)))*H757,0))</f>
        <v/>
      </c>
      <c r="M757" s="37"/>
      <c r="N757" s="41" t="str">
        <f aca="false">IF(J757="","",J757+K757+L757+N(M757))</f>
        <v/>
      </c>
      <c r="O757" s="41" t="str">
        <f aca="false">IF(N757="","",IF(P757&lt;&gt;"",N757-P757,ROUND(N757*IFERROR(INDEX(Settings!$E$5:$E$12,MATCH(F757,Settings!$D$5:$D$12,0)),0),2)))</f>
        <v/>
      </c>
      <c r="P757" s="37"/>
      <c r="Q757" s="41" t="str">
        <f aca="false">IF(N757="","",IF(P757&lt;&gt;"",P757,N757-O757))</f>
        <v/>
      </c>
      <c r="R757" s="41" t="str">
        <f aca="false">IF(J757="","",IFERROR(N(INDEX(Properties!$H$5:$H$24,MATCH(D757,Properties!$A$5:$A$24,0))),0))</f>
        <v/>
      </c>
      <c r="S757" s="41" t="str">
        <f aca="false">IF(Q757="","",Q757-R757)</f>
        <v/>
      </c>
      <c r="T757" s="6"/>
      <c r="U757" s="6"/>
      <c r="V757" s="6"/>
      <c r="W757" s="6"/>
      <c r="X757" s="6"/>
      <c r="Y757" s="8" t="str">
        <f aca="false">IF(OR(D757="",B757="",C757=""),"",IF(N(C757)&lt;=N(B757),"Check dates",IF(T757="Cancelled","",IF(COUNTIFS($D$5:$D$1004,D757,$B$5:$B$1004,"&lt;"&amp;C757,$C$5:$C$1004,"&gt;"&amp;B757,$T$5:$T$1004,"&lt;&gt;Cancelled")&gt;1,"Double-booked",""))))</f>
        <v/>
      </c>
      <c r="Z757" s="42" t="str">
        <f aca="false">IF(AND(AA757=1,ISNUMBER(C757)),C757+ROW()/100000,"")</f>
        <v/>
      </c>
      <c r="AA757" s="43" t="n">
        <f aca="false">IF(AND(D757&lt;&gt;"",ISNUMBER(B757),ISNUMBER(C757),N(H757)&gt;0,T757&lt;&gt;"Cancelled",J757&lt;&gt;""),1,0)</f>
        <v>0</v>
      </c>
      <c r="AB757" s="44" t="n">
        <f aca="false">IF(AA757=1,J757/H757,0)</f>
        <v>0</v>
      </c>
      <c r="AC757" s="44" t="n">
        <f aca="false">IF(AA757=1,Q757/H757,0)</f>
        <v>0</v>
      </c>
      <c r="AD757" s="44" t="n">
        <f aca="false">IF(AA757=1,R757/H757,0)</f>
        <v>0</v>
      </c>
      <c r="AE757" s="44" t="n">
        <f aca="false">IF(AA757=1,O757/H757,0)</f>
        <v>0</v>
      </c>
      <c r="AF757" s="44" t="n">
        <f aca="false">IF(AA757=1,K757/H757,0)</f>
        <v>0</v>
      </c>
      <c r="AG757" s="45" t="str">
        <f aca="false">IF(AA757=1,D757&amp;"|"&amp;TEXT(B757,"0"),"")</f>
        <v/>
      </c>
      <c r="AH757" s="43" t="n">
        <f aca="false">IF(AA757=1,H757,0)</f>
        <v>0</v>
      </c>
    </row>
    <row r="758" customFormat="false" ht="15" hidden="false" customHeight="false" outlineLevel="0" collapsed="false">
      <c r="A758" s="23" t="str">
        <f aca="false">IF(B758="","","B-"&amp;TEXT(ROW()-4,"0000"))</f>
        <v/>
      </c>
      <c r="B758" s="38"/>
      <c r="C758" s="38"/>
      <c r="D758" s="6"/>
      <c r="E758" s="6"/>
      <c r="F758" s="6"/>
      <c r="G758" s="11"/>
      <c r="H758" s="24" t="str">
        <f aca="false">IF(AND(ISNUMBER(B758),ISNUMBER(C758)),MAX(0,C758-B758),"")</f>
        <v/>
      </c>
      <c r="I758" s="37"/>
      <c r="J758" s="46" t="str">
        <f aca="false">IF(OR(D758="",N(H758)=0),"",IFERROR(IF(I758&lt;&gt;"",H758*I758,ROUND(((H758-(INT((WEEKDAY(B758-6)+H758-1)/7)+INT((WEEKDAY(B758-7)+H758-1)/7)))*INDEX(Properties!$E$5:$E$24,MATCH(D758,Properties!$A$5:$A$24,0))+(INT((WEEKDAY(B758-6)+H758-1)/7)+INT((WEEKDAY(B758-7)+H758-1)/7))*INDEX(Properties!$F$5:$F$24,MATCH(D758,Properties!$A$5:$A$24,0)))*(1-IF(H758&gt;=28,Settings!$B$10,IF(H758&gt;=7,Settings!$B$9,0))),2)),0))</f>
        <v/>
      </c>
      <c r="K758" s="46" t="str">
        <f aca="false">IF(J758="","",IFERROR(N(INDEX(Properties!$G$5:$G$24,MATCH(D758,Properties!$A$5:$A$24,0))),0))</f>
        <v/>
      </c>
      <c r="L758" s="46" t="str">
        <f aca="false">IF(J758="","",IFERROR(MAX(0,N(G758)-INDEX(Properties!$I$5:$I$24,MATCH(D758,Properties!$A$5:$A$24,0)))*N(INDEX(Properties!$J$5:$J$24,MATCH(D758,Properties!$A$5:$A$24,0)))*H758,0))</f>
        <v/>
      </c>
      <c r="M758" s="37"/>
      <c r="N758" s="46" t="str">
        <f aca="false">IF(J758="","",J758+K758+L758+N(M758))</f>
        <v/>
      </c>
      <c r="O758" s="46" t="str">
        <f aca="false">IF(N758="","",IF(P758&lt;&gt;"",N758-P758,ROUND(N758*IFERROR(INDEX(Settings!$E$5:$E$12,MATCH(F758,Settings!$D$5:$D$12,0)),0),2)))</f>
        <v/>
      </c>
      <c r="P758" s="37"/>
      <c r="Q758" s="46" t="str">
        <f aca="false">IF(N758="","",IF(P758&lt;&gt;"",P758,N758-O758))</f>
        <v/>
      </c>
      <c r="R758" s="46" t="str">
        <f aca="false">IF(J758="","",IFERROR(N(INDEX(Properties!$H$5:$H$24,MATCH(D758,Properties!$A$5:$A$24,0))),0))</f>
        <v/>
      </c>
      <c r="S758" s="46" t="str">
        <f aca="false">IF(Q758="","",Q758-R758)</f>
        <v/>
      </c>
      <c r="T758" s="6"/>
      <c r="U758" s="6"/>
      <c r="V758" s="6"/>
      <c r="W758" s="6"/>
      <c r="X758" s="6"/>
      <c r="Y758" s="8" t="str">
        <f aca="false">IF(OR(D758="",B758="",C758=""),"",IF(N(C758)&lt;=N(B758),"Check dates",IF(T758="Cancelled","",IF(COUNTIFS($D$5:$D$1004,D758,$B$5:$B$1004,"&lt;"&amp;C758,$C$5:$C$1004,"&gt;"&amp;B758,$T$5:$T$1004,"&lt;&gt;Cancelled")&gt;1,"Double-booked",""))))</f>
        <v/>
      </c>
      <c r="Z758" s="42" t="str">
        <f aca="false">IF(AND(AA758=1,ISNUMBER(C758)),C758+ROW()/100000,"")</f>
        <v/>
      </c>
      <c r="AA758" s="43" t="n">
        <f aca="false">IF(AND(D758&lt;&gt;"",ISNUMBER(B758),ISNUMBER(C758),N(H758)&gt;0,T758&lt;&gt;"Cancelled",J758&lt;&gt;""),1,0)</f>
        <v>0</v>
      </c>
      <c r="AB758" s="44" t="n">
        <f aca="false">IF(AA758=1,J758/H758,0)</f>
        <v>0</v>
      </c>
      <c r="AC758" s="44" t="n">
        <f aca="false">IF(AA758=1,Q758/H758,0)</f>
        <v>0</v>
      </c>
      <c r="AD758" s="44" t="n">
        <f aca="false">IF(AA758=1,R758/H758,0)</f>
        <v>0</v>
      </c>
      <c r="AE758" s="44" t="n">
        <f aca="false">IF(AA758=1,O758/H758,0)</f>
        <v>0</v>
      </c>
      <c r="AF758" s="44" t="n">
        <f aca="false">IF(AA758=1,K758/H758,0)</f>
        <v>0</v>
      </c>
      <c r="AG758" s="45" t="str">
        <f aca="false">IF(AA758=1,D758&amp;"|"&amp;TEXT(B758,"0"),"")</f>
        <v/>
      </c>
      <c r="AH758" s="43" t="n">
        <f aca="false">IF(AA758=1,H758,0)</f>
        <v>0</v>
      </c>
    </row>
    <row r="759" customFormat="false" ht="15" hidden="false" customHeight="false" outlineLevel="0" collapsed="false">
      <c r="A759" s="8" t="str">
        <f aca="false">IF(B759="","","B-"&amp;TEXT(ROW()-4,"0000"))</f>
        <v/>
      </c>
      <c r="B759" s="38"/>
      <c r="C759" s="38"/>
      <c r="D759" s="6"/>
      <c r="E759" s="6"/>
      <c r="F759" s="6"/>
      <c r="G759" s="11"/>
      <c r="H759" s="18" t="str">
        <f aca="false">IF(AND(ISNUMBER(B759),ISNUMBER(C759)),MAX(0,C759-B759),"")</f>
        <v/>
      </c>
      <c r="I759" s="37"/>
      <c r="J759" s="41" t="str">
        <f aca="false">IF(OR(D759="",N(H759)=0),"",IFERROR(IF(I759&lt;&gt;"",H759*I759,ROUND(((H759-(INT((WEEKDAY(B759-6)+H759-1)/7)+INT((WEEKDAY(B759-7)+H759-1)/7)))*INDEX(Properties!$E$5:$E$24,MATCH(D759,Properties!$A$5:$A$24,0))+(INT((WEEKDAY(B759-6)+H759-1)/7)+INT((WEEKDAY(B759-7)+H759-1)/7))*INDEX(Properties!$F$5:$F$24,MATCH(D759,Properties!$A$5:$A$24,0)))*(1-IF(H759&gt;=28,Settings!$B$10,IF(H759&gt;=7,Settings!$B$9,0))),2)),0))</f>
        <v/>
      </c>
      <c r="K759" s="41" t="str">
        <f aca="false">IF(J759="","",IFERROR(N(INDEX(Properties!$G$5:$G$24,MATCH(D759,Properties!$A$5:$A$24,0))),0))</f>
        <v/>
      </c>
      <c r="L759" s="41" t="str">
        <f aca="false">IF(J759="","",IFERROR(MAX(0,N(G759)-INDEX(Properties!$I$5:$I$24,MATCH(D759,Properties!$A$5:$A$24,0)))*N(INDEX(Properties!$J$5:$J$24,MATCH(D759,Properties!$A$5:$A$24,0)))*H759,0))</f>
        <v/>
      </c>
      <c r="M759" s="37"/>
      <c r="N759" s="41" t="str">
        <f aca="false">IF(J759="","",J759+K759+L759+N(M759))</f>
        <v/>
      </c>
      <c r="O759" s="41" t="str">
        <f aca="false">IF(N759="","",IF(P759&lt;&gt;"",N759-P759,ROUND(N759*IFERROR(INDEX(Settings!$E$5:$E$12,MATCH(F759,Settings!$D$5:$D$12,0)),0),2)))</f>
        <v/>
      </c>
      <c r="P759" s="37"/>
      <c r="Q759" s="41" t="str">
        <f aca="false">IF(N759="","",IF(P759&lt;&gt;"",P759,N759-O759))</f>
        <v/>
      </c>
      <c r="R759" s="41" t="str">
        <f aca="false">IF(J759="","",IFERROR(N(INDEX(Properties!$H$5:$H$24,MATCH(D759,Properties!$A$5:$A$24,0))),0))</f>
        <v/>
      </c>
      <c r="S759" s="41" t="str">
        <f aca="false">IF(Q759="","",Q759-R759)</f>
        <v/>
      </c>
      <c r="T759" s="6"/>
      <c r="U759" s="6"/>
      <c r="V759" s="6"/>
      <c r="W759" s="6"/>
      <c r="X759" s="6"/>
      <c r="Y759" s="8" t="str">
        <f aca="false">IF(OR(D759="",B759="",C759=""),"",IF(N(C759)&lt;=N(B759),"Check dates",IF(T759="Cancelled","",IF(COUNTIFS($D$5:$D$1004,D759,$B$5:$B$1004,"&lt;"&amp;C759,$C$5:$C$1004,"&gt;"&amp;B759,$T$5:$T$1004,"&lt;&gt;Cancelled")&gt;1,"Double-booked",""))))</f>
        <v/>
      </c>
      <c r="Z759" s="42" t="str">
        <f aca="false">IF(AND(AA759=1,ISNUMBER(C759)),C759+ROW()/100000,"")</f>
        <v/>
      </c>
      <c r="AA759" s="43" t="n">
        <f aca="false">IF(AND(D759&lt;&gt;"",ISNUMBER(B759),ISNUMBER(C759),N(H759)&gt;0,T759&lt;&gt;"Cancelled",J759&lt;&gt;""),1,0)</f>
        <v>0</v>
      </c>
      <c r="AB759" s="44" t="n">
        <f aca="false">IF(AA759=1,J759/H759,0)</f>
        <v>0</v>
      </c>
      <c r="AC759" s="44" t="n">
        <f aca="false">IF(AA759=1,Q759/H759,0)</f>
        <v>0</v>
      </c>
      <c r="AD759" s="44" t="n">
        <f aca="false">IF(AA759=1,R759/H759,0)</f>
        <v>0</v>
      </c>
      <c r="AE759" s="44" t="n">
        <f aca="false">IF(AA759=1,O759/H759,0)</f>
        <v>0</v>
      </c>
      <c r="AF759" s="44" t="n">
        <f aca="false">IF(AA759=1,K759/H759,0)</f>
        <v>0</v>
      </c>
      <c r="AG759" s="45" t="str">
        <f aca="false">IF(AA759=1,D759&amp;"|"&amp;TEXT(B759,"0"),"")</f>
        <v/>
      </c>
      <c r="AH759" s="43" t="n">
        <f aca="false">IF(AA759=1,H759,0)</f>
        <v>0</v>
      </c>
    </row>
    <row r="760" customFormat="false" ht="15" hidden="false" customHeight="false" outlineLevel="0" collapsed="false">
      <c r="A760" s="23" t="str">
        <f aca="false">IF(B760="","","B-"&amp;TEXT(ROW()-4,"0000"))</f>
        <v/>
      </c>
      <c r="B760" s="38"/>
      <c r="C760" s="38"/>
      <c r="D760" s="6"/>
      <c r="E760" s="6"/>
      <c r="F760" s="6"/>
      <c r="G760" s="11"/>
      <c r="H760" s="24" t="str">
        <f aca="false">IF(AND(ISNUMBER(B760),ISNUMBER(C760)),MAX(0,C760-B760),"")</f>
        <v/>
      </c>
      <c r="I760" s="37"/>
      <c r="J760" s="46" t="str">
        <f aca="false">IF(OR(D760="",N(H760)=0),"",IFERROR(IF(I760&lt;&gt;"",H760*I760,ROUND(((H760-(INT((WEEKDAY(B760-6)+H760-1)/7)+INT((WEEKDAY(B760-7)+H760-1)/7)))*INDEX(Properties!$E$5:$E$24,MATCH(D760,Properties!$A$5:$A$24,0))+(INT((WEEKDAY(B760-6)+H760-1)/7)+INT((WEEKDAY(B760-7)+H760-1)/7))*INDEX(Properties!$F$5:$F$24,MATCH(D760,Properties!$A$5:$A$24,0)))*(1-IF(H760&gt;=28,Settings!$B$10,IF(H760&gt;=7,Settings!$B$9,0))),2)),0))</f>
        <v/>
      </c>
      <c r="K760" s="46" t="str">
        <f aca="false">IF(J760="","",IFERROR(N(INDEX(Properties!$G$5:$G$24,MATCH(D760,Properties!$A$5:$A$24,0))),0))</f>
        <v/>
      </c>
      <c r="L760" s="46" t="str">
        <f aca="false">IF(J760="","",IFERROR(MAX(0,N(G760)-INDEX(Properties!$I$5:$I$24,MATCH(D760,Properties!$A$5:$A$24,0)))*N(INDEX(Properties!$J$5:$J$24,MATCH(D760,Properties!$A$5:$A$24,0)))*H760,0))</f>
        <v/>
      </c>
      <c r="M760" s="37"/>
      <c r="N760" s="46" t="str">
        <f aca="false">IF(J760="","",J760+K760+L760+N(M760))</f>
        <v/>
      </c>
      <c r="O760" s="46" t="str">
        <f aca="false">IF(N760="","",IF(P760&lt;&gt;"",N760-P760,ROUND(N760*IFERROR(INDEX(Settings!$E$5:$E$12,MATCH(F760,Settings!$D$5:$D$12,0)),0),2)))</f>
        <v/>
      </c>
      <c r="P760" s="37"/>
      <c r="Q760" s="46" t="str">
        <f aca="false">IF(N760="","",IF(P760&lt;&gt;"",P760,N760-O760))</f>
        <v/>
      </c>
      <c r="R760" s="46" t="str">
        <f aca="false">IF(J760="","",IFERROR(N(INDEX(Properties!$H$5:$H$24,MATCH(D760,Properties!$A$5:$A$24,0))),0))</f>
        <v/>
      </c>
      <c r="S760" s="46" t="str">
        <f aca="false">IF(Q760="","",Q760-R760)</f>
        <v/>
      </c>
      <c r="T760" s="6"/>
      <c r="U760" s="6"/>
      <c r="V760" s="6"/>
      <c r="W760" s="6"/>
      <c r="X760" s="6"/>
      <c r="Y760" s="8" t="str">
        <f aca="false">IF(OR(D760="",B760="",C760=""),"",IF(N(C760)&lt;=N(B760),"Check dates",IF(T760="Cancelled","",IF(COUNTIFS($D$5:$D$1004,D760,$B$5:$B$1004,"&lt;"&amp;C760,$C$5:$C$1004,"&gt;"&amp;B760,$T$5:$T$1004,"&lt;&gt;Cancelled")&gt;1,"Double-booked",""))))</f>
        <v/>
      </c>
      <c r="Z760" s="42" t="str">
        <f aca="false">IF(AND(AA760=1,ISNUMBER(C760)),C760+ROW()/100000,"")</f>
        <v/>
      </c>
      <c r="AA760" s="43" t="n">
        <f aca="false">IF(AND(D760&lt;&gt;"",ISNUMBER(B760),ISNUMBER(C760),N(H760)&gt;0,T760&lt;&gt;"Cancelled",J760&lt;&gt;""),1,0)</f>
        <v>0</v>
      </c>
      <c r="AB760" s="44" t="n">
        <f aca="false">IF(AA760=1,J760/H760,0)</f>
        <v>0</v>
      </c>
      <c r="AC760" s="44" t="n">
        <f aca="false">IF(AA760=1,Q760/H760,0)</f>
        <v>0</v>
      </c>
      <c r="AD760" s="44" t="n">
        <f aca="false">IF(AA760=1,R760/H760,0)</f>
        <v>0</v>
      </c>
      <c r="AE760" s="44" t="n">
        <f aca="false">IF(AA760=1,O760/H760,0)</f>
        <v>0</v>
      </c>
      <c r="AF760" s="44" t="n">
        <f aca="false">IF(AA760=1,K760/H760,0)</f>
        <v>0</v>
      </c>
      <c r="AG760" s="45" t="str">
        <f aca="false">IF(AA760=1,D760&amp;"|"&amp;TEXT(B760,"0"),"")</f>
        <v/>
      </c>
      <c r="AH760" s="43" t="n">
        <f aca="false">IF(AA760=1,H760,0)</f>
        <v>0</v>
      </c>
    </row>
    <row r="761" customFormat="false" ht="15" hidden="false" customHeight="false" outlineLevel="0" collapsed="false">
      <c r="A761" s="8" t="str">
        <f aca="false">IF(B761="","","B-"&amp;TEXT(ROW()-4,"0000"))</f>
        <v/>
      </c>
      <c r="B761" s="38"/>
      <c r="C761" s="38"/>
      <c r="D761" s="6"/>
      <c r="E761" s="6"/>
      <c r="F761" s="6"/>
      <c r="G761" s="11"/>
      <c r="H761" s="18" t="str">
        <f aca="false">IF(AND(ISNUMBER(B761),ISNUMBER(C761)),MAX(0,C761-B761),"")</f>
        <v/>
      </c>
      <c r="I761" s="37"/>
      <c r="J761" s="41" t="str">
        <f aca="false">IF(OR(D761="",N(H761)=0),"",IFERROR(IF(I761&lt;&gt;"",H761*I761,ROUND(((H761-(INT((WEEKDAY(B761-6)+H761-1)/7)+INT((WEEKDAY(B761-7)+H761-1)/7)))*INDEX(Properties!$E$5:$E$24,MATCH(D761,Properties!$A$5:$A$24,0))+(INT((WEEKDAY(B761-6)+H761-1)/7)+INT((WEEKDAY(B761-7)+H761-1)/7))*INDEX(Properties!$F$5:$F$24,MATCH(D761,Properties!$A$5:$A$24,0)))*(1-IF(H761&gt;=28,Settings!$B$10,IF(H761&gt;=7,Settings!$B$9,0))),2)),0))</f>
        <v/>
      </c>
      <c r="K761" s="41" t="str">
        <f aca="false">IF(J761="","",IFERROR(N(INDEX(Properties!$G$5:$G$24,MATCH(D761,Properties!$A$5:$A$24,0))),0))</f>
        <v/>
      </c>
      <c r="L761" s="41" t="str">
        <f aca="false">IF(J761="","",IFERROR(MAX(0,N(G761)-INDEX(Properties!$I$5:$I$24,MATCH(D761,Properties!$A$5:$A$24,0)))*N(INDEX(Properties!$J$5:$J$24,MATCH(D761,Properties!$A$5:$A$24,0)))*H761,0))</f>
        <v/>
      </c>
      <c r="M761" s="37"/>
      <c r="N761" s="41" t="str">
        <f aca="false">IF(J761="","",J761+K761+L761+N(M761))</f>
        <v/>
      </c>
      <c r="O761" s="41" t="str">
        <f aca="false">IF(N761="","",IF(P761&lt;&gt;"",N761-P761,ROUND(N761*IFERROR(INDEX(Settings!$E$5:$E$12,MATCH(F761,Settings!$D$5:$D$12,0)),0),2)))</f>
        <v/>
      </c>
      <c r="P761" s="37"/>
      <c r="Q761" s="41" t="str">
        <f aca="false">IF(N761="","",IF(P761&lt;&gt;"",P761,N761-O761))</f>
        <v/>
      </c>
      <c r="R761" s="41" t="str">
        <f aca="false">IF(J761="","",IFERROR(N(INDEX(Properties!$H$5:$H$24,MATCH(D761,Properties!$A$5:$A$24,0))),0))</f>
        <v/>
      </c>
      <c r="S761" s="41" t="str">
        <f aca="false">IF(Q761="","",Q761-R761)</f>
        <v/>
      </c>
      <c r="T761" s="6"/>
      <c r="U761" s="6"/>
      <c r="V761" s="6"/>
      <c r="W761" s="6"/>
      <c r="X761" s="6"/>
      <c r="Y761" s="8" t="str">
        <f aca="false">IF(OR(D761="",B761="",C761=""),"",IF(N(C761)&lt;=N(B761),"Check dates",IF(T761="Cancelled","",IF(COUNTIFS($D$5:$D$1004,D761,$B$5:$B$1004,"&lt;"&amp;C761,$C$5:$C$1004,"&gt;"&amp;B761,$T$5:$T$1004,"&lt;&gt;Cancelled")&gt;1,"Double-booked",""))))</f>
        <v/>
      </c>
      <c r="Z761" s="42" t="str">
        <f aca="false">IF(AND(AA761=1,ISNUMBER(C761)),C761+ROW()/100000,"")</f>
        <v/>
      </c>
      <c r="AA761" s="43" t="n">
        <f aca="false">IF(AND(D761&lt;&gt;"",ISNUMBER(B761),ISNUMBER(C761),N(H761)&gt;0,T761&lt;&gt;"Cancelled",J761&lt;&gt;""),1,0)</f>
        <v>0</v>
      </c>
      <c r="AB761" s="44" t="n">
        <f aca="false">IF(AA761=1,J761/H761,0)</f>
        <v>0</v>
      </c>
      <c r="AC761" s="44" t="n">
        <f aca="false">IF(AA761=1,Q761/H761,0)</f>
        <v>0</v>
      </c>
      <c r="AD761" s="44" t="n">
        <f aca="false">IF(AA761=1,R761/H761,0)</f>
        <v>0</v>
      </c>
      <c r="AE761" s="44" t="n">
        <f aca="false">IF(AA761=1,O761/H761,0)</f>
        <v>0</v>
      </c>
      <c r="AF761" s="44" t="n">
        <f aca="false">IF(AA761=1,K761/H761,0)</f>
        <v>0</v>
      </c>
      <c r="AG761" s="45" t="str">
        <f aca="false">IF(AA761=1,D761&amp;"|"&amp;TEXT(B761,"0"),"")</f>
        <v/>
      </c>
      <c r="AH761" s="43" t="n">
        <f aca="false">IF(AA761=1,H761,0)</f>
        <v>0</v>
      </c>
    </row>
    <row r="762" customFormat="false" ht="15" hidden="false" customHeight="false" outlineLevel="0" collapsed="false">
      <c r="A762" s="23" t="str">
        <f aca="false">IF(B762="","","B-"&amp;TEXT(ROW()-4,"0000"))</f>
        <v/>
      </c>
      <c r="B762" s="38"/>
      <c r="C762" s="38"/>
      <c r="D762" s="6"/>
      <c r="E762" s="6"/>
      <c r="F762" s="6"/>
      <c r="G762" s="11"/>
      <c r="H762" s="24" t="str">
        <f aca="false">IF(AND(ISNUMBER(B762),ISNUMBER(C762)),MAX(0,C762-B762),"")</f>
        <v/>
      </c>
      <c r="I762" s="37"/>
      <c r="J762" s="46" t="str">
        <f aca="false">IF(OR(D762="",N(H762)=0),"",IFERROR(IF(I762&lt;&gt;"",H762*I762,ROUND(((H762-(INT((WEEKDAY(B762-6)+H762-1)/7)+INT((WEEKDAY(B762-7)+H762-1)/7)))*INDEX(Properties!$E$5:$E$24,MATCH(D762,Properties!$A$5:$A$24,0))+(INT((WEEKDAY(B762-6)+H762-1)/7)+INT((WEEKDAY(B762-7)+H762-1)/7))*INDEX(Properties!$F$5:$F$24,MATCH(D762,Properties!$A$5:$A$24,0)))*(1-IF(H762&gt;=28,Settings!$B$10,IF(H762&gt;=7,Settings!$B$9,0))),2)),0))</f>
        <v/>
      </c>
      <c r="K762" s="46" t="str">
        <f aca="false">IF(J762="","",IFERROR(N(INDEX(Properties!$G$5:$G$24,MATCH(D762,Properties!$A$5:$A$24,0))),0))</f>
        <v/>
      </c>
      <c r="L762" s="46" t="str">
        <f aca="false">IF(J762="","",IFERROR(MAX(0,N(G762)-INDEX(Properties!$I$5:$I$24,MATCH(D762,Properties!$A$5:$A$24,0)))*N(INDEX(Properties!$J$5:$J$24,MATCH(D762,Properties!$A$5:$A$24,0)))*H762,0))</f>
        <v/>
      </c>
      <c r="M762" s="37"/>
      <c r="N762" s="46" t="str">
        <f aca="false">IF(J762="","",J762+K762+L762+N(M762))</f>
        <v/>
      </c>
      <c r="O762" s="46" t="str">
        <f aca="false">IF(N762="","",IF(P762&lt;&gt;"",N762-P762,ROUND(N762*IFERROR(INDEX(Settings!$E$5:$E$12,MATCH(F762,Settings!$D$5:$D$12,0)),0),2)))</f>
        <v/>
      </c>
      <c r="P762" s="37"/>
      <c r="Q762" s="46" t="str">
        <f aca="false">IF(N762="","",IF(P762&lt;&gt;"",P762,N762-O762))</f>
        <v/>
      </c>
      <c r="R762" s="46" t="str">
        <f aca="false">IF(J762="","",IFERROR(N(INDEX(Properties!$H$5:$H$24,MATCH(D762,Properties!$A$5:$A$24,0))),0))</f>
        <v/>
      </c>
      <c r="S762" s="46" t="str">
        <f aca="false">IF(Q762="","",Q762-R762)</f>
        <v/>
      </c>
      <c r="T762" s="6"/>
      <c r="U762" s="6"/>
      <c r="V762" s="6"/>
      <c r="W762" s="6"/>
      <c r="X762" s="6"/>
      <c r="Y762" s="8" t="str">
        <f aca="false">IF(OR(D762="",B762="",C762=""),"",IF(N(C762)&lt;=N(B762),"Check dates",IF(T762="Cancelled","",IF(COUNTIFS($D$5:$D$1004,D762,$B$5:$B$1004,"&lt;"&amp;C762,$C$5:$C$1004,"&gt;"&amp;B762,$T$5:$T$1004,"&lt;&gt;Cancelled")&gt;1,"Double-booked",""))))</f>
        <v/>
      </c>
      <c r="Z762" s="42" t="str">
        <f aca="false">IF(AND(AA762=1,ISNUMBER(C762)),C762+ROW()/100000,"")</f>
        <v/>
      </c>
      <c r="AA762" s="43" t="n">
        <f aca="false">IF(AND(D762&lt;&gt;"",ISNUMBER(B762),ISNUMBER(C762),N(H762)&gt;0,T762&lt;&gt;"Cancelled",J762&lt;&gt;""),1,0)</f>
        <v>0</v>
      </c>
      <c r="AB762" s="44" t="n">
        <f aca="false">IF(AA762=1,J762/H762,0)</f>
        <v>0</v>
      </c>
      <c r="AC762" s="44" t="n">
        <f aca="false">IF(AA762=1,Q762/H762,0)</f>
        <v>0</v>
      </c>
      <c r="AD762" s="44" t="n">
        <f aca="false">IF(AA762=1,R762/H762,0)</f>
        <v>0</v>
      </c>
      <c r="AE762" s="44" t="n">
        <f aca="false">IF(AA762=1,O762/H762,0)</f>
        <v>0</v>
      </c>
      <c r="AF762" s="44" t="n">
        <f aca="false">IF(AA762=1,K762/H762,0)</f>
        <v>0</v>
      </c>
      <c r="AG762" s="45" t="str">
        <f aca="false">IF(AA762=1,D762&amp;"|"&amp;TEXT(B762,"0"),"")</f>
        <v/>
      </c>
      <c r="AH762" s="43" t="n">
        <f aca="false">IF(AA762=1,H762,0)</f>
        <v>0</v>
      </c>
    </row>
    <row r="763" customFormat="false" ht="15" hidden="false" customHeight="false" outlineLevel="0" collapsed="false">
      <c r="A763" s="8" t="str">
        <f aca="false">IF(B763="","","B-"&amp;TEXT(ROW()-4,"0000"))</f>
        <v/>
      </c>
      <c r="B763" s="38"/>
      <c r="C763" s="38"/>
      <c r="D763" s="6"/>
      <c r="E763" s="6"/>
      <c r="F763" s="6"/>
      <c r="G763" s="11"/>
      <c r="H763" s="18" t="str">
        <f aca="false">IF(AND(ISNUMBER(B763),ISNUMBER(C763)),MAX(0,C763-B763),"")</f>
        <v/>
      </c>
      <c r="I763" s="37"/>
      <c r="J763" s="41" t="str">
        <f aca="false">IF(OR(D763="",N(H763)=0),"",IFERROR(IF(I763&lt;&gt;"",H763*I763,ROUND(((H763-(INT((WEEKDAY(B763-6)+H763-1)/7)+INT((WEEKDAY(B763-7)+H763-1)/7)))*INDEX(Properties!$E$5:$E$24,MATCH(D763,Properties!$A$5:$A$24,0))+(INT((WEEKDAY(B763-6)+H763-1)/7)+INT((WEEKDAY(B763-7)+H763-1)/7))*INDEX(Properties!$F$5:$F$24,MATCH(D763,Properties!$A$5:$A$24,0)))*(1-IF(H763&gt;=28,Settings!$B$10,IF(H763&gt;=7,Settings!$B$9,0))),2)),0))</f>
        <v/>
      </c>
      <c r="K763" s="41" t="str">
        <f aca="false">IF(J763="","",IFERROR(N(INDEX(Properties!$G$5:$G$24,MATCH(D763,Properties!$A$5:$A$24,0))),0))</f>
        <v/>
      </c>
      <c r="L763" s="41" t="str">
        <f aca="false">IF(J763="","",IFERROR(MAX(0,N(G763)-INDEX(Properties!$I$5:$I$24,MATCH(D763,Properties!$A$5:$A$24,0)))*N(INDEX(Properties!$J$5:$J$24,MATCH(D763,Properties!$A$5:$A$24,0)))*H763,0))</f>
        <v/>
      </c>
      <c r="M763" s="37"/>
      <c r="N763" s="41" t="str">
        <f aca="false">IF(J763="","",J763+K763+L763+N(M763))</f>
        <v/>
      </c>
      <c r="O763" s="41" t="str">
        <f aca="false">IF(N763="","",IF(P763&lt;&gt;"",N763-P763,ROUND(N763*IFERROR(INDEX(Settings!$E$5:$E$12,MATCH(F763,Settings!$D$5:$D$12,0)),0),2)))</f>
        <v/>
      </c>
      <c r="P763" s="37"/>
      <c r="Q763" s="41" t="str">
        <f aca="false">IF(N763="","",IF(P763&lt;&gt;"",P763,N763-O763))</f>
        <v/>
      </c>
      <c r="R763" s="41" t="str">
        <f aca="false">IF(J763="","",IFERROR(N(INDEX(Properties!$H$5:$H$24,MATCH(D763,Properties!$A$5:$A$24,0))),0))</f>
        <v/>
      </c>
      <c r="S763" s="41" t="str">
        <f aca="false">IF(Q763="","",Q763-R763)</f>
        <v/>
      </c>
      <c r="T763" s="6"/>
      <c r="U763" s="6"/>
      <c r="V763" s="6"/>
      <c r="W763" s="6"/>
      <c r="X763" s="6"/>
      <c r="Y763" s="8" t="str">
        <f aca="false">IF(OR(D763="",B763="",C763=""),"",IF(N(C763)&lt;=N(B763),"Check dates",IF(T763="Cancelled","",IF(COUNTIFS($D$5:$D$1004,D763,$B$5:$B$1004,"&lt;"&amp;C763,$C$5:$C$1004,"&gt;"&amp;B763,$T$5:$T$1004,"&lt;&gt;Cancelled")&gt;1,"Double-booked",""))))</f>
        <v/>
      </c>
      <c r="Z763" s="42" t="str">
        <f aca="false">IF(AND(AA763=1,ISNUMBER(C763)),C763+ROW()/100000,"")</f>
        <v/>
      </c>
      <c r="AA763" s="43" t="n">
        <f aca="false">IF(AND(D763&lt;&gt;"",ISNUMBER(B763),ISNUMBER(C763),N(H763)&gt;0,T763&lt;&gt;"Cancelled",J763&lt;&gt;""),1,0)</f>
        <v>0</v>
      </c>
      <c r="AB763" s="44" t="n">
        <f aca="false">IF(AA763=1,J763/H763,0)</f>
        <v>0</v>
      </c>
      <c r="AC763" s="44" t="n">
        <f aca="false">IF(AA763=1,Q763/H763,0)</f>
        <v>0</v>
      </c>
      <c r="AD763" s="44" t="n">
        <f aca="false">IF(AA763=1,R763/H763,0)</f>
        <v>0</v>
      </c>
      <c r="AE763" s="44" t="n">
        <f aca="false">IF(AA763=1,O763/H763,0)</f>
        <v>0</v>
      </c>
      <c r="AF763" s="44" t="n">
        <f aca="false">IF(AA763=1,K763/H763,0)</f>
        <v>0</v>
      </c>
      <c r="AG763" s="45" t="str">
        <f aca="false">IF(AA763=1,D763&amp;"|"&amp;TEXT(B763,"0"),"")</f>
        <v/>
      </c>
      <c r="AH763" s="43" t="n">
        <f aca="false">IF(AA763=1,H763,0)</f>
        <v>0</v>
      </c>
    </row>
    <row r="764" customFormat="false" ht="15" hidden="false" customHeight="false" outlineLevel="0" collapsed="false">
      <c r="A764" s="23" t="str">
        <f aca="false">IF(B764="","","B-"&amp;TEXT(ROW()-4,"0000"))</f>
        <v/>
      </c>
      <c r="B764" s="38"/>
      <c r="C764" s="38"/>
      <c r="D764" s="6"/>
      <c r="E764" s="6"/>
      <c r="F764" s="6"/>
      <c r="G764" s="11"/>
      <c r="H764" s="24" t="str">
        <f aca="false">IF(AND(ISNUMBER(B764),ISNUMBER(C764)),MAX(0,C764-B764),"")</f>
        <v/>
      </c>
      <c r="I764" s="37"/>
      <c r="J764" s="46" t="str">
        <f aca="false">IF(OR(D764="",N(H764)=0),"",IFERROR(IF(I764&lt;&gt;"",H764*I764,ROUND(((H764-(INT((WEEKDAY(B764-6)+H764-1)/7)+INT((WEEKDAY(B764-7)+H764-1)/7)))*INDEX(Properties!$E$5:$E$24,MATCH(D764,Properties!$A$5:$A$24,0))+(INT((WEEKDAY(B764-6)+H764-1)/7)+INT((WEEKDAY(B764-7)+H764-1)/7))*INDEX(Properties!$F$5:$F$24,MATCH(D764,Properties!$A$5:$A$24,0)))*(1-IF(H764&gt;=28,Settings!$B$10,IF(H764&gt;=7,Settings!$B$9,0))),2)),0))</f>
        <v/>
      </c>
      <c r="K764" s="46" t="str">
        <f aca="false">IF(J764="","",IFERROR(N(INDEX(Properties!$G$5:$G$24,MATCH(D764,Properties!$A$5:$A$24,0))),0))</f>
        <v/>
      </c>
      <c r="L764" s="46" t="str">
        <f aca="false">IF(J764="","",IFERROR(MAX(0,N(G764)-INDEX(Properties!$I$5:$I$24,MATCH(D764,Properties!$A$5:$A$24,0)))*N(INDEX(Properties!$J$5:$J$24,MATCH(D764,Properties!$A$5:$A$24,0)))*H764,0))</f>
        <v/>
      </c>
      <c r="M764" s="37"/>
      <c r="N764" s="46" t="str">
        <f aca="false">IF(J764="","",J764+K764+L764+N(M764))</f>
        <v/>
      </c>
      <c r="O764" s="46" t="str">
        <f aca="false">IF(N764="","",IF(P764&lt;&gt;"",N764-P764,ROUND(N764*IFERROR(INDEX(Settings!$E$5:$E$12,MATCH(F764,Settings!$D$5:$D$12,0)),0),2)))</f>
        <v/>
      </c>
      <c r="P764" s="37"/>
      <c r="Q764" s="46" t="str">
        <f aca="false">IF(N764="","",IF(P764&lt;&gt;"",P764,N764-O764))</f>
        <v/>
      </c>
      <c r="R764" s="46" t="str">
        <f aca="false">IF(J764="","",IFERROR(N(INDEX(Properties!$H$5:$H$24,MATCH(D764,Properties!$A$5:$A$24,0))),0))</f>
        <v/>
      </c>
      <c r="S764" s="46" t="str">
        <f aca="false">IF(Q764="","",Q764-R764)</f>
        <v/>
      </c>
      <c r="T764" s="6"/>
      <c r="U764" s="6"/>
      <c r="V764" s="6"/>
      <c r="W764" s="6"/>
      <c r="X764" s="6"/>
      <c r="Y764" s="8" t="str">
        <f aca="false">IF(OR(D764="",B764="",C764=""),"",IF(N(C764)&lt;=N(B764),"Check dates",IF(T764="Cancelled","",IF(COUNTIFS($D$5:$D$1004,D764,$B$5:$B$1004,"&lt;"&amp;C764,$C$5:$C$1004,"&gt;"&amp;B764,$T$5:$T$1004,"&lt;&gt;Cancelled")&gt;1,"Double-booked",""))))</f>
        <v/>
      </c>
      <c r="Z764" s="42" t="str">
        <f aca="false">IF(AND(AA764=1,ISNUMBER(C764)),C764+ROW()/100000,"")</f>
        <v/>
      </c>
      <c r="AA764" s="43" t="n">
        <f aca="false">IF(AND(D764&lt;&gt;"",ISNUMBER(B764),ISNUMBER(C764),N(H764)&gt;0,T764&lt;&gt;"Cancelled",J764&lt;&gt;""),1,0)</f>
        <v>0</v>
      </c>
      <c r="AB764" s="44" t="n">
        <f aca="false">IF(AA764=1,J764/H764,0)</f>
        <v>0</v>
      </c>
      <c r="AC764" s="44" t="n">
        <f aca="false">IF(AA764=1,Q764/H764,0)</f>
        <v>0</v>
      </c>
      <c r="AD764" s="44" t="n">
        <f aca="false">IF(AA764=1,R764/H764,0)</f>
        <v>0</v>
      </c>
      <c r="AE764" s="44" t="n">
        <f aca="false">IF(AA764=1,O764/H764,0)</f>
        <v>0</v>
      </c>
      <c r="AF764" s="44" t="n">
        <f aca="false">IF(AA764=1,K764/H764,0)</f>
        <v>0</v>
      </c>
      <c r="AG764" s="45" t="str">
        <f aca="false">IF(AA764=1,D764&amp;"|"&amp;TEXT(B764,"0"),"")</f>
        <v/>
      </c>
      <c r="AH764" s="43" t="n">
        <f aca="false">IF(AA764=1,H764,0)</f>
        <v>0</v>
      </c>
    </row>
    <row r="765" customFormat="false" ht="15" hidden="false" customHeight="false" outlineLevel="0" collapsed="false">
      <c r="A765" s="8" t="str">
        <f aca="false">IF(B765="","","B-"&amp;TEXT(ROW()-4,"0000"))</f>
        <v/>
      </c>
      <c r="B765" s="38"/>
      <c r="C765" s="38"/>
      <c r="D765" s="6"/>
      <c r="E765" s="6"/>
      <c r="F765" s="6"/>
      <c r="G765" s="11"/>
      <c r="H765" s="18" t="str">
        <f aca="false">IF(AND(ISNUMBER(B765),ISNUMBER(C765)),MAX(0,C765-B765),"")</f>
        <v/>
      </c>
      <c r="I765" s="37"/>
      <c r="J765" s="41" t="str">
        <f aca="false">IF(OR(D765="",N(H765)=0),"",IFERROR(IF(I765&lt;&gt;"",H765*I765,ROUND(((H765-(INT((WEEKDAY(B765-6)+H765-1)/7)+INT((WEEKDAY(B765-7)+H765-1)/7)))*INDEX(Properties!$E$5:$E$24,MATCH(D765,Properties!$A$5:$A$24,0))+(INT((WEEKDAY(B765-6)+H765-1)/7)+INT((WEEKDAY(B765-7)+H765-1)/7))*INDEX(Properties!$F$5:$F$24,MATCH(D765,Properties!$A$5:$A$24,0)))*(1-IF(H765&gt;=28,Settings!$B$10,IF(H765&gt;=7,Settings!$B$9,0))),2)),0))</f>
        <v/>
      </c>
      <c r="K765" s="41" t="str">
        <f aca="false">IF(J765="","",IFERROR(N(INDEX(Properties!$G$5:$G$24,MATCH(D765,Properties!$A$5:$A$24,0))),0))</f>
        <v/>
      </c>
      <c r="L765" s="41" t="str">
        <f aca="false">IF(J765="","",IFERROR(MAX(0,N(G765)-INDEX(Properties!$I$5:$I$24,MATCH(D765,Properties!$A$5:$A$24,0)))*N(INDEX(Properties!$J$5:$J$24,MATCH(D765,Properties!$A$5:$A$24,0)))*H765,0))</f>
        <v/>
      </c>
      <c r="M765" s="37"/>
      <c r="N765" s="41" t="str">
        <f aca="false">IF(J765="","",J765+K765+L765+N(M765))</f>
        <v/>
      </c>
      <c r="O765" s="41" t="str">
        <f aca="false">IF(N765="","",IF(P765&lt;&gt;"",N765-P765,ROUND(N765*IFERROR(INDEX(Settings!$E$5:$E$12,MATCH(F765,Settings!$D$5:$D$12,0)),0),2)))</f>
        <v/>
      </c>
      <c r="P765" s="37"/>
      <c r="Q765" s="41" t="str">
        <f aca="false">IF(N765="","",IF(P765&lt;&gt;"",P765,N765-O765))</f>
        <v/>
      </c>
      <c r="R765" s="41" t="str">
        <f aca="false">IF(J765="","",IFERROR(N(INDEX(Properties!$H$5:$H$24,MATCH(D765,Properties!$A$5:$A$24,0))),0))</f>
        <v/>
      </c>
      <c r="S765" s="41" t="str">
        <f aca="false">IF(Q765="","",Q765-R765)</f>
        <v/>
      </c>
      <c r="T765" s="6"/>
      <c r="U765" s="6"/>
      <c r="V765" s="6"/>
      <c r="W765" s="6"/>
      <c r="X765" s="6"/>
      <c r="Y765" s="8" t="str">
        <f aca="false">IF(OR(D765="",B765="",C765=""),"",IF(N(C765)&lt;=N(B765),"Check dates",IF(T765="Cancelled","",IF(COUNTIFS($D$5:$D$1004,D765,$B$5:$B$1004,"&lt;"&amp;C765,$C$5:$C$1004,"&gt;"&amp;B765,$T$5:$T$1004,"&lt;&gt;Cancelled")&gt;1,"Double-booked",""))))</f>
        <v/>
      </c>
      <c r="Z765" s="42" t="str">
        <f aca="false">IF(AND(AA765=1,ISNUMBER(C765)),C765+ROW()/100000,"")</f>
        <v/>
      </c>
      <c r="AA765" s="43" t="n">
        <f aca="false">IF(AND(D765&lt;&gt;"",ISNUMBER(B765),ISNUMBER(C765),N(H765)&gt;0,T765&lt;&gt;"Cancelled",J765&lt;&gt;""),1,0)</f>
        <v>0</v>
      </c>
      <c r="AB765" s="44" t="n">
        <f aca="false">IF(AA765=1,J765/H765,0)</f>
        <v>0</v>
      </c>
      <c r="AC765" s="44" t="n">
        <f aca="false">IF(AA765=1,Q765/H765,0)</f>
        <v>0</v>
      </c>
      <c r="AD765" s="44" t="n">
        <f aca="false">IF(AA765=1,R765/H765,0)</f>
        <v>0</v>
      </c>
      <c r="AE765" s="44" t="n">
        <f aca="false">IF(AA765=1,O765/H765,0)</f>
        <v>0</v>
      </c>
      <c r="AF765" s="44" t="n">
        <f aca="false">IF(AA765=1,K765/H765,0)</f>
        <v>0</v>
      </c>
      <c r="AG765" s="45" t="str">
        <f aca="false">IF(AA765=1,D765&amp;"|"&amp;TEXT(B765,"0"),"")</f>
        <v/>
      </c>
      <c r="AH765" s="43" t="n">
        <f aca="false">IF(AA765=1,H765,0)</f>
        <v>0</v>
      </c>
    </row>
    <row r="766" customFormat="false" ht="15" hidden="false" customHeight="false" outlineLevel="0" collapsed="false">
      <c r="A766" s="23" t="str">
        <f aca="false">IF(B766="","","B-"&amp;TEXT(ROW()-4,"0000"))</f>
        <v/>
      </c>
      <c r="B766" s="38"/>
      <c r="C766" s="38"/>
      <c r="D766" s="6"/>
      <c r="E766" s="6"/>
      <c r="F766" s="6"/>
      <c r="G766" s="11"/>
      <c r="H766" s="24" t="str">
        <f aca="false">IF(AND(ISNUMBER(B766),ISNUMBER(C766)),MAX(0,C766-B766),"")</f>
        <v/>
      </c>
      <c r="I766" s="37"/>
      <c r="J766" s="46" t="str">
        <f aca="false">IF(OR(D766="",N(H766)=0),"",IFERROR(IF(I766&lt;&gt;"",H766*I766,ROUND(((H766-(INT((WEEKDAY(B766-6)+H766-1)/7)+INT((WEEKDAY(B766-7)+H766-1)/7)))*INDEX(Properties!$E$5:$E$24,MATCH(D766,Properties!$A$5:$A$24,0))+(INT((WEEKDAY(B766-6)+H766-1)/7)+INT((WEEKDAY(B766-7)+H766-1)/7))*INDEX(Properties!$F$5:$F$24,MATCH(D766,Properties!$A$5:$A$24,0)))*(1-IF(H766&gt;=28,Settings!$B$10,IF(H766&gt;=7,Settings!$B$9,0))),2)),0))</f>
        <v/>
      </c>
      <c r="K766" s="46" t="str">
        <f aca="false">IF(J766="","",IFERROR(N(INDEX(Properties!$G$5:$G$24,MATCH(D766,Properties!$A$5:$A$24,0))),0))</f>
        <v/>
      </c>
      <c r="L766" s="46" t="str">
        <f aca="false">IF(J766="","",IFERROR(MAX(0,N(G766)-INDEX(Properties!$I$5:$I$24,MATCH(D766,Properties!$A$5:$A$24,0)))*N(INDEX(Properties!$J$5:$J$24,MATCH(D766,Properties!$A$5:$A$24,0)))*H766,0))</f>
        <v/>
      </c>
      <c r="M766" s="37"/>
      <c r="N766" s="46" t="str">
        <f aca="false">IF(J766="","",J766+K766+L766+N(M766))</f>
        <v/>
      </c>
      <c r="O766" s="46" t="str">
        <f aca="false">IF(N766="","",IF(P766&lt;&gt;"",N766-P766,ROUND(N766*IFERROR(INDEX(Settings!$E$5:$E$12,MATCH(F766,Settings!$D$5:$D$12,0)),0),2)))</f>
        <v/>
      </c>
      <c r="P766" s="37"/>
      <c r="Q766" s="46" t="str">
        <f aca="false">IF(N766="","",IF(P766&lt;&gt;"",P766,N766-O766))</f>
        <v/>
      </c>
      <c r="R766" s="46" t="str">
        <f aca="false">IF(J766="","",IFERROR(N(INDEX(Properties!$H$5:$H$24,MATCH(D766,Properties!$A$5:$A$24,0))),0))</f>
        <v/>
      </c>
      <c r="S766" s="46" t="str">
        <f aca="false">IF(Q766="","",Q766-R766)</f>
        <v/>
      </c>
      <c r="T766" s="6"/>
      <c r="U766" s="6"/>
      <c r="V766" s="6"/>
      <c r="W766" s="6"/>
      <c r="X766" s="6"/>
      <c r="Y766" s="8" t="str">
        <f aca="false">IF(OR(D766="",B766="",C766=""),"",IF(N(C766)&lt;=N(B766),"Check dates",IF(T766="Cancelled","",IF(COUNTIFS($D$5:$D$1004,D766,$B$5:$B$1004,"&lt;"&amp;C766,$C$5:$C$1004,"&gt;"&amp;B766,$T$5:$T$1004,"&lt;&gt;Cancelled")&gt;1,"Double-booked",""))))</f>
        <v/>
      </c>
      <c r="Z766" s="42" t="str">
        <f aca="false">IF(AND(AA766=1,ISNUMBER(C766)),C766+ROW()/100000,"")</f>
        <v/>
      </c>
      <c r="AA766" s="43" t="n">
        <f aca="false">IF(AND(D766&lt;&gt;"",ISNUMBER(B766),ISNUMBER(C766),N(H766)&gt;0,T766&lt;&gt;"Cancelled",J766&lt;&gt;""),1,0)</f>
        <v>0</v>
      </c>
      <c r="AB766" s="44" t="n">
        <f aca="false">IF(AA766=1,J766/H766,0)</f>
        <v>0</v>
      </c>
      <c r="AC766" s="44" t="n">
        <f aca="false">IF(AA766=1,Q766/H766,0)</f>
        <v>0</v>
      </c>
      <c r="AD766" s="44" t="n">
        <f aca="false">IF(AA766=1,R766/H766,0)</f>
        <v>0</v>
      </c>
      <c r="AE766" s="44" t="n">
        <f aca="false">IF(AA766=1,O766/H766,0)</f>
        <v>0</v>
      </c>
      <c r="AF766" s="44" t="n">
        <f aca="false">IF(AA766=1,K766/H766,0)</f>
        <v>0</v>
      </c>
      <c r="AG766" s="45" t="str">
        <f aca="false">IF(AA766=1,D766&amp;"|"&amp;TEXT(B766,"0"),"")</f>
        <v/>
      </c>
      <c r="AH766" s="43" t="n">
        <f aca="false">IF(AA766=1,H766,0)</f>
        <v>0</v>
      </c>
    </row>
    <row r="767" customFormat="false" ht="15" hidden="false" customHeight="false" outlineLevel="0" collapsed="false">
      <c r="A767" s="8" t="str">
        <f aca="false">IF(B767="","","B-"&amp;TEXT(ROW()-4,"0000"))</f>
        <v/>
      </c>
      <c r="B767" s="38"/>
      <c r="C767" s="38"/>
      <c r="D767" s="6"/>
      <c r="E767" s="6"/>
      <c r="F767" s="6"/>
      <c r="G767" s="11"/>
      <c r="H767" s="18" t="str">
        <f aca="false">IF(AND(ISNUMBER(B767),ISNUMBER(C767)),MAX(0,C767-B767),"")</f>
        <v/>
      </c>
      <c r="I767" s="37"/>
      <c r="J767" s="41" t="str">
        <f aca="false">IF(OR(D767="",N(H767)=0),"",IFERROR(IF(I767&lt;&gt;"",H767*I767,ROUND(((H767-(INT((WEEKDAY(B767-6)+H767-1)/7)+INT((WEEKDAY(B767-7)+H767-1)/7)))*INDEX(Properties!$E$5:$E$24,MATCH(D767,Properties!$A$5:$A$24,0))+(INT((WEEKDAY(B767-6)+H767-1)/7)+INT((WEEKDAY(B767-7)+H767-1)/7))*INDEX(Properties!$F$5:$F$24,MATCH(D767,Properties!$A$5:$A$24,0)))*(1-IF(H767&gt;=28,Settings!$B$10,IF(H767&gt;=7,Settings!$B$9,0))),2)),0))</f>
        <v/>
      </c>
      <c r="K767" s="41" t="str">
        <f aca="false">IF(J767="","",IFERROR(N(INDEX(Properties!$G$5:$G$24,MATCH(D767,Properties!$A$5:$A$24,0))),0))</f>
        <v/>
      </c>
      <c r="L767" s="41" t="str">
        <f aca="false">IF(J767="","",IFERROR(MAX(0,N(G767)-INDEX(Properties!$I$5:$I$24,MATCH(D767,Properties!$A$5:$A$24,0)))*N(INDEX(Properties!$J$5:$J$24,MATCH(D767,Properties!$A$5:$A$24,0)))*H767,0))</f>
        <v/>
      </c>
      <c r="M767" s="37"/>
      <c r="N767" s="41" t="str">
        <f aca="false">IF(J767="","",J767+K767+L767+N(M767))</f>
        <v/>
      </c>
      <c r="O767" s="41" t="str">
        <f aca="false">IF(N767="","",IF(P767&lt;&gt;"",N767-P767,ROUND(N767*IFERROR(INDEX(Settings!$E$5:$E$12,MATCH(F767,Settings!$D$5:$D$12,0)),0),2)))</f>
        <v/>
      </c>
      <c r="P767" s="37"/>
      <c r="Q767" s="41" t="str">
        <f aca="false">IF(N767="","",IF(P767&lt;&gt;"",P767,N767-O767))</f>
        <v/>
      </c>
      <c r="R767" s="41" t="str">
        <f aca="false">IF(J767="","",IFERROR(N(INDEX(Properties!$H$5:$H$24,MATCH(D767,Properties!$A$5:$A$24,0))),0))</f>
        <v/>
      </c>
      <c r="S767" s="41" t="str">
        <f aca="false">IF(Q767="","",Q767-R767)</f>
        <v/>
      </c>
      <c r="T767" s="6"/>
      <c r="U767" s="6"/>
      <c r="V767" s="6"/>
      <c r="W767" s="6"/>
      <c r="X767" s="6"/>
      <c r="Y767" s="8" t="str">
        <f aca="false">IF(OR(D767="",B767="",C767=""),"",IF(N(C767)&lt;=N(B767),"Check dates",IF(T767="Cancelled","",IF(COUNTIFS($D$5:$D$1004,D767,$B$5:$B$1004,"&lt;"&amp;C767,$C$5:$C$1004,"&gt;"&amp;B767,$T$5:$T$1004,"&lt;&gt;Cancelled")&gt;1,"Double-booked",""))))</f>
        <v/>
      </c>
      <c r="Z767" s="42" t="str">
        <f aca="false">IF(AND(AA767=1,ISNUMBER(C767)),C767+ROW()/100000,"")</f>
        <v/>
      </c>
      <c r="AA767" s="43" t="n">
        <f aca="false">IF(AND(D767&lt;&gt;"",ISNUMBER(B767),ISNUMBER(C767),N(H767)&gt;0,T767&lt;&gt;"Cancelled",J767&lt;&gt;""),1,0)</f>
        <v>0</v>
      </c>
      <c r="AB767" s="44" t="n">
        <f aca="false">IF(AA767=1,J767/H767,0)</f>
        <v>0</v>
      </c>
      <c r="AC767" s="44" t="n">
        <f aca="false">IF(AA767=1,Q767/H767,0)</f>
        <v>0</v>
      </c>
      <c r="AD767" s="44" t="n">
        <f aca="false">IF(AA767=1,R767/H767,0)</f>
        <v>0</v>
      </c>
      <c r="AE767" s="44" t="n">
        <f aca="false">IF(AA767=1,O767/H767,0)</f>
        <v>0</v>
      </c>
      <c r="AF767" s="44" t="n">
        <f aca="false">IF(AA767=1,K767/H767,0)</f>
        <v>0</v>
      </c>
      <c r="AG767" s="45" t="str">
        <f aca="false">IF(AA767=1,D767&amp;"|"&amp;TEXT(B767,"0"),"")</f>
        <v/>
      </c>
      <c r="AH767" s="43" t="n">
        <f aca="false">IF(AA767=1,H767,0)</f>
        <v>0</v>
      </c>
    </row>
    <row r="768" customFormat="false" ht="15" hidden="false" customHeight="false" outlineLevel="0" collapsed="false">
      <c r="A768" s="23" t="str">
        <f aca="false">IF(B768="","","B-"&amp;TEXT(ROW()-4,"0000"))</f>
        <v/>
      </c>
      <c r="B768" s="38"/>
      <c r="C768" s="38"/>
      <c r="D768" s="6"/>
      <c r="E768" s="6"/>
      <c r="F768" s="6"/>
      <c r="G768" s="11"/>
      <c r="H768" s="24" t="str">
        <f aca="false">IF(AND(ISNUMBER(B768),ISNUMBER(C768)),MAX(0,C768-B768),"")</f>
        <v/>
      </c>
      <c r="I768" s="37"/>
      <c r="J768" s="46" t="str">
        <f aca="false">IF(OR(D768="",N(H768)=0),"",IFERROR(IF(I768&lt;&gt;"",H768*I768,ROUND(((H768-(INT((WEEKDAY(B768-6)+H768-1)/7)+INT((WEEKDAY(B768-7)+H768-1)/7)))*INDEX(Properties!$E$5:$E$24,MATCH(D768,Properties!$A$5:$A$24,0))+(INT((WEEKDAY(B768-6)+H768-1)/7)+INT((WEEKDAY(B768-7)+H768-1)/7))*INDEX(Properties!$F$5:$F$24,MATCH(D768,Properties!$A$5:$A$24,0)))*(1-IF(H768&gt;=28,Settings!$B$10,IF(H768&gt;=7,Settings!$B$9,0))),2)),0))</f>
        <v/>
      </c>
      <c r="K768" s="46" t="str">
        <f aca="false">IF(J768="","",IFERROR(N(INDEX(Properties!$G$5:$G$24,MATCH(D768,Properties!$A$5:$A$24,0))),0))</f>
        <v/>
      </c>
      <c r="L768" s="46" t="str">
        <f aca="false">IF(J768="","",IFERROR(MAX(0,N(G768)-INDEX(Properties!$I$5:$I$24,MATCH(D768,Properties!$A$5:$A$24,0)))*N(INDEX(Properties!$J$5:$J$24,MATCH(D768,Properties!$A$5:$A$24,0)))*H768,0))</f>
        <v/>
      </c>
      <c r="M768" s="37"/>
      <c r="N768" s="46" t="str">
        <f aca="false">IF(J768="","",J768+K768+L768+N(M768))</f>
        <v/>
      </c>
      <c r="O768" s="46" t="str">
        <f aca="false">IF(N768="","",IF(P768&lt;&gt;"",N768-P768,ROUND(N768*IFERROR(INDEX(Settings!$E$5:$E$12,MATCH(F768,Settings!$D$5:$D$12,0)),0),2)))</f>
        <v/>
      </c>
      <c r="P768" s="37"/>
      <c r="Q768" s="46" t="str">
        <f aca="false">IF(N768="","",IF(P768&lt;&gt;"",P768,N768-O768))</f>
        <v/>
      </c>
      <c r="R768" s="46" t="str">
        <f aca="false">IF(J768="","",IFERROR(N(INDEX(Properties!$H$5:$H$24,MATCH(D768,Properties!$A$5:$A$24,0))),0))</f>
        <v/>
      </c>
      <c r="S768" s="46" t="str">
        <f aca="false">IF(Q768="","",Q768-R768)</f>
        <v/>
      </c>
      <c r="T768" s="6"/>
      <c r="U768" s="6"/>
      <c r="V768" s="6"/>
      <c r="W768" s="6"/>
      <c r="X768" s="6"/>
      <c r="Y768" s="8" t="str">
        <f aca="false">IF(OR(D768="",B768="",C768=""),"",IF(N(C768)&lt;=N(B768),"Check dates",IF(T768="Cancelled","",IF(COUNTIFS($D$5:$D$1004,D768,$B$5:$B$1004,"&lt;"&amp;C768,$C$5:$C$1004,"&gt;"&amp;B768,$T$5:$T$1004,"&lt;&gt;Cancelled")&gt;1,"Double-booked",""))))</f>
        <v/>
      </c>
      <c r="Z768" s="42" t="str">
        <f aca="false">IF(AND(AA768=1,ISNUMBER(C768)),C768+ROW()/100000,"")</f>
        <v/>
      </c>
      <c r="AA768" s="43" t="n">
        <f aca="false">IF(AND(D768&lt;&gt;"",ISNUMBER(B768),ISNUMBER(C768),N(H768)&gt;0,T768&lt;&gt;"Cancelled",J768&lt;&gt;""),1,0)</f>
        <v>0</v>
      </c>
      <c r="AB768" s="44" t="n">
        <f aca="false">IF(AA768=1,J768/H768,0)</f>
        <v>0</v>
      </c>
      <c r="AC768" s="44" t="n">
        <f aca="false">IF(AA768=1,Q768/H768,0)</f>
        <v>0</v>
      </c>
      <c r="AD768" s="44" t="n">
        <f aca="false">IF(AA768=1,R768/H768,0)</f>
        <v>0</v>
      </c>
      <c r="AE768" s="44" t="n">
        <f aca="false">IF(AA768=1,O768/H768,0)</f>
        <v>0</v>
      </c>
      <c r="AF768" s="44" t="n">
        <f aca="false">IF(AA768=1,K768/H768,0)</f>
        <v>0</v>
      </c>
      <c r="AG768" s="45" t="str">
        <f aca="false">IF(AA768=1,D768&amp;"|"&amp;TEXT(B768,"0"),"")</f>
        <v/>
      </c>
      <c r="AH768" s="43" t="n">
        <f aca="false">IF(AA768=1,H768,0)</f>
        <v>0</v>
      </c>
    </row>
    <row r="769" customFormat="false" ht="15" hidden="false" customHeight="false" outlineLevel="0" collapsed="false">
      <c r="A769" s="8" t="str">
        <f aca="false">IF(B769="","","B-"&amp;TEXT(ROW()-4,"0000"))</f>
        <v/>
      </c>
      <c r="B769" s="38"/>
      <c r="C769" s="38"/>
      <c r="D769" s="6"/>
      <c r="E769" s="6"/>
      <c r="F769" s="6"/>
      <c r="G769" s="11"/>
      <c r="H769" s="18" t="str">
        <f aca="false">IF(AND(ISNUMBER(B769),ISNUMBER(C769)),MAX(0,C769-B769),"")</f>
        <v/>
      </c>
      <c r="I769" s="37"/>
      <c r="J769" s="41" t="str">
        <f aca="false">IF(OR(D769="",N(H769)=0),"",IFERROR(IF(I769&lt;&gt;"",H769*I769,ROUND(((H769-(INT((WEEKDAY(B769-6)+H769-1)/7)+INT((WEEKDAY(B769-7)+H769-1)/7)))*INDEX(Properties!$E$5:$E$24,MATCH(D769,Properties!$A$5:$A$24,0))+(INT((WEEKDAY(B769-6)+H769-1)/7)+INT((WEEKDAY(B769-7)+H769-1)/7))*INDEX(Properties!$F$5:$F$24,MATCH(D769,Properties!$A$5:$A$24,0)))*(1-IF(H769&gt;=28,Settings!$B$10,IF(H769&gt;=7,Settings!$B$9,0))),2)),0))</f>
        <v/>
      </c>
      <c r="K769" s="41" t="str">
        <f aca="false">IF(J769="","",IFERROR(N(INDEX(Properties!$G$5:$G$24,MATCH(D769,Properties!$A$5:$A$24,0))),0))</f>
        <v/>
      </c>
      <c r="L769" s="41" t="str">
        <f aca="false">IF(J769="","",IFERROR(MAX(0,N(G769)-INDEX(Properties!$I$5:$I$24,MATCH(D769,Properties!$A$5:$A$24,0)))*N(INDEX(Properties!$J$5:$J$24,MATCH(D769,Properties!$A$5:$A$24,0)))*H769,0))</f>
        <v/>
      </c>
      <c r="M769" s="37"/>
      <c r="N769" s="41" t="str">
        <f aca="false">IF(J769="","",J769+K769+L769+N(M769))</f>
        <v/>
      </c>
      <c r="O769" s="41" t="str">
        <f aca="false">IF(N769="","",IF(P769&lt;&gt;"",N769-P769,ROUND(N769*IFERROR(INDEX(Settings!$E$5:$E$12,MATCH(F769,Settings!$D$5:$D$12,0)),0),2)))</f>
        <v/>
      </c>
      <c r="P769" s="37"/>
      <c r="Q769" s="41" t="str">
        <f aca="false">IF(N769="","",IF(P769&lt;&gt;"",P769,N769-O769))</f>
        <v/>
      </c>
      <c r="R769" s="41" t="str">
        <f aca="false">IF(J769="","",IFERROR(N(INDEX(Properties!$H$5:$H$24,MATCH(D769,Properties!$A$5:$A$24,0))),0))</f>
        <v/>
      </c>
      <c r="S769" s="41" t="str">
        <f aca="false">IF(Q769="","",Q769-R769)</f>
        <v/>
      </c>
      <c r="T769" s="6"/>
      <c r="U769" s="6"/>
      <c r="V769" s="6"/>
      <c r="W769" s="6"/>
      <c r="X769" s="6"/>
      <c r="Y769" s="8" t="str">
        <f aca="false">IF(OR(D769="",B769="",C769=""),"",IF(N(C769)&lt;=N(B769),"Check dates",IF(T769="Cancelled","",IF(COUNTIFS($D$5:$D$1004,D769,$B$5:$B$1004,"&lt;"&amp;C769,$C$5:$C$1004,"&gt;"&amp;B769,$T$5:$T$1004,"&lt;&gt;Cancelled")&gt;1,"Double-booked",""))))</f>
        <v/>
      </c>
      <c r="Z769" s="42" t="str">
        <f aca="false">IF(AND(AA769=1,ISNUMBER(C769)),C769+ROW()/100000,"")</f>
        <v/>
      </c>
      <c r="AA769" s="43" t="n">
        <f aca="false">IF(AND(D769&lt;&gt;"",ISNUMBER(B769),ISNUMBER(C769),N(H769)&gt;0,T769&lt;&gt;"Cancelled",J769&lt;&gt;""),1,0)</f>
        <v>0</v>
      </c>
      <c r="AB769" s="44" t="n">
        <f aca="false">IF(AA769=1,J769/H769,0)</f>
        <v>0</v>
      </c>
      <c r="AC769" s="44" t="n">
        <f aca="false">IF(AA769=1,Q769/H769,0)</f>
        <v>0</v>
      </c>
      <c r="AD769" s="44" t="n">
        <f aca="false">IF(AA769=1,R769/H769,0)</f>
        <v>0</v>
      </c>
      <c r="AE769" s="44" t="n">
        <f aca="false">IF(AA769=1,O769/H769,0)</f>
        <v>0</v>
      </c>
      <c r="AF769" s="44" t="n">
        <f aca="false">IF(AA769=1,K769/H769,0)</f>
        <v>0</v>
      </c>
      <c r="AG769" s="45" t="str">
        <f aca="false">IF(AA769=1,D769&amp;"|"&amp;TEXT(B769,"0"),"")</f>
        <v/>
      </c>
      <c r="AH769" s="43" t="n">
        <f aca="false">IF(AA769=1,H769,0)</f>
        <v>0</v>
      </c>
    </row>
    <row r="770" customFormat="false" ht="15" hidden="false" customHeight="false" outlineLevel="0" collapsed="false">
      <c r="A770" s="23" t="str">
        <f aca="false">IF(B770="","","B-"&amp;TEXT(ROW()-4,"0000"))</f>
        <v/>
      </c>
      <c r="B770" s="38"/>
      <c r="C770" s="38"/>
      <c r="D770" s="6"/>
      <c r="E770" s="6"/>
      <c r="F770" s="6"/>
      <c r="G770" s="11"/>
      <c r="H770" s="24" t="str">
        <f aca="false">IF(AND(ISNUMBER(B770),ISNUMBER(C770)),MAX(0,C770-B770),"")</f>
        <v/>
      </c>
      <c r="I770" s="37"/>
      <c r="J770" s="46" t="str">
        <f aca="false">IF(OR(D770="",N(H770)=0),"",IFERROR(IF(I770&lt;&gt;"",H770*I770,ROUND(((H770-(INT((WEEKDAY(B770-6)+H770-1)/7)+INT((WEEKDAY(B770-7)+H770-1)/7)))*INDEX(Properties!$E$5:$E$24,MATCH(D770,Properties!$A$5:$A$24,0))+(INT((WEEKDAY(B770-6)+H770-1)/7)+INT((WEEKDAY(B770-7)+H770-1)/7))*INDEX(Properties!$F$5:$F$24,MATCH(D770,Properties!$A$5:$A$24,0)))*(1-IF(H770&gt;=28,Settings!$B$10,IF(H770&gt;=7,Settings!$B$9,0))),2)),0))</f>
        <v/>
      </c>
      <c r="K770" s="46" t="str">
        <f aca="false">IF(J770="","",IFERROR(N(INDEX(Properties!$G$5:$G$24,MATCH(D770,Properties!$A$5:$A$24,0))),0))</f>
        <v/>
      </c>
      <c r="L770" s="46" t="str">
        <f aca="false">IF(J770="","",IFERROR(MAX(0,N(G770)-INDEX(Properties!$I$5:$I$24,MATCH(D770,Properties!$A$5:$A$24,0)))*N(INDEX(Properties!$J$5:$J$24,MATCH(D770,Properties!$A$5:$A$24,0)))*H770,0))</f>
        <v/>
      </c>
      <c r="M770" s="37"/>
      <c r="N770" s="46" t="str">
        <f aca="false">IF(J770="","",J770+K770+L770+N(M770))</f>
        <v/>
      </c>
      <c r="O770" s="46" t="str">
        <f aca="false">IF(N770="","",IF(P770&lt;&gt;"",N770-P770,ROUND(N770*IFERROR(INDEX(Settings!$E$5:$E$12,MATCH(F770,Settings!$D$5:$D$12,0)),0),2)))</f>
        <v/>
      </c>
      <c r="P770" s="37"/>
      <c r="Q770" s="46" t="str">
        <f aca="false">IF(N770="","",IF(P770&lt;&gt;"",P770,N770-O770))</f>
        <v/>
      </c>
      <c r="R770" s="46" t="str">
        <f aca="false">IF(J770="","",IFERROR(N(INDEX(Properties!$H$5:$H$24,MATCH(D770,Properties!$A$5:$A$24,0))),0))</f>
        <v/>
      </c>
      <c r="S770" s="46" t="str">
        <f aca="false">IF(Q770="","",Q770-R770)</f>
        <v/>
      </c>
      <c r="T770" s="6"/>
      <c r="U770" s="6"/>
      <c r="V770" s="6"/>
      <c r="W770" s="6"/>
      <c r="X770" s="6"/>
      <c r="Y770" s="8" t="str">
        <f aca="false">IF(OR(D770="",B770="",C770=""),"",IF(N(C770)&lt;=N(B770),"Check dates",IF(T770="Cancelled","",IF(COUNTIFS($D$5:$D$1004,D770,$B$5:$B$1004,"&lt;"&amp;C770,$C$5:$C$1004,"&gt;"&amp;B770,$T$5:$T$1004,"&lt;&gt;Cancelled")&gt;1,"Double-booked",""))))</f>
        <v/>
      </c>
      <c r="Z770" s="42" t="str">
        <f aca="false">IF(AND(AA770=1,ISNUMBER(C770)),C770+ROW()/100000,"")</f>
        <v/>
      </c>
      <c r="AA770" s="43" t="n">
        <f aca="false">IF(AND(D770&lt;&gt;"",ISNUMBER(B770),ISNUMBER(C770),N(H770)&gt;0,T770&lt;&gt;"Cancelled",J770&lt;&gt;""),1,0)</f>
        <v>0</v>
      </c>
      <c r="AB770" s="44" t="n">
        <f aca="false">IF(AA770=1,J770/H770,0)</f>
        <v>0</v>
      </c>
      <c r="AC770" s="44" t="n">
        <f aca="false">IF(AA770=1,Q770/H770,0)</f>
        <v>0</v>
      </c>
      <c r="AD770" s="44" t="n">
        <f aca="false">IF(AA770=1,R770/H770,0)</f>
        <v>0</v>
      </c>
      <c r="AE770" s="44" t="n">
        <f aca="false">IF(AA770=1,O770/H770,0)</f>
        <v>0</v>
      </c>
      <c r="AF770" s="44" t="n">
        <f aca="false">IF(AA770=1,K770/H770,0)</f>
        <v>0</v>
      </c>
      <c r="AG770" s="45" t="str">
        <f aca="false">IF(AA770=1,D770&amp;"|"&amp;TEXT(B770,"0"),"")</f>
        <v/>
      </c>
      <c r="AH770" s="43" t="n">
        <f aca="false">IF(AA770=1,H770,0)</f>
        <v>0</v>
      </c>
    </row>
    <row r="771" customFormat="false" ht="15" hidden="false" customHeight="false" outlineLevel="0" collapsed="false">
      <c r="A771" s="8" t="str">
        <f aca="false">IF(B771="","","B-"&amp;TEXT(ROW()-4,"0000"))</f>
        <v/>
      </c>
      <c r="B771" s="38"/>
      <c r="C771" s="38"/>
      <c r="D771" s="6"/>
      <c r="E771" s="6"/>
      <c r="F771" s="6"/>
      <c r="G771" s="11"/>
      <c r="H771" s="18" t="str">
        <f aca="false">IF(AND(ISNUMBER(B771),ISNUMBER(C771)),MAX(0,C771-B771),"")</f>
        <v/>
      </c>
      <c r="I771" s="37"/>
      <c r="J771" s="41" t="str">
        <f aca="false">IF(OR(D771="",N(H771)=0),"",IFERROR(IF(I771&lt;&gt;"",H771*I771,ROUND(((H771-(INT((WEEKDAY(B771-6)+H771-1)/7)+INT((WEEKDAY(B771-7)+H771-1)/7)))*INDEX(Properties!$E$5:$E$24,MATCH(D771,Properties!$A$5:$A$24,0))+(INT((WEEKDAY(B771-6)+H771-1)/7)+INT((WEEKDAY(B771-7)+H771-1)/7))*INDEX(Properties!$F$5:$F$24,MATCH(D771,Properties!$A$5:$A$24,0)))*(1-IF(H771&gt;=28,Settings!$B$10,IF(H771&gt;=7,Settings!$B$9,0))),2)),0))</f>
        <v/>
      </c>
      <c r="K771" s="41" t="str">
        <f aca="false">IF(J771="","",IFERROR(N(INDEX(Properties!$G$5:$G$24,MATCH(D771,Properties!$A$5:$A$24,0))),0))</f>
        <v/>
      </c>
      <c r="L771" s="41" t="str">
        <f aca="false">IF(J771="","",IFERROR(MAX(0,N(G771)-INDEX(Properties!$I$5:$I$24,MATCH(D771,Properties!$A$5:$A$24,0)))*N(INDEX(Properties!$J$5:$J$24,MATCH(D771,Properties!$A$5:$A$24,0)))*H771,0))</f>
        <v/>
      </c>
      <c r="M771" s="37"/>
      <c r="N771" s="41" t="str">
        <f aca="false">IF(J771="","",J771+K771+L771+N(M771))</f>
        <v/>
      </c>
      <c r="O771" s="41" t="str">
        <f aca="false">IF(N771="","",IF(P771&lt;&gt;"",N771-P771,ROUND(N771*IFERROR(INDEX(Settings!$E$5:$E$12,MATCH(F771,Settings!$D$5:$D$12,0)),0),2)))</f>
        <v/>
      </c>
      <c r="P771" s="37"/>
      <c r="Q771" s="41" t="str">
        <f aca="false">IF(N771="","",IF(P771&lt;&gt;"",P771,N771-O771))</f>
        <v/>
      </c>
      <c r="R771" s="41" t="str">
        <f aca="false">IF(J771="","",IFERROR(N(INDEX(Properties!$H$5:$H$24,MATCH(D771,Properties!$A$5:$A$24,0))),0))</f>
        <v/>
      </c>
      <c r="S771" s="41" t="str">
        <f aca="false">IF(Q771="","",Q771-R771)</f>
        <v/>
      </c>
      <c r="T771" s="6"/>
      <c r="U771" s="6"/>
      <c r="V771" s="6"/>
      <c r="W771" s="6"/>
      <c r="X771" s="6"/>
      <c r="Y771" s="8" t="str">
        <f aca="false">IF(OR(D771="",B771="",C771=""),"",IF(N(C771)&lt;=N(B771),"Check dates",IF(T771="Cancelled","",IF(COUNTIFS($D$5:$D$1004,D771,$B$5:$B$1004,"&lt;"&amp;C771,$C$5:$C$1004,"&gt;"&amp;B771,$T$5:$T$1004,"&lt;&gt;Cancelled")&gt;1,"Double-booked",""))))</f>
        <v/>
      </c>
      <c r="Z771" s="42" t="str">
        <f aca="false">IF(AND(AA771=1,ISNUMBER(C771)),C771+ROW()/100000,"")</f>
        <v/>
      </c>
      <c r="AA771" s="43" t="n">
        <f aca="false">IF(AND(D771&lt;&gt;"",ISNUMBER(B771),ISNUMBER(C771),N(H771)&gt;0,T771&lt;&gt;"Cancelled",J771&lt;&gt;""),1,0)</f>
        <v>0</v>
      </c>
      <c r="AB771" s="44" t="n">
        <f aca="false">IF(AA771=1,J771/H771,0)</f>
        <v>0</v>
      </c>
      <c r="AC771" s="44" t="n">
        <f aca="false">IF(AA771=1,Q771/H771,0)</f>
        <v>0</v>
      </c>
      <c r="AD771" s="44" t="n">
        <f aca="false">IF(AA771=1,R771/H771,0)</f>
        <v>0</v>
      </c>
      <c r="AE771" s="44" t="n">
        <f aca="false">IF(AA771=1,O771/H771,0)</f>
        <v>0</v>
      </c>
      <c r="AF771" s="44" t="n">
        <f aca="false">IF(AA771=1,K771/H771,0)</f>
        <v>0</v>
      </c>
      <c r="AG771" s="45" t="str">
        <f aca="false">IF(AA771=1,D771&amp;"|"&amp;TEXT(B771,"0"),"")</f>
        <v/>
      </c>
      <c r="AH771" s="43" t="n">
        <f aca="false">IF(AA771=1,H771,0)</f>
        <v>0</v>
      </c>
    </row>
    <row r="772" customFormat="false" ht="15" hidden="false" customHeight="false" outlineLevel="0" collapsed="false">
      <c r="A772" s="23" t="str">
        <f aca="false">IF(B772="","","B-"&amp;TEXT(ROW()-4,"0000"))</f>
        <v/>
      </c>
      <c r="B772" s="38"/>
      <c r="C772" s="38"/>
      <c r="D772" s="6"/>
      <c r="E772" s="6"/>
      <c r="F772" s="6"/>
      <c r="G772" s="11"/>
      <c r="H772" s="24" t="str">
        <f aca="false">IF(AND(ISNUMBER(B772),ISNUMBER(C772)),MAX(0,C772-B772),"")</f>
        <v/>
      </c>
      <c r="I772" s="37"/>
      <c r="J772" s="46" t="str">
        <f aca="false">IF(OR(D772="",N(H772)=0),"",IFERROR(IF(I772&lt;&gt;"",H772*I772,ROUND(((H772-(INT((WEEKDAY(B772-6)+H772-1)/7)+INT((WEEKDAY(B772-7)+H772-1)/7)))*INDEX(Properties!$E$5:$E$24,MATCH(D772,Properties!$A$5:$A$24,0))+(INT((WEEKDAY(B772-6)+H772-1)/7)+INT((WEEKDAY(B772-7)+H772-1)/7))*INDEX(Properties!$F$5:$F$24,MATCH(D772,Properties!$A$5:$A$24,0)))*(1-IF(H772&gt;=28,Settings!$B$10,IF(H772&gt;=7,Settings!$B$9,0))),2)),0))</f>
        <v/>
      </c>
      <c r="K772" s="46" t="str">
        <f aca="false">IF(J772="","",IFERROR(N(INDEX(Properties!$G$5:$G$24,MATCH(D772,Properties!$A$5:$A$24,0))),0))</f>
        <v/>
      </c>
      <c r="L772" s="46" t="str">
        <f aca="false">IF(J772="","",IFERROR(MAX(0,N(G772)-INDEX(Properties!$I$5:$I$24,MATCH(D772,Properties!$A$5:$A$24,0)))*N(INDEX(Properties!$J$5:$J$24,MATCH(D772,Properties!$A$5:$A$24,0)))*H772,0))</f>
        <v/>
      </c>
      <c r="M772" s="37"/>
      <c r="N772" s="46" t="str">
        <f aca="false">IF(J772="","",J772+K772+L772+N(M772))</f>
        <v/>
      </c>
      <c r="O772" s="46" t="str">
        <f aca="false">IF(N772="","",IF(P772&lt;&gt;"",N772-P772,ROUND(N772*IFERROR(INDEX(Settings!$E$5:$E$12,MATCH(F772,Settings!$D$5:$D$12,0)),0),2)))</f>
        <v/>
      </c>
      <c r="P772" s="37"/>
      <c r="Q772" s="46" t="str">
        <f aca="false">IF(N772="","",IF(P772&lt;&gt;"",P772,N772-O772))</f>
        <v/>
      </c>
      <c r="R772" s="46" t="str">
        <f aca="false">IF(J772="","",IFERROR(N(INDEX(Properties!$H$5:$H$24,MATCH(D772,Properties!$A$5:$A$24,0))),0))</f>
        <v/>
      </c>
      <c r="S772" s="46" t="str">
        <f aca="false">IF(Q772="","",Q772-R772)</f>
        <v/>
      </c>
      <c r="T772" s="6"/>
      <c r="U772" s="6"/>
      <c r="V772" s="6"/>
      <c r="W772" s="6"/>
      <c r="X772" s="6"/>
      <c r="Y772" s="8" t="str">
        <f aca="false">IF(OR(D772="",B772="",C772=""),"",IF(N(C772)&lt;=N(B772),"Check dates",IF(T772="Cancelled","",IF(COUNTIFS($D$5:$D$1004,D772,$B$5:$B$1004,"&lt;"&amp;C772,$C$5:$C$1004,"&gt;"&amp;B772,$T$5:$T$1004,"&lt;&gt;Cancelled")&gt;1,"Double-booked",""))))</f>
        <v/>
      </c>
      <c r="Z772" s="42" t="str">
        <f aca="false">IF(AND(AA772=1,ISNUMBER(C772)),C772+ROW()/100000,"")</f>
        <v/>
      </c>
      <c r="AA772" s="43" t="n">
        <f aca="false">IF(AND(D772&lt;&gt;"",ISNUMBER(B772),ISNUMBER(C772),N(H772)&gt;0,T772&lt;&gt;"Cancelled",J772&lt;&gt;""),1,0)</f>
        <v>0</v>
      </c>
      <c r="AB772" s="44" t="n">
        <f aca="false">IF(AA772=1,J772/H772,0)</f>
        <v>0</v>
      </c>
      <c r="AC772" s="44" t="n">
        <f aca="false">IF(AA772=1,Q772/H772,0)</f>
        <v>0</v>
      </c>
      <c r="AD772" s="44" t="n">
        <f aca="false">IF(AA772=1,R772/H772,0)</f>
        <v>0</v>
      </c>
      <c r="AE772" s="44" t="n">
        <f aca="false">IF(AA772=1,O772/H772,0)</f>
        <v>0</v>
      </c>
      <c r="AF772" s="44" t="n">
        <f aca="false">IF(AA772=1,K772/H772,0)</f>
        <v>0</v>
      </c>
      <c r="AG772" s="45" t="str">
        <f aca="false">IF(AA772=1,D772&amp;"|"&amp;TEXT(B772,"0"),"")</f>
        <v/>
      </c>
      <c r="AH772" s="43" t="n">
        <f aca="false">IF(AA772=1,H772,0)</f>
        <v>0</v>
      </c>
    </row>
    <row r="773" customFormat="false" ht="15" hidden="false" customHeight="false" outlineLevel="0" collapsed="false">
      <c r="A773" s="8" t="str">
        <f aca="false">IF(B773="","","B-"&amp;TEXT(ROW()-4,"0000"))</f>
        <v/>
      </c>
      <c r="B773" s="38"/>
      <c r="C773" s="38"/>
      <c r="D773" s="6"/>
      <c r="E773" s="6"/>
      <c r="F773" s="6"/>
      <c r="G773" s="11"/>
      <c r="H773" s="18" t="str">
        <f aca="false">IF(AND(ISNUMBER(B773),ISNUMBER(C773)),MAX(0,C773-B773),"")</f>
        <v/>
      </c>
      <c r="I773" s="37"/>
      <c r="J773" s="41" t="str">
        <f aca="false">IF(OR(D773="",N(H773)=0),"",IFERROR(IF(I773&lt;&gt;"",H773*I773,ROUND(((H773-(INT((WEEKDAY(B773-6)+H773-1)/7)+INT((WEEKDAY(B773-7)+H773-1)/7)))*INDEX(Properties!$E$5:$E$24,MATCH(D773,Properties!$A$5:$A$24,0))+(INT((WEEKDAY(B773-6)+H773-1)/7)+INT((WEEKDAY(B773-7)+H773-1)/7))*INDEX(Properties!$F$5:$F$24,MATCH(D773,Properties!$A$5:$A$24,0)))*(1-IF(H773&gt;=28,Settings!$B$10,IF(H773&gt;=7,Settings!$B$9,0))),2)),0))</f>
        <v/>
      </c>
      <c r="K773" s="41" t="str">
        <f aca="false">IF(J773="","",IFERROR(N(INDEX(Properties!$G$5:$G$24,MATCH(D773,Properties!$A$5:$A$24,0))),0))</f>
        <v/>
      </c>
      <c r="L773" s="41" t="str">
        <f aca="false">IF(J773="","",IFERROR(MAX(0,N(G773)-INDEX(Properties!$I$5:$I$24,MATCH(D773,Properties!$A$5:$A$24,0)))*N(INDEX(Properties!$J$5:$J$24,MATCH(D773,Properties!$A$5:$A$24,0)))*H773,0))</f>
        <v/>
      </c>
      <c r="M773" s="37"/>
      <c r="N773" s="41" t="str">
        <f aca="false">IF(J773="","",J773+K773+L773+N(M773))</f>
        <v/>
      </c>
      <c r="O773" s="41" t="str">
        <f aca="false">IF(N773="","",IF(P773&lt;&gt;"",N773-P773,ROUND(N773*IFERROR(INDEX(Settings!$E$5:$E$12,MATCH(F773,Settings!$D$5:$D$12,0)),0),2)))</f>
        <v/>
      </c>
      <c r="P773" s="37"/>
      <c r="Q773" s="41" t="str">
        <f aca="false">IF(N773="","",IF(P773&lt;&gt;"",P773,N773-O773))</f>
        <v/>
      </c>
      <c r="R773" s="41" t="str">
        <f aca="false">IF(J773="","",IFERROR(N(INDEX(Properties!$H$5:$H$24,MATCH(D773,Properties!$A$5:$A$24,0))),0))</f>
        <v/>
      </c>
      <c r="S773" s="41" t="str">
        <f aca="false">IF(Q773="","",Q773-R773)</f>
        <v/>
      </c>
      <c r="T773" s="6"/>
      <c r="U773" s="6"/>
      <c r="V773" s="6"/>
      <c r="W773" s="6"/>
      <c r="X773" s="6"/>
      <c r="Y773" s="8" t="str">
        <f aca="false">IF(OR(D773="",B773="",C773=""),"",IF(N(C773)&lt;=N(B773),"Check dates",IF(T773="Cancelled","",IF(COUNTIFS($D$5:$D$1004,D773,$B$5:$B$1004,"&lt;"&amp;C773,$C$5:$C$1004,"&gt;"&amp;B773,$T$5:$T$1004,"&lt;&gt;Cancelled")&gt;1,"Double-booked",""))))</f>
        <v/>
      </c>
      <c r="Z773" s="42" t="str">
        <f aca="false">IF(AND(AA773=1,ISNUMBER(C773)),C773+ROW()/100000,"")</f>
        <v/>
      </c>
      <c r="AA773" s="43" t="n">
        <f aca="false">IF(AND(D773&lt;&gt;"",ISNUMBER(B773),ISNUMBER(C773),N(H773)&gt;0,T773&lt;&gt;"Cancelled",J773&lt;&gt;""),1,0)</f>
        <v>0</v>
      </c>
      <c r="AB773" s="44" t="n">
        <f aca="false">IF(AA773=1,J773/H773,0)</f>
        <v>0</v>
      </c>
      <c r="AC773" s="44" t="n">
        <f aca="false">IF(AA773=1,Q773/H773,0)</f>
        <v>0</v>
      </c>
      <c r="AD773" s="44" t="n">
        <f aca="false">IF(AA773=1,R773/H773,0)</f>
        <v>0</v>
      </c>
      <c r="AE773" s="44" t="n">
        <f aca="false">IF(AA773=1,O773/H773,0)</f>
        <v>0</v>
      </c>
      <c r="AF773" s="44" t="n">
        <f aca="false">IF(AA773=1,K773/H773,0)</f>
        <v>0</v>
      </c>
      <c r="AG773" s="45" t="str">
        <f aca="false">IF(AA773=1,D773&amp;"|"&amp;TEXT(B773,"0"),"")</f>
        <v/>
      </c>
      <c r="AH773" s="43" t="n">
        <f aca="false">IF(AA773=1,H773,0)</f>
        <v>0</v>
      </c>
    </row>
    <row r="774" customFormat="false" ht="15" hidden="false" customHeight="false" outlineLevel="0" collapsed="false">
      <c r="A774" s="23" t="str">
        <f aca="false">IF(B774="","","B-"&amp;TEXT(ROW()-4,"0000"))</f>
        <v/>
      </c>
      <c r="B774" s="38"/>
      <c r="C774" s="38"/>
      <c r="D774" s="6"/>
      <c r="E774" s="6"/>
      <c r="F774" s="6"/>
      <c r="G774" s="11"/>
      <c r="H774" s="24" t="str">
        <f aca="false">IF(AND(ISNUMBER(B774),ISNUMBER(C774)),MAX(0,C774-B774),"")</f>
        <v/>
      </c>
      <c r="I774" s="37"/>
      <c r="J774" s="46" t="str">
        <f aca="false">IF(OR(D774="",N(H774)=0),"",IFERROR(IF(I774&lt;&gt;"",H774*I774,ROUND(((H774-(INT((WEEKDAY(B774-6)+H774-1)/7)+INT((WEEKDAY(B774-7)+H774-1)/7)))*INDEX(Properties!$E$5:$E$24,MATCH(D774,Properties!$A$5:$A$24,0))+(INT((WEEKDAY(B774-6)+H774-1)/7)+INT((WEEKDAY(B774-7)+H774-1)/7))*INDEX(Properties!$F$5:$F$24,MATCH(D774,Properties!$A$5:$A$24,0)))*(1-IF(H774&gt;=28,Settings!$B$10,IF(H774&gt;=7,Settings!$B$9,0))),2)),0))</f>
        <v/>
      </c>
      <c r="K774" s="46" t="str">
        <f aca="false">IF(J774="","",IFERROR(N(INDEX(Properties!$G$5:$G$24,MATCH(D774,Properties!$A$5:$A$24,0))),0))</f>
        <v/>
      </c>
      <c r="L774" s="46" t="str">
        <f aca="false">IF(J774="","",IFERROR(MAX(0,N(G774)-INDEX(Properties!$I$5:$I$24,MATCH(D774,Properties!$A$5:$A$24,0)))*N(INDEX(Properties!$J$5:$J$24,MATCH(D774,Properties!$A$5:$A$24,0)))*H774,0))</f>
        <v/>
      </c>
      <c r="M774" s="37"/>
      <c r="N774" s="46" t="str">
        <f aca="false">IF(J774="","",J774+K774+L774+N(M774))</f>
        <v/>
      </c>
      <c r="O774" s="46" t="str">
        <f aca="false">IF(N774="","",IF(P774&lt;&gt;"",N774-P774,ROUND(N774*IFERROR(INDEX(Settings!$E$5:$E$12,MATCH(F774,Settings!$D$5:$D$12,0)),0),2)))</f>
        <v/>
      </c>
      <c r="P774" s="37"/>
      <c r="Q774" s="46" t="str">
        <f aca="false">IF(N774="","",IF(P774&lt;&gt;"",P774,N774-O774))</f>
        <v/>
      </c>
      <c r="R774" s="46" t="str">
        <f aca="false">IF(J774="","",IFERROR(N(INDEX(Properties!$H$5:$H$24,MATCH(D774,Properties!$A$5:$A$24,0))),0))</f>
        <v/>
      </c>
      <c r="S774" s="46" t="str">
        <f aca="false">IF(Q774="","",Q774-R774)</f>
        <v/>
      </c>
      <c r="T774" s="6"/>
      <c r="U774" s="6"/>
      <c r="V774" s="6"/>
      <c r="W774" s="6"/>
      <c r="X774" s="6"/>
      <c r="Y774" s="8" t="str">
        <f aca="false">IF(OR(D774="",B774="",C774=""),"",IF(N(C774)&lt;=N(B774),"Check dates",IF(T774="Cancelled","",IF(COUNTIFS($D$5:$D$1004,D774,$B$5:$B$1004,"&lt;"&amp;C774,$C$5:$C$1004,"&gt;"&amp;B774,$T$5:$T$1004,"&lt;&gt;Cancelled")&gt;1,"Double-booked",""))))</f>
        <v/>
      </c>
      <c r="Z774" s="42" t="str">
        <f aca="false">IF(AND(AA774=1,ISNUMBER(C774)),C774+ROW()/100000,"")</f>
        <v/>
      </c>
      <c r="AA774" s="43" t="n">
        <f aca="false">IF(AND(D774&lt;&gt;"",ISNUMBER(B774),ISNUMBER(C774),N(H774)&gt;0,T774&lt;&gt;"Cancelled",J774&lt;&gt;""),1,0)</f>
        <v>0</v>
      </c>
      <c r="AB774" s="44" t="n">
        <f aca="false">IF(AA774=1,J774/H774,0)</f>
        <v>0</v>
      </c>
      <c r="AC774" s="44" t="n">
        <f aca="false">IF(AA774=1,Q774/H774,0)</f>
        <v>0</v>
      </c>
      <c r="AD774" s="44" t="n">
        <f aca="false">IF(AA774=1,R774/H774,0)</f>
        <v>0</v>
      </c>
      <c r="AE774" s="44" t="n">
        <f aca="false">IF(AA774=1,O774/H774,0)</f>
        <v>0</v>
      </c>
      <c r="AF774" s="44" t="n">
        <f aca="false">IF(AA774=1,K774/H774,0)</f>
        <v>0</v>
      </c>
      <c r="AG774" s="45" t="str">
        <f aca="false">IF(AA774=1,D774&amp;"|"&amp;TEXT(B774,"0"),"")</f>
        <v/>
      </c>
      <c r="AH774" s="43" t="n">
        <f aca="false">IF(AA774=1,H774,0)</f>
        <v>0</v>
      </c>
    </row>
    <row r="775" customFormat="false" ht="15" hidden="false" customHeight="false" outlineLevel="0" collapsed="false">
      <c r="A775" s="8" t="str">
        <f aca="false">IF(B775="","","B-"&amp;TEXT(ROW()-4,"0000"))</f>
        <v/>
      </c>
      <c r="B775" s="38"/>
      <c r="C775" s="38"/>
      <c r="D775" s="6"/>
      <c r="E775" s="6"/>
      <c r="F775" s="6"/>
      <c r="G775" s="11"/>
      <c r="H775" s="18" t="str">
        <f aca="false">IF(AND(ISNUMBER(B775),ISNUMBER(C775)),MAX(0,C775-B775),"")</f>
        <v/>
      </c>
      <c r="I775" s="37"/>
      <c r="J775" s="41" t="str">
        <f aca="false">IF(OR(D775="",N(H775)=0),"",IFERROR(IF(I775&lt;&gt;"",H775*I775,ROUND(((H775-(INT((WEEKDAY(B775-6)+H775-1)/7)+INT((WEEKDAY(B775-7)+H775-1)/7)))*INDEX(Properties!$E$5:$E$24,MATCH(D775,Properties!$A$5:$A$24,0))+(INT((WEEKDAY(B775-6)+H775-1)/7)+INT((WEEKDAY(B775-7)+H775-1)/7))*INDEX(Properties!$F$5:$F$24,MATCH(D775,Properties!$A$5:$A$24,0)))*(1-IF(H775&gt;=28,Settings!$B$10,IF(H775&gt;=7,Settings!$B$9,0))),2)),0))</f>
        <v/>
      </c>
      <c r="K775" s="41" t="str">
        <f aca="false">IF(J775="","",IFERROR(N(INDEX(Properties!$G$5:$G$24,MATCH(D775,Properties!$A$5:$A$24,0))),0))</f>
        <v/>
      </c>
      <c r="L775" s="41" t="str">
        <f aca="false">IF(J775="","",IFERROR(MAX(0,N(G775)-INDEX(Properties!$I$5:$I$24,MATCH(D775,Properties!$A$5:$A$24,0)))*N(INDEX(Properties!$J$5:$J$24,MATCH(D775,Properties!$A$5:$A$24,0)))*H775,0))</f>
        <v/>
      </c>
      <c r="M775" s="37"/>
      <c r="N775" s="41" t="str">
        <f aca="false">IF(J775="","",J775+K775+L775+N(M775))</f>
        <v/>
      </c>
      <c r="O775" s="41" t="str">
        <f aca="false">IF(N775="","",IF(P775&lt;&gt;"",N775-P775,ROUND(N775*IFERROR(INDEX(Settings!$E$5:$E$12,MATCH(F775,Settings!$D$5:$D$12,0)),0),2)))</f>
        <v/>
      </c>
      <c r="P775" s="37"/>
      <c r="Q775" s="41" t="str">
        <f aca="false">IF(N775="","",IF(P775&lt;&gt;"",P775,N775-O775))</f>
        <v/>
      </c>
      <c r="R775" s="41" t="str">
        <f aca="false">IF(J775="","",IFERROR(N(INDEX(Properties!$H$5:$H$24,MATCH(D775,Properties!$A$5:$A$24,0))),0))</f>
        <v/>
      </c>
      <c r="S775" s="41" t="str">
        <f aca="false">IF(Q775="","",Q775-R775)</f>
        <v/>
      </c>
      <c r="T775" s="6"/>
      <c r="U775" s="6"/>
      <c r="V775" s="6"/>
      <c r="W775" s="6"/>
      <c r="X775" s="6"/>
      <c r="Y775" s="8" t="str">
        <f aca="false">IF(OR(D775="",B775="",C775=""),"",IF(N(C775)&lt;=N(B775),"Check dates",IF(T775="Cancelled","",IF(COUNTIFS($D$5:$D$1004,D775,$B$5:$B$1004,"&lt;"&amp;C775,$C$5:$C$1004,"&gt;"&amp;B775,$T$5:$T$1004,"&lt;&gt;Cancelled")&gt;1,"Double-booked",""))))</f>
        <v/>
      </c>
      <c r="Z775" s="42" t="str">
        <f aca="false">IF(AND(AA775=1,ISNUMBER(C775)),C775+ROW()/100000,"")</f>
        <v/>
      </c>
      <c r="AA775" s="43" t="n">
        <f aca="false">IF(AND(D775&lt;&gt;"",ISNUMBER(B775),ISNUMBER(C775),N(H775)&gt;0,T775&lt;&gt;"Cancelled",J775&lt;&gt;""),1,0)</f>
        <v>0</v>
      </c>
      <c r="AB775" s="44" t="n">
        <f aca="false">IF(AA775=1,J775/H775,0)</f>
        <v>0</v>
      </c>
      <c r="AC775" s="44" t="n">
        <f aca="false">IF(AA775=1,Q775/H775,0)</f>
        <v>0</v>
      </c>
      <c r="AD775" s="44" t="n">
        <f aca="false">IF(AA775=1,R775/H775,0)</f>
        <v>0</v>
      </c>
      <c r="AE775" s="44" t="n">
        <f aca="false">IF(AA775=1,O775/H775,0)</f>
        <v>0</v>
      </c>
      <c r="AF775" s="44" t="n">
        <f aca="false">IF(AA775=1,K775/H775,0)</f>
        <v>0</v>
      </c>
      <c r="AG775" s="45" t="str">
        <f aca="false">IF(AA775=1,D775&amp;"|"&amp;TEXT(B775,"0"),"")</f>
        <v/>
      </c>
      <c r="AH775" s="43" t="n">
        <f aca="false">IF(AA775=1,H775,0)</f>
        <v>0</v>
      </c>
    </row>
    <row r="776" customFormat="false" ht="15" hidden="false" customHeight="false" outlineLevel="0" collapsed="false">
      <c r="A776" s="23" t="str">
        <f aca="false">IF(B776="","","B-"&amp;TEXT(ROW()-4,"0000"))</f>
        <v/>
      </c>
      <c r="B776" s="38"/>
      <c r="C776" s="38"/>
      <c r="D776" s="6"/>
      <c r="E776" s="6"/>
      <c r="F776" s="6"/>
      <c r="G776" s="11"/>
      <c r="H776" s="24" t="str">
        <f aca="false">IF(AND(ISNUMBER(B776),ISNUMBER(C776)),MAX(0,C776-B776),"")</f>
        <v/>
      </c>
      <c r="I776" s="37"/>
      <c r="J776" s="46" t="str">
        <f aca="false">IF(OR(D776="",N(H776)=0),"",IFERROR(IF(I776&lt;&gt;"",H776*I776,ROUND(((H776-(INT((WEEKDAY(B776-6)+H776-1)/7)+INT((WEEKDAY(B776-7)+H776-1)/7)))*INDEX(Properties!$E$5:$E$24,MATCH(D776,Properties!$A$5:$A$24,0))+(INT((WEEKDAY(B776-6)+H776-1)/7)+INT((WEEKDAY(B776-7)+H776-1)/7))*INDEX(Properties!$F$5:$F$24,MATCH(D776,Properties!$A$5:$A$24,0)))*(1-IF(H776&gt;=28,Settings!$B$10,IF(H776&gt;=7,Settings!$B$9,0))),2)),0))</f>
        <v/>
      </c>
      <c r="K776" s="46" t="str">
        <f aca="false">IF(J776="","",IFERROR(N(INDEX(Properties!$G$5:$G$24,MATCH(D776,Properties!$A$5:$A$24,0))),0))</f>
        <v/>
      </c>
      <c r="L776" s="46" t="str">
        <f aca="false">IF(J776="","",IFERROR(MAX(0,N(G776)-INDEX(Properties!$I$5:$I$24,MATCH(D776,Properties!$A$5:$A$24,0)))*N(INDEX(Properties!$J$5:$J$24,MATCH(D776,Properties!$A$5:$A$24,0)))*H776,0))</f>
        <v/>
      </c>
      <c r="M776" s="37"/>
      <c r="N776" s="46" t="str">
        <f aca="false">IF(J776="","",J776+K776+L776+N(M776))</f>
        <v/>
      </c>
      <c r="O776" s="46" t="str">
        <f aca="false">IF(N776="","",IF(P776&lt;&gt;"",N776-P776,ROUND(N776*IFERROR(INDEX(Settings!$E$5:$E$12,MATCH(F776,Settings!$D$5:$D$12,0)),0),2)))</f>
        <v/>
      </c>
      <c r="P776" s="37"/>
      <c r="Q776" s="46" t="str">
        <f aca="false">IF(N776="","",IF(P776&lt;&gt;"",P776,N776-O776))</f>
        <v/>
      </c>
      <c r="R776" s="46" t="str">
        <f aca="false">IF(J776="","",IFERROR(N(INDEX(Properties!$H$5:$H$24,MATCH(D776,Properties!$A$5:$A$24,0))),0))</f>
        <v/>
      </c>
      <c r="S776" s="46" t="str">
        <f aca="false">IF(Q776="","",Q776-R776)</f>
        <v/>
      </c>
      <c r="T776" s="6"/>
      <c r="U776" s="6"/>
      <c r="V776" s="6"/>
      <c r="W776" s="6"/>
      <c r="X776" s="6"/>
      <c r="Y776" s="8" t="str">
        <f aca="false">IF(OR(D776="",B776="",C776=""),"",IF(N(C776)&lt;=N(B776),"Check dates",IF(T776="Cancelled","",IF(COUNTIFS($D$5:$D$1004,D776,$B$5:$B$1004,"&lt;"&amp;C776,$C$5:$C$1004,"&gt;"&amp;B776,$T$5:$T$1004,"&lt;&gt;Cancelled")&gt;1,"Double-booked",""))))</f>
        <v/>
      </c>
      <c r="Z776" s="42" t="str">
        <f aca="false">IF(AND(AA776=1,ISNUMBER(C776)),C776+ROW()/100000,"")</f>
        <v/>
      </c>
      <c r="AA776" s="43" t="n">
        <f aca="false">IF(AND(D776&lt;&gt;"",ISNUMBER(B776),ISNUMBER(C776),N(H776)&gt;0,T776&lt;&gt;"Cancelled",J776&lt;&gt;""),1,0)</f>
        <v>0</v>
      </c>
      <c r="AB776" s="44" t="n">
        <f aca="false">IF(AA776=1,J776/H776,0)</f>
        <v>0</v>
      </c>
      <c r="AC776" s="44" t="n">
        <f aca="false">IF(AA776=1,Q776/H776,0)</f>
        <v>0</v>
      </c>
      <c r="AD776" s="44" t="n">
        <f aca="false">IF(AA776=1,R776/H776,0)</f>
        <v>0</v>
      </c>
      <c r="AE776" s="44" t="n">
        <f aca="false">IF(AA776=1,O776/H776,0)</f>
        <v>0</v>
      </c>
      <c r="AF776" s="44" t="n">
        <f aca="false">IF(AA776=1,K776/H776,0)</f>
        <v>0</v>
      </c>
      <c r="AG776" s="45" t="str">
        <f aca="false">IF(AA776=1,D776&amp;"|"&amp;TEXT(B776,"0"),"")</f>
        <v/>
      </c>
      <c r="AH776" s="43" t="n">
        <f aca="false">IF(AA776=1,H776,0)</f>
        <v>0</v>
      </c>
    </row>
    <row r="777" customFormat="false" ht="15" hidden="false" customHeight="false" outlineLevel="0" collapsed="false">
      <c r="A777" s="8" t="str">
        <f aca="false">IF(B777="","","B-"&amp;TEXT(ROW()-4,"0000"))</f>
        <v/>
      </c>
      <c r="B777" s="38"/>
      <c r="C777" s="38"/>
      <c r="D777" s="6"/>
      <c r="E777" s="6"/>
      <c r="F777" s="6"/>
      <c r="G777" s="11"/>
      <c r="H777" s="18" t="str">
        <f aca="false">IF(AND(ISNUMBER(B777),ISNUMBER(C777)),MAX(0,C777-B777),"")</f>
        <v/>
      </c>
      <c r="I777" s="37"/>
      <c r="J777" s="41" t="str">
        <f aca="false">IF(OR(D777="",N(H777)=0),"",IFERROR(IF(I777&lt;&gt;"",H777*I777,ROUND(((H777-(INT((WEEKDAY(B777-6)+H777-1)/7)+INT((WEEKDAY(B777-7)+H777-1)/7)))*INDEX(Properties!$E$5:$E$24,MATCH(D777,Properties!$A$5:$A$24,0))+(INT((WEEKDAY(B777-6)+H777-1)/7)+INT((WEEKDAY(B777-7)+H777-1)/7))*INDEX(Properties!$F$5:$F$24,MATCH(D777,Properties!$A$5:$A$24,0)))*(1-IF(H777&gt;=28,Settings!$B$10,IF(H777&gt;=7,Settings!$B$9,0))),2)),0))</f>
        <v/>
      </c>
      <c r="K777" s="41" t="str">
        <f aca="false">IF(J777="","",IFERROR(N(INDEX(Properties!$G$5:$G$24,MATCH(D777,Properties!$A$5:$A$24,0))),0))</f>
        <v/>
      </c>
      <c r="L777" s="41" t="str">
        <f aca="false">IF(J777="","",IFERROR(MAX(0,N(G777)-INDEX(Properties!$I$5:$I$24,MATCH(D777,Properties!$A$5:$A$24,0)))*N(INDEX(Properties!$J$5:$J$24,MATCH(D777,Properties!$A$5:$A$24,0)))*H777,0))</f>
        <v/>
      </c>
      <c r="M777" s="37"/>
      <c r="N777" s="41" t="str">
        <f aca="false">IF(J777="","",J777+K777+L777+N(M777))</f>
        <v/>
      </c>
      <c r="O777" s="41" t="str">
        <f aca="false">IF(N777="","",IF(P777&lt;&gt;"",N777-P777,ROUND(N777*IFERROR(INDEX(Settings!$E$5:$E$12,MATCH(F777,Settings!$D$5:$D$12,0)),0),2)))</f>
        <v/>
      </c>
      <c r="P777" s="37"/>
      <c r="Q777" s="41" t="str">
        <f aca="false">IF(N777="","",IF(P777&lt;&gt;"",P777,N777-O777))</f>
        <v/>
      </c>
      <c r="R777" s="41" t="str">
        <f aca="false">IF(J777="","",IFERROR(N(INDEX(Properties!$H$5:$H$24,MATCH(D777,Properties!$A$5:$A$24,0))),0))</f>
        <v/>
      </c>
      <c r="S777" s="41" t="str">
        <f aca="false">IF(Q777="","",Q777-R777)</f>
        <v/>
      </c>
      <c r="T777" s="6"/>
      <c r="U777" s="6"/>
      <c r="V777" s="6"/>
      <c r="W777" s="6"/>
      <c r="X777" s="6"/>
      <c r="Y777" s="8" t="str">
        <f aca="false">IF(OR(D777="",B777="",C777=""),"",IF(N(C777)&lt;=N(B777),"Check dates",IF(T777="Cancelled","",IF(COUNTIFS($D$5:$D$1004,D777,$B$5:$B$1004,"&lt;"&amp;C777,$C$5:$C$1004,"&gt;"&amp;B777,$T$5:$T$1004,"&lt;&gt;Cancelled")&gt;1,"Double-booked",""))))</f>
        <v/>
      </c>
      <c r="Z777" s="42" t="str">
        <f aca="false">IF(AND(AA777=1,ISNUMBER(C777)),C777+ROW()/100000,"")</f>
        <v/>
      </c>
      <c r="AA777" s="43" t="n">
        <f aca="false">IF(AND(D777&lt;&gt;"",ISNUMBER(B777),ISNUMBER(C777),N(H777)&gt;0,T777&lt;&gt;"Cancelled",J777&lt;&gt;""),1,0)</f>
        <v>0</v>
      </c>
      <c r="AB777" s="44" t="n">
        <f aca="false">IF(AA777=1,J777/H777,0)</f>
        <v>0</v>
      </c>
      <c r="AC777" s="44" t="n">
        <f aca="false">IF(AA777=1,Q777/H777,0)</f>
        <v>0</v>
      </c>
      <c r="AD777" s="44" t="n">
        <f aca="false">IF(AA777=1,R777/H777,0)</f>
        <v>0</v>
      </c>
      <c r="AE777" s="44" t="n">
        <f aca="false">IF(AA777=1,O777/H777,0)</f>
        <v>0</v>
      </c>
      <c r="AF777" s="44" t="n">
        <f aca="false">IF(AA777=1,K777/H777,0)</f>
        <v>0</v>
      </c>
      <c r="AG777" s="45" t="str">
        <f aca="false">IF(AA777=1,D777&amp;"|"&amp;TEXT(B777,"0"),"")</f>
        <v/>
      </c>
      <c r="AH777" s="43" t="n">
        <f aca="false">IF(AA777=1,H777,0)</f>
        <v>0</v>
      </c>
    </row>
    <row r="778" customFormat="false" ht="15" hidden="false" customHeight="false" outlineLevel="0" collapsed="false">
      <c r="A778" s="23" t="str">
        <f aca="false">IF(B778="","","B-"&amp;TEXT(ROW()-4,"0000"))</f>
        <v/>
      </c>
      <c r="B778" s="38"/>
      <c r="C778" s="38"/>
      <c r="D778" s="6"/>
      <c r="E778" s="6"/>
      <c r="F778" s="6"/>
      <c r="G778" s="11"/>
      <c r="H778" s="24" t="str">
        <f aca="false">IF(AND(ISNUMBER(B778),ISNUMBER(C778)),MAX(0,C778-B778),"")</f>
        <v/>
      </c>
      <c r="I778" s="37"/>
      <c r="J778" s="46" t="str">
        <f aca="false">IF(OR(D778="",N(H778)=0),"",IFERROR(IF(I778&lt;&gt;"",H778*I778,ROUND(((H778-(INT((WEEKDAY(B778-6)+H778-1)/7)+INT((WEEKDAY(B778-7)+H778-1)/7)))*INDEX(Properties!$E$5:$E$24,MATCH(D778,Properties!$A$5:$A$24,0))+(INT((WEEKDAY(B778-6)+H778-1)/7)+INT((WEEKDAY(B778-7)+H778-1)/7))*INDEX(Properties!$F$5:$F$24,MATCH(D778,Properties!$A$5:$A$24,0)))*(1-IF(H778&gt;=28,Settings!$B$10,IF(H778&gt;=7,Settings!$B$9,0))),2)),0))</f>
        <v/>
      </c>
      <c r="K778" s="46" t="str">
        <f aca="false">IF(J778="","",IFERROR(N(INDEX(Properties!$G$5:$G$24,MATCH(D778,Properties!$A$5:$A$24,0))),0))</f>
        <v/>
      </c>
      <c r="L778" s="46" t="str">
        <f aca="false">IF(J778="","",IFERROR(MAX(0,N(G778)-INDEX(Properties!$I$5:$I$24,MATCH(D778,Properties!$A$5:$A$24,0)))*N(INDEX(Properties!$J$5:$J$24,MATCH(D778,Properties!$A$5:$A$24,0)))*H778,0))</f>
        <v/>
      </c>
      <c r="M778" s="37"/>
      <c r="N778" s="46" t="str">
        <f aca="false">IF(J778="","",J778+K778+L778+N(M778))</f>
        <v/>
      </c>
      <c r="O778" s="46" t="str">
        <f aca="false">IF(N778="","",IF(P778&lt;&gt;"",N778-P778,ROUND(N778*IFERROR(INDEX(Settings!$E$5:$E$12,MATCH(F778,Settings!$D$5:$D$12,0)),0),2)))</f>
        <v/>
      </c>
      <c r="P778" s="37"/>
      <c r="Q778" s="46" t="str">
        <f aca="false">IF(N778="","",IF(P778&lt;&gt;"",P778,N778-O778))</f>
        <v/>
      </c>
      <c r="R778" s="46" t="str">
        <f aca="false">IF(J778="","",IFERROR(N(INDEX(Properties!$H$5:$H$24,MATCH(D778,Properties!$A$5:$A$24,0))),0))</f>
        <v/>
      </c>
      <c r="S778" s="46" t="str">
        <f aca="false">IF(Q778="","",Q778-R778)</f>
        <v/>
      </c>
      <c r="T778" s="6"/>
      <c r="U778" s="6"/>
      <c r="V778" s="6"/>
      <c r="W778" s="6"/>
      <c r="X778" s="6"/>
      <c r="Y778" s="8" t="str">
        <f aca="false">IF(OR(D778="",B778="",C778=""),"",IF(N(C778)&lt;=N(B778),"Check dates",IF(T778="Cancelled","",IF(COUNTIFS($D$5:$D$1004,D778,$B$5:$B$1004,"&lt;"&amp;C778,$C$5:$C$1004,"&gt;"&amp;B778,$T$5:$T$1004,"&lt;&gt;Cancelled")&gt;1,"Double-booked",""))))</f>
        <v/>
      </c>
      <c r="Z778" s="42" t="str">
        <f aca="false">IF(AND(AA778=1,ISNUMBER(C778)),C778+ROW()/100000,"")</f>
        <v/>
      </c>
      <c r="AA778" s="43" t="n">
        <f aca="false">IF(AND(D778&lt;&gt;"",ISNUMBER(B778),ISNUMBER(C778),N(H778)&gt;0,T778&lt;&gt;"Cancelled",J778&lt;&gt;""),1,0)</f>
        <v>0</v>
      </c>
      <c r="AB778" s="44" t="n">
        <f aca="false">IF(AA778=1,J778/H778,0)</f>
        <v>0</v>
      </c>
      <c r="AC778" s="44" t="n">
        <f aca="false">IF(AA778=1,Q778/H778,0)</f>
        <v>0</v>
      </c>
      <c r="AD778" s="44" t="n">
        <f aca="false">IF(AA778=1,R778/H778,0)</f>
        <v>0</v>
      </c>
      <c r="AE778" s="44" t="n">
        <f aca="false">IF(AA778=1,O778/H778,0)</f>
        <v>0</v>
      </c>
      <c r="AF778" s="44" t="n">
        <f aca="false">IF(AA778=1,K778/H778,0)</f>
        <v>0</v>
      </c>
      <c r="AG778" s="45" t="str">
        <f aca="false">IF(AA778=1,D778&amp;"|"&amp;TEXT(B778,"0"),"")</f>
        <v/>
      </c>
      <c r="AH778" s="43" t="n">
        <f aca="false">IF(AA778=1,H778,0)</f>
        <v>0</v>
      </c>
    </row>
    <row r="779" customFormat="false" ht="15" hidden="false" customHeight="false" outlineLevel="0" collapsed="false">
      <c r="A779" s="8" t="str">
        <f aca="false">IF(B779="","","B-"&amp;TEXT(ROW()-4,"0000"))</f>
        <v/>
      </c>
      <c r="B779" s="38"/>
      <c r="C779" s="38"/>
      <c r="D779" s="6"/>
      <c r="E779" s="6"/>
      <c r="F779" s="6"/>
      <c r="G779" s="11"/>
      <c r="H779" s="18" t="str">
        <f aca="false">IF(AND(ISNUMBER(B779),ISNUMBER(C779)),MAX(0,C779-B779),"")</f>
        <v/>
      </c>
      <c r="I779" s="37"/>
      <c r="J779" s="41" t="str">
        <f aca="false">IF(OR(D779="",N(H779)=0),"",IFERROR(IF(I779&lt;&gt;"",H779*I779,ROUND(((H779-(INT((WEEKDAY(B779-6)+H779-1)/7)+INT((WEEKDAY(B779-7)+H779-1)/7)))*INDEX(Properties!$E$5:$E$24,MATCH(D779,Properties!$A$5:$A$24,0))+(INT((WEEKDAY(B779-6)+H779-1)/7)+INT((WEEKDAY(B779-7)+H779-1)/7))*INDEX(Properties!$F$5:$F$24,MATCH(D779,Properties!$A$5:$A$24,0)))*(1-IF(H779&gt;=28,Settings!$B$10,IF(H779&gt;=7,Settings!$B$9,0))),2)),0))</f>
        <v/>
      </c>
      <c r="K779" s="41" t="str">
        <f aca="false">IF(J779="","",IFERROR(N(INDEX(Properties!$G$5:$G$24,MATCH(D779,Properties!$A$5:$A$24,0))),0))</f>
        <v/>
      </c>
      <c r="L779" s="41" t="str">
        <f aca="false">IF(J779="","",IFERROR(MAX(0,N(G779)-INDEX(Properties!$I$5:$I$24,MATCH(D779,Properties!$A$5:$A$24,0)))*N(INDEX(Properties!$J$5:$J$24,MATCH(D779,Properties!$A$5:$A$24,0)))*H779,0))</f>
        <v/>
      </c>
      <c r="M779" s="37"/>
      <c r="N779" s="41" t="str">
        <f aca="false">IF(J779="","",J779+K779+L779+N(M779))</f>
        <v/>
      </c>
      <c r="O779" s="41" t="str">
        <f aca="false">IF(N779="","",IF(P779&lt;&gt;"",N779-P779,ROUND(N779*IFERROR(INDEX(Settings!$E$5:$E$12,MATCH(F779,Settings!$D$5:$D$12,0)),0),2)))</f>
        <v/>
      </c>
      <c r="P779" s="37"/>
      <c r="Q779" s="41" t="str">
        <f aca="false">IF(N779="","",IF(P779&lt;&gt;"",P779,N779-O779))</f>
        <v/>
      </c>
      <c r="R779" s="41" t="str">
        <f aca="false">IF(J779="","",IFERROR(N(INDEX(Properties!$H$5:$H$24,MATCH(D779,Properties!$A$5:$A$24,0))),0))</f>
        <v/>
      </c>
      <c r="S779" s="41" t="str">
        <f aca="false">IF(Q779="","",Q779-R779)</f>
        <v/>
      </c>
      <c r="T779" s="6"/>
      <c r="U779" s="6"/>
      <c r="V779" s="6"/>
      <c r="W779" s="6"/>
      <c r="X779" s="6"/>
      <c r="Y779" s="8" t="str">
        <f aca="false">IF(OR(D779="",B779="",C779=""),"",IF(N(C779)&lt;=N(B779),"Check dates",IF(T779="Cancelled","",IF(COUNTIFS($D$5:$D$1004,D779,$B$5:$B$1004,"&lt;"&amp;C779,$C$5:$C$1004,"&gt;"&amp;B779,$T$5:$T$1004,"&lt;&gt;Cancelled")&gt;1,"Double-booked",""))))</f>
        <v/>
      </c>
      <c r="Z779" s="42" t="str">
        <f aca="false">IF(AND(AA779=1,ISNUMBER(C779)),C779+ROW()/100000,"")</f>
        <v/>
      </c>
      <c r="AA779" s="43" t="n">
        <f aca="false">IF(AND(D779&lt;&gt;"",ISNUMBER(B779),ISNUMBER(C779),N(H779)&gt;0,T779&lt;&gt;"Cancelled",J779&lt;&gt;""),1,0)</f>
        <v>0</v>
      </c>
      <c r="AB779" s="44" t="n">
        <f aca="false">IF(AA779=1,J779/H779,0)</f>
        <v>0</v>
      </c>
      <c r="AC779" s="44" t="n">
        <f aca="false">IF(AA779=1,Q779/H779,0)</f>
        <v>0</v>
      </c>
      <c r="AD779" s="44" t="n">
        <f aca="false">IF(AA779=1,R779/H779,0)</f>
        <v>0</v>
      </c>
      <c r="AE779" s="44" t="n">
        <f aca="false">IF(AA779=1,O779/H779,0)</f>
        <v>0</v>
      </c>
      <c r="AF779" s="44" t="n">
        <f aca="false">IF(AA779=1,K779/H779,0)</f>
        <v>0</v>
      </c>
      <c r="AG779" s="45" t="str">
        <f aca="false">IF(AA779=1,D779&amp;"|"&amp;TEXT(B779,"0"),"")</f>
        <v/>
      </c>
      <c r="AH779" s="43" t="n">
        <f aca="false">IF(AA779=1,H779,0)</f>
        <v>0</v>
      </c>
    </row>
    <row r="780" customFormat="false" ht="15" hidden="false" customHeight="false" outlineLevel="0" collapsed="false">
      <c r="A780" s="23" t="str">
        <f aca="false">IF(B780="","","B-"&amp;TEXT(ROW()-4,"0000"))</f>
        <v/>
      </c>
      <c r="B780" s="38"/>
      <c r="C780" s="38"/>
      <c r="D780" s="6"/>
      <c r="E780" s="6"/>
      <c r="F780" s="6"/>
      <c r="G780" s="11"/>
      <c r="H780" s="24" t="str">
        <f aca="false">IF(AND(ISNUMBER(B780),ISNUMBER(C780)),MAX(0,C780-B780),"")</f>
        <v/>
      </c>
      <c r="I780" s="37"/>
      <c r="J780" s="46" t="str">
        <f aca="false">IF(OR(D780="",N(H780)=0),"",IFERROR(IF(I780&lt;&gt;"",H780*I780,ROUND(((H780-(INT((WEEKDAY(B780-6)+H780-1)/7)+INT((WEEKDAY(B780-7)+H780-1)/7)))*INDEX(Properties!$E$5:$E$24,MATCH(D780,Properties!$A$5:$A$24,0))+(INT((WEEKDAY(B780-6)+H780-1)/7)+INT((WEEKDAY(B780-7)+H780-1)/7))*INDEX(Properties!$F$5:$F$24,MATCH(D780,Properties!$A$5:$A$24,0)))*(1-IF(H780&gt;=28,Settings!$B$10,IF(H780&gt;=7,Settings!$B$9,0))),2)),0))</f>
        <v/>
      </c>
      <c r="K780" s="46" t="str">
        <f aca="false">IF(J780="","",IFERROR(N(INDEX(Properties!$G$5:$G$24,MATCH(D780,Properties!$A$5:$A$24,0))),0))</f>
        <v/>
      </c>
      <c r="L780" s="46" t="str">
        <f aca="false">IF(J780="","",IFERROR(MAX(0,N(G780)-INDEX(Properties!$I$5:$I$24,MATCH(D780,Properties!$A$5:$A$24,0)))*N(INDEX(Properties!$J$5:$J$24,MATCH(D780,Properties!$A$5:$A$24,0)))*H780,0))</f>
        <v/>
      </c>
      <c r="M780" s="37"/>
      <c r="N780" s="46" t="str">
        <f aca="false">IF(J780="","",J780+K780+L780+N(M780))</f>
        <v/>
      </c>
      <c r="O780" s="46" t="str">
        <f aca="false">IF(N780="","",IF(P780&lt;&gt;"",N780-P780,ROUND(N780*IFERROR(INDEX(Settings!$E$5:$E$12,MATCH(F780,Settings!$D$5:$D$12,0)),0),2)))</f>
        <v/>
      </c>
      <c r="P780" s="37"/>
      <c r="Q780" s="46" t="str">
        <f aca="false">IF(N780="","",IF(P780&lt;&gt;"",P780,N780-O780))</f>
        <v/>
      </c>
      <c r="R780" s="46" t="str">
        <f aca="false">IF(J780="","",IFERROR(N(INDEX(Properties!$H$5:$H$24,MATCH(D780,Properties!$A$5:$A$24,0))),0))</f>
        <v/>
      </c>
      <c r="S780" s="46" t="str">
        <f aca="false">IF(Q780="","",Q780-R780)</f>
        <v/>
      </c>
      <c r="T780" s="6"/>
      <c r="U780" s="6"/>
      <c r="V780" s="6"/>
      <c r="W780" s="6"/>
      <c r="X780" s="6"/>
      <c r="Y780" s="8" t="str">
        <f aca="false">IF(OR(D780="",B780="",C780=""),"",IF(N(C780)&lt;=N(B780),"Check dates",IF(T780="Cancelled","",IF(COUNTIFS($D$5:$D$1004,D780,$B$5:$B$1004,"&lt;"&amp;C780,$C$5:$C$1004,"&gt;"&amp;B780,$T$5:$T$1004,"&lt;&gt;Cancelled")&gt;1,"Double-booked",""))))</f>
        <v/>
      </c>
      <c r="Z780" s="42" t="str">
        <f aca="false">IF(AND(AA780=1,ISNUMBER(C780)),C780+ROW()/100000,"")</f>
        <v/>
      </c>
      <c r="AA780" s="43" t="n">
        <f aca="false">IF(AND(D780&lt;&gt;"",ISNUMBER(B780),ISNUMBER(C780),N(H780)&gt;0,T780&lt;&gt;"Cancelled",J780&lt;&gt;""),1,0)</f>
        <v>0</v>
      </c>
      <c r="AB780" s="44" t="n">
        <f aca="false">IF(AA780=1,J780/H780,0)</f>
        <v>0</v>
      </c>
      <c r="AC780" s="44" t="n">
        <f aca="false">IF(AA780=1,Q780/H780,0)</f>
        <v>0</v>
      </c>
      <c r="AD780" s="44" t="n">
        <f aca="false">IF(AA780=1,R780/H780,0)</f>
        <v>0</v>
      </c>
      <c r="AE780" s="44" t="n">
        <f aca="false">IF(AA780=1,O780/H780,0)</f>
        <v>0</v>
      </c>
      <c r="AF780" s="44" t="n">
        <f aca="false">IF(AA780=1,K780/H780,0)</f>
        <v>0</v>
      </c>
      <c r="AG780" s="45" t="str">
        <f aca="false">IF(AA780=1,D780&amp;"|"&amp;TEXT(B780,"0"),"")</f>
        <v/>
      </c>
      <c r="AH780" s="43" t="n">
        <f aca="false">IF(AA780=1,H780,0)</f>
        <v>0</v>
      </c>
    </row>
    <row r="781" customFormat="false" ht="15" hidden="false" customHeight="false" outlineLevel="0" collapsed="false">
      <c r="A781" s="8" t="str">
        <f aca="false">IF(B781="","","B-"&amp;TEXT(ROW()-4,"0000"))</f>
        <v/>
      </c>
      <c r="B781" s="38"/>
      <c r="C781" s="38"/>
      <c r="D781" s="6"/>
      <c r="E781" s="6"/>
      <c r="F781" s="6"/>
      <c r="G781" s="11"/>
      <c r="H781" s="18" t="str">
        <f aca="false">IF(AND(ISNUMBER(B781),ISNUMBER(C781)),MAX(0,C781-B781),"")</f>
        <v/>
      </c>
      <c r="I781" s="37"/>
      <c r="J781" s="41" t="str">
        <f aca="false">IF(OR(D781="",N(H781)=0),"",IFERROR(IF(I781&lt;&gt;"",H781*I781,ROUND(((H781-(INT((WEEKDAY(B781-6)+H781-1)/7)+INT((WEEKDAY(B781-7)+H781-1)/7)))*INDEX(Properties!$E$5:$E$24,MATCH(D781,Properties!$A$5:$A$24,0))+(INT((WEEKDAY(B781-6)+H781-1)/7)+INT((WEEKDAY(B781-7)+H781-1)/7))*INDEX(Properties!$F$5:$F$24,MATCH(D781,Properties!$A$5:$A$24,0)))*(1-IF(H781&gt;=28,Settings!$B$10,IF(H781&gt;=7,Settings!$B$9,0))),2)),0))</f>
        <v/>
      </c>
      <c r="K781" s="41" t="str">
        <f aca="false">IF(J781="","",IFERROR(N(INDEX(Properties!$G$5:$G$24,MATCH(D781,Properties!$A$5:$A$24,0))),0))</f>
        <v/>
      </c>
      <c r="L781" s="41" t="str">
        <f aca="false">IF(J781="","",IFERROR(MAX(0,N(G781)-INDEX(Properties!$I$5:$I$24,MATCH(D781,Properties!$A$5:$A$24,0)))*N(INDEX(Properties!$J$5:$J$24,MATCH(D781,Properties!$A$5:$A$24,0)))*H781,0))</f>
        <v/>
      </c>
      <c r="M781" s="37"/>
      <c r="N781" s="41" t="str">
        <f aca="false">IF(J781="","",J781+K781+L781+N(M781))</f>
        <v/>
      </c>
      <c r="O781" s="41" t="str">
        <f aca="false">IF(N781="","",IF(P781&lt;&gt;"",N781-P781,ROUND(N781*IFERROR(INDEX(Settings!$E$5:$E$12,MATCH(F781,Settings!$D$5:$D$12,0)),0),2)))</f>
        <v/>
      </c>
      <c r="P781" s="37"/>
      <c r="Q781" s="41" t="str">
        <f aca="false">IF(N781="","",IF(P781&lt;&gt;"",P781,N781-O781))</f>
        <v/>
      </c>
      <c r="R781" s="41" t="str">
        <f aca="false">IF(J781="","",IFERROR(N(INDEX(Properties!$H$5:$H$24,MATCH(D781,Properties!$A$5:$A$24,0))),0))</f>
        <v/>
      </c>
      <c r="S781" s="41" t="str">
        <f aca="false">IF(Q781="","",Q781-R781)</f>
        <v/>
      </c>
      <c r="T781" s="6"/>
      <c r="U781" s="6"/>
      <c r="V781" s="6"/>
      <c r="W781" s="6"/>
      <c r="X781" s="6"/>
      <c r="Y781" s="8" t="str">
        <f aca="false">IF(OR(D781="",B781="",C781=""),"",IF(N(C781)&lt;=N(B781),"Check dates",IF(T781="Cancelled","",IF(COUNTIFS($D$5:$D$1004,D781,$B$5:$B$1004,"&lt;"&amp;C781,$C$5:$C$1004,"&gt;"&amp;B781,$T$5:$T$1004,"&lt;&gt;Cancelled")&gt;1,"Double-booked",""))))</f>
        <v/>
      </c>
      <c r="Z781" s="42" t="str">
        <f aca="false">IF(AND(AA781=1,ISNUMBER(C781)),C781+ROW()/100000,"")</f>
        <v/>
      </c>
      <c r="AA781" s="43" t="n">
        <f aca="false">IF(AND(D781&lt;&gt;"",ISNUMBER(B781),ISNUMBER(C781),N(H781)&gt;0,T781&lt;&gt;"Cancelled",J781&lt;&gt;""),1,0)</f>
        <v>0</v>
      </c>
      <c r="AB781" s="44" t="n">
        <f aca="false">IF(AA781=1,J781/H781,0)</f>
        <v>0</v>
      </c>
      <c r="AC781" s="44" t="n">
        <f aca="false">IF(AA781=1,Q781/H781,0)</f>
        <v>0</v>
      </c>
      <c r="AD781" s="44" t="n">
        <f aca="false">IF(AA781=1,R781/H781,0)</f>
        <v>0</v>
      </c>
      <c r="AE781" s="44" t="n">
        <f aca="false">IF(AA781=1,O781/H781,0)</f>
        <v>0</v>
      </c>
      <c r="AF781" s="44" t="n">
        <f aca="false">IF(AA781=1,K781/H781,0)</f>
        <v>0</v>
      </c>
      <c r="AG781" s="45" t="str">
        <f aca="false">IF(AA781=1,D781&amp;"|"&amp;TEXT(B781,"0"),"")</f>
        <v/>
      </c>
      <c r="AH781" s="43" t="n">
        <f aca="false">IF(AA781=1,H781,0)</f>
        <v>0</v>
      </c>
    </row>
    <row r="782" customFormat="false" ht="15" hidden="false" customHeight="false" outlineLevel="0" collapsed="false">
      <c r="A782" s="23" t="str">
        <f aca="false">IF(B782="","","B-"&amp;TEXT(ROW()-4,"0000"))</f>
        <v/>
      </c>
      <c r="B782" s="38"/>
      <c r="C782" s="38"/>
      <c r="D782" s="6"/>
      <c r="E782" s="6"/>
      <c r="F782" s="6"/>
      <c r="G782" s="11"/>
      <c r="H782" s="24" t="str">
        <f aca="false">IF(AND(ISNUMBER(B782),ISNUMBER(C782)),MAX(0,C782-B782),"")</f>
        <v/>
      </c>
      <c r="I782" s="37"/>
      <c r="J782" s="46" t="str">
        <f aca="false">IF(OR(D782="",N(H782)=0),"",IFERROR(IF(I782&lt;&gt;"",H782*I782,ROUND(((H782-(INT((WEEKDAY(B782-6)+H782-1)/7)+INT((WEEKDAY(B782-7)+H782-1)/7)))*INDEX(Properties!$E$5:$E$24,MATCH(D782,Properties!$A$5:$A$24,0))+(INT((WEEKDAY(B782-6)+H782-1)/7)+INT((WEEKDAY(B782-7)+H782-1)/7))*INDEX(Properties!$F$5:$F$24,MATCH(D782,Properties!$A$5:$A$24,0)))*(1-IF(H782&gt;=28,Settings!$B$10,IF(H782&gt;=7,Settings!$B$9,0))),2)),0))</f>
        <v/>
      </c>
      <c r="K782" s="46" t="str">
        <f aca="false">IF(J782="","",IFERROR(N(INDEX(Properties!$G$5:$G$24,MATCH(D782,Properties!$A$5:$A$24,0))),0))</f>
        <v/>
      </c>
      <c r="L782" s="46" t="str">
        <f aca="false">IF(J782="","",IFERROR(MAX(0,N(G782)-INDEX(Properties!$I$5:$I$24,MATCH(D782,Properties!$A$5:$A$24,0)))*N(INDEX(Properties!$J$5:$J$24,MATCH(D782,Properties!$A$5:$A$24,0)))*H782,0))</f>
        <v/>
      </c>
      <c r="M782" s="37"/>
      <c r="N782" s="46" t="str">
        <f aca="false">IF(J782="","",J782+K782+L782+N(M782))</f>
        <v/>
      </c>
      <c r="O782" s="46" t="str">
        <f aca="false">IF(N782="","",IF(P782&lt;&gt;"",N782-P782,ROUND(N782*IFERROR(INDEX(Settings!$E$5:$E$12,MATCH(F782,Settings!$D$5:$D$12,0)),0),2)))</f>
        <v/>
      </c>
      <c r="P782" s="37"/>
      <c r="Q782" s="46" t="str">
        <f aca="false">IF(N782="","",IF(P782&lt;&gt;"",P782,N782-O782))</f>
        <v/>
      </c>
      <c r="R782" s="46" t="str">
        <f aca="false">IF(J782="","",IFERROR(N(INDEX(Properties!$H$5:$H$24,MATCH(D782,Properties!$A$5:$A$24,0))),0))</f>
        <v/>
      </c>
      <c r="S782" s="46" t="str">
        <f aca="false">IF(Q782="","",Q782-R782)</f>
        <v/>
      </c>
      <c r="T782" s="6"/>
      <c r="U782" s="6"/>
      <c r="V782" s="6"/>
      <c r="W782" s="6"/>
      <c r="X782" s="6"/>
      <c r="Y782" s="8" t="str">
        <f aca="false">IF(OR(D782="",B782="",C782=""),"",IF(N(C782)&lt;=N(B782),"Check dates",IF(T782="Cancelled","",IF(COUNTIFS($D$5:$D$1004,D782,$B$5:$B$1004,"&lt;"&amp;C782,$C$5:$C$1004,"&gt;"&amp;B782,$T$5:$T$1004,"&lt;&gt;Cancelled")&gt;1,"Double-booked",""))))</f>
        <v/>
      </c>
      <c r="Z782" s="42" t="str">
        <f aca="false">IF(AND(AA782=1,ISNUMBER(C782)),C782+ROW()/100000,"")</f>
        <v/>
      </c>
      <c r="AA782" s="43" t="n">
        <f aca="false">IF(AND(D782&lt;&gt;"",ISNUMBER(B782),ISNUMBER(C782),N(H782)&gt;0,T782&lt;&gt;"Cancelled",J782&lt;&gt;""),1,0)</f>
        <v>0</v>
      </c>
      <c r="AB782" s="44" t="n">
        <f aca="false">IF(AA782=1,J782/H782,0)</f>
        <v>0</v>
      </c>
      <c r="AC782" s="44" t="n">
        <f aca="false">IF(AA782=1,Q782/H782,0)</f>
        <v>0</v>
      </c>
      <c r="AD782" s="44" t="n">
        <f aca="false">IF(AA782=1,R782/H782,0)</f>
        <v>0</v>
      </c>
      <c r="AE782" s="44" t="n">
        <f aca="false">IF(AA782=1,O782/H782,0)</f>
        <v>0</v>
      </c>
      <c r="AF782" s="44" t="n">
        <f aca="false">IF(AA782=1,K782/H782,0)</f>
        <v>0</v>
      </c>
      <c r="AG782" s="45" t="str">
        <f aca="false">IF(AA782=1,D782&amp;"|"&amp;TEXT(B782,"0"),"")</f>
        <v/>
      </c>
      <c r="AH782" s="43" t="n">
        <f aca="false">IF(AA782=1,H782,0)</f>
        <v>0</v>
      </c>
    </row>
    <row r="783" customFormat="false" ht="15" hidden="false" customHeight="false" outlineLevel="0" collapsed="false">
      <c r="A783" s="8" t="str">
        <f aca="false">IF(B783="","","B-"&amp;TEXT(ROW()-4,"0000"))</f>
        <v/>
      </c>
      <c r="B783" s="38"/>
      <c r="C783" s="38"/>
      <c r="D783" s="6"/>
      <c r="E783" s="6"/>
      <c r="F783" s="6"/>
      <c r="G783" s="11"/>
      <c r="H783" s="18" t="str">
        <f aca="false">IF(AND(ISNUMBER(B783),ISNUMBER(C783)),MAX(0,C783-B783),"")</f>
        <v/>
      </c>
      <c r="I783" s="37"/>
      <c r="J783" s="41" t="str">
        <f aca="false">IF(OR(D783="",N(H783)=0),"",IFERROR(IF(I783&lt;&gt;"",H783*I783,ROUND(((H783-(INT((WEEKDAY(B783-6)+H783-1)/7)+INT((WEEKDAY(B783-7)+H783-1)/7)))*INDEX(Properties!$E$5:$E$24,MATCH(D783,Properties!$A$5:$A$24,0))+(INT((WEEKDAY(B783-6)+H783-1)/7)+INT((WEEKDAY(B783-7)+H783-1)/7))*INDEX(Properties!$F$5:$F$24,MATCH(D783,Properties!$A$5:$A$24,0)))*(1-IF(H783&gt;=28,Settings!$B$10,IF(H783&gt;=7,Settings!$B$9,0))),2)),0))</f>
        <v/>
      </c>
      <c r="K783" s="41" t="str">
        <f aca="false">IF(J783="","",IFERROR(N(INDEX(Properties!$G$5:$G$24,MATCH(D783,Properties!$A$5:$A$24,0))),0))</f>
        <v/>
      </c>
      <c r="L783" s="41" t="str">
        <f aca="false">IF(J783="","",IFERROR(MAX(0,N(G783)-INDEX(Properties!$I$5:$I$24,MATCH(D783,Properties!$A$5:$A$24,0)))*N(INDEX(Properties!$J$5:$J$24,MATCH(D783,Properties!$A$5:$A$24,0)))*H783,0))</f>
        <v/>
      </c>
      <c r="M783" s="37"/>
      <c r="N783" s="41" t="str">
        <f aca="false">IF(J783="","",J783+K783+L783+N(M783))</f>
        <v/>
      </c>
      <c r="O783" s="41" t="str">
        <f aca="false">IF(N783="","",IF(P783&lt;&gt;"",N783-P783,ROUND(N783*IFERROR(INDEX(Settings!$E$5:$E$12,MATCH(F783,Settings!$D$5:$D$12,0)),0),2)))</f>
        <v/>
      </c>
      <c r="P783" s="37"/>
      <c r="Q783" s="41" t="str">
        <f aca="false">IF(N783="","",IF(P783&lt;&gt;"",P783,N783-O783))</f>
        <v/>
      </c>
      <c r="R783" s="41" t="str">
        <f aca="false">IF(J783="","",IFERROR(N(INDEX(Properties!$H$5:$H$24,MATCH(D783,Properties!$A$5:$A$24,0))),0))</f>
        <v/>
      </c>
      <c r="S783" s="41" t="str">
        <f aca="false">IF(Q783="","",Q783-R783)</f>
        <v/>
      </c>
      <c r="T783" s="6"/>
      <c r="U783" s="6"/>
      <c r="V783" s="6"/>
      <c r="W783" s="6"/>
      <c r="X783" s="6"/>
      <c r="Y783" s="8" t="str">
        <f aca="false">IF(OR(D783="",B783="",C783=""),"",IF(N(C783)&lt;=N(B783),"Check dates",IF(T783="Cancelled","",IF(COUNTIFS($D$5:$D$1004,D783,$B$5:$B$1004,"&lt;"&amp;C783,$C$5:$C$1004,"&gt;"&amp;B783,$T$5:$T$1004,"&lt;&gt;Cancelled")&gt;1,"Double-booked",""))))</f>
        <v/>
      </c>
      <c r="Z783" s="42" t="str">
        <f aca="false">IF(AND(AA783=1,ISNUMBER(C783)),C783+ROW()/100000,"")</f>
        <v/>
      </c>
      <c r="AA783" s="43" t="n">
        <f aca="false">IF(AND(D783&lt;&gt;"",ISNUMBER(B783),ISNUMBER(C783),N(H783)&gt;0,T783&lt;&gt;"Cancelled",J783&lt;&gt;""),1,0)</f>
        <v>0</v>
      </c>
      <c r="AB783" s="44" t="n">
        <f aca="false">IF(AA783=1,J783/H783,0)</f>
        <v>0</v>
      </c>
      <c r="AC783" s="44" t="n">
        <f aca="false">IF(AA783=1,Q783/H783,0)</f>
        <v>0</v>
      </c>
      <c r="AD783" s="44" t="n">
        <f aca="false">IF(AA783=1,R783/H783,0)</f>
        <v>0</v>
      </c>
      <c r="AE783" s="44" t="n">
        <f aca="false">IF(AA783=1,O783/H783,0)</f>
        <v>0</v>
      </c>
      <c r="AF783" s="44" t="n">
        <f aca="false">IF(AA783=1,K783/H783,0)</f>
        <v>0</v>
      </c>
      <c r="AG783" s="45" t="str">
        <f aca="false">IF(AA783=1,D783&amp;"|"&amp;TEXT(B783,"0"),"")</f>
        <v/>
      </c>
      <c r="AH783" s="43" t="n">
        <f aca="false">IF(AA783=1,H783,0)</f>
        <v>0</v>
      </c>
    </row>
    <row r="784" customFormat="false" ht="15" hidden="false" customHeight="false" outlineLevel="0" collapsed="false">
      <c r="A784" s="23" t="str">
        <f aca="false">IF(B784="","","B-"&amp;TEXT(ROW()-4,"0000"))</f>
        <v/>
      </c>
      <c r="B784" s="38"/>
      <c r="C784" s="38"/>
      <c r="D784" s="6"/>
      <c r="E784" s="6"/>
      <c r="F784" s="6"/>
      <c r="G784" s="11"/>
      <c r="H784" s="24" t="str">
        <f aca="false">IF(AND(ISNUMBER(B784),ISNUMBER(C784)),MAX(0,C784-B784),"")</f>
        <v/>
      </c>
      <c r="I784" s="37"/>
      <c r="J784" s="46" t="str">
        <f aca="false">IF(OR(D784="",N(H784)=0),"",IFERROR(IF(I784&lt;&gt;"",H784*I784,ROUND(((H784-(INT((WEEKDAY(B784-6)+H784-1)/7)+INT((WEEKDAY(B784-7)+H784-1)/7)))*INDEX(Properties!$E$5:$E$24,MATCH(D784,Properties!$A$5:$A$24,0))+(INT((WEEKDAY(B784-6)+H784-1)/7)+INT((WEEKDAY(B784-7)+H784-1)/7))*INDEX(Properties!$F$5:$F$24,MATCH(D784,Properties!$A$5:$A$24,0)))*(1-IF(H784&gt;=28,Settings!$B$10,IF(H784&gt;=7,Settings!$B$9,0))),2)),0))</f>
        <v/>
      </c>
      <c r="K784" s="46" t="str">
        <f aca="false">IF(J784="","",IFERROR(N(INDEX(Properties!$G$5:$G$24,MATCH(D784,Properties!$A$5:$A$24,0))),0))</f>
        <v/>
      </c>
      <c r="L784" s="46" t="str">
        <f aca="false">IF(J784="","",IFERROR(MAX(0,N(G784)-INDEX(Properties!$I$5:$I$24,MATCH(D784,Properties!$A$5:$A$24,0)))*N(INDEX(Properties!$J$5:$J$24,MATCH(D784,Properties!$A$5:$A$24,0)))*H784,0))</f>
        <v/>
      </c>
      <c r="M784" s="37"/>
      <c r="N784" s="46" t="str">
        <f aca="false">IF(J784="","",J784+K784+L784+N(M784))</f>
        <v/>
      </c>
      <c r="O784" s="46" t="str">
        <f aca="false">IF(N784="","",IF(P784&lt;&gt;"",N784-P784,ROUND(N784*IFERROR(INDEX(Settings!$E$5:$E$12,MATCH(F784,Settings!$D$5:$D$12,0)),0),2)))</f>
        <v/>
      </c>
      <c r="P784" s="37"/>
      <c r="Q784" s="46" t="str">
        <f aca="false">IF(N784="","",IF(P784&lt;&gt;"",P784,N784-O784))</f>
        <v/>
      </c>
      <c r="R784" s="46" t="str">
        <f aca="false">IF(J784="","",IFERROR(N(INDEX(Properties!$H$5:$H$24,MATCH(D784,Properties!$A$5:$A$24,0))),0))</f>
        <v/>
      </c>
      <c r="S784" s="46" t="str">
        <f aca="false">IF(Q784="","",Q784-R784)</f>
        <v/>
      </c>
      <c r="T784" s="6"/>
      <c r="U784" s="6"/>
      <c r="V784" s="6"/>
      <c r="W784" s="6"/>
      <c r="X784" s="6"/>
      <c r="Y784" s="8" t="str">
        <f aca="false">IF(OR(D784="",B784="",C784=""),"",IF(N(C784)&lt;=N(B784),"Check dates",IF(T784="Cancelled","",IF(COUNTIFS($D$5:$D$1004,D784,$B$5:$B$1004,"&lt;"&amp;C784,$C$5:$C$1004,"&gt;"&amp;B784,$T$5:$T$1004,"&lt;&gt;Cancelled")&gt;1,"Double-booked",""))))</f>
        <v/>
      </c>
      <c r="Z784" s="42" t="str">
        <f aca="false">IF(AND(AA784=1,ISNUMBER(C784)),C784+ROW()/100000,"")</f>
        <v/>
      </c>
      <c r="AA784" s="43" t="n">
        <f aca="false">IF(AND(D784&lt;&gt;"",ISNUMBER(B784),ISNUMBER(C784),N(H784)&gt;0,T784&lt;&gt;"Cancelled",J784&lt;&gt;""),1,0)</f>
        <v>0</v>
      </c>
      <c r="AB784" s="44" t="n">
        <f aca="false">IF(AA784=1,J784/H784,0)</f>
        <v>0</v>
      </c>
      <c r="AC784" s="44" t="n">
        <f aca="false">IF(AA784=1,Q784/H784,0)</f>
        <v>0</v>
      </c>
      <c r="AD784" s="44" t="n">
        <f aca="false">IF(AA784=1,R784/H784,0)</f>
        <v>0</v>
      </c>
      <c r="AE784" s="44" t="n">
        <f aca="false">IF(AA784=1,O784/H784,0)</f>
        <v>0</v>
      </c>
      <c r="AF784" s="44" t="n">
        <f aca="false">IF(AA784=1,K784/H784,0)</f>
        <v>0</v>
      </c>
      <c r="AG784" s="45" t="str">
        <f aca="false">IF(AA784=1,D784&amp;"|"&amp;TEXT(B784,"0"),"")</f>
        <v/>
      </c>
      <c r="AH784" s="43" t="n">
        <f aca="false">IF(AA784=1,H784,0)</f>
        <v>0</v>
      </c>
    </row>
    <row r="785" customFormat="false" ht="15" hidden="false" customHeight="false" outlineLevel="0" collapsed="false">
      <c r="A785" s="8" t="str">
        <f aca="false">IF(B785="","","B-"&amp;TEXT(ROW()-4,"0000"))</f>
        <v/>
      </c>
      <c r="B785" s="38"/>
      <c r="C785" s="38"/>
      <c r="D785" s="6"/>
      <c r="E785" s="6"/>
      <c r="F785" s="6"/>
      <c r="G785" s="11"/>
      <c r="H785" s="18" t="str">
        <f aca="false">IF(AND(ISNUMBER(B785),ISNUMBER(C785)),MAX(0,C785-B785),"")</f>
        <v/>
      </c>
      <c r="I785" s="37"/>
      <c r="J785" s="41" t="str">
        <f aca="false">IF(OR(D785="",N(H785)=0),"",IFERROR(IF(I785&lt;&gt;"",H785*I785,ROUND(((H785-(INT((WEEKDAY(B785-6)+H785-1)/7)+INT((WEEKDAY(B785-7)+H785-1)/7)))*INDEX(Properties!$E$5:$E$24,MATCH(D785,Properties!$A$5:$A$24,0))+(INT((WEEKDAY(B785-6)+H785-1)/7)+INT((WEEKDAY(B785-7)+H785-1)/7))*INDEX(Properties!$F$5:$F$24,MATCH(D785,Properties!$A$5:$A$24,0)))*(1-IF(H785&gt;=28,Settings!$B$10,IF(H785&gt;=7,Settings!$B$9,0))),2)),0))</f>
        <v/>
      </c>
      <c r="K785" s="41" t="str">
        <f aca="false">IF(J785="","",IFERROR(N(INDEX(Properties!$G$5:$G$24,MATCH(D785,Properties!$A$5:$A$24,0))),0))</f>
        <v/>
      </c>
      <c r="L785" s="41" t="str">
        <f aca="false">IF(J785="","",IFERROR(MAX(0,N(G785)-INDEX(Properties!$I$5:$I$24,MATCH(D785,Properties!$A$5:$A$24,0)))*N(INDEX(Properties!$J$5:$J$24,MATCH(D785,Properties!$A$5:$A$24,0)))*H785,0))</f>
        <v/>
      </c>
      <c r="M785" s="37"/>
      <c r="N785" s="41" t="str">
        <f aca="false">IF(J785="","",J785+K785+L785+N(M785))</f>
        <v/>
      </c>
      <c r="O785" s="41" t="str">
        <f aca="false">IF(N785="","",IF(P785&lt;&gt;"",N785-P785,ROUND(N785*IFERROR(INDEX(Settings!$E$5:$E$12,MATCH(F785,Settings!$D$5:$D$12,0)),0),2)))</f>
        <v/>
      </c>
      <c r="P785" s="37"/>
      <c r="Q785" s="41" t="str">
        <f aca="false">IF(N785="","",IF(P785&lt;&gt;"",P785,N785-O785))</f>
        <v/>
      </c>
      <c r="R785" s="41" t="str">
        <f aca="false">IF(J785="","",IFERROR(N(INDEX(Properties!$H$5:$H$24,MATCH(D785,Properties!$A$5:$A$24,0))),0))</f>
        <v/>
      </c>
      <c r="S785" s="41" t="str">
        <f aca="false">IF(Q785="","",Q785-R785)</f>
        <v/>
      </c>
      <c r="T785" s="6"/>
      <c r="U785" s="6"/>
      <c r="V785" s="6"/>
      <c r="W785" s="6"/>
      <c r="X785" s="6"/>
      <c r="Y785" s="8" t="str">
        <f aca="false">IF(OR(D785="",B785="",C785=""),"",IF(N(C785)&lt;=N(B785),"Check dates",IF(T785="Cancelled","",IF(COUNTIFS($D$5:$D$1004,D785,$B$5:$B$1004,"&lt;"&amp;C785,$C$5:$C$1004,"&gt;"&amp;B785,$T$5:$T$1004,"&lt;&gt;Cancelled")&gt;1,"Double-booked",""))))</f>
        <v/>
      </c>
      <c r="Z785" s="42" t="str">
        <f aca="false">IF(AND(AA785=1,ISNUMBER(C785)),C785+ROW()/100000,"")</f>
        <v/>
      </c>
      <c r="AA785" s="43" t="n">
        <f aca="false">IF(AND(D785&lt;&gt;"",ISNUMBER(B785),ISNUMBER(C785),N(H785)&gt;0,T785&lt;&gt;"Cancelled",J785&lt;&gt;""),1,0)</f>
        <v>0</v>
      </c>
      <c r="AB785" s="44" t="n">
        <f aca="false">IF(AA785=1,J785/H785,0)</f>
        <v>0</v>
      </c>
      <c r="AC785" s="44" t="n">
        <f aca="false">IF(AA785=1,Q785/H785,0)</f>
        <v>0</v>
      </c>
      <c r="AD785" s="44" t="n">
        <f aca="false">IF(AA785=1,R785/H785,0)</f>
        <v>0</v>
      </c>
      <c r="AE785" s="44" t="n">
        <f aca="false">IF(AA785=1,O785/H785,0)</f>
        <v>0</v>
      </c>
      <c r="AF785" s="44" t="n">
        <f aca="false">IF(AA785=1,K785/H785,0)</f>
        <v>0</v>
      </c>
      <c r="AG785" s="45" t="str">
        <f aca="false">IF(AA785=1,D785&amp;"|"&amp;TEXT(B785,"0"),"")</f>
        <v/>
      </c>
      <c r="AH785" s="43" t="n">
        <f aca="false">IF(AA785=1,H785,0)</f>
        <v>0</v>
      </c>
    </row>
    <row r="786" customFormat="false" ht="15" hidden="false" customHeight="false" outlineLevel="0" collapsed="false">
      <c r="A786" s="23" t="str">
        <f aca="false">IF(B786="","","B-"&amp;TEXT(ROW()-4,"0000"))</f>
        <v/>
      </c>
      <c r="B786" s="38"/>
      <c r="C786" s="38"/>
      <c r="D786" s="6"/>
      <c r="E786" s="6"/>
      <c r="F786" s="6"/>
      <c r="G786" s="11"/>
      <c r="H786" s="24" t="str">
        <f aca="false">IF(AND(ISNUMBER(B786),ISNUMBER(C786)),MAX(0,C786-B786),"")</f>
        <v/>
      </c>
      <c r="I786" s="37"/>
      <c r="J786" s="46" t="str">
        <f aca="false">IF(OR(D786="",N(H786)=0),"",IFERROR(IF(I786&lt;&gt;"",H786*I786,ROUND(((H786-(INT((WEEKDAY(B786-6)+H786-1)/7)+INT((WEEKDAY(B786-7)+H786-1)/7)))*INDEX(Properties!$E$5:$E$24,MATCH(D786,Properties!$A$5:$A$24,0))+(INT((WEEKDAY(B786-6)+H786-1)/7)+INT((WEEKDAY(B786-7)+H786-1)/7))*INDEX(Properties!$F$5:$F$24,MATCH(D786,Properties!$A$5:$A$24,0)))*(1-IF(H786&gt;=28,Settings!$B$10,IF(H786&gt;=7,Settings!$B$9,0))),2)),0))</f>
        <v/>
      </c>
      <c r="K786" s="46" t="str">
        <f aca="false">IF(J786="","",IFERROR(N(INDEX(Properties!$G$5:$G$24,MATCH(D786,Properties!$A$5:$A$24,0))),0))</f>
        <v/>
      </c>
      <c r="L786" s="46" t="str">
        <f aca="false">IF(J786="","",IFERROR(MAX(0,N(G786)-INDEX(Properties!$I$5:$I$24,MATCH(D786,Properties!$A$5:$A$24,0)))*N(INDEX(Properties!$J$5:$J$24,MATCH(D786,Properties!$A$5:$A$24,0)))*H786,0))</f>
        <v/>
      </c>
      <c r="M786" s="37"/>
      <c r="N786" s="46" t="str">
        <f aca="false">IF(J786="","",J786+K786+L786+N(M786))</f>
        <v/>
      </c>
      <c r="O786" s="46" t="str">
        <f aca="false">IF(N786="","",IF(P786&lt;&gt;"",N786-P786,ROUND(N786*IFERROR(INDEX(Settings!$E$5:$E$12,MATCH(F786,Settings!$D$5:$D$12,0)),0),2)))</f>
        <v/>
      </c>
      <c r="P786" s="37"/>
      <c r="Q786" s="46" t="str">
        <f aca="false">IF(N786="","",IF(P786&lt;&gt;"",P786,N786-O786))</f>
        <v/>
      </c>
      <c r="R786" s="46" t="str">
        <f aca="false">IF(J786="","",IFERROR(N(INDEX(Properties!$H$5:$H$24,MATCH(D786,Properties!$A$5:$A$24,0))),0))</f>
        <v/>
      </c>
      <c r="S786" s="46" t="str">
        <f aca="false">IF(Q786="","",Q786-R786)</f>
        <v/>
      </c>
      <c r="T786" s="6"/>
      <c r="U786" s="6"/>
      <c r="V786" s="6"/>
      <c r="W786" s="6"/>
      <c r="X786" s="6"/>
      <c r="Y786" s="8" t="str">
        <f aca="false">IF(OR(D786="",B786="",C786=""),"",IF(N(C786)&lt;=N(B786),"Check dates",IF(T786="Cancelled","",IF(COUNTIFS($D$5:$D$1004,D786,$B$5:$B$1004,"&lt;"&amp;C786,$C$5:$C$1004,"&gt;"&amp;B786,$T$5:$T$1004,"&lt;&gt;Cancelled")&gt;1,"Double-booked",""))))</f>
        <v/>
      </c>
      <c r="Z786" s="42" t="str">
        <f aca="false">IF(AND(AA786=1,ISNUMBER(C786)),C786+ROW()/100000,"")</f>
        <v/>
      </c>
      <c r="AA786" s="43" t="n">
        <f aca="false">IF(AND(D786&lt;&gt;"",ISNUMBER(B786),ISNUMBER(C786),N(H786)&gt;0,T786&lt;&gt;"Cancelled",J786&lt;&gt;""),1,0)</f>
        <v>0</v>
      </c>
      <c r="AB786" s="44" t="n">
        <f aca="false">IF(AA786=1,J786/H786,0)</f>
        <v>0</v>
      </c>
      <c r="AC786" s="44" t="n">
        <f aca="false">IF(AA786=1,Q786/H786,0)</f>
        <v>0</v>
      </c>
      <c r="AD786" s="44" t="n">
        <f aca="false">IF(AA786=1,R786/H786,0)</f>
        <v>0</v>
      </c>
      <c r="AE786" s="44" t="n">
        <f aca="false">IF(AA786=1,O786/H786,0)</f>
        <v>0</v>
      </c>
      <c r="AF786" s="44" t="n">
        <f aca="false">IF(AA786=1,K786/H786,0)</f>
        <v>0</v>
      </c>
      <c r="AG786" s="45" t="str">
        <f aca="false">IF(AA786=1,D786&amp;"|"&amp;TEXT(B786,"0"),"")</f>
        <v/>
      </c>
      <c r="AH786" s="43" t="n">
        <f aca="false">IF(AA786=1,H786,0)</f>
        <v>0</v>
      </c>
    </row>
    <row r="787" customFormat="false" ht="15" hidden="false" customHeight="false" outlineLevel="0" collapsed="false">
      <c r="A787" s="8" t="str">
        <f aca="false">IF(B787="","","B-"&amp;TEXT(ROW()-4,"0000"))</f>
        <v/>
      </c>
      <c r="B787" s="38"/>
      <c r="C787" s="38"/>
      <c r="D787" s="6"/>
      <c r="E787" s="6"/>
      <c r="F787" s="6"/>
      <c r="G787" s="11"/>
      <c r="H787" s="18" t="str">
        <f aca="false">IF(AND(ISNUMBER(B787),ISNUMBER(C787)),MAX(0,C787-B787),"")</f>
        <v/>
      </c>
      <c r="I787" s="37"/>
      <c r="J787" s="41" t="str">
        <f aca="false">IF(OR(D787="",N(H787)=0),"",IFERROR(IF(I787&lt;&gt;"",H787*I787,ROUND(((H787-(INT((WEEKDAY(B787-6)+H787-1)/7)+INT((WEEKDAY(B787-7)+H787-1)/7)))*INDEX(Properties!$E$5:$E$24,MATCH(D787,Properties!$A$5:$A$24,0))+(INT((WEEKDAY(B787-6)+H787-1)/7)+INT((WEEKDAY(B787-7)+H787-1)/7))*INDEX(Properties!$F$5:$F$24,MATCH(D787,Properties!$A$5:$A$24,0)))*(1-IF(H787&gt;=28,Settings!$B$10,IF(H787&gt;=7,Settings!$B$9,0))),2)),0))</f>
        <v/>
      </c>
      <c r="K787" s="41" t="str">
        <f aca="false">IF(J787="","",IFERROR(N(INDEX(Properties!$G$5:$G$24,MATCH(D787,Properties!$A$5:$A$24,0))),0))</f>
        <v/>
      </c>
      <c r="L787" s="41" t="str">
        <f aca="false">IF(J787="","",IFERROR(MAX(0,N(G787)-INDEX(Properties!$I$5:$I$24,MATCH(D787,Properties!$A$5:$A$24,0)))*N(INDEX(Properties!$J$5:$J$24,MATCH(D787,Properties!$A$5:$A$24,0)))*H787,0))</f>
        <v/>
      </c>
      <c r="M787" s="37"/>
      <c r="N787" s="41" t="str">
        <f aca="false">IF(J787="","",J787+K787+L787+N(M787))</f>
        <v/>
      </c>
      <c r="O787" s="41" t="str">
        <f aca="false">IF(N787="","",IF(P787&lt;&gt;"",N787-P787,ROUND(N787*IFERROR(INDEX(Settings!$E$5:$E$12,MATCH(F787,Settings!$D$5:$D$12,0)),0),2)))</f>
        <v/>
      </c>
      <c r="P787" s="37"/>
      <c r="Q787" s="41" t="str">
        <f aca="false">IF(N787="","",IF(P787&lt;&gt;"",P787,N787-O787))</f>
        <v/>
      </c>
      <c r="R787" s="41" t="str">
        <f aca="false">IF(J787="","",IFERROR(N(INDEX(Properties!$H$5:$H$24,MATCH(D787,Properties!$A$5:$A$24,0))),0))</f>
        <v/>
      </c>
      <c r="S787" s="41" t="str">
        <f aca="false">IF(Q787="","",Q787-R787)</f>
        <v/>
      </c>
      <c r="T787" s="6"/>
      <c r="U787" s="6"/>
      <c r="V787" s="6"/>
      <c r="W787" s="6"/>
      <c r="X787" s="6"/>
      <c r="Y787" s="8" t="str">
        <f aca="false">IF(OR(D787="",B787="",C787=""),"",IF(N(C787)&lt;=N(B787),"Check dates",IF(T787="Cancelled","",IF(COUNTIFS($D$5:$D$1004,D787,$B$5:$B$1004,"&lt;"&amp;C787,$C$5:$C$1004,"&gt;"&amp;B787,$T$5:$T$1004,"&lt;&gt;Cancelled")&gt;1,"Double-booked",""))))</f>
        <v/>
      </c>
      <c r="Z787" s="42" t="str">
        <f aca="false">IF(AND(AA787=1,ISNUMBER(C787)),C787+ROW()/100000,"")</f>
        <v/>
      </c>
      <c r="AA787" s="43" t="n">
        <f aca="false">IF(AND(D787&lt;&gt;"",ISNUMBER(B787),ISNUMBER(C787),N(H787)&gt;0,T787&lt;&gt;"Cancelled",J787&lt;&gt;""),1,0)</f>
        <v>0</v>
      </c>
      <c r="AB787" s="44" t="n">
        <f aca="false">IF(AA787=1,J787/H787,0)</f>
        <v>0</v>
      </c>
      <c r="AC787" s="44" t="n">
        <f aca="false">IF(AA787=1,Q787/H787,0)</f>
        <v>0</v>
      </c>
      <c r="AD787" s="44" t="n">
        <f aca="false">IF(AA787=1,R787/H787,0)</f>
        <v>0</v>
      </c>
      <c r="AE787" s="44" t="n">
        <f aca="false">IF(AA787=1,O787/H787,0)</f>
        <v>0</v>
      </c>
      <c r="AF787" s="44" t="n">
        <f aca="false">IF(AA787=1,K787/H787,0)</f>
        <v>0</v>
      </c>
      <c r="AG787" s="45" t="str">
        <f aca="false">IF(AA787=1,D787&amp;"|"&amp;TEXT(B787,"0"),"")</f>
        <v/>
      </c>
      <c r="AH787" s="43" t="n">
        <f aca="false">IF(AA787=1,H787,0)</f>
        <v>0</v>
      </c>
    </row>
    <row r="788" customFormat="false" ht="15" hidden="false" customHeight="false" outlineLevel="0" collapsed="false">
      <c r="A788" s="23" t="str">
        <f aca="false">IF(B788="","","B-"&amp;TEXT(ROW()-4,"0000"))</f>
        <v/>
      </c>
      <c r="B788" s="38"/>
      <c r="C788" s="38"/>
      <c r="D788" s="6"/>
      <c r="E788" s="6"/>
      <c r="F788" s="6"/>
      <c r="G788" s="11"/>
      <c r="H788" s="24" t="str">
        <f aca="false">IF(AND(ISNUMBER(B788),ISNUMBER(C788)),MAX(0,C788-B788),"")</f>
        <v/>
      </c>
      <c r="I788" s="37"/>
      <c r="J788" s="46" t="str">
        <f aca="false">IF(OR(D788="",N(H788)=0),"",IFERROR(IF(I788&lt;&gt;"",H788*I788,ROUND(((H788-(INT((WEEKDAY(B788-6)+H788-1)/7)+INT((WEEKDAY(B788-7)+H788-1)/7)))*INDEX(Properties!$E$5:$E$24,MATCH(D788,Properties!$A$5:$A$24,0))+(INT((WEEKDAY(B788-6)+H788-1)/7)+INT((WEEKDAY(B788-7)+H788-1)/7))*INDEX(Properties!$F$5:$F$24,MATCH(D788,Properties!$A$5:$A$24,0)))*(1-IF(H788&gt;=28,Settings!$B$10,IF(H788&gt;=7,Settings!$B$9,0))),2)),0))</f>
        <v/>
      </c>
      <c r="K788" s="46" t="str">
        <f aca="false">IF(J788="","",IFERROR(N(INDEX(Properties!$G$5:$G$24,MATCH(D788,Properties!$A$5:$A$24,0))),0))</f>
        <v/>
      </c>
      <c r="L788" s="46" t="str">
        <f aca="false">IF(J788="","",IFERROR(MAX(0,N(G788)-INDEX(Properties!$I$5:$I$24,MATCH(D788,Properties!$A$5:$A$24,0)))*N(INDEX(Properties!$J$5:$J$24,MATCH(D788,Properties!$A$5:$A$24,0)))*H788,0))</f>
        <v/>
      </c>
      <c r="M788" s="37"/>
      <c r="N788" s="46" t="str">
        <f aca="false">IF(J788="","",J788+K788+L788+N(M788))</f>
        <v/>
      </c>
      <c r="O788" s="46" t="str">
        <f aca="false">IF(N788="","",IF(P788&lt;&gt;"",N788-P788,ROUND(N788*IFERROR(INDEX(Settings!$E$5:$E$12,MATCH(F788,Settings!$D$5:$D$12,0)),0),2)))</f>
        <v/>
      </c>
      <c r="P788" s="37"/>
      <c r="Q788" s="46" t="str">
        <f aca="false">IF(N788="","",IF(P788&lt;&gt;"",P788,N788-O788))</f>
        <v/>
      </c>
      <c r="R788" s="46" t="str">
        <f aca="false">IF(J788="","",IFERROR(N(INDEX(Properties!$H$5:$H$24,MATCH(D788,Properties!$A$5:$A$24,0))),0))</f>
        <v/>
      </c>
      <c r="S788" s="46" t="str">
        <f aca="false">IF(Q788="","",Q788-R788)</f>
        <v/>
      </c>
      <c r="T788" s="6"/>
      <c r="U788" s="6"/>
      <c r="V788" s="6"/>
      <c r="W788" s="6"/>
      <c r="X788" s="6"/>
      <c r="Y788" s="8" t="str">
        <f aca="false">IF(OR(D788="",B788="",C788=""),"",IF(N(C788)&lt;=N(B788),"Check dates",IF(T788="Cancelled","",IF(COUNTIFS($D$5:$D$1004,D788,$B$5:$B$1004,"&lt;"&amp;C788,$C$5:$C$1004,"&gt;"&amp;B788,$T$5:$T$1004,"&lt;&gt;Cancelled")&gt;1,"Double-booked",""))))</f>
        <v/>
      </c>
      <c r="Z788" s="42" t="str">
        <f aca="false">IF(AND(AA788=1,ISNUMBER(C788)),C788+ROW()/100000,"")</f>
        <v/>
      </c>
      <c r="AA788" s="43" t="n">
        <f aca="false">IF(AND(D788&lt;&gt;"",ISNUMBER(B788),ISNUMBER(C788),N(H788)&gt;0,T788&lt;&gt;"Cancelled",J788&lt;&gt;""),1,0)</f>
        <v>0</v>
      </c>
      <c r="AB788" s="44" t="n">
        <f aca="false">IF(AA788=1,J788/H788,0)</f>
        <v>0</v>
      </c>
      <c r="AC788" s="44" t="n">
        <f aca="false">IF(AA788=1,Q788/H788,0)</f>
        <v>0</v>
      </c>
      <c r="AD788" s="44" t="n">
        <f aca="false">IF(AA788=1,R788/H788,0)</f>
        <v>0</v>
      </c>
      <c r="AE788" s="44" t="n">
        <f aca="false">IF(AA788=1,O788/H788,0)</f>
        <v>0</v>
      </c>
      <c r="AF788" s="44" t="n">
        <f aca="false">IF(AA788=1,K788/H788,0)</f>
        <v>0</v>
      </c>
      <c r="AG788" s="45" t="str">
        <f aca="false">IF(AA788=1,D788&amp;"|"&amp;TEXT(B788,"0"),"")</f>
        <v/>
      </c>
      <c r="AH788" s="43" t="n">
        <f aca="false">IF(AA788=1,H788,0)</f>
        <v>0</v>
      </c>
    </row>
    <row r="789" customFormat="false" ht="15" hidden="false" customHeight="false" outlineLevel="0" collapsed="false">
      <c r="A789" s="8" t="str">
        <f aca="false">IF(B789="","","B-"&amp;TEXT(ROW()-4,"0000"))</f>
        <v/>
      </c>
      <c r="B789" s="38"/>
      <c r="C789" s="38"/>
      <c r="D789" s="6"/>
      <c r="E789" s="6"/>
      <c r="F789" s="6"/>
      <c r="G789" s="11"/>
      <c r="H789" s="18" t="str">
        <f aca="false">IF(AND(ISNUMBER(B789),ISNUMBER(C789)),MAX(0,C789-B789),"")</f>
        <v/>
      </c>
      <c r="I789" s="37"/>
      <c r="J789" s="41" t="str">
        <f aca="false">IF(OR(D789="",N(H789)=0),"",IFERROR(IF(I789&lt;&gt;"",H789*I789,ROUND(((H789-(INT((WEEKDAY(B789-6)+H789-1)/7)+INT((WEEKDAY(B789-7)+H789-1)/7)))*INDEX(Properties!$E$5:$E$24,MATCH(D789,Properties!$A$5:$A$24,0))+(INT((WEEKDAY(B789-6)+H789-1)/7)+INT((WEEKDAY(B789-7)+H789-1)/7))*INDEX(Properties!$F$5:$F$24,MATCH(D789,Properties!$A$5:$A$24,0)))*(1-IF(H789&gt;=28,Settings!$B$10,IF(H789&gt;=7,Settings!$B$9,0))),2)),0))</f>
        <v/>
      </c>
      <c r="K789" s="41" t="str">
        <f aca="false">IF(J789="","",IFERROR(N(INDEX(Properties!$G$5:$G$24,MATCH(D789,Properties!$A$5:$A$24,0))),0))</f>
        <v/>
      </c>
      <c r="L789" s="41" t="str">
        <f aca="false">IF(J789="","",IFERROR(MAX(0,N(G789)-INDEX(Properties!$I$5:$I$24,MATCH(D789,Properties!$A$5:$A$24,0)))*N(INDEX(Properties!$J$5:$J$24,MATCH(D789,Properties!$A$5:$A$24,0)))*H789,0))</f>
        <v/>
      </c>
      <c r="M789" s="37"/>
      <c r="N789" s="41" t="str">
        <f aca="false">IF(J789="","",J789+K789+L789+N(M789))</f>
        <v/>
      </c>
      <c r="O789" s="41" t="str">
        <f aca="false">IF(N789="","",IF(P789&lt;&gt;"",N789-P789,ROUND(N789*IFERROR(INDEX(Settings!$E$5:$E$12,MATCH(F789,Settings!$D$5:$D$12,0)),0),2)))</f>
        <v/>
      </c>
      <c r="P789" s="37"/>
      <c r="Q789" s="41" t="str">
        <f aca="false">IF(N789="","",IF(P789&lt;&gt;"",P789,N789-O789))</f>
        <v/>
      </c>
      <c r="R789" s="41" t="str">
        <f aca="false">IF(J789="","",IFERROR(N(INDEX(Properties!$H$5:$H$24,MATCH(D789,Properties!$A$5:$A$24,0))),0))</f>
        <v/>
      </c>
      <c r="S789" s="41" t="str">
        <f aca="false">IF(Q789="","",Q789-R789)</f>
        <v/>
      </c>
      <c r="T789" s="6"/>
      <c r="U789" s="6"/>
      <c r="V789" s="6"/>
      <c r="W789" s="6"/>
      <c r="X789" s="6"/>
      <c r="Y789" s="8" t="str">
        <f aca="false">IF(OR(D789="",B789="",C789=""),"",IF(N(C789)&lt;=N(B789),"Check dates",IF(T789="Cancelled","",IF(COUNTIFS($D$5:$D$1004,D789,$B$5:$B$1004,"&lt;"&amp;C789,$C$5:$C$1004,"&gt;"&amp;B789,$T$5:$T$1004,"&lt;&gt;Cancelled")&gt;1,"Double-booked",""))))</f>
        <v/>
      </c>
      <c r="Z789" s="42" t="str">
        <f aca="false">IF(AND(AA789=1,ISNUMBER(C789)),C789+ROW()/100000,"")</f>
        <v/>
      </c>
      <c r="AA789" s="43" t="n">
        <f aca="false">IF(AND(D789&lt;&gt;"",ISNUMBER(B789),ISNUMBER(C789),N(H789)&gt;0,T789&lt;&gt;"Cancelled",J789&lt;&gt;""),1,0)</f>
        <v>0</v>
      </c>
      <c r="AB789" s="44" t="n">
        <f aca="false">IF(AA789=1,J789/H789,0)</f>
        <v>0</v>
      </c>
      <c r="AC789" s="44" t="n">
        <f aca="false">IF(AA789=1,Q789/H789,0)</f>
        <v>0</v>
      </c>
      <c r="AD789" s="44" t="n">
        <f aca="false">IF(AA789=1,R789/H789,0)</f>
        <v>0</v>
      </c>
      <c r="AE789" s="44" t="n">
        <f aca="false">IF(AA789=1,O789/H789,0)</f>
        <v>0</v>
      </c>
      <c r="AF789" s="44" t="n">
        <f aca="false">IF(AA789=1,K789/H789,0)</f>
        <v>0</v>
      </c>
      <c r="AG789" s="45" t="str">
        <f aca="false">IF(AA789=1,D789&amp;"|"&amp;TEXT(B789,"0"),"")</f>
        <v/>
      </c>
      <c r="AH789" s="43" t="n">
        <f aca="false">IF(AA789=1,H789,0)</f>
        <v>0</v>
      </c>
    </row>
    <row r="790" customFormat="false" ht="15" hidden="false" customHeight="false" outlineLevel="0" collapsed="false">
      <c r="A790" s="23" t="str">
        <f aca="false">IF(B790="","","B-"&amp;TEXT(ROW()-4,"0000"))</f>
        <v/>
      </c>
      <c r="B790" s="38"/>
      <c r="C790" s="38"/>
      <c r="D790" s="6"/>
      <c r="E790" s="6"/>
      <c r="F790" s="6"/>
      <c r="G790" s="11"/>
      <c r="H790" s="24" t="str">
        <f aca="false">IF(AND(ISNUMBER(B790),ISNUMBER(C790)),MAX(0,C790-B790),"")</f>
        <v/>
      </c>
      <c r="I790" s="37"/>
      <c r="J790" s="46" t="str">
        <f aca="false">IF(OR(D790="",N(H790)=0),"",IFERROR(IF(I790&lt;&gt;"",H790*I790,ROUND(((H790-(INT((WEEKDAY(B790-6)+H790-1)/7)+INT((WEEKDAY(B790-7)+H790-1)/7)))*INDEX(Properties!$E$5:$E$24,MATCH(D790,Properties!$A$5:$A$24,0))+(INT((WEEKDAY(B790-6)+H790-1)/7)+INT((WEEKDAY(B790-7)+H790-1)/7))*INDEX(Properties!$F$5:$F$24,MATCH(D790,Properties!$A$5:$A$24,0)))*(1-IF(H790&gt;=28,Settings!$B$10,IF(H790&gt;=7,Settings!$B$9,0))),2)),0))</f>
        <v/>
      </c>
      <c r="K790" s="46" t="str">
        <f aca="false">IF(J790="","",IFERROR(N(INDEX(Properties!$G$5:$G$24,MATCH(D790,Properties!$A$5:$A$24,0))),0))</f>
        <v/>
      </c>
      <c r="L790" s="46" t="str">
        <f aca="false">IF(J790="","",IFERROR(MAX(0,N(G790)-INDEX(Properties!$I$5:$I$24,MATCH(D790,Properties!$A$5:$A$24,0)))*N(INDEX(Properties!$J$5:$J$24,MATCH(D790,Properties!$A$5:$A$24,0)))*H790,0))</f>
        <v/>
      </c>
      <c r="M790" s="37"/>
      <c r="N790" s="46" t="str">
        <f aca="false">IF(J790="","",J790+K790+L790+N(M790))</f>
        <v/>
      </c>
      <c r="O790" s="46" t="str">
        <f aca="false">IF(N790="","",IF(P790&lt;&gt;"",N790-P790,ROUND(N790*IFERROR(INDEX(Settings!$E$5:$E$12,MATCH(F790,Settings!$D$5:$D$12,0)),0),2)))</f>
        <v/>
      </c>
      <c r="P790" s="37"/>
      <c r="Q790" s="46" t="str">
        <f aca="false">IF(N790="","",IF(P790&lt;&gt;"",P790,N790-O790))</f>
        <v/>
      </c>
      <c r="R790" s="46" t="str">
        <f aca="false">IF(J790="","",IFERROR(N(INDEX(Properties!$H$5:$H$24,MATCH(D790,Properties!$A$5:$A$24,0))),0))</f>
        <v/>
      </c>
      <c r="S790" s="46" t="str">
        <f aca="false">IF(Q790="","",Q790-R790)</f>
        <v/>
      </c>
      <c r="T790" s="6"/>
      <c r="U790" s="6"/>
      <c r="V790" s="6"/>
      <c r="W790" s="6"/>
      <c r="X790" s="6"/>
      <c r="Y790" s="8" t="str">
        <f aca="false">IF(OR(D790="",B790="",C790=""),"",IF(N(C790)&lt;=N(B790),"Check dates",IF(T790="Cancelled","",IF(COUNTIFS($D$5:$D$1004,D790,$B$5:$B$1004,"&lt;"&amp;C790,$C$5:$C$1004,"&gt;"&amp;B790,$T$5:$T$1004,"&lt;&gt;Cancelled")&gt;1,"Double-booked",""))))</f>
        <v/>
      </c>
      <c r="Z790" s="42" t="str">
        <f aca="false">IF(AND(AA790=1,ISNUMBER(C790)),C790+ROW()/100000,"")</f>
        <v/>
      </c>
      <c r="AA790" s="43" t="n">
        <f aca="false">IF(AND(D790&lt;&gt;"",ISNUMBER(B790),ISNUMBER(C790),N(H790)&gt;0,T790&lt;&gt;"Cancelled",J790&lt;&gt;""),1,0)</f>
        <v>0</v>
      </c>
      <c r="AB790" s="44" t="n">
        <f aca="false">IF(AA790=1,J790/H790,0)</f>
        <v>0</v>
      </c>
      <c r="AC790" s="44" t="n">
        <f aca="false">IF(AA790=1,Q790/H790,0)</f>
        <v>0</v>
      </c>
      <c r="AD790" s="44" t="n">
        <f aca="false">IF(AA790=1,R790/H790,0)</f>
        <v>0</v>
      </c>
      <c r="AE790" s="44" t="n">
        <f aca="false">IF(AA790=1,O790/H790,0)</f>
        <v>0</v>
      </c>
      <c r="AF790" s="44" t="n">
        <f aca="false">IF(AA790=1,K790/H790,0)</f>
        <v>0</v>
      </c>
      <c r="AG790" s="45" t="str">
        <f aca="false">IF(AA790=1,D790&amp;"|"&amp;TEXT(B790,"0"),"")</f>
        <v/>
      </c>
      <c r="AH790" s="43" t="n">
        <f aca="false">IF(AA790=1,H790,0)</f>
        <v>0</v>
      </c>
    </row>
    <row r="791" customFormat="false" ht="15" hidden="false" customHeight="false" outlineLevel="0" collapsed="false">
      <c r="A791" s="8" t="str">
        <f aca="false">IF(B791="","","B-"&amp;TEXT(ROW()-4,"0000"))</f>
        <v/>
      </c>
      <c r="B791" s="38"/>
      <c r="C791" s="38"/>
      <c r="D791" s="6"/>
      <c r="E791" s="6"/>
      <c r="F791" s="6"/>
      <c r="G791" s="11"/>
      <c r="H791" s="18" t="str">
        <f aca="false">IF(AND(ISNUMBER(B791),ISNUMBER(C791)),MAX(0,C791-B791),"")</f>
        <v/>
      </c>
      <c r="I791" s="37"/>
      <c r="J791" s="41" t="str">
        <f aca="false">IF(OR(D791="",N(H791)=0),"",IFERROR(IF(I791&lt;&gt;"",H791*I791,ROUND(((H791-(INT((WEEKDAY(B791-6)+H791-1)/7)+INT((WEEKDAY(B791-7)+H791-1)/7)))*INDEX(Properties!$E$5:$E$24,MATCH(D791,Properties!$A$5:$A$24,0))+(INT((WEEKDAY(B791-6)+H791-1)/7)+INT((WEEKDAY(B791-7)+H791-1)/7))*INDEX(Properties!$F$5:$F$24,MATCH(D791,Properties!$A$5:$A$24,0)))*(1-IF(H791&gt;=28,Settings!$B$10,IF(H791&gt;=7,Settings!$B$9,0))),2)),0))</f>
        <v/>
      </c>
      <c r="K791" s="41" t="str">
        <f aca="false">IF(J791="","",IFERROR(N(INDEX(Properties!$G$5:$G$24,MATCH(D791,Properties!$A$5:$A$24,0))),0))</f>
        <v/>
      </c>
      <c r="L791" s="41" t="str">
        <f aca="false">IF(J791="","",IFERROR(MAX(0,N(G791)-INDEX(Properties!$I$5:$I$24,MATCH(D791,Properties!$A$5:$A$24,0)))*N(INDEX(Properties!$J$5:$J$24,MATCH(D791,Properties!$A$5:$A$24,0)))*H791,0))</f>
        <v/>
      </c>
      <c r="M791" s="37"/>
      <c r="N791" s="41" t="str">
        <f aca="false">IF(J791="","",J791+K791+L791+N(M791))</f>
        <v/>
      </c>
      <c r="O791" s="41" t="str">
        <f aca="false">IF(N791="","",IF(P791&lt;&gt;"",N791-P791,ROUND(N791*IFERROR(INDEX(Settings!$E$5:$E$12,MATCH(F791,Settings!$D$5:$D$12,0)),0),2)))</f>
        <v/>
      </c>
      <c r="P791" s="37"/>
      <c r="Q791" s="41" t="str">
        <f aca="false">IF(N791="","",IF(P791&lt;&gt;"",P791,N791-O791))</f>
        <v/>
      </c>
      <c r="R791" s="41" t="str">
        <f aca="false">IF(J791="","",IFERROR(N(INDEX(Properties!$H$5:$H$24,MATCH(D791,Properties!$A$5:$A$24,0))),0))</f>
        <v/>
      </c>
      <c r="S791" s="41" t="str">
        <f aca="false">IF(Q791="","",Q791-R791)</f>
        <v/>
      </c>
      <c r="T791" s="6"/>
      <c r="U791" s="6"/>
      <c r="V791" s="6"/>
      <c r="W791" s="6"/>
      <c r="X791" s="6"/>
      <c r="Y791" s="8" t="str">
        <f aca="false">IF(OR(D791="",B791="",C791=""),"",IF(N(C791)&lt;=N(B791),"Check dates",IF(T791="Cancelled","",IF(COUNTIFS($D$5:$D$1004,D791,$B$5:$B$1004,"&lt;"&amp;C791,$C$5:$C$1004,"&gt;"&amp;B791,$T$5:$T$1004,"&lt;&gt;Cancelled")&gt;1,"Double-booked",""))))</f>
        <v/>
      </c>
      <c r="Z791" s="42" t="str">
        <f aca="false">IF(AND(AA791=1,ISNUMBER(C791)),C791+ROW()/100000,"")</f>
        <v/>
      </c>
      <c r="AA791" s="43" t="n">
        <f aca="false">IF(AND(D791&lt;&gt;"",ISNUMBER(B791),ISNUMBER(C791),N(H791)&gt;0,T791&lt;&gt;"Cancelled",J791&lt;&gt;""),1,0)</f>
        <v>0</v>
      </c>
      <c r="AB791" s="44" t="n">
        <f aca="false">IF(AA791=1,J791/H791,0)</f>
        <v>0</v>
      </c>
      <c r="AC791" s="44" t="n">
        <f aca="false">IF(AA791=1,Q791/H791,0)</f>
        <v>0</v>
      </c>
      <c r="AD791" s="44" t="n">
        <f aca="false">IF(AA791=1,R791/H791,0)</f>
        <v>0</v>
      </c>
      <c r="AE791" s="44" t="n">
        <f aca="false">IF(AA791=1,O791/H791,0)</f>
        <v>0</v>
      </c>
      <c r="AF791" s="44" t="n">
        <f aca="false">IF(AA791=1,K791/H791,0)</f>
        <v>0</v>
      </c>
      <c r="AG791" s="45" t="str">
        <f aca="false">IF(AA791=1,D791&amp;"|"&amp;TEXT(B791,"0"),"")</f>
        <v/>
      </c>
      <c r="AH791" s="43" t="n">
        <f aca="false">IF(AA791=1,H791,0)</f>
        <v>0</v>
      </c>
    </row>
    <row r="792" customFormat="false" ht="15" hidden="false" customHeight="false" outlineLevel="0" collapsed="false">
      <c r="A792" s="23" t="str">
        <f aca="false">IF(B792="","","B-"&amp;TEXT(ROW()-4,"0000"))</f>
        <v/>
      </c>
      <c r="B792" s="38"/>
      <c r="C792" s="38"/>
      <c r="D792" s="6"/>
      <c r="E792" s="6"/>
      <c r="F792" s="6"/>
      <c r="G792" s="11"/>
      <c r="H792" s="24" t="str">
        <f aca="false">IF(AND(ISNUMBER(B792),ISNUMBER(C792)),MAX(0,C792-B792),"")</f>
        <v/>
      </c>
      <c r="I792" s="37"/>
      <c r="J792" s="46" t="str">
        <f aca="false">IF(OR(D792="",N(H792)=0),"",IFERROR(IF(I792&lt;&gt;"",H792*I792,ROUND(((H792-(INT((WEEKDAY(B792-6)+H792-1)/7)+INT((WEEKDAY(B792-7)+H792-1)/7)))*INDEX(Properties!$E$5:$E$24,MATCH(D792,Properties!$A$5:$A$24,0))+(INT((WEEKDAY(B792-6)+H792-1)/7)+INT((WEEKDAY(B792-7)+H792-1)/7))*INDEX(Properties!$F$5:$F$24,MATCH(D792,Properties!$A$5:$A$24,0)))*(1-IF(H792&gt;=28,Settings!$B$10,IF(H792&gt;=7,Settings!$B$9,0))),2)),0))</f>
        <v/>
      </c>
      <c r="K792" s="46" t="str">
        <f aca="false">IF(J792="","",IFERROR(N(INDEX(Properties!$G$5:$G$24,MATCH(D792,Properties!$A$5:$A$24,0))),0))</f>
        <v/>
      </c>
      <c r="L792" s="46" t="str">
        <f aca="false">IF(J792="","",IFERROR(MAX(0,N(G792)-INDEX(Properties!$I$5:$I$24,MATCH(D792,Properties!$A$5:$A$24,0)))*N(INDEX(Properties!$J$5:$J$24,MATCH(D792,Properties!$A$5:$A$24,0)))*H792,0))</f>
        <v/>
      </c>
      <c r="M792" s="37"/>
      <c r="N792" s="46" t="str">
        <f aca="false">IF(J792="","",J792+K792+L792+N(M792))</f>
        <v/>
      </c>
      <c r="O792" s="46" t="str">
        <f aca="false">IF(N792="","",IF(P792&lt;&gt;"",N792-P792,ROUND(N792*IFERROR(INDEX(Settings!$E$5:$E$12,MATCH(F792,Settings!$D$5:$D$12,0)),0),2)))</f>
        <v/>
      </c>
      <c r="P792" s="37"/>
      <c r="Q792" s="46" t="str">
        <f aca="false">IF(N792="","",IF(P792&lt;&gt;"",P792,N792-O792))</f>
        <v/>
      </c>
      <c r="R792" s="46" t="str">
        <f aca="false">IF(J792="","",IFERROR(N(INDEX(Properties!$H$5:$H$24,MATCH(D792,Properties!$A$5:$A$24,0))),0))</f>
        <v/>
      </c>
      <c r="S792" s="46" t="str">
        <f aca="false">IF(Q792="","",Q792-R792)</f>
        <v/>
      </c>
      <c r="T792" s="6"/>
      <c r="U792" s="6"/>
      <c r="V792" s="6"/>
      <c r="W792" s="6"/>
      <c r="X792" s="6"/>
      <c r="Y792" s="8" t="str">
        <f aca="false">IF(OR(D792="",B792="",C792=""),"",IF(N(C792)&lt;=N(B792),"Check dates",IF(T792="Cancelled","",IF(COUNTIFS($D$5:$D$1004,D792,$B$5:$B$1004,"&lt;"&amp;C792,$C$5:$C$1004,"&gt;"&amp;B792,$T$5:$T$1004,"&lt;&gt;Cancelled")&gt;1,"Double-booked",""))))</f>
        <v/>
      </c>
      <c r="Z792" s="42" t="str">
        <f aca="false">IF(AND(AA792=1,ISNUMBER(C792)),C792+ROW()/100000,"")</f>
        <v/>
      </c>
      <c r="AA792" s="43" t="n">
        <f aca="false">IF(AND(D792&lt;&gt;"",ISNUMBER(B792),ISNUMBER(C792),N(H792)&gt;0,T792&lt;&gt;"Cancelled",J792&lt;&gt;""),1,0)</f>
        <v>0</v>
      </c>
      <c r="AB792" s="44" t="n">
        <f aca="false">IF(AA792=1,J792/H792,0)</f>
        <v>0</v>
      </c>
      <c r="AC792" s="44" t="n">
        <f aca="false">IF(AA792=1,Q792/H792,0)</f>
        <v>0</v>
      </c>
      <c r="AD792" s="44" t="n">
        <f aca="false">IF(AA792=1,R792/H792,0)</f>
        <v>0</v>
      </c>
      <c r="AE792" s="44" t="n">
        <f aca="false">IF(AA792=1,O792/H792,0)</f>
        <v>0</v>
      </c>
      <c r="AF792" s="44" t="n">
        <f aca="false">IF(AA792=1,K792/H792,0)</f>
        <v>0</v>
      </c>
      <c r="AG792" s="45" t="str">
        <f aca="false">IF(AA792=1,D792&amp;"|"&amp;TEXT(B792,"0"),"")</f>
        <v/>
      </c>
      <c r="AH792" s="43" t="n">
        <f aca="false">IF(AA792=1,H792,0)</f>
        <v>0</v>
      </c>
    </row>
    <row r="793" customFormat="false" ht="15" hidden="false" customHeight="false" outlineLevel="0" collapsed="false">
      <c r="A793" s="8" t="str">
        <f aca="false">IF(B793="","","B-"&amp;TEXT(ROW()-4,"0000"))</f>
        <v/>
      </c>
      <c r="B793" s="38"/>
      <c r="C793" s="38"/>
      <c r="D793" s="6"/>
      <c r="E793" s="6"/>
      <c r="F793" s="6"/>
      <c r="G793" s="11"/>
      <c r="H793" s="18" t="str">
        <f aca="false">IF(AND(ISNUMBER(B793),ISNUMBER(C793)),MAX(0,C793-B793),"")</f>
        <v/>
      </c>
      <c r="I793" s="37"/>
      <c r="J793" s="41" t="str">
        <f aca="false">IF(OR(D793="",N(H793)=0),"",IFERROR(IF(I793&lt;&gt;"",H793*I793,ROUND(((H793-(INT((WEEKDAY(B793-6)+H793-1)/7)+INT((WEEKDAY(B793-7)+H793-1)/7)))*INDEX(Properties!$E$5:$E$24,MATCH(D793,Properties!$A$5:$A$24,0))+(INT((WEEKDAY(B793-6)+H793-1)/7)+INT((WEEKDAY(B793-7)+H793-1)/7))*INDEX(Properties!$F$5:$F$24,MATCH(D793,Properties!$A$5:$A$24,0)))*(1-IF(H793&gt;=28,Settings!$B$10,IF(H793&gt;=7,Settings!$B$9,0))),2)),0))</f>
        <v/>
      </c>
      <c r="K793" s="41" t="str">
        <f aca="false">IF(J793="","",IFERROR(N(INDEX(Properties!$G$5:$G$24,MATCH(D793,Properties!$A$5:$A$24,0))),0))</f>
        <v/>
      </c>
      <c r="L793" s="41" t="str">
        <f aca="false">IF(J793="","",IFERROR(MAX(0,N(G793)-INDEX(Properties!$I$5:$I$24,MATCH(D793,Properties!$A$5:$A$24,0)))*N(INDEX(Properties!$J$5:$J$24,MATCH(D793,Properties!$A$5:$A$24,0)))*H793,0))</f>
        <v/>
      </c>
      <c r="M793" s="37"/>
      <c r="N793" s="41" t="str">
        <f aca="false">IF(J793="","",J793+K793+L793+N(M793))</f>
        <v/>
      </c>
      <c r="O793" s="41" t="str">
        <f aca="false">IF(N793="","",IF(P793&lt;&gt;"",N793-P793,ROUND(N793*IFERROR(INDEX(Settings!$E$5:$E$12,MATCH(F793,Settings!$D$5:$D$12,0)),0),2)))</f>
        <v/>
      </c>
      <c r="P793" s="37"/>
      <c r="Q793" s="41" t="str">
        <f aca="false">IF(N793="","",IF(P793&lt;&gt;"",P793,N793-O793))</f>
        <v/>
      </c>
      <c r="R793" s="41" t="str">
        <f aca="false">IF(J793="","",IFERROR(N(INDEX(Properties!$H$5:$H$24,MATCH(D793,Properties!$A$5:$A$24,0))),0))</f>
        <v/>
      </c>
      <c r="S793" s="41" t="str">
        <f aca="false">IF(Q793="","",Q793-R793)</f>
        <v/>
      </c>
      <c r="T793" s="6"/>
      <c r="U793" s="6"/>
      <c r="V793" s="6"/>
      <c r="W793" s="6"/>
      <c r="X793" s="6"/>
      <c r="Y793" s="8" t="str">
        <f aca="false">IF(OR(D793="",B793="",C793=""),"",IF(N(C793)&lt;=N(B793),"Check dates",IF(T793="Cancelled","",IF(COUNTIFS($D$5:$D$1004,D793,$B$5:$B$1004,"&lt;"&amp;C793,$C$5:$C$1004,"&gt;"&amp;B793,$T$5:$T$1004,"&lt;&gt;Cancelled")&gt;1,"Double-booked",""))))</f>
        <v/>
      </c>
      <c r="Z793" s="42" t="str">
        <f aca="false">IF(AND(AA793=1,ISNUMBER(C793)),C793+ROW()/100000,"")</f>
        <v/>
      </c>
      <c r="AA793" s="43" t="n">
        <f aca="false">IF(AND(D793&lt;&gt;"",ISNUMBER(B793),ISNUMBER(C793),N(H793)&gt;0,T793&lt;&gt;"Cancelled",J793&lt;&gt;""),1,0)</f>
        <v>0</v>
      </c>
      <c r="AB793" s="44" t="n">
        <f aca="false">IF(AA793=1,J793/H793,0)</f>
        <v>0</v>
      </c>
      <c r="AC793" s="44" t="n">
        <f aca="false">IF(AA793=1,Q793/H793,0)</f>
        <v>0</v>
      </c>
      <c r="AD793" s="44" t="n">
        <f aca="false">IF(AA793=1,R793/H793,0)</f>
        <v>0</v>
      </c>
      <c r="AE793" s="44" t="n">
        <f aca="false">IF(AA793=1,O793/H793,0)</f>
        <v>0</v>
      </c>
      <c r="AF793" s="44" t="n">
        <f aca="false">IF(AA793=1,K793/H793,0)</f>
        <v>0</v>
      </c>
      <c r="AG793" s="45" t="str">
        <f aca="false">IF(AA793=1,D793&amp;"|"&amp;TEXT(B793,"0"),"")</f>
        <v/>
      </c>
      <c r="AH793" s="43" t="n">
        <f aca="false">IF(AA793=1,H793,0)</f>
        <v>0</v>
      </c>
    </row>
    <row r="794" customFormat="false" ht="15" hidden="false" customHeight="false" outlineLevel="0" collapsed="false">
      <c r="A794" s="23" t="str">
        <f aca="false">IF(B794="","","B-"&amp;TEXT(ROW()-4,"0000"))</f>
        <v/>
      </c>
      <c r="B794" s="38"/>
      <c r="C794" s="38"/>
      <c r="D794" s="6"/>
      <c r="E794" s="6"/>
      <c r="F794" s="6"/>
      <c r="G794" s="11"/>
      <c r="H794" s="24" t="str">
        <f aca="false">IF(AND(ISNUMBER(B794),ISNUMBER(C794)),MAX(0,C794-B794),"")</f>
        <v/>
      </c>
      <c r="I794" s="37"/>
      <c r="J794" s="46" t="str">
        <f aca="false">IF(OR(D794="",N(H794)=0),"",IFERROR(IF(I794&lt;&gt;"",H794*I794,ROUND(((H794-(INT((WEEKDAY(B794-6)+H794-1)/7)+INT((WEEKDAY(B794-7)+H794-1)/7)))*INDEX(Properties!$E$5:$E$24,MATCH(D794,Properties!$A$5:$A$24,0))+(INT((WEEKDAY(B794-6)+H794-1)/7)+INT((WEEKDAY(B794-7)+H794-1)/7))*INDEX(Properties!$F$5:$F$24,MATCH(D794,Properties!$A$5:$A$24,0)))*(1-IF(H794&gt;=28,Settings!$B$10,IF(H794&gt;=7,Settings!$B$9,0))),2)),0))</f>
        <v/>
      </c>
      <c r="K794" s="46" t="str">
        <f aca="false">IF(J794="","",IFERROR(N(INDEX(Properties!$G$5:$G$24,MATCH(D794,Properties!$A$5:$A$24,0))),0))</f>
        <v/>
      </c>
      <c r="L794" s="46" t="str">
        <f aca="false">IF(J794="","",IFERROR(MAX(0,N(G794)-INDEX(Properties!$I$5:$I$24,MATCH(D794,Properties!$A$5:$A$24,0)))*N(INDEX(Properties!$J$5:$J$24,MATCH(D794,Properties!$A$5:$A$24,0)))*H794,0))</f>
        <v/>
      </c>
      <c r="M794" s="37"/>
      <c r="N794" s="46" t="str">
        <f aca="false">IF(J794="","",J794+K794+L794+N(M794))</f>
        <v/>
      </c>
      <c r="O794" s="46" t="str">
        <f aca="false">IF(N794="","",IF(P794&lt;&gt;"",N794-P794,ROUND(N794*IFERROR(INDEX(Settings!$E$5:$E$12,MATCH(F794,Settings!$D$5:$D$12,0)),0),2)))</f>
        <v/>
      </c>
      <c r="P794" s="37"/>
      <c r="Q794" s="46" t="str">
        <f aca="false">IF(N794="","",IF(P794&lt;&gt;"",P794,N794-O794))</f>
        <v/>
      </c>
      <c r="R794" s="46" t="str">
        <f aca="false">IF(J794="","",IFERROR(N(INDEX(Properties!$H$5:$H$24,MATCH(D794,Properties!$A$5:$A$24,0))),0))</f>
        <v/>
      </c>
      <c r="S794" s="46" t="str">
        <f aca="false">IF(Q794="","",Q794-R794)</f>
        <v/>
      </c>
      <c r="T794" s="6"/>
      <c r="U794" s="6"/>
      <c r="V794" s="6"/>
      <c r="W794" s="6"/>
      <c r="X794" s="6"/>
      <c r="Y794" s="8" t="str">
        <f aca="false">IF(OR(D794="",B794="",C794=""),"",IF(N(C794)&lt;=N(B794),"Check dates",IF(T794="Cancelled","",IF(COUNTIFS($D$5:$D$1004,D794,$B$5:$B$1004,"&lt;"&amp;C794,$C$5:$C$1004,"&gt;"&amp;B794,$T$5:$T$1004,"&lt;&gt;Cancelled")&gt;1,"Double-booked",""))))</f>
        <v/>
      </c>
      <c r="Z794" s="42" t="str">
        <f aca="false">IF(AND(AA794=1,ISNUMBER(C794)),C794+ROW()/100000,"")</f>
        <v/>
      </c>
      <c r="AA794" s="43" t="n">
        <f aca="false">IF(AND(D794&lt;&gt;"",ISNUMBER(B794),ISNUMBER(C794),N(H794)&gt;0,T794&lt;&gt;"Cancelled",J794&lt;&gt;""),1,0)</f>
        <v>0</v>
      </c>
      <c r="AB794" s="44" t="n">
        <f aca="false">IF(AA794=1,J794/H794,0)</f>
        <v>0</v>
      </c>
      <c r="AC794" s="44" t="n">
        <f aca="false">IF(AA794=1,Q794/H794,0)</f>
        <v>0</v>
      </c>
      <c r="AD794" s="44" t="n">
        <f aca="false">IF(AA794=1,R794/H794,0)</f>
        <v>0</v>
      </c>
      <c r="AE794" s="44" t="n">
        <f aca="false">IF(AA794=1,O794/H794,0)</f>
        <v>0</v>
      </c>
      <c r="AF794" s="44" t="n">
        <f aca="false">IF(AA794=1,K794/H794,0)</f>
        <v>0</v>
      </c>
      <c r="AG794" s="45" t="str">
        <f aca="false">IF(AA794=1,D794&amp;"|"&amp;TEXT(B794,"0"),"")</f>
        <v/>
      </c>
      <c r="AH794" s="43" t="n">
        <f aca="false">IF(AA794=1,H794,0)</f>
        <v>0</v>
      </c>
    </row>
    <row r="795" customFormat="false" ht="15" hidden="false" customHeight="false" outlineLevel="0" collapsed="false">
      <c r="A795" s="8" t="str">
        <f aca="false">IF(B795="","","B-"&amp;TEXT(ROW()-4,"0000"))</f>
        <v/>
      </c>
      <c r="B795" s="38"/>
      <c r="C795" s="38"/>
      <c r="D795" s="6"/>
      <c r="E795" s="6"/>
      <c r="F795" s="6"/>
      <c r="G795" s="11"/>
      <c r="H795" s="18" t="str">
        <f aca="false">IF(AND(ISNUMBER(B795),ISNUMBER(C795)),MAX(0,C795-B795),"")</f>
        <v/>
      </c>
      <c r="I795" s="37"/>
      <c r="J795" s="41" t="str">
        <f aca="false">IF(OR(D795="",N(H795)=0),"",IFERROR(IF(I795&lt;&gt;"",H795*I795,ROUND(((H795-(INT((WEEKDAY(B795-6)+H795-1)/7)+INT((WEEKDAY(B795-7)+H795-1)/7)))*INDEX(Properties!$E$5:$E$24,MATCH(D795,Properties!$A$5:$A$24,0))+(INT((WEEKDAY(B795-6)+H795-1)/7)+INT((WEEKDAY(B795-7)+H795-1)/7))*INDEX(Properties!$F$5:$F$24,MATCH(D795,Properties!$A$5:$A$24,0)))*(1-IF(H795&gt;=28,Settings!$B$10,IF(H795&gt;=7,Settings!$B$9,0))),2)),0))</f>
        <v/>
      </c>
      <c r="K795" s="41" t="str">
        <f aca="false">IF(J795="","",IFERROR(N(INDEX(Properties!$G$5:$G$24,MATCH(D795,Properties!$A$5:$A$24,0))),0))</f>
        <v/>
      </c>
      <c r="L795" s="41" t="str">
        <f aca="false">IF(J795="","",IFERROR(MAX(0,N(G795)-INDEX(Properties!$I$5:$I$24,MATCH(D795,Properties!$A$5:$A$24,0)))*N(INDEX(Properties!$J$5:$J$24,MATCH(D795,Properties!$A$5:$A$24,0)))*H795,0))</f>
        <v/>
      </c>
      <c r="M795" s="37"/>
      <c r="N795" s="41" t="str">
        <f aca="false">IF(J795="","",J795+K795+L795+N(M795))</f>
        <v/>
      </c>
      <c r="O795" s="41" t="str">
        <f aca="false">IF(N795="","",IF(P795&lt;&gt;"",N795-P795,ROUND(N795*IFERROR(INDEX(Settings!$E$5:$E$12,MATCH(F795,Settings!$D$5:$D$12,0)),0),2)))</f>
        <v/>
      </c>
      <c r="P795" s="37"/>
      <c r="Q795" s="41" t="str">
        <f aca="false">IF(N795="","",IF(P795&lt;&gt;"",P795,N795-O795))</f>
        <v/>
      </c>
      <c r="R795" s="41" t="str">
        <f aca="false">IF(J795="","",IFERROR(N(INDEX(Properties!$H$5:$H$24,MATCH(D795,Properties!$A$5:$A$24,0))),0))</f>
        <v/>
      </c>
      <c r="S795" s="41" t="str">
        <f aca="false">IF(Q795="","",Q795-R795)</f>
        <v/>
      </c>
      <c r="T795" s="6"/>
      <c r="U795" s="6"/>
      <c r="V795" s="6"/>
      <c r="W795" s="6"/>
      <c r="X795" s="6"/>
      <c r="Y795" s="8" t="str">
        <f aca="false">IF(OR(D795="",B795="",C795=""),"",IF(N(C795)&lt;=N(B795),"Check dates",IF(T795="Cancelled","",IF(COUNTIFS($D$5:$D$1004,D795,$B$5:$B$1004,"&lt;"&amp;C795,$C$5:$C$1004,"&gt;"&amp;B795,$T$5:$T$1004,"&lt;&gt;Cancelled")&gt;1,"Double-booked",""))))</f>
        <v/>
      </c>
      <c r="Z795" s="42" t="str">
        <f aca="false">IF(AND(AA795=1,ISNUMBER(C795)),C795+ROW()/100000,"")</f>
        <v/>
      </c>
      <c r="AA795" s="43" t="n">
        <f aca="false">IF(AND(D795&lt;&gt;"",ISNUMBER(B795),ISNUMBER(C795),N(H795)&gt;0,T795&lt;&gt;"Cancelled",J795&lt;&gt;""),1,0)</f>
        <v>0</v>
      </c>
      <c r="AB795" s="44" t="n">
        <f aca="false">IF(AA795=1,J795/H795,0)</f>
        <v>0</v>
      </c>
      <c r="AC795" s="44" t="n">
        <f aca="false">IF(AA795=1,Q795/H795,0)</f>
        <v>0</v>
      </c>
      <c r="AD795" s="44" t="n">
        <f aca="false">IF(AA795=1,R795/H795,0)</f>
        <v>0</v>
      </c>
      <c r="AE795" s="44" t="n">
        <f aca="false">IF(AA795=1,O795/H795,0)</f>
        <v>0</v>
      </c>
      <c r="AF795" s="44" t="n">
        <f aca="false">IF(AA795=1,K795/H795,0)</f>
        <v>0</v>
      </c>
      <c r="AG795" s="45" t="str">
        <f aca="false">IF(AA795=1,D795&amp;"|"&amp;TEXT(B795,"0"),"")</f>
        <v/>
      </c>
      <c r="AH795" s="43" t="n">
        <f aca="false">IF(AA795=1,H795,0)</f>
        <v>0</v>
      </c>
    </row>
    <row r="796" customFormat="false" ht="15" hidden="false" customHeight="false" outlineLevel="0" collapsed="false">
      <c r="A796" s="23" t="str">
        <f aca="false">IF(B796="","","B-"&amp;TEXT(ROW()-4,"0000"))</f>
        <v/>
      </c>
      <c r="B796" s="38"/>
      <c r="C796" s="38"/>
      <c r="D796" s="6"/>
      <c r="E796" s="6"/>
      <c r="F796" s="6"/>
      <c r="G796" s="11"/>
      <c r="H796" s="24" t="str">
        <f aca="false">IF(AND(ISNUMBER(B796),ISNUMBER(C796)),MAX(0,C796-B796),"")</f>
        <v/>
      </c>
      <c r="I796" s="37"/>
      <c r="J796" s="46" t="str">
        <f aca="false">IF(OR(D796="",N(H796)=0),"",IFERROR(IF(I796&lt;&gt;"",H796*I796,ROUND(((H796-(INT((WEEKDAY(B796-6)+H796-1)/7)+INT((WEEKDAY(B796-7)+H796-1)/7)))*INDEX(Properties!$E$5:$E$24,MATCH(D796,Properties!$A$5:$A$24,0))+(INT((WEEKDAY(B796-6)+H796-1)/7)+INT((WEEKDAY(B796-7)+H796-1)/7))*INDEX(Properties!$F$5:$F$24,MATCH(D796,Properties!$A$5:$A$24,0)))*(1-IF(H796&gt;=28,Settings!$B$10,IF(H796&gt;=7,Settings!$B$9,0))),2)),0))</f>
        <v/>
      </c>
      <c r="K796" s="46" t="str">
        <f aca="false">IF(J796="","",IFERROR(N(INDEX(Properties!$G$5:$G$24,MATCH(D796,Properties!$A$5:$A$24,0))),0))</f>
        <v/>
      </c>
      <c r="L796" s="46" t="str">
        <f aca="false">IF(J796="","",IFERROR(MAX(0,N(G796)-INDEX(Properties!$I$5:$I$24,MATCH(D796,Properties!$A$5:$A$24,0)))*N(INDEX(Properties!$J$5:$J$24,MATCH(D796,Properties!$A$5:$A$24,0)))*H796,0))</f>
        <v/>
      </c>
      <c r="M796" s="37"/>
      <c r="N796" s="46" t="str">
        <f aca="false">IF(J796="","",J796+K796+L796+N(M796))</f>
        <v/>
      </c>
      <c r="O796" s="46" t="str">
        <f aca="false">IF(N796="","",IF(P796&lt;&gt;"",N796-P796,ROUND(N796*IFERROR(INDEX(Settings!$E$5:$E$12,MATCH(F796,Settings!$D$5:$D$12,0)),0),2)))</f>
        <v/>
      </c>
      <c r="P796" s="37"/>
      <c r="Q796" s="46" t="str">
        <f aca="false">IF(N796="","",IF(P796&lt;&gt;"",P796,N796-O796))</f>
        <v/>
      </c>
      <c r="R796" s="46" t="str">
        <f aca="false">IF(J796="","",IFERROR(N(INDEX(Properties!$H$5:$H$24,MATCH(D796,Properties!$A$5:$A$24,0))),0))</f>
        <v/>
      </c>
      <c r="S796" s="46" t="str">
        <f aca="false">IF(Q796="","",Q796-R796)</f>
        <v/>
      </c>
      <c r="T796" s="6"/>
      <c r="U796" s="6"/>
      <c r="V796" s="6"/>
      <c r="W796" s="6"/>
      <c r="X796" s="6"/>
      <c r="Y796" s="8" t="str">
        <f aca="false">IF(OR(D796="",B796="",C796=""),"",IF(N(C796)&lt;=N(B796),"Check dates",IF(T796="Cancelled","",IF(COUNTIFS($D$5:$D$1004,D796,$B$5:$B$1004,"&lt;"&amp;C796,$C$5:$C$1004,"&gt;"&amp;B796,$T$5:$T$1004,"&lt;&gt;Cancelled")&gt;1,"Double-booked",""))))</f>
        <v/>
      </c>
      <c r="Z796" s="42" t="str">
        <f aca="false">IF(AND(AA796=1,ISNUMBER(C796)),C796+ROW()/100000,"")</f>
        <v/>
      </c>
      <c r="AA796" s="43" t="n">
        <f aca="false">IF(AND(D796&lt;&gt;"",ISNUMBER(B796),ISNUMBER(C796),N(H796)&gt;0,T796&lt;&gt;"Cancelled",J796&lt;&gt;""),1,0)</f>
        <v>0</v>
      </c>
      <c r="AB796" s="44" t="n">
        <f aca="false">IF(AA796=1,J796/H796,0)</f>
        <v>0</v>
      </c>
      <c r="AC796" s="44" t="n">
        <f aca="false">IF(AA796=1,Q796/H796,0)</f>
        <v>0</v>
      </c>
      <c r="AD796" s="44" t="n">
        <f aca="false">IF(AA796=1,R796/H796,0)</f>
        <v>0</v>
      </c>
      <c r="AE796" s="44" t="n">
        <f aca="false">IF(AA796=1,O796/H796,0)</f>
        <v>0</v>
      </c>
      <c r="AF796" s="44" t="n">
        <f aca="false">IF(AA796=1,K796/H796,0)</f>
        <v>0</v>
      </c>
      <c r="AG796" s="45" t="str">
        <f aca="false">IF(AA796=1,D796&amp;"|"&amp;TEXT(B796,"0"),"")</f>
        <v/>
      </c>
      <c r="AH796" s="43" t="n">
        <f aca="false">IF(AA796=1,H796,0)</f>
        <v>0</v>
      </c>
    </row>
    <row r="797" customFormat="false" ht="15" hidden="false" customHeight="false" outlineLevel="0" collapsed="false">
      <c r="A797" s="8" t="str">
        <f aca="false">IF(B797="","","B-"&amp;TEXT(ROW()-4,"0000"))</f>
        <v/>
      </c>
      <c r="B797" s="38"/>
      <c r="C797" s="38"/>
      <c r="D797" s="6"/>
      <c r="E797" s="6"/>
      <c r="F797" s="6"/>
      <c r="G797" s="11"/>
      <c r="H797" s="18" t="str">
        <f aca="false">IF(AND(ISNUMBER(B797),ISNUMBER(C797)),MAX(0,C797-B797),"")</f>
        <v/>
      </c>
      <c r="I797" s="37"/>
      <c r="J797" s="41" t="str">
        <f aca="false">IF(OR(D797="",N(H797)=0),"",IFERROR(IF(I797&lt;&gt;"",H797*I797,ROUND(((H797-(INT((WEEKDAY(B797-6)+H797-1)/7)+INT((WEEKDAY(B797-7)+H797-1)/7)))*INDEX(Properties!$E$5:$E$24,MATCH(D797,Properties!$A$5:$A$24,0))+(INT((WEEKDAY(B797-6)+H797-1)/7)+INT((WEEKDAY(B797-7)+H797-1)/7))*INDEX(Properties!$F$5:$F$24,MATCH(D797,Properties!$A$5:$A$24,0)))*(1-IF(H797&gt;=28,Settings!$B$10,IF(H797&gt;=7,Settings!$B$9,0))),2)),0))</f>
        <v/>
      </c>
      <c r="K797" s="41" t="str">
        <f aca="false">IF(J797="","",IFERROR(N(INDEX(Properties!$G$5:$G$24,MATCH(D797,Properties!$A$5:$A$24,0))),0))</f>
        <v/>
      </c>
      <c r="L797" s="41" t="str">
        <f aca="false">IF(J797="","",IFERROR(MAX(0,N(G797)-INDEX(Properties!$I$5:$I$24,MATCH(D797,Properties!$A$5:$A$24,0)))*N(INDEX(Properties!$J$5:$J$24,MATCH(D797,Properties!$A$5:$A$24,0)))*H797,0))</f>
        <v/>
      </c>
      <c r="M797" s="37"/>
      <c r="N797" s="41" t="str">
        <f aca="false">IF(J797="","",J797+K797+L797+N(M797))</f>
        <v/>
      </c>
      <c r="O797" s="41" t="str">
        <f aca="false">IF(N797="","",IF(P797&lt;&gt;"",N797-P797,ROUND(N797*IFERROR(INDEX(Settings!$E$5:$E$12,MATCH(F797,Settings!$D$5:$D$12,0)),0),2)))</f>
        <v/>
      </c>
      <c r="P797" s="37"/>
      <c r="Q797" s="41" t="str">
        <f aca="false">IF(N797="","",IF(P797&lt;&gt;"",P797,N797-O797))</f>
        <v/>
      </c>
      <c r="R797" s="41" t="str">
        <f aca="false">IF(J797="","",IFERROR(N(INDEX(Properties!$H$5:$H$24,MATCH(D797,Properties!$A$5:$A$24,0))),0))</f>
        <v/>
      </c>
      <c r="S797" s="41" t="str">
        <f aca="false">IF(Q797="","",Q797-R797)</f>
        <v/>
      </c>
      <c r="T797" s="6"/>
      <c r="U797" s="6"/>
      <c r="V797" s="6"/>
      <c r="W797" s="6"/>
      <c r="X797" s="6"/>
      <c r="Y797" s="8" t="str">
        <f aca="false">IF(OR(D797="",B797="",C797=""),"",IF(N(C797)&lt;=N(B797),"Check dates",IF(T797="Cancelled","",IF(COUNTIFS($D$5:$D$1004,D797,$B$5:$B$1004,"&lt;"&amp;C797,$C$5:$C$1004,"&gt;"&amp;B797,$T$5:$T$1004,"&lt;&gt;Cancelled")&gt;1,"Double-booked",""))))</f>
        <v/>
      </c>
      <c r="Z797" s="42" t="str">
        <f aca="false">IF(AND(AA797=1,ISNUMBER(C797)),C797+ROW()/100000,"")</f>
        <v/>
      </c>
      <c r="AA797" s="43" t="n">
        <f aca="false">IF(AND(D797&lt;&gt;"",ISNUMBER(B797),ISNUMBER(C797),N(H797)&gt;0,T797&lt;&gt;"Cancelled",J797&lt;&gt;""),1,0)</f>
        <v>0</v>
      </c>
      <c r="AB797" s="44" t="n">
        <f aca="false">IF(AA797=1,J797/H797,0)</f>
        <v>0</v>
      </c>
      <c r="AC797" s="44" t="n">
        <f aca="false">IF(AA797=1,Q797/H797,0)</f>
        <v>0</v>
      </c>
      <c r="AD797" s="44" t="n">
        <f aca="false">IF(AA797=1,R797/H797,0)</f>
        <v>0</v>
      </c>
      <c r="AE797" s="44" t="n">
        <f aca="false">IF(AA797=1,O797/H797,0)</f>
        <v>0</v>
      </c>
      <c r="AF797" s="44" t="n">
        <f aca="false">IF(AA797=1,K797/H797,0)</f>
        <v>0</v>
      </c>
      <c r="AG797" s="45" t="str">
        <f aca="false">IF(AA797=1,D797&amp;"|"&amp;TEXT(B797,"0"),"")</f>
        <v/>
      </c>
      <c r="AH797" s="43" t="n">
        <f aca="false">IF(AA797=1,H797,0)</f>
        <v>0</v>
      </c>
    </row>
    <row r="798" customFormat="false" ht="15" hidden="false" customHeight="false" outlineLevel="0" collapsed="false">
      <c r="A798" s="23" t="str">
        <f aca="false">IF(B798="","","B-"&amp;TEXT(ROW()-4,"0000"))</f>
        <v/>
      </c>
      <c r="B798" s="38"/>
      <c r="C798" s="38"/>
      <c r="D798" s="6"/>
      <c r="E798" s="6"/>
      <c r="F798" s="6"/>
      <c r="G798" s="11"/>
      <c r="H798" s="24" t="str">
        <f aca="false">IF(AND(ISNUMBER(B798),ISNUMBER(C798)),MAX(0,C798-B798),"")</f>
        <v/>
      </c>
      <c r="I798" s="37"/>
      <c r="J798" s="46" t="str">
        <f aca="false">IF(OR(D798="",N(H798)=0),"",IFERROR(IF(I798&lt;&gt;"",H798*I798,ROUND(((H798-(INT((WEEKDAY(B798-6)+H798-1)/7)+INT((WEEKDAY(B798-7)+H798-1)/7)))*INDEX(Properties!$E$5:$E$24,MATCH(D798,Properties!$A$5:$A$24,0))+(INT((WEEKDAY(B798-6)+H798-1)/7)+INT((WEEKDAY(B798-7)+H798-1)/7))*INDEX(Properties!$F$5:$F$24,MATCH(D798,Properties!$A$5:$A$24,0)))*(1-IF(H798&gt;=28,Settings!$B$10,IF(H798&gt;=7,Settings!$B$9,0))),2)),0))</f>
        <v/>
      </c>
      <c r="K798" s="46" t="str">
        <f aca="false">IF(J798="","",IFERROR(N(INDEX(Properties!$G$5:$G$24,MATCH(D798,Properties!$A$5:$A$24,0))),0))</f>
        <v/>
      </c>
      <c r="L798" s="46" t="str">
        <f aca="false">IF(J798="","",IFERROR(MAX(0,N(G798)-INDEX(Properties!$I$5:$I$24,MATCH(D798,Properties!$A$5:$A$24,0)))*N(INDEX(Properties!$J$5:$J$24,MATCH(D798,Properties!$A$5:$A$24,0)))*H798,0))</f>
        <v/>
      </c>
      <c r="M798" s="37"/>
      <c r="N798" s="46" t="str">
        <f aca="false">IF(J798="","",J798+K798+L798+N(M798))</f>
        <v/>
      </c>
      <c r="O798" s="46" t="str">
        <f aca="false">IF(N798="","",IF(P798&lt;&gt;"",N798-P798,ROUND(N798*IFERROR(INDEX(Settings!$E$5:$E$12,MATCH(F798,Settings!$D$5:$D$12,0)),0),2)))</f>
        <v/>
      </c>
      <c r="P798" s="37"/>
      <c r="Q798" s="46" t="str">
        <f aca="false">IF(N798="","",IF(P798&lt;&gt;"",P798,N798-O798))</f>
        <v/>
      </c>
      <c r="R798" s="46" t="str">
        <f aca="false">IF(J798="","",IFERROR(N(INDEX(Properties!$H$5:$H$24,MATCH(D798,Properties!$A$5:$A$24,0))),0))</f>
        <v/>
      </c>
      <c r="S798" s="46" t="str">
        <f aca="false">IF(Q798="","",Q798-R798)</f>
        <v/>
      </c>
      <c r="T798" s="6"/>
      <c r="U798" s="6"/>
      <c r="V798" s="6"/>
      <c r="W798" s="6"/>
      <c r="X798" s="6"/>
      <c r="Y798" s="8" t="str">
        <f aca="false">IF(OR(D798="",B798="",C798=""),"",IF(N(C798)&lt;=N(B798),"Check dates",IF(T798="Cancelled","",IF(COUNTIFS($D$5:$D$1004,D798,$B$5:$B$1004,"&lt;"&amp;C798,$C$5:$C$1004,"&gt;"&amp;B798,$T$5:$T$1004,"&lt;&gt;Cancelled")&gt;1,"Double-booked",""))))</f>
        <v/>
      </c>
      <c r="Z798" s="42" t="str">
        <f aca="false">IF(AND(AA798=1,ISNUMBER(C798)),C798+ROW()/100000,"")</f>
        <v/>
      </c>
      <c r="AA798" s="43" t="n">
        <f aca="false">IF(AND(D798&lt;&gt;"",ISNUMBER(B798),ISNUMBER(C798),N(H798)&gt;0,T798&lt;&gt;"Cancelled",J798&lt;&gt;""),1,0)</f>
        <v>0</v>
      </c>
      <c r="AB798" s="44" t="n">
        <f aca="false">IF(AA798=1,J798/H798,0)</f>
        <v>0</v>
      </c>
      <c r="AC798" s="44" t="n">
        <f aca="false">IF(AA798=1,Q798/H798,0)</f>
        <v>0</v>
      </c>
      <c r="AD798" s="44" t="n">
        <f aca="false">IF(AA798=1,R798/H798,0)</f>
        <v>0</v>
      </c>
      <c r="AE798" s="44" t="n">
        <f aca="false">IF(AA798=1,O798/H798,0)</f>
        <v>0</v>
      </c>
      <c r="AF798" s="44" t="n">
        <f aca="false">IF(AA798=1,K798/H798,0)</f>
        <v>0</v>
      </c>
      <c r="AG798" s="45" t="str">
        <f aca="false">IF(AA798=1,D798&amp;"|"&amp;TEXT(B798,"0"),"")</f>
        <v/>
      </c>
      <c r="AH798" s="43" t="n">
        <f aca="false">IF(AA798=1,H798,0)</f>
        <v>0</v>
      </c>
    </row>
    <row r="799" customFormat="false" ht="15" hidden="false" customHeight="false" outlineLevel="0" collapsed="false">
      <c r="A799" s="8" t="str">
        <f aca="false">IF(B799="","","B-"&amp;TEXT(ROW()-4,"0000"))</f>
        <v/>
      </c>
      <c r="B799" s="38"/>
      <c r="C799" s="38"/>
      <c r="D799" s="6"/>
      <c r="E799" s="6"/>
      <c r="F799" s="6"/>
      <c r="G799" s="11"/>
      <c r="H799" s="18" t="str">
        <f aca="false">IF(AND(ISNUMBER(B799),ISNUMBER(C799)),MAX(0,C799-B799),"")</f>
        <v/>
      </c>
      <c r="I799" s="37"/>
      <c r="J799" s="41" t="str">
        <f aca="false">IF(OR(D799="",N(H799)=0),"",IFERROR(IF(I799&lt;&gt;"",H799*I799,ROUND(((H799-(INT((WEEKDAY(B799-6)+H799-1)/7)+INT((WEEKDAY(B799-7)+H799-1)/7)))*INDEX(Properties!$E$5:$E$24,MATCH(D799,Properties!$A$5:$A$24,0))+(INT((WEEKDAY(B799-6)+H799-1)/7)+INT((WEEKDAY(B799-7)+H799-1)/7))*INDEX(Properties!$F$5:$F$24,MATCH(D799,Properties!$A$5:$A$24,0)))*(1-IF(H799&gt;=28,Settings!$B$10,IF(H799&gt;=7,Settings!$B$9,0))),2)),0))</f>
        <v/>
      </c>
      <c r="K799" s="41" t="str">
        <f aca="false">IF(J799="","",IFERROR(N(INDEX(Properties!$G$5:$G$24,MATCH(D799,Properties!$A$5:$A$24,0))),0))</f>
        <v/>
      </c>
      <c r="L799" s="41" t="str">
        <f aca="false">IF(J799="","",IFERROR(MAX(0,N(G799)-INDEX(Properties!$I$5:$I$24,MATCH(D799,Properties!$A$5:$A$24,0)))*N(INDEX(Properties!$J$5:$J$24,MATCH(D799,Properties!$A$5:$A$24,0)))*H799,0))</f>
        <v/>
      </c>
      <c r="M799" s="37"/>
      <c r="N799" s="41" t="str">
        <f aca="false">IF(J799="","",J799+K799+L799+N(M799))</f>
        <v/>
      </c>
      <c r="O799" s="41" t="str">
        <f aca="false">IF(N799="","",IF(P799&lt;&gt;"",N799-P799,ROUND(N799*IFERROR(INDEX(Settings!$E$5:$E$12,MATCH(F799,Settings!$D$5:$D$12,0)),0),2)))</f>
        <v/>
      </c>
      <c r="P799" s="37"/>
      <c r="Q799" s="41" t="str">
        <f aca="false">IF(N799="","",IF(P799&lt;&gt;"",P799,N799-O799))</f>
        <v/>
      </c>
      <c r="R799" s="41" t="str">
        <f aca="false">IF(J799="","",IFERROR(N(INDEX(Properties!$H$5:$H$24,MATCH(D799,Properties!$A$5:$A$24,0))),0))</f>
        <v/>
      </c>
      <c r="S799" s="41" t="str">
        <f aca="false">IF(Q799="","",Q799-R799)</f>
        <v/>
      </c>
      <c r="T799" s="6"/>
      <c r="U799" s="6"/>
      <c r="V799" s="6"/>
      <c r="W799" s="6"/>
      <c r="X799" s="6"/>
      <c r="Y799" s="8" t="str">
        <f aca="false">IF(OR(D799="",B799="",C799=""),"",IF(N(C799)&lt;=N(B799),"Check dates",IF(T799="Cancelled","",IF(COUNTIFS($D$5:$D$1004,D799,$B$5:$B$1004,"&lt;"&amp;C799,$C$5:$C$1004,"&gt;"&amp;B799,$T$5:$T$1004,"&lt;&gt;Cancelled")&gt;1,"Double-booked",""))))</f>
        <v/>
      </c>
      <c r="Z799" s="42" t="str">
        <f aca="false">IF(AND(AA799=1,ISNUMBER(C799)),C799+ROW()/100000,"")</f>
        <v/>
      </c>
      <c r="AA799" s="43" t="n">
        <f aca="false">IF(AND(D799&lt;&gt;"",ISNUMBER(B799),ISNUMBER(C799),N(H799)&gt;0,T799&lt;&gt;"Cancelled",J799&lt;&gt;""),1,0)</f>
        <v>0</v>
      </c>
      <c r="AB799" s="44" t="n">
        <f aca="false">IF(AA799=1,J799/H799,0)</f>
        <v>0</v>
      </c>
      <c r="AC799" s="44" t="n">
        <f aca="false">IF(AA799=1,Q799/H799,0)</f>
        <v>0</v>
      </c>
      <c r="AD799" s="44" t="n">
        <f aca="false">IF(AA799=1,R799/H799,0)</f>
        <v>0</v>
      </c>
      <c r="AE799" s="44" t="n">
        <f aca="false">IF(AA799=1,O799/H799,0)</f>
        <v>0</v>
      </c>
      <c r="AF799" s="44" t="n">
        <f aca="false">IF(AA799=1,K799/H799,0)</f>
        <v>0</v>
      </c>
      <c r="AG799" s="45" t="str">
        <f aca="false">IF(AA799=1,D799&amp;"|"&amp;TEXT(B799,"0"),"")</f>
        <v/>
      </c>
      <c r="AH799" s="43" t="n">
        <f aca="false">IF(AA799=1,H799,0)</f>
        <v>0</v>
      </c>
    </row>
    <row r="800" customFormat="false" ht="15" hidden="false" customHeight="false" outlineLevel="0" collapsed="false">
      <c r="A800" s="23" t="str">
        <f aca="false">IF(B800="","","B-"&amp;TEXT(ROW()-4,"0000"))</f>
        <v/>
      </c>
      <c r="B800" s="38"/>
      <c r="C800" s="38"/>
      <c r="D800" s="6"/>
      <c r="E800" s="6"/>
      <c r="F800" s="6"/>
      <c r="G800" s="11"/>
      <c r="H800" s="24" t="str">
        <f aca="false">IF(AND(ISNUMBER(B800),ISNUMBER(C800)),MAX(0,C800-B800),"")</f>
        <v/>
      </c>
      <c r="I800" s="37"/>
      <c r="J800" s="46" t="str">
        <f aca="false">IF(OR(D800="",N(H800)=0),"",IFERROR(IF(I800&lt;&gt;"",H800*I800,ROUND(((H800-(INT((WEEKDAY(B800-6)+H800-1)/7)+INT((WEEKDAY(B800-7)+H800-1)/7)))*INDEX(Properties!$E$5:$E$24,MATCH(D800,Properties!$A$5:$A$24,0))+(INT((WEEKDAY(B800-6)+H800-1)/7)+INT((WEEKDAY(B800-7)+H800-1)/7))*INDEX(Properties!$F$5:$F$24,MATCH(D800,Properties!$A$5:$A$24,0)))*(1-IF(H800&gt;=28,Settings!$B$10,IF(H800&gt;=7,Settings!$B$9,0))),2)),0))</f>
        <v/>
      </c>
      <c r="K800" s="46" t="str">
        <f aca="false">IF(J800="","",IFERROR(N(INDEX(Properties!$G$5:$G$24,MATCH(D800,Properties!$A$5:$A$24,0))),0))</f>
        <v/>
      </c>
      <c r="L800" s="46" t="str">
        <f aca="false">IF(J800="","",IFERROR(MAX(0,N(G800)-INDEX(Properties!$I$5:$I$24,MATCH(D800,Properties!$A$5:$A$24,0)))*N(INDEX(Properties!$J$5:$J$24,MATCH(D800,Properties!$A$5:$A$24,0)))*H800,0))</f>
        <v/>
      </c>
      <c r="M800" s="37"/>
      <c r="N800" s="46" t="str">
        <f aca="false">IF(J800="","",J800+K800+L800+N(M800))</f>
        <v/>
      </c>
      <c r="O800" s="46" t="str">
        <f aca="false">IF(N800="","",IF(P800&lt;&gt;"",N800-P800,ROUND(N800*IFERROR(INDEX(Settings!$E$5:$E$12,MATCH(F800,Settings!$D$5:$D$12,0)),0),2)))</f>
        <v/>
      </c>
      <c r="P800" s="37"/>
      <c r="Q800" s="46" t="str">
        <f aca="false">IF(N800="","",IF(P800&lt;&gt;"",P800,N800-O800))</f>
        <v/>
      </c>
      <c r="R800" s="46" t="str">
        <f aca="false">IF(J800="","",IFERROR(N(INDEX(Properties!$H$5:$H$24,MATCH(D800,Properties!$A$5:$A$24,0))),0))</f>
        <v/>
      </c>
      <c r="S800" s="46" t="str">
        <f aca="false">IF(Q800="","",Q800-R800)</f>
        <v/>
      </c>
      <c r="T800" s="6"/>
      <c r="U800" s="6"/>
      <c r="V800" s="6"/>
      <c r="W800" s="6"/>
      <c r="X800" s="6"/>
      <c r="Y800" s="8" t="str">
        <f aca="false">IF(OR(D800="",B800="",C800=""),"",IF(N(C800)&lt;=N(B800),"Check dates",IF(T800="Cancelled","",IF(COUNTIFS($D$5:$D$1004,D800,$B$5:$B$1004,"&lt;"&amp;C800,$C$5:$C$1004,"&gt;"&amp;B800,$T$5:$T$1004,"&lt;&gt;Cancelled")&gt;1,"Double-booked",""))))</f>
        <v/>
      </c>
      <c r="Z800" s="42" t="str">
        <f aca="false">IF(AND(AA800=1,ISNUMBER(C800)),C800+ROW()/100000,"")</f>
        <v/>
      </c>
      <c r="AA800" s="43" t="n">
        <f aca="false">IF(AND(D800&lt;&gt;"",ISNUMBER(B800),ISNUMBER(C800),N(H800)&gt;0,T800&lt;&gt;"Cancelled",J800&lt;&gt;""),1,0)</f>
        <v>0</v>
      </c>
      <c r="AB800" s="44" t="n">
        <f aca="false">IF(AA800=1,J800/H800,0)</f>
        <v>0</v>
      </c>
      <c r="AC800" s="44" t="n">
        <f aca="false">IF(AA800=1,Q800/H800,0)</f>
        <v>0</v>
      </c>
      <c r="AD800" s="44" t="n">
        <f aca="false">IF(AA800=1,R800/H800,0)</f>
        <v>0</v>
      </c>
      <c r="AE800" s="44" t="n">
        <f aca="false">IF(AA800=1,O800/H800,0)</f>
        <v>0</v>
      </c>
      <c r="AF800" s="44" t="n">
        <f aca="false">IF(AA800=1,K800/H800,0)</f>
        <v>0</v>
      </c>
      <c r="AG800" s="45" t="str">
        <f aca="false">IF(AA800=1,D800&amp;"|"&amp;TEXT(B800,"0"),"")</f>
        <v/>
      </c>
      <c r="AH800" s="43" t="n">
        <f aca="false">IF(AA800=1,H800,0)</f>
        <v>0</v>
      </c>
    </row>
    <row r="801" customFormat="false" ht="15" hidden="false" customHeight="false" outlineLevel="0" collapsed="false">
      <c r="A801" s="8" t="str">
        <f aca="false">IF(B801="","","B-"&amp;TEXT(ROW()-4,"0000"))</f>
        <v/>
      </c>
      <c r="B801" s="38"/>
      <c r="C801" s="38"/>
      <c r="D801" s="6"/>
      <c r="E801" s="6"/>
      <c r="F801" s="6"/>
      <c r="G801" s="11"/>
      <c r="H801" s="18" t="str">
        <f aca="false">IF(AND(ISNUMBER(B801),ISNUMBER(C801)),MAX(0,C801-B801),"")</f>
        <v/>
      </c>
      <c r="I801" s="37"/>
      <c r="J801" s="41" t="str">
        <f aca="false">IF(OR(D801="",N(H801)=0),"",IFERROR(IF(I801&lt;&gt;"",H801*I801,ROUND(((H801-(INT((WEEKDAY(B801-6)+H801-1)/7)+INT((WEEKDAY(B801-7)+H801-1)/7)))*INDEX(Properties!$E$5:$E$24,MATCH(D801,Properties!$A$5:$A$24,0))+(INT((WEEKDAY(B801-6)+H801-1)/7)+INT((WEEKDAY(B801-7)+H801-1)/7))*INDEX(Properties!$F$5:$F$24,MATCH(D801,Properties!$A$5:$A$24,0)))*(1-IF(H801&gt;=28,Settings!$B$10,IF(H801&gt;=7,Settings!$B$9,0))),2)),0))</f>
        <v/>
      </c>
      <c r="K801" s="41" t="str">
        <f aca="false">IF(J801="","",IFERROR(N(INDEX(Properties!$G$5:$G$24,MATCH(D801,Properties!$A$5:$A$24,0))),0))</f>
        <v/>
      </c>
      <c r="L801" s="41" t="str">
        <f aca="false">IF(J801="","",IFERROR(MAX(0,N(G801)-INDEX(Properties!$I$5:$I$24,MATCH(D801,Properties!$A$5:$A$24,0)))*N(INDEX(Properties!$J$5:$J$24,MATCH(D801,Properties!$A$5:$A$24,0)))*H801,0))</f>
        <v/>
      </c>
      <c r="M801" s="37"/>
      <c r="N801" s="41" t="str">
        <f aca="false">IF(J801="","",J801+K801+L801+N(M801))</f>
        <v/>
      </c>
      <c r="O801" s="41" t="str">
        <f aca="false">IF(N801="","",IF(P801&lt;&gt;"",N801-P801,ROUND(N801*IFERROR(INDEX(Settings!$E$5:$E$12,MATCH(F801,Settings!$D$5:$D$12,0)),0),2)))</f>
        <v/>
      </c>
      <c r="P801" s="37"/>
      <c r="Q801" s="41" t="str">
        <f aca="false">IF(N801="","",IF(P801&lt;&gt;"",P801,N801-O801))</f>
        <v/>
      </c>
      <c r="R801" s="41" t="str">
        <f aca="false">IF(J801="","",IFERROR(N(INDEX(Properties!$H$5:$H$24,MATCH(D801,Properties!$A$5:$A$24,0))),0))</f>
        <v/>
      </c>
      <c r="S801" s="41" t="str">
        <f aca="false">IF(Q801="","",Q801-R801)</f>
        <v/>
      </c>
      <c r="T801" s="6"/>
      <c r="U801" s="6"/>
      <c r="V801" s="6"/>
      <c r="W801" s="6"/>
      <c r="X801" s="6"/>
      <c r="Y801" s="8" t="str">
        <f aca="false">IF(OR(D801="",B801="",C801=""),"",IF(N(C801)&lt;=N(B801),"Check dates",IF(T801="Cancelled","",IF(COUNTIFS($D$5:$D$1004,D801,$B$5:$B$1004,"&lt;"&amp;C801,$C$5:$C$1004,"&gt;"&amp;B801,$T$5:$T$1004,"&lt;&gt;Cancelled")&gt;1,"Double-booked",""))))</f>
        <v/>
      </c>
      <c r="Z801" s="42" t="str">
        <f aca="false">IF(AND(AA801=1,ISNUMBER(C801)),C801+ROW()/100000,"")</f>
        <v/>
      </c>
      <c r="AA801" s="43" t="n">
        <f aca="false">IF(AND(D801&lt;&gt;"",ISNUMBER(B801),ISNUMBER(C801),N(H801)&gt;0,T801&lt;&gt;"Cancelled",J801&lt;&gt;""),1,0)</f>
        <v>0</v>
      </c>
      <c r="AB801" s="44" t="n">
        <f aca="false">IF(AA801=1,J801/H801,0)</f>
        <v>0</v>
      </c>
      <c r="AC801" s="44" t="n">
        <f aca="false">IF(AA801=1,Q801/H801,0)</f>
        <v>0</v>
      </c>
      <c r="AD801" s="44" t="n">
        <f aca="false">IF(AA801=1,R801/H801,0)</f>
        <v>0</v>
      </c>
      <c r="AE801" s="44" t="n">
        <f aca="false">IF(AA801=1,O801/H801,0)</f>
        <v>0</v>
      </c>
      <c r="AF801" s="44" t="n">
        <f aca="false">IF(AA801=1,K801/H801,0)</f>
        <v>0</v>
      </c>
      <c r="AG801" s="45" t="str">
        <f aca="false">IF(AA801=1,D801&amp;"|"&amp;TEXT(B801,"0"),"")</f>
        <v/>
      </c>
      <c r="AH801" s="43" t="n">
        <f aca="false">IF(AA801=1,H801,0)</f>
        <v>0</v>
      </c>
    </row>
    <row r="802" customFormat="false" ht="15" hidden="false" customHeight="false" outlineLevel="0" collapsed="false">
      <c r="A802" s="23" t="str">
        <f aca="false">IF(B802="","","B-"&amp;TEXT(ROW()-4,"0000"))</f>
        <v/>
      </c>
      <c r="B802" s="38"/>
      <c r="C802" s="38"/>
      <c r="D802" s="6"/>
      <c r="E802" s="6"/>
      <c r="F802" s="6"/>
      <c r="G802" s="11"/>
      <c r="H802" s="24" t="str">
        <f aca="false">IF(AND(ISNUMBER(B802),ISNUMBER(C802)),MAX(0,C802-B802),"")</f>
        <v/>
      </c>
      <c r="I802" s="37"/>
      <c r="J802" s="46" t="str">
        <f aca="false">IF(OR(D802="",N(H802)=0),"",IFERROR(IF(I802&lt;&gt;"",H802*I802,ROUND(((H802-(INT((WEEKDAY(B802-6)+H802-1)/7)+INT((WEEKDAY(B802-7)+H802-1)/7)))*INDEX(Properties!$E$5:$E$24,MATCH(D802,Properties!$A$5:$A$24,0))+(INT((WEEKDAY(B802-6)+H802-1)/7)+INT((WEEKDAY(B802-7)+H802-1)/7))*INDEX(Properties!$F$5:$F$24,MATCH(D802,Properties!$A$5:$A$24,0)))*(1-IF(H802&gt;=28,Settings!$B$10,IF(H802&gt;=7,Settings!$B$9,0))),2)),0))</f>
        <v/>
      </c>
      <c r="K802" s="46" t="str">
        <f aca="false">IF(J802="","",IFERROR(N(INDEX(Properties!$G$5:$G$24,MATCH(D802,Properties!$A$5:$A$24,0))),0))</f>
        <v/>
      </c>
      <c r="L802" s="46" t="str">
        <f aca="false">IF(J802="","",IFERROR(MAX(0,N(G802)-INDEX(Properties!$I$5:$I$24,MATCH(D802,Properties!$A$5:$A$24,0)))*N(INDEX(Properties!$J$5:$J$24,MATCH(D802,Properties!$A$5:$A$24,0)))*H802,0))</f>
        <v/>
      </c>
      <c r="M802" s="37"/>
      <c r="N802" s="46" t="str">
        <f aca="false">IF(J802="","",J802+K802+L802+N(M802))</f>
        <v/>
      </c>
      <c r="O802" s="46" t="str">
        <f aca="false">IF(N802="","",IF(P802&lt;&gt;"",N802-P802,ROUND(N802*IFERROR(INDEX(Settings!$E$5:$E$12,MATCH(F802,Settings!$D$5:$D$12,0)),0),2)))</f>
        <v/>
      </c>
      <c r="P802" s="37"/>
      <c r="Q802" s="46" t="str">
        <f aca="false">IF(N802="","",IF(P802&lt;&gt;"",P802,N802-O802))</f>
        <v/>
      </c>
      <c r="R802" s="46" t="str">
        <f aca="false">IF(J802="","",IFERROR(N(INDEX(Properties!$H$5:$H$24,MATCH(D802,Properties!$A$5:$A$24,0))),0))</f>
        <v/>
      </c>
      <c r="S802" s="46" t="str">
        <f aca="false">IF(Q802="","",Q802-R802)</f>
        <v/>
      </c>
      <c r="T802" s="6"/>
      <c r="U802" s="6"/>
      <c r="V802" s="6"/>
      <c r="W802" s="6"/>
      <c r="X802" s="6"/>
      <c r="Y802" s="8" t="str">
        <f aca="false">IF(OR(D802="",B802="",C802=""),"",IF(N(C802)&lt;=N(B802),"Check dates",IF(T802="Cancelled","",IF(COUNTIFS($D$5:$D$1004,D802,$B$5:$B$1004,"&lt;"&amp;C802,$C$5:$C$1004,"&gt;"&amp;B802,$T$5:$T$1004,"&lt;&gt;Cancelled")&gt;1,"Double-booked",""))))</f>
        <v/>
      </c>
      <c r="Z802" s="42" t="str">
        <f aca="false">IF(AND(AA802=1,ISNUMBER(C802)),C802+ROW()/100000,"")</f>
        <v/>
      </c>
      <c r="AA802" s="43" t="n">
        <f aca="false">IF(AND(D802&lt;&gt;"",ISNUMBER(B802),ISNUMBER(C802),N(H802)&gt;0,T802&lt;&gt;"Cancelled",J802&lt;&gt;""),1,0)</f>
        <v>0</v>
      </c>
      <c r="AB802" s="44" t="n">
        <f aca="false">IF(AA802=1,J802/H802,0)</f>
        <v>0</v>
      </c>
      <c r="AC802" s="44" t="n">
        <f aca="false">IF(AA802=1,Q802/H802,0)</f>
        <v>0</v>
      </c>
      <c r="AD802" s="44" t="n">
        <f aca="false">IF(AA802=1,R802/H802,0)</f>
        <v>0</v>
      </c>
      <c r="AE802" s="44" t="n">
        <f aca="false">IF(AA802=1,O802/H802,0)</f>
        <v>0</v>
      </c>
      <c r="AF802" s="44" t="n">
        <f aca="false">IF(AA802=1,K802/H802,0)</f>
        <v>0</v>
      </c>
      <c r="AG802" s="45" t="str">
        <f aca="false">IF(AA802=1,D802&amp;"|"&amp;TEXT(B802,"0"),"")</f>
        <v/>
      </c>
      <c r="AH802" s="43" t="n">
        <f aca="false">IF(AA802=1,H802,0)</f>
        <v>0</v>
      </c>
    </row>
    <row r="803" customFormat="false" ht="15" hidden="false" customHeight="false" outlineLevel="0" collapsed="false">
      <c r="A803" s="8" t="str">
        <f aca="false">IF(B803="","","B-"&amp;TEXT(ROW()-4,"0000"))</f>
        <v/>
      </c>
      <c r="B803" s="38"/>
      <c r="C803" s="38"/>
      <c r="D803" s="6"/>
      <c r="E803" s="6"/>
      <c r="F803" s="6"/>
      <c r="G803" s="11"/>
      <c r="H803" s="18" t="str">
        <f aca="false">IF(AND(ISNUMBER(B803),ISNUMBER(C803)),MAX(0,C803-B803),"")</f>
        <v/>
      </c>
      <c r="I803" s="37"/>
      <c r="J803" s="41" t="str">
        <f aca="false">IF(OR(D803="",N(H803)=0),"",IFERROR(IF(I803&lt;&gt;"",H803*I803,ROUND(((H803-(INT((WEEKDAY(B803-6)+H803-1)/7)+INT((WEEKDAY(B803-7)+H803-1)/7)))*INDEX(Properties!$E$5:$E$24,MATCH(D803,Properties!$A$5:$A$24,0))+(INT((WEEKDAY(B803-6)+H803-1)/7)+INT((WEEKDAY(B803-7)+H803-1)/7))*INDEX(Properties!$F$5:$F$24,MATCH(D803,Properties!$A$5:$A$24,0)))*(1-IF(H803&gt;=28,Settings!$B$10,IF(H803&gt;=7,Settings!$B$9,0))),2)),0))</f>
        <v/>
      </c>
      <c r="K803" s="41" t="str">
        <f aca="false">IF(J803="","",IFERROR(N(INDEX(Properties!$G$5:$G$24,MATCH(D803,Properties!$A$5:$A$24,0))),0))</f>
        <v/>
      </c>
      <c r="L803" s="41" t="str">
        <f aca="false">IF(J803="","",IFERROR(MAX(0,N(G803)-INDEX(Properties!$I$5:$I$24,MATCH(D803,Properties!$A$5:$A$24,0)))*N(INDEX(Properties!$J$5:$J$24,MATCH(D803,Properties!$A$5:$A$24,0)))*H803,0))</f>
        <v/>
      </c>
      <c r="M803" s="37"/>
      <c r="N803" s="41" t="str">
        <f aca="false">IF(J803="","",J803+K803+L803+N(M803))</f>
        <v/>
      </c>
      <c r="O803" s="41" t="str">
        <f aca="false">IF(N803="","",IF(P803&lt;&gt;"",N803-P803,ROUND(N803*IFERROR(INDEX(Settings!$E$5:$E$12,MATCH(F803,Settings!$D$5:$D$12,0)),0),2)))</f>
        <v/>
      </c>
      <c r="P803" s="37"/>
      <c r="Q803" s="41" t="str">
        <f aca="false">IF(N803="","",IF(P803&lt;&gt;"",P803,N803-O803))</f>
        <v/>
      </c>
      <c r="R803" s="41" t="str">
        <f aca="false">IF(J803="","",IFERROR(N(INDEX(Properties!$H$5:$H$24,MATCH(D803,Properties!$A$5:$A$24,0))),0))</f>
        <v/>
      </c>
      <c r="S803" s="41" t="str">
        <f aca="false">IF(Q803="","",Q803-R803)</f>
        <v/>
      </c>
      <c r="T803" s="6"/>
      <c r="U803" s="6"/>
      <c r="V803" s="6"/>
      <c r="W803" s="6"/>
      <c r="X803" s="6"/>
      <c r="Y803" s="8" t="str">
        <f aca="false">IF(OR(D803="",B803="",C803=""),"",IF(N(C803)&lt;=N(B803),"Check dates",IF(T803="Cancelled","",IF(COUNTIFS($D$5:$D$1004,D803,$B$5:$B$1004,"&lt;"&amp;C803,$C$5:$C$1004,"&gt;"&amp;B803,$T$5:$T$1004,"&lt;&gt;Cancelled")&gt;1,"Double-booked",""))))</f>
        <v/>
      </c>
      <c r="Z803" s="42" t="str">
        <f aca="false">IF(AND(AA803=1,ISNUMBER(C803)),C803+ROW()/100000,"")</f>
        <v/>
      </c>
      <c r="AA803" s="43" t="n">
        <f aca="false">IF(AND(D803&lt;&gt;"",ISNUMBER(B803),ISNUMBER(C803),N(H803)&gt;0,T803&lt;&gt;"Cancelled",J803&lt;&gt;""),1,0)</f>
        <v>0</v>
      </c>
      <c r="AB803" s="44" t="n">
        <f aca="false">IF(AA803=1,J803/H803,0)</f>
        <v>0</v>
      </c>
      <c r="AC803" s="44" t="n">
        <f aca="false">IF(AA803=1,Q803/H803,0)</f>
        <v>0</v>
      </c>
      <c r="AD803" s="44" t="n">
        <f aca="false">IF(AA803=1,R803/H803,0)</f>
        <v>0</v>
      </c>
      <c r="AE803" s="44" t="n">
        <f aca="false">IF(AA803=1,O803/H803,0)</f>
        <v>0</v>
      </c>
      <c r="AF803" s="44" t="n">
        <f aca="false">IF(AA803=1,K803/H803,0)</f>
        <v>0</v>
      </c>
      <c r="AG803" s="45" t="str">
        <f aca="false">IF(AA803=1,D803&amp;"|"&amp;TEXT(B803,"0"),"")</f>
        <v/>
      </c>
      <c r="AH803" s="43" t="n">
        <f aca="false">IF(AA803=1,H803,0)</f>
        <v>0</v>
      </c>
    </row>
    <row r="804" customFormat="false" ht="15" hidden="false" customHeight="false" outlineLevel="0" collapsed="false">
      <c r="A804" s="23" t="str">
        <f aca="false">IF(B804="","","B-"&amp;TEXT(ROW()-4,"0000"))</f>
        <v/>
      </c>
      <c r="B804" s="38"/>
      <c r="C804" s="38"/>
      <c r="D804" s="6"/>
      <c r="E804" s="6"/>
      <c r="F804" s="6"/>
      <c r="G804" s="11"/>
      <c r="H804" s="24" t="str">
        <f aca="false">IF(AND(ISNUMBER(B804),ISNUMBER(C804)),MAX(0,C804-B804),"")</f>
        <v/>
      </c>
      <c r="I804" s="37"/>
      <c r="J804" s="46" t="str">
        <f aca="false">IF(OR(D804="",N(H804)=0),"",IFERROR(IF(I804&lt;&gt;"",H804*I804,ROUND(((H804-(INT((WEEKDAY(B804-6)+H804-1)/7)+INT((WEEKDAY(B804-7)+H804-1)/7)))*INDEX(Properties!$E$5:$E$24,MATCH(D804,Properties!$A$5:$A$24,0))+(INT((WEEKDAY(B804-6)+H804-1)/7)+INT((WEEKDAY(B804-7)+H804-1)/7))*INDEX(Properties!$F$5:$F$24,MATCH(D804,Properties!$A$5:$A$24,0)))*(1-IF(H804&gt;=28,Settings!$B$10,IF(H804&gt;=7,Settings!$B$9,0))),2)),0))</f>
        <v/>
      </c>
      <c r="K804" s="46" t="str">
        <f aca="false">IF(J804="","",IFERROR(N(INDEX(Properties!$G$5:$G$24,MATCH(D804,Properties!$A$5:$A$24,0))),0))</f>
        <v/>
      </c>
      <c r="L804" s="46" t="str">
        <f aca="false">IF(J804="","",IFERROR(MAX(0,N(G804)-INDEX(Properties!$I$5:$I$24,MATCH(D804,Properties!$A$5:$A$24,0)))*N(INDEX(Properties!$J$5:$J$24,MATCH(D804,Properties!$A$5:$A$24,0)))*H804,0))</f>
        <v/>
      </c>
      <c r="M804" s="37"/>
      <c r="N804" s="46" t="str">
        <f aca="false">IF(J804="","",J804+K804+L804+N(M804))</f>
        <v/>
      </c>
      <c r="O804" s="46" t="str">
        <f aca="false">IF(N804="","",IF(P804&lt;&gt;"",N804-P804,ROUND(N804*IFERROR(INDEX(Settings!$E$5:$E$12,MATCH(F804,Settings!$D$5:$D$12,0)),0),2)))</f>
        <v/>
      </c>
      <c r="P804" s="37"/>
      <c r="Q804" s="46" t="str">
        <f aca="false">IF(N804="","",IF(P804&lt;&gt;"",P804,N804-O804))</f>
        <v/>
      </c>
      <c r="R804" s="46" t="str">
        <f aca="false">IF(J804="","",IFERROR(N(INDEX(Properties!$H$5:$H$24,MATCH(D804,Properties!$A$5:$A$24,0))),0))</f>
        <v/>
      </c>
      <c r="S804" s="46" t="str">
        <f aca="false">IF(Q804="","",Q804-R804)</f>
        <v/>
      </c>
      <c r="T804" s="6"/>
      <c r="U804" s="6"/>
      <c r="V804" s="6"/>
      <c r="W804" s="6"/>
      <c r="X804" s="6"/>
      <c r="Y804" s="8" t="str">
        <f aca="false">IF(OR(D804="",B804="",C804=""),"",IF(N(C804)&lt;=N(B804),"Check dates",IF(T804="Cancelled","",IF(COUNTIFS($D$5:$D$1004,D804,$B$5:$B$1004,"&lt;"&amp;C804,$C$5:$C$1004,"&gt;"&amp;B804,$T$5:$T$1004,"&lt;&gt;Cancelled")&gt;1,"Double-booked",""))))</f>
        <v/>
      </c>
      <c r="Z804" s="42" t="str">
        <f aca="false">IF(AND(AA804=1,ISNUMBER(C804)),C804+ROW()/100000,"")</f>
        <v/>
      </c>
      <c r="AA804" s="43" t="n">
        <f aca="false">IF(AND(D804&lt;&gt;"",ISNUMBER(B804),ISNUMBER(C804),N(H804)&gt;0,T804&lt;&gt;"Cancelled",J804&lt;&gt;""),1,0)</f>
        <v>0</v>
      </c>
      <c r="AB804" s="44" t="n">
        <f aca="false">IF(AA804=1,J804/H804,0)</f>
        <v>0</v>
      </c>
      <c r="AC804" s="44" t="n">
        <f aca="false">IF(AA804=1,Q804/H804,0)</f>
        <v>0</v>
      </c>
      <c r="AD804" s="44" t="n">
        <f aca="false">IF(AA804=1,R804/H804,0)</f>
        <v>0</v>
      </c>
      <c r="AE804" s="44" t="n">
        <f aca="false">IF(AA804=1,O804/H804,0)</f>
        <v>0</v>
      </c>
      <c r="AF804" s="44" t="n">
        <f aca="false">IF(AA804=1,K804/H804,0)</f>
        <v>0</v>
      </c>
      <c r="AG804" s="45" t="str">
        <f aca="false">IF(AA804=1,D804&amp;"|"&amp;TEXT(B804,"0"),"")</f>
        <v/>
      </c>
      <c r="AH804" s="43" t="n">
        <f aca="false">IF(AA804=1,H804,0)</f>
        <v>0</v>
      </c>
    </row>
    <row r="805" customFormat="false" ht="15" hidden="false" customHeight="false" outlineLevel="0" collapsed="false">
      <c r="A805" s="8" t="str">
        <f aca="false">IF(B805="","","B-"&amp;TEXT(ROW()-4,"0000"))</f>
        <v/>
      </c>
      <c r="B805" s="38"/>
      <c r="C805" s="38"/>
      <c r="D805" s="6"/>
      <c r="E805" s="6"/>
      <c r="F805" s="6"/>
      <c r="G805" s="11"/>
      <c r="H805" s="18" t="str">
        <f aca="false">IF(AND(ISNUMBER(B805),ISNUMBER(C805)),MAX(0,C805-B805),"")</f>
        <v/>
      </c>
      <c r="I805" s="37"/>
      <c r="J805" s="41" t="str">
        <f aca="false">IF(OR(D805="",N(H805)=0),"",IFERROR(IF(I805&lt;&gt;"",H805*I805,ROUND(((H805-(INT((WEEKDAY(B805-6)+H805-1)/7)+INT((WEEKDAY(B805-7)+H805-1)/7)))*INDEX(Properties!$E$5:$E$24,MATCH(D805,Properties!$A$5:$A$24,0))+(INT((WEEKDAY(B805-6)+H805-1)/7)+INT((WEEKDAY(B805-7)+H805-1)/7))*INDEX(Properties!$F$5:$F$24,MATCH(D805,Properties!$A$5:$A$24,0)))*(1-IF(H805&gt;=28,Settings!$B$10,IF(H805&gt;=7,Settings!$B$9,0))),2)),0))</f>
        <v/>
      </c>
      <c r="K805" s="41" t="str">
        <f aca="false">IF(J805="","",IFERROR(N(INDEX(Properties!$G$5:$G$24,MATCH(D805,Properties!$A$5:$A$24,0))),0))</f>
        <v/>
      </c>
      <c r="L805" s="41" t="str">
        <f aca="false">IF(J805="","",IFERROR(MAX(0,N(G805)-INDEX(Properties!$I$5:$I$24,MATCH(D805,Properties!$A$5:$A$24,0)))*N(INDEX(Properties!$J$5:$J$24,MATCH(D805,Properties!$A$5:$A$24,0)))*H805,0))</f>
        <v/>
      </c>
      <c r="M805" s="37"/>
      <c r="N805" s="41" t="str">
        <f aca="false">IF(J805="","",J805+K805+L805+N(M805))</f>
        <v/>
      </c>
      <c r="O805" s="41" t="str">
        <f aca="false">IF(N805="","",IF(P805&lt;&gt;"",N805-P805,ROUND(N805*IFERROR(INDEX(Settings!$E$5:$E$12,MATCH(F805,Settings!$D$5:$D$12,0)),0),2)))</f>
        <v/>
      </c>
      <c r="P805" s="37"/>
      <c r="Q805" s="41" t="str">
        <f aca="false">IF(N805="","",IF(P805&lt;&gt;"",P805,N805-O805))</f>
        <v/>
      </c>
      <c r="R805" s="41" t="str">
        <f aca="false">IF(J805="","",IFERROR(N(INDEX(Properties!$H$5:$H$24,MATCH(D805,Properties!$A$5:$A$24,0))),0))</f>
        <v/>
      </c>
      <c r="S805" s="41" t="str">
        <f aca="false">IF(Q805="","",Q805-R805)</f>
        <v/>
      </c>
      <c r="T805" s="6"/>
      <c r="U805" s="6"/>
      <c r="V805" s="6"/>
      <c r="W805" s="6"/>
      <c r="X805" s="6"/>
      <c r="Y805" s="8" t="str">
        <f aca="false">IF(OR(D805="",B805="",C805=""),"",IF(N(C805)&lt;=N(B805),"Check dates",IF(T805="Cancelled","",IF(COUNTIFS($D$5:$D$1004,D805,$B$5:$B$1004,"&lt;"&amp;C805,$C$5:$C$1004,"&gt;"&amp;B805,$T$5:$T$1004,"&lt;&gt;Cancelled")&gt;1,"Double-booked",""))))</f>
        <v/>
      </c>
      <c r="Z805" s="42" t="str">
        <f aca="false">IF(AND(AA805=1,ISNUMBER(C805)),C805+ROW()/100000,"")</f>
        <v/>
      </c>
      <c r="AA805" s="43" t="n">
        <f aca="false">IF(AND(D805&lt;&gt;"",ISNUMBER(B805),ISNUMBER(C805),N(H805)&gt;0,T805&lt;&gt;"Cancelled",J805&lt;&gt;""),1,0)</f>
        <v>0</v>
      </c>
      <c r="AB805" s="44" t="n">
        <f aca="false">IF(AA805=1,J805/H805,0)</f>
        <v>0</v>
      </c>
      <c r="AC805" s="44" t="n">
        <f aca="false">IF(AA805=1,Q805/H805,0)</f>
        <v>0</v>
      </c>
      <c r="AD805" s="44" t="n">
        <f aca="false">IF(AA805=1,R805/H805,0)</f>
        <v>0</v>
      </c>
      <c r="AE805" s="44" t="n">
        <f aca="false">IF(AA805=1,O805/H805,0)</f>
        <v>0</v>
      </c>
      <c r="AF805" s="44" t="n">
        <f aca="false">IF(AA805=1,K805/H805,0)</f>
        <v>0</v>
      </c>
      <c r="AG805" s="45" t="str">
        <f aca="false">IF(AA805=1,D805&amp;"|"&amp;TEXT(B805,"0"),"")</f>
        <v/>
      </c>
      <c r="AH805" s="43" t="n">
        <f aca="false">IF(AA805=1,H805,0)</f>
        <v>0</v>
      </c>
    </row>
    <row r="806" customFormat="false" ht="15" hidden="false" customHeight="false" outlineLevel="0" collapsed="false">
      <c r="A806" s="23" t="str">
        <f aca="false">IF(B806="","","B-"&amp;TEXT(ROW()-4,"0000"))</f>
        <v/>
      </c>
      <c r="B806" s="38"/>
      <c r="C806" s="38"/>
      <c r="D806" s="6"/>
      <c r="E806" s="6"/>
      <c r="F806" s="6"/>
      <c r="G806" s="11"/>
      <c r="H806" s="24" t="str">
        <f aca="false">IF(AND(ISNUMBER(B806),ISNUMBER(C806)),MAX(0,C806-B806),"")</f>
        <v/>
      </c>
      <c r="I806" s="37"/>
      <c r="J806" s="46" t="str">
        <f aca="false">IF(OR(D806="",N(H806)=0),"",IFERROR(IF(I806&lt;&gt;"",H806*I806,ROUND(((H806-(INT((WEEKDAY(B806-6)+H806-1)/7)+INT((WEEKDAY(B806-7)+H806-1)/7)))*INDEX(Properties!$E$5:$E$24,MATCH(D806,Properties!$A$5:$A$24,0))+(INT((WEEKDAY(B806-6)+H806-1)/7)+INT((WEEKDAY(B806-7)+H806-1)/7))*INDEX(Properties!$F$5:$F$24,MATCH(D806,Properties!$A$5:$A$24,0)))*(1-IF(H806&gt;=28,Settings!$B$10,IF(H806&gt;=7,Settings!$B$9,0))),2)),0))</f>
        <v/>
      </c>
      <c r="K806" s="46" t="str">
        <f aca="false">IF(J806="","",IFERROR(N(INDEX(Properties!$G$5:$G$24,MATCH(D806,Properties!$A$5:$A$24,0))),0))</f>
        <v/>
      </c>
      <c r="L806" s="46" t="str">
        <f aca="false">IF(J806="","",IFERROR(MAX(0,N(G806)-INDEX(Properties!$I$5:$I$24,MATCH(D806,Properties!$A$5:$A$24,0)))*N(INDEX(Properties!$J$5:$J$24,MATCH(D806,Properties!$A$5:$A$24,0)))*H806,0))</f>
        <v/>
      </c>
      <c r="M806" s="37"/>
      <c r="N806" s="46" t="str">
        <f aca="false">IF(J806="","",J806+K806+L806+N(M806))</f>
        <v/>
      </c>
      <c r="O806" s="46" t="str">
        <f aca="false">IF(N806="","",IF(P806&lt;&gt;"",N806-P806,ROUND(N806*IFERROR(INDEX(Settings!$E$5:$E$12,MATCH(F806,Settings!$D$5:$D$12,0)),0),2)))</f>
        <v/>
      </c>
      <c r="P806" s="37"/>
      <c r="Q806" s="46" t="str">
        <f aca="false">IF(N806="","",IF(P806&lt;&gt;"",P806,N806-O806))</f>
        <v/>
      </c>
      <c r="R806" s="46" t="str">
        <f aca="false">IF(J806="","",IFERROR(N(INDEX(Properties!$H$5:$H$24,MATCH(D806,Properties!$A$5:$A$24,0))),0))</f>
        <v/>
      </c>
      <c r="S806" s="46" t="str">
        <f aca="false">IF(Q806="","",Q806-R806)</f>
        <v/>
      </c>
      <c r="T806" s="6"/>
      <c r="U806" s="6"/>
      <c r="V806" s="6"/>
      <c r="W806" s="6"/>
      <c r="X806" s="6"/>
      <c r="Y806" s="8" t="str">
        <f aca="false">IF(OR(D806="",B806="",C806=""),"",IF(N(C806)&lt;=N(B806),"Check dates",IF(T806="Cancelled","",IF(COUNTIFS($D$5:$D$1004,D806,$B$5:$B$1004,"&lt;"&amp;C806,$C$5:$C$1004,"&gt;"&amp;B806,$T$5:$T$1004,"&lt;&gt;Cancelled")&gt;1,"Double-booked",""))))</f>
        <v/>
      </c>
      <c r="Z806" s="42" t="str">
        <f aca="false">IF(AND(AA806=1,ISNUMBER(C806)),C806+ROW()/100000,"")</f>
        <v/>
      </c>
      <c r="AA806" s="43" t="n">
        <f aca="false">IF(AND(D806&lt;&gt;"",ISNUMBER(B806),ISNUMBER(C806),N(H806)&gt;0,T806&lt;&gt;"Cancelled",J806&lt;&gt;""),1,0)</f>
        <v>0</v>
      </c>
      <c r="AB806" s="44" t="n">
        <f aca="false">IF(AA806=1,J806/H806,0)</f>
        <v>0</v>
      </c>
      <c r="AC806" s="44" t="n">
        <f aca="false">IF(AA806=1,Q806/H806,0)</f>
        <v>0</v>
      </c>
      <c r="AD806" s="44" t="n">
        <f aca="false">IF(AA806=1,R806/H806,0)</f>
        <v>0</v>
      </c>
      <c r="AE806" s="44" t="n">
        <f aca="false">IF(AA806=1,O806/H806,0)</f>
        <v>0</v>
      </c>
      <c r="AF806" s="44" t="n">
        <f aca="false">IF(AA806=1,K806/H806,0)</f>
        <v>0</v>
      </c>
      <c r="AG806" s="45" t="str">
        <f aca="false">IF(AA806=1,D806&amp;"|"&amp;TEXT(B806,"0"),"")</f>
        <v/>
      </c>
      <c r="AH806" s="43" t="n">
        <f aca="false">IF(AA806=1,H806,0)</f>
        <v>0</v>
      </c>
    </row>
    <row r="807" customFormat="false" ht="15" hidden="false" customHeight="false" outlineLevel="0" collapsed="false">
      <c r="A807" s="8" t="str">
        <f aca="false">IF(B807="","","B-"&amp;TEXT(ROW()-4,"0000"))</f>
        <v/>
      </c>
      <c r="B807" s="38"/>
      <c r="C807" s="38"/>
      <c r="D807" s="6"/>
      <c r="E807" s="6"/>
      <c r="F807" s="6"/>
      <c r="G807" s="11"/>
      <c r="H807" s="18" t="str">
        <f aca="false">IF(AND(ISNUMBER(B807),ISNUMBER(C807)),MAX(0,C807-B807),"")</f>
        <v/>
      </c>
      <c r="I807" s="37"/>
      <c r="J807" s="41" t="str">
        <f aca="false">IF(OR(D807="",N(H807)=0),"",IFERROR(IF(I807&lt;&gt;"",H807*I807,ROUND(((H807-(INT((WEEKDAY(B807-6)+H807-1)/7)+INT((WEEKDAY(B807-7)+H807-1)/7)))*INDEX(Properties!$E$5:$E$24,MATCH(D807,Properties!$A$5:$A$24,0))+(INT((WEEKDAY(B807-6)+H807-1)/7)+INT((WEEKDAY(B807-7)+H807-1)/7))*INDEX(Properties!$F$5:$F$24,MATCH(D807,Properties!$A$5:$A$24,0)))*(1-IF(H807&gt;=28,Settings!$B$10,IF(H807&gt;=7,Settings!$B$9,0))),2)),0))</f>
        <v/>
      </c>
      <c r="K807" s="41" t="str">
        <f aca="false">IF(J807="","",IFERROR(N(INDEX(Properties!$G$5:$G$24,MATCH(D807,Properties!$A$5:$A$24,0))),0))</f>
        <v/>
      </c>
      <c r="L807" s="41" t="str">
        <f aca="false">IF(J807="","",IFERROR(MAX(0,N(G807)-INDEX(Properties!$I$5:$I$24,MATCH(D807,Properties!$A$5:$A$24,0)))*N(INDEX(Properties!$J$5:$J$24,MATCH(D807,Properties!$A$5:$A$24,0)))*H807,0))</f>
        <v/>
      </c>
      <c r="M807" s="37"/>
      <c r="N807" s="41" t="str">
        <f aca="false">IF(J807="","",J807+K807+L807+N(M807))</f>
        <v/>
      </c>
      <c r="O807" s="41" t="str">
        <f aca="false">IF(N807="","",IF(P807&lt;&gt;"",N807-P807,ROUND(N807*IFERROR(INDEX(Settings!$E$5:$E$12,MATCH(F807,Settings!$D$5:$D$12,0)),0),2)))</f>
        <v/>
      </c>
      <c r="P807" s="37"/>
      <c r="Q807" s="41" t="str">
        <f aca="false">IF(N807="","",IF(P807&lt;&gt;"",P807,N807-O807))</f>
        <v/>
      </c>
      <c r="R807" s="41" t="str">
        <f aca="false">IF(J807="","",IFERROR(N(INDEX(Properties!$H$5:$H$24,MATCH(D807,Properties!$A$5:$A$24,0))),0))</f>
        <v/>
      </c>
      <c r="S807" s="41" t="str">
        <f aca="false">IF(Q807="","",Q807-R807)</f>
        <v/>
      </c>
      <c r="T807" s="6"/>
      <c r="U807" s="6"/>
      <c r="V807" s="6"/>
      <c r="W807" s="6"/>
      <c r="X807" s="6"/>
      <c r="Y807" s="8" t="str">
        <f aca="false">IF(OR(D807="",B807="",C807=""),"",IF(N(C807)&lt;=N(B807),"Check dates",IF(T807="Cancelled","",IF(COUNTIFS($D$5:$D$1004,D807,$B$5:$B$1004,"&lt;"&amp;C807,$C$5:$C$1004,"&gt;"&amp;B807,$T$5:$T$1004,"&lt;&gt;Cancelled")&gt;1,"Double-booked",""))))</f>
        <v/>
      </c>
      <c r="Z807" s="42" t="str">
        <f aca="false">IF(AND(AA807=1,ISNUMBER(C807)),C807+ROW()/100000,"")</f>
        <v/>
      </c>
      <c r="AA807" s="43" t="n">
        <f aca="false">IF(AND(D807&lt;&gt;"",ISNUMBER(B807),ISNUMBER(C807),N(H807)&gt;0,T807&lt;&gt;"Cancelled",J807&lt;&gt;""),1,0)</f>
        <v>0</v>
      </c>
      <c r="AB807" s="44" t="n">
        <f aca="false">IF(AA807=1,J807/H807,0)</f>
        <v>0</v>
      </c>
      <c r="AC807" s="44" t="n">
        <f aca="false">IF(AA807=1,Q807/H807,0)</f>
        <v>0</v>
      </c>
      <c r="AD807" s="44" t="n">
        <f aca="false">IF(AA807=1,R807/H807,0)</f>
        <v>0</v>
      </c>
      <c r="AE807" s="44" t="n">
        <f aca="false">IF(AA807=1,O807/H807,0)</f>
        <v>0</v>
      </c>
      <c r="AF807" s="44" t="n">
        <f aca="false">IF(AA807=1,K807/H807,0)</f>
        <v>0</v>
      </c>
      <c r="AG807" s="45" t="str">
        <f aca="false">IF(AA807=1,D807&amp;"|"&amp;TEXT(B807,"0"),"")</f>
        <v/>
      </c>
      <c r="AH807" s="43" t="n">
        <f aca="false">IF(AA807=1,H807,0)</f>
        <v>0</v>
      </c>
    </row>
    <row r="808" customFormat="false" ht="15" hidden="false" customHeight="false" outlineLevel="0" collapsed="false">
      <c r="A808" s="23" t="str">
        <f aca="false">IF(B808="","","B-"&amp;TEXT(ROW()-4,"0000"))</f>
        <v/>
      </c>
      <c r="B808" s="38"/>
      <c r="C808" s="38"/>
      <c r="D808" s="6"/>
      <c r="E808" s="6"/>
      <c r="F808" s="6"/>
      <c r="G808" s="11"/>
      <c r="H808" s="24" t="str">
        <f aca="false">IF(AND(ISNUMBER(B808),ISNUMBER(C808)),MAX(0,C808-B808),"")</f>
        <v/>
      </c>
      <c r="I808" s="37"/>
      <c r="J808" s="46" t="str">
        <f aca="false">IF(OR(D808="",N(H808)=0),"",IFERROR(IF(I808&lt;&gt;"",H808*I808,ROUND(((H808-(INT((WEEKDAY(B808-6)+H808-1)/7)+INT((WEEKDAY(B808-7)+H808-1)/7)))*INDEX(Properties!$E$5:$E$24,MATCH(D808,Properties!$A$5:$A$24,0))+(INT((WEEKDAY(B808-6)+H808-1)/7)+INT((WEEKDAY(B808-7)+H808-1)/7))*INDEX(Properties!$F$5:$F$24,MATCH(D808,Properties!$A$5:$A$24,0)))*(1-IF(H808&gt;=28,Settings!$B$10,IF(H808&gt;=7,Settings!$B$9,0))),2)),0))</f>
        <v/>
      </c>
      <c r="K808" s="46" t="str">
        <f aca="false">IF(J808="","",IFERROR(N(INDEX(Properties!$G$5:$G$24,MATCH(D808,Properties!$A$5:$A$24,0))),0))</f>
        <v/>
      </c>
      <c r="L808" s="46" t="str">
        <f aca="false">IF(J808="","",IFERROR(MAX(0,N(G808)-INDEX(Properties!$I$5:$I$24,MATCH(D808,Properties!$A$5:$A$24,0)))*N(INDEX(Properties!$J$5:$J$24,MATCH(D808,Properties!$A$5:$A$24,0)))*H808,0))</f>
        <v/>
      </c>
      <c r="M808" s="37"/>
      <c r="N808" s="46" t="str">
        <f aca="false">IF(J808="","",J808+K808+L808+N(M808))</f>
        <v/>
      </c>
      <c r="O808" s="46" t="str">
        <f aca="false">IF(N808="","",IF(P808&lt;&gt;"",N808-P808,ROUND(N808*IFERROR(INDEX(Settings!$E$5:$E$12,MATCH(F808,Settings!$D$5:$D$12,0)),0),2)))</f>
        <v/>
      </c>
      <c r="P808" s="37"/>
      <c r="Q808" s="46" t="str">
        <f aca="false">IF(N808="","",IF(P808&lt;&gt;"",P808,N808-O808))</f>
        <v/>
      </c>
      <c r="R808" s="46" t="str">
        <f aca="false">IF(J808="","",IFERROR(N(INDEX(Properties!$H$5:$H$24,MATCH(D808,Properties!$A$5:$A$24,0))),0))</f>
        <v/>
      </c>
      <c r="S808" s="46" t="str">
        <f aca="false">IF(Q808="","",Q808-R808)</f>
        <v/>
      </c>
      <c r="T808" s="6"/>
      <c r="U808" s="6"/>
      <c r="V808" s="6"/>
      <c r="W808" s="6"/>
      <c r="X808" s="6"/>
      <c r="Y808" s="8" t="str">
        <f aca="false">IF(OR(D808="",B808="",C808=""),"",IF(N(C808)&lt;=N(B808),"Check dates",IF(T808="Cancelled","",IF(COUNTIFS($D$5:$D$1004,D808,$B$5:$B$1004,"&lt;"&amp;C808,$C$5:$C$1004,"&gt;"&amp;B808,$T$5:$T$1004,"&lt;&gt;Cancelled")&gt;1,"Double-booked",""))))</f>
        <v/>
      </c>
      <c r="Z808" s="42" t="str">
        <f aca="false">IF(AND(AA808=1,ISNUMBER(C808)),C808+ROW()/100000,"")</f>
        <v/>
      </c>
      <c r="AA808" s="43" t="n">
        <f aca="false">IF(AND(D808&lt;&gt;"",ISNUMBER(B808),ISNUMBER(C808),N(H808)&gt;0,T808&lt;&gt;"Cancelled",J808&lt;&gt;""),1,0)</f>
        <v>0</v>
      </c>
      <c r="AB808" s="44" t="n">
        <f aca="false">IF(AA808=1,J808/H808,0)</f>
        <v>0</v>
      </c>
      <c r="AC808" s="44" t="n">
        <f aca="false">IF(AA808=1,Q808/H808,0)</f>
        <v>0</v>
      </c>
      <c r="AD808" s="44" t="n">
        <f aca="false">IF(AA808=1,R808/H808,0)</f>
        <v>0</v>
      </c>
      <c r="AE808" s="44" t="n">
        <f aca="false">IF(AA808=1,O808/H808,0)</f>
        <v>0</v>
      </c>
      <c r="AF808" s="44" t="n">
        <f aca="false">IF(AA808=1,K808/H808,0)</f>
        <v>0</v>
      </c>
      <c r="AG808" s="45" t="str">
        <f aca="false">IF(AA808=1,D808&amp;"|"&amp;TEXT(B808,"0"),"")</f>
        <v/>
      </c>
      <c r="AH808" s="43" t="n">
        <f aca="false">IF(AA808=1,H808,0)</f>
        <v>0</v>
      </c>
    </row>
    <row r="809" customFormat="false" ht="15" hidden="false" customHeight="false" outlineLevel="0" collapsed="false">
      <c r="A809" s="8" t="str">
        <f aca="false">IF(B809="","","B-"&amp;TEXT(ROW()-4,"0000"))</f>
        <v/>
      </c>
      <c r="B809" s="38"/>
      <c r="C809" s="38"/>
      <c r="D809" s="6"/>
      <c r="E809" s="6"/>
      <c r="F809" s="6"/>
      <c r="G809" s="11"/>
      <c r="H809" s="18" t="str">
        <f aca="false">IF(AND(ISNUMBER(B809),ISNUMBER(C809)),MAX(0,C809-B809),"")</f>
        <v/>
      </c>
      <c r="I809" s="37"/>
      <c r="J809" s="41" t="str">
        <f aca="false">IF(OR(D809="",N(H809)=0),"",IFERROR(IF(I809&lt;&gt;"",H809*I809,ROUND(((H809-(INT((WEEKDAY(B809-6)+H809-1)/7)+INT((WEEKDAY(B809-7)+H809-1)/7)))*INDEX(Properties!$E$5:$E$24,MATCH(D809,Properties!$A$5:$A$24,0))+(INT((WEEKDAY(B809-6)+H809-1)/7)+INT((WEEKDAY(B809-7)+H809-1)/7))*INDEX(Properties!$F$5:$F$24,MATCH(D809,Properties!$A$5:$A$24,0)))*(1-IF(H809&gt;=28,Settings!$B$10,IF(H809&gt;=7,Settings!$B$9,0))),2)),0))</f>
        <v/>
      </c>
      <c r="K809" s="41" t="str">
        <f aca="false">IF(J809="","",IFERROR(N(INDEX(Properties!$G$5:$G$24,MATCH(D809,Properties!$A$5:$A$24,0))),0))</f>
        <v/>
      </c>
      <c r="L809" s="41" t="str">
        <f aca="false">IF(J809="","",IFERROR(MAX(0,N(G809)-INDEX(Properties!$I$5:$I$24,MATCH(D809,Properties!$A$5:$A$24,0)))*N(INDEX(Properties!$J$5:$J$24,MATCH(D809,Properties!$A$5:$A$24,0)))*H809,0))</f>
        <v/>
      </c>
      <c r="M809" s="37"/>
      <c r="N809" s="41" t="str">
        <f aca="false">IF(J809="","",J809+K809+L809+N(M809))</f>
        <v/>
      </c>
      <c r="O809" s="41" t="str">
        <f aca="false">IF(N809="","",IF(P809&lt;&gt;"",N809-P809,ROUND(N809*IFERROR(INDEX(Settings!$E$5:$E$12,MATCH(F809,Settings!$D$5:$D$12,0)),0),2)))</f>
        <v/>
      </c>
      <c r="P809" s="37"/>
      <c r="Q809" s="41" t="str">
        <f aca="false">IF(N809="","",IF(P809&lt;&gt;"",P809,N809-O809))</f>
        <v/>
      </c>
      <c r="R809" s="41" t="str">
        <f aca="false">IF(J809="","",IFERROR(N(INDEX(Properties!$H$5:$H$24,MATCH(D809,Properties!$A$5:$A$24,0))),0))</f>
        <v/>
      </c>
      <c r="S809" s="41" t="str">
        <f aca="false">IF(Q809="","",Q809-R809)</f>
        <v/>
      </c>
      <c r="T809" s="6"/>
      <c r="U809" s="6"/>
      <c r="V809" s="6"/>
      <c r="W809" s="6"/>
      <c r="X809" s="6"/>
      <c r="Y809" s="8" t="str">
        <f aca="false">IF(OR(D809="",B809="",C809=""),"",IF(N(C809)&lt;=N(B809),"Check dates",IF(T809="Cancelled","",IF(COUNTIFS($D$5:$D$1004,D809,$B$5:$B$1004,"&lt;"&amp;C809,$C$5:$C$1004,"&gt;"&amp;B809,$T$5:$T$1004,"&lt;&gt;Cancelled")&gt;1,"Double-booked",""))))</f>
        <v/>
      </c>
      <c r="Z809" s="42" t="str">
        <f aca="false">IF(AND(AA809=1,ISNUMBER(C809)),C809+ROW()/100000,"")</f>
        <v/>
      </c>
      <c r="AA809" s="43" t="n">
        <f aca="false">IF(AND(D809&lt;&gt;"",ISNUMBER(B809),ISNUMBER(C809),N(H809)&gt;0,T809&lt;&gt;"Cancelled",J809&lt;&gt;""),1,0)</f>
        <v>0</v>
      </c>
      <c r="AB809" s="44" t="n">
        <f aca="false">IF(AA809=1,J809/H809,0)</f>
        <v>0</v>
      </c>
      <c r="AC809" s="44" t="n">
        <f aca="false">IF(AA809=1,Q809/H809,0)</f>
        <v>0</v>
      </c>
      <c r="AD809" s="44" t="n">
        <f aca="false">IF(AA809=1,R809/H809,0)</f>
        <v>0</v>
      </c>
      <c r="AE809" s="44" t="n">
        <f aca="false">IF(AA809=1,O809/H809,0)</f>
        <v>0</v>
      </c>
      <c r="AF809" s="44" t="n">
        <f aca="false">IF(AA809=1,K809/H809,0)</f>
        <v>0</v>
      </c>
      <c r="AG809" s="45" t="str">
        <f aca="false">IF(AA809=1,D809&amp;"|"&amp;TEXT(B809,"0"),"")</f>
        <v/>
      </c>
      <c r="AH809" s="43" t="n">
        <f aca="false">IF(AA809=1,H809,0)</f>
        <v>0</v>
      </c>
    </row>
    <row r="810" customFormat="false" ht="15" hidden="false" customHeight="false" outlineLevel="0" collapsed="false">
      <c r="A810" s="23" t="str">
        <f aca="false">IF(B810="","","B-"&amp;TEXT(ROW()-4,"0000"))</f>
        <v/>
      </c>
      <c r="B810" s="38"/>
      <c r="C810" s="38"/>
      <c r="D810" s="6"/>
      <c r="E810" s="6"/>
      <c r="F810" s="6"/>
      <c r="G810" s="11"/>
      <c r="H810" s="24" t="str">
        <f aca="false">IF(AND(ISNUMBER(B810),ISNUMBER(C810)),MAX(0,C810-B810),"")</f>
        <v/>
      </c>
      <c r="I810" s="37"/>
      <c r="J810" s="46" t="str">
        <f aca="false">IF(OR(D810="",N(H810)=0),"",IFERROR(IF(I810&lt;&gt;"",H810*I810,ROUND(((H810-(INT((WEEKDAY(B810-6)+H810-1)/7)+INT((WEEKDAY(B810-7)+H810-1)/7)))*INDEX(Properties!$E$5:$E$24,MATCH(D810,Properties!$A$5:$A$24,0))+(INT((WEEKDAY(B810-6)+H810-1)/7)+INT((WEEKDAY(B810-7)+H810-1)/7))*INDEX(Properties!$F$5:$F$24,MATCH(D810,Properties!$A$5:$A$24,0)))*(1-IF(H810&gt;=28,Settings!$B$10,IF(H810&gt;=7,Settings!$B$9,0))),2)),0))</f>
        <v/>
      </c>
      <c r="K810" s="46" t="str">
        <f aca="false">IF(J810="","",IFERROR(N(INDEX(Properties!$G$5:$G$24,MATCH(D810,Properties!$A$5:$A$24,0))),0))</f>
        <v/>
      </c>
      <c r="L810" s="46" t="str">
        <f aca="false">IF(J810="","",IFERROR(MAX(0,N(G810)-INDEX(Properties!$I$5:$I$24,MATCH(D810,Properties!$A$5:$A$24,0)))*N(INDEX(Properties!$J$5:$J$24,MATCH(D810,Properties!$A$5:$A$24,0)))*H810,0))</f>
        <v/>
      </c>
      <c r="M810" s="37"/>
      <c r="N810" s="46" t="str">
        <f aca="false">IF(J810="","",J810+K810+L810+N(M810))</f>
        <v/>
      </c>
      <c r="O810" s="46" t="str">
        <f aca="false">IF(N810="","",IF(P810&lt;&gt;"",N810-P810,ROUND(N810*IFERROR(INDEX(Settings!$E$5:$E$12,MATCH(F810,Settings!$D$5:$D$12,0)),0),2)))</f>
        <v/>
      </c>
      <c r="P810" s="37"/>
      <c r="Q810" s="46" t="str">
        <f aca="false">IF(N810="","",IF(P810&lt;&gt;"",P810,N810-O810))</f>
        <v/>
      </c>
      <c r="R810" s="46" t="str">
        <f aca="false">IF(J810="","",IFERROR(N(INDEX(Properties!$H$5:$H$24,MATCH(D810,Properties!$A$5:$A$24,0))),0))</f>
        <v/>
      </c>
      <c r="S810" s="46" t="str">
        <f aca="false">IF(Q810="","",Q810-R810)</f>
        <v/>
      </c>
      <c r="T810" s="6"/>
      <c r="U810" s="6"/>
      <c r="V810" s="6"/>
      <c r="W810" s="6"/>
      <c r="X810" s="6"/>
      <c r="Y810" s="8" t="str">
        <f aca="false">IF(OR(D810="",B810="",C810=""),"",IF(N(C810)&lt;=N(B810),"Check dates",IF(T810="Cancelled","",IF(COUNTIFS($D$5:$D$1004,D810,$B$5:$B$1004,"&lt;"&amp;C810,$C$5:$C$1004,"&gt;"&amp;B810,$T$5:$T$1004,"&lt;&gt;Cancelled")&gt;1,"Double-booked",""))))</f>
        <v/>
      </c>
      <c r="Z810" s="42" t="str">
        <f aca="false">IF(AND(AA810=1,ISNUMBER(C810)),C810+ROW()/100000,"")</f>
        <v/>
      </c>
      <c r="AA810" s="43" t="n">
        <f aca="false">IF(AND(D810&lt;&gt;"",ISNUMBER(B810),ISNUMBER(C810),N(H810)&gt;0,T810&lt;&gt;"Cancelled",J810&lt;&gt;""),1,0)</f>
        <v>0</v>
      </c>
      <c r="AB810" s="44" t="n">
        <f aca="false">IF(AA810=1,J810/H810,0)</f>
        <v>0</v>
      </c>
      <c r="AC810" s="44" t="n">
        <f aca="false">IF(AA810=1,Q810/H810,0)</f>
        <v>0</v>
      </c>
      <c r="AD810" s="44" t="n">
        <f aca="false">IF(AA810=1,R810/H810,0)</f>
        <v>0</v>
      </c>
      <c r="AE810" s="44" t="n">
        <f aca="false">IF(AA810=1,O810/H810,0)</f>
        <v>0</v>
      </c>
      <c r="AF810" s="44" t="n">
        <f aca="false">IF(AA810=1,K810/H810,0)</f>
        <v>0</v>
      </c>
      <c r="AG810" s="45" t="str">
        <f aca="false">IF(AA810=1,D810&amp;"|"&amp;TEXT(B810,"0"),"")</f>
        <v/>
      </c>
      <c r="AH810" s="43" t="n">
        <f aca="false">IF(AA810=1,H810,0)</f>
        <v>0</v>
      </c>
    </row>
    <row r="811" customFormat="false" ht="15" hidden="false" customHeight="false" outlineLevel="0" collapsed="false">
      <c r="A811" s="8" t="str">
        <f aca="false">IF(B811="","","B-"&amp;TEXT(ROW()-4,"0000"))</f>
        <v/>
      </c>
      <c r="B811" s="38"/>
      <c r="C811" s="38"/>
      <c r="D811" s="6"/>
      <c r="E811" s="6"/>
      <c r="F811" s="6"/>
      <c r="G811" s="11"/>
      <c r="H811" s="18" t="str">
        <f aca="false">IF(AND(ISNUMBER(B811),ISNUMBER(C811)),MAX(0,C811-B811),"")</f>
        <v/>
      </c>
      <c r="I811" s="37"/>
      <c r="J811" s="41" t="str">
        <f aca="false">IF(OR(D811="",N(H811)=0),"",IFERROR(IF(I811&lt;&gt;"",H811*I811,ROUND(((H811-(INT((WEEKDAY(B811-6)+H811-1)/7)+INT((WEEKDAY(B811-7)+H811-1)/7)))*INDEX(Properties!$E$5:$E$24,MATCH(D811,Properties!$A$5:$A$24,0))+(INT((WEEKDAY(B811-6)+H811-1)/7)+INT((WEEKDAY(B811-7)+H811-1)/7))*INDEX(Properties!$F$5:$F$24,MATCH(D811,Properties!$A$5:$A$24,0)))*(1-IF(H811&gt;=28,Settings!$B$10,IF(H811&gt;=7,Settings!$B$9,0))),2)),0))</f>
        <v/>
      </c>
      <c r="K811" s="41" t="str">
        <f aca="false">IF(J811="","",IFERROR(N(INDEX(Properties!$G$5:$G$24,MATCH(D811,Properties!$A$5:$A$24,0))),0))</f>
        <v/>
      </c>
      <c r="L811" s="41" t="str">
        <f aca="false">IF(J811="","",IFERROR(MAX(0,N(G811)-INDEX(Properties!$I$5:$I$24,MATCH(D811,Properties!$A$5:$A$24,0)))*N(INDEX(Properties!$J$5:$J$24,MATCH(D811,Properties!$A$5:$A$24,0)))*H811,0))</f>
        <v/>
      </c>
      <c r="M811" s="37"/>
      <c r="N811" s="41" t="str">
        <f aca="false">IF(J811="","",J811+K811+L811+N(M811))</f>
        <v/>
      </c>
      <c r="O811" s="41" t="str">
        <f aca="false">IF(N811="","",IF(P811&lt;&gt;"",N811-P811,ROUND(N811*IFERROR(INDEX(Settings!$E$5:$E$12,MATCH(F811,Settings!$D$5:$D$12,0)),0),2)))</f>
        <v/>
      </c>
      <c r="P811" s="37"/>
      <c r="Q811" s="41" t="str">
        <f aca="false">IF(N811="","",IF(P811&lt;&gt;"",P811,N811-O811))</f>
        <v/>
      </c>
      <c r="R811" s="41" t="str">
        <f aca="false">IF(J811="","",IFERROR(N(INDEX(Properties!$H$5:$H$24,MATCH(D811,Properties!$A$5:$A$24,0))),0))</f>
        <v/>
      </c>
      <c r="S811" s="41" t="str">
        <f aca="false">IF(Q811="","",Q811-R811)</f>
        <v/>
      </c>
      <c r="T811" s="6"/>
      <c r="U811" s="6"/>
      <c r="V811" s="6"/>
      <c r="W811" s="6"/>
      <c r="X811" s="6"/>
      <c r="Y811" s="8" t="str">
        <f aca="false">IF(OR(D811="",B811="",C811=""),"",IF(N(C811)&lt;=N(B811),"Check dates",IF(T811="Cancelled","",IF(COUNTIFS($D$5:$D$1004,D811,$B$5:$B$1004,"&lt;"&amp;C811,$C$5:$C$1004,"&gt;"&amp;B811,$T$5:$T$1004,"&lt;&gt;Cancelled")&gt;1,"Double-booked",""))))</f>
        <v/>
      </c>
      <c r="Z811" s="42" t="str">
        <f aca="false">IF(AND(AA811=1,ISNUMBER(C811)),C811+ROW()/100000,"")</f>
        <v/>
      </c>
      <c r="AA811" s="43" t="n">
        <f aca="false">IF(AND(D811&lt;&gt;"",ISNUMBER(B811),ISNUMBER(C811),N(H811)&gt;0,T811&lt;&gt;"Cancelled",J811&lt;&gt;""),1,0)</f>
        <v>0</v>
      </c>
      <c r="AB811" s="44" t="n">
        <f aca="false">IF(AA811=1,J811/H811,0)</f>
        <v>0</v>
      </c>
      <c r="AC811" s="44" t="n">
        <f aca="false">IF(AA811=1,Q811/H811,0)</f>
        <v>0</v>
      </c>
      <c r="AD811" s="44" t="n">
        <f aca="false">IF(AA811=1,R811/H811,0)</f>
        <v>0</v>
      </c>
      <c r="AE811" s="44" t="n">
        <f aca="false">IF(AA811=1,O811/H811,0)</f>
        <v>0</v>
      </c>
      <c r="AF811" s="44" t="n">
        <f aca="false">IF(AA811=1,K811/H811,0)</f>
        <v>0</v>
      </c>
      <c r="AG811" s="45" t="str">
        <f aca="false">IF(AA811=1,D811&amp;"|"&amp;TEXT(B811,"0"),"")</f>
        <v/>
      </c>
      <c r="AH811" s="43" t="n">
        <f aca="false">IF(AA811=1,H811,0)</f>
        <v>0</v>
      </c>
    </row>
    <row r="812" customFormat="false" ht="15" hidden="false" customHeight="false" outlineLevel="0" collapsed="false">
      <c r="A812" s="23" t="str">
        <f aca="false">IF(B812="","","B-"&amp;TEXT(ROW()-4,"0000"))</f>
        <v/>
      </c>
      <c r="B812" s="38"/>
      <c r="C812" s="38"/>
      <c r="D812" s="6"/>
      <c r="E812" s="6"/>
      <c r="F812" s="6"/>
      <c r="G812" s="11"/>
      <c r="H812" s="24" t="str">
        <f aca="false">IF(AND(ISNUMBER(B812),ISNUMBER(C812)),MAX(0,C812-B812),"")</f>
        <v/>
      </c>
      <c r="I812" s="37"/>
      <c r="J812" s="46" t="str">
        <f aca="false">IF(OR(D812="",N(H812)=0),"",IFERROR(IF(I812&lt;&gt;"",H812*I812,ROUND(((H812-(INT((WEEKDAY(B812-6)+H812-1)/7)+INT((WEEKDAY(B812-7)+H812-1)/7)))*INDEX(Properties!$E$5:$E$24,MATCH(D812,Properties!$A$5:$A$24,0))+(INT((WEEKDAY(B812-6)+H812-1)/7)+INT((WEEKDAY(B812-7)+H812-1)/7))*INDEX(Properties!$F$5:$F$24,MATCH(D812,Properties!$A$5:$A$24,0)))*(1-IF(H812&gt;=28,Settings!$B$10,IF(H812&gt;=7,Settings!$B$9,0))),2)),0))</f>
        <v/>
      </c>
      <c r="K812" s="46" t="str">
        <f aca="false">IF(J812="","",IFERROR(N(INDEX(Properties!$G$5:$G$24,MATCH(D812,Properties!$A$5:$A$24,0))),0))</f>
        <v/>
      </c>
      <c r="L812" s="46" t="str">
        <f aca="false">IF(J812="","",IFERROR(MAX(0,N(G812)-INDEX(Properties!$I$5:$I$24,MATCH(D812,Properties!$A$5:$A$24,0)))*N(INDEX(Properties!$J$5:$J$24,MATCH(D812,Properties!$A$5:$A$24,0)))*H812,0))</f>
        <v/>
      </c>
      <c r="M812" s="37"/>
      <c r="N812" s="46" t="str">
        <f aca="false">IF(J812="","",J812+K812+L812+N(M812))</f>
        <v/>
      </c>
      <c r="O812" s="46" t="str">
        <f aca="false">IF(N812="","",IF(P812&lt;&gt;"",N812-P812,ROUND(N812*IFERROR(INDEX(Settings!$E$5:$E$12,MATCH(F812,Settings!$D$5:$D$12,0)),0),2)))</f>
        <v/>
      </c>
      <c r="P812" s="37"/>
      <c r="Q812" s="46" t="str">
        <f aca="false">IF(N812="","",IF(P812&lt;&gt;"",P812,N812-O812))</f>
        <v/>
      </c>
      <c r="R812" s="46" t="str">
        <f aca="false">IF(J812="","",IFERROR(N(INDEX(Properties!$H$5:$H$24,MATCH(D812,Properties!$A$5:$A$24,0))),0))</f>
        <v/>
      </c>
      <c r="S812" s="46" t="str">
        <f aca="false">IF(Q812="","",Q812-R812)</f>
        <v/>
      </c>
      <c r="T812" s="6"/>
      <c r="U812" s="6"/>
      <c r="V812" s="6"/>
      <c r="W812" s="6"/>
      <c r="X812" s="6"/>
      <c r="Y812" s="8" t="str">
        <f aca="false">IF(OR(D812="",B812="",C812=""),"",IF(N(C812)&lt;=N(B812),"Check dates",IF(T812="Cancelled","",IF(COUNTIFS($D$5:$D$1004,D812,$B$5:$B$1004,"&lt;"&amp;C812,$C$5:$C$1004,"&gt;"&amp;B812,$T$5:$T$1004,"&lt;&gt;Cancelled")&gt;1,"Double-booked",""))))</f>
        <v/>
      </c>
      <c r="Z812" s="42" t="str">
        <f aca="false">IF(AND(AA812=1,ISNUMBER(C812)),C812+ROW()/100000,"")</f>
        <v/>
      </c>
      <c r="AA812" s="43" t="n">
        <f aca="false">IF(AND(D812&lt;&gt;"",ISNUMBER(B812),ISNUMBER(C812),N(H812)&gt;0,T812&lt;&gt;"Cancelled",J812&lt;&gt;""),1,0)</f>
        <v>0</v>
      </c>
      <c r="AB812" s="44" t="n">
        <f aca="false">IF(AA812=1,J812/H812,0)</f>
        <v>0</v>
      </c>
      <c r="AC812" s="44" t="n">
        <f aca="false">IF(AA812=1,Q812/H812,0)</f>
        <v>0</v>
      </c>
      <c r="AD812" s="44" t="n">
        <f aca="false">IF(AA812=1,R812/H812,0)</f>
        <v>0</v>
      </c>
      <c r="AE812" s="44" t="n">
        <f aca="false">IF(AA812=1,O812/H812,0)</f>
        <v>0</v>
      </c>
      <c r="AF812" s="44" t="n">
        <f aca="false">IF(AA812=1,K812/H812,0)</f>
        <v>0</v>
      </c>
      <c r="AG812" s="45" t="str">
        <f aca="false">IF(AA812=1,D812&amp;"|"&amp;TEXT(B812,"0"),"")</f>
        <v/>
      </c>
      <c r="AH812" s="43" t="n">
        <f aca="false">IF(AA812=1,H812,0)</f>
        <v>0</v>
      </c>
    </row>
    <row r="813" customFormat="false" ht="15" hidden="false" customHeight="false" outlineLevel="0" collapsed="false">
      <c r="A813" s="8" t="str">
        <f aca="false">IF(B813="","","B-"&amp;TEXT(ROW()-4,"0000"))</f>
        <v/>
      </c>
      <c r="B813" s="38"/>
      <c r="C813" s="38"/>
      <c r="D813" s="6"/>
      <c r="E813" s="6"/>
      <c r="F813" s="6"/>
      <c r="G813" s="11"/>
      <c r="H813" s="18" t="str">
        <f aca="false">IF(AND(ISNUMBER(B813),ISNUMBER(C813)),MAX(0,C813-B813),"")</f>
        <v/>
      </c>
      <c r="I813" s="37"/>
      <c r="J813" s="41" t="str">
        <f aca="false">IF(OR(D813="",N(H813)=0),"",IFERROR(IF(I813&lt;&gt;"",H813*I813,ROUND(((H813-(INT((WEEKDAY(B813-6)+H813-1)/7)+INT((WEEKDAY(B813-7)+H813-1)/7)))*INDEX(Properties!$E$5:$E$24,MATCH(D813,Properties!$A$5:$A$24,0))+(INT((WEEKDAY(B813-6)+H813-1)/7)+INT((WEEKDAY(B813-7)+H813-1)/7))*INDEX(Properties!$F$5:$F$24,MATCH(D813,Properties!$A$5:$A$24,0)))*(1-IF(H813&gt;=28,Settings!$B$10,IF(H813&gt;=7,Settings!$B$9,0))),2)),0))</f>
        <v/>
      </c>
      <c r="K813" s="41" t="str">
        <f aca="false">IF(J813="","",IFERROR(N(INDEX(Properties!$G$5:$G$24,MATCH(D813,Properties!$A$5:$A$24,0))),0))</f>
        <v/>
      </c>
      <c r="L813" s="41" t="str">
        <f aca="false">IF(J813="","",IFERROR(MAX(0,N(G813)-INDEX(Properties!$I$5:$I$24,MATCH(D813,Properties!$A$5:$A$24,0)))*N(INDEX(Properties!$J$5:$J$24,MATCH(D813,Properties!$A$5:$A$24,0)))*H813,0))</f>
        <v/>
      </c>
      <c r="M813" s="37"/>
      <c r="N813" s="41" t="str">
        <f aca="false">IF(J813="","",J813+K813+L813+N(M813))</f>
        <v/>
      </c>
      <c r="O813" s="41" t="str">
        <f aca="false">IF(N813="","",IF(P813&lt;&gt;"",N813-P813,ROUND(N813*IFERROR(INDEX(Settings!$E$5:$E$12,MATCH(F813,Settings!$D$5:$D$12,0)),0),2)))</f>
        <v/>
      </c>
      <c r="P813" s="37"/>
      <c r="Q813" s="41" t="str">
        <f aca="false">IF(N813="","",IF(P813&lt;&gt;"",P813,N813-O813))</f>
        <v/>
      </c>
      <c r="R813" s="41" t="str">
        <f aca="false">IF(J813="","",IFERROR(N(INDEX(Properties!$H$5:$H$24,MATCH(D813,Properties!$A$5:$A$24,0))),0))</f>
        <v/>
      </c>
      <c r="S813" s="41" t="str">
        <f aca="false">IF(Q813="","",Q813-R813)</f>
        <v/>
      </c>
      <c r="T813" s="6"/>
      <c r="U813" s="6"/>
      <c r="V813" s="6"/>
      <c r="W813" s="6"/>
      <c r="X813" s="6"/>
      <c r="Y813" s="8" t="str">
        <f aca="false">IF(OR(D813="",B813="",C813=""),"",IF(N(C813)&lt;=N(B813),"Check dates",IF(T813="Cancelled","",IF(COUNTIFS($D$5:$D$1004,D813,$B$5:$B$1004,"&lt;"&amp;C813,$C$5:$C$1004,"&gt;"&amp;B813,$T$5:$T$1004,"&lt;&gt;Cancelled")&gt;1,"Double-booked",""))))</f>
        <v/>
      </c>
      <c r="Z813" s="42" t="str">
        <f aca="false">IF(AND(AA813=1,ISNUMBER(C813)),C813+ROW()/100000,"")</f>
        <v/>
      </c>
      <c r="AA813" s="43" t="n">
        <f aca="false">IF(AND(D813&lt;&gt;"",ISNUMBER(B813),ISNUMBER(C813),N(H813)&gt;0,T813&lt;&gt;"Cancelled",J813&lt;&gt;""),1,0)</f>
        <v>0</v>
      </c>
      <c r="AB813" s="44" t="n">
        <f aca="false">IF(AA813=1,J813/H813,0)</f>
        <v>0</v>
      </c>
      <c r="AC813" s="44" t="n">
        <f aca="false">IF(AA813=1,Q813/H813,0)</f>
        <v>0</v>
      </c>
      <c r="AD813" s="44" t="n">
        <f aca="false">IF(AA813=1,R813/H813,0)</f>
        <v>0</v>
      </c>
      <c r="AE813" s="44" t="n">
        <f aca="false">IF(AA813=1,O813/H813,0)</f>
        <v>0</v>
      </c>
      <c r="AF813" s="44" t="n">
        <f aca="false">IF(AA813=1,K813/H813,0)</f>
        <v>0</v>
      </c>
      <c r="AG813" s="45" t="str">
        <f aca="false">IF(AA813=1,D813&amp;"|"&amp;TEXT(B813,"0"),"")</f>
        <v/>
      </c>
      <c r="AH813" s="43" t="n">
        <f aca="false">IF(AA813=1,H813,0)</f>
        <v>0</v>
      </c>
    </row>
    <row r="814" customFormat="false" ht="15" hidden="false" customHeight="false" outlineLevel="0" collapsed="false">
      <c r="A814" s="23" t="str">
        <f aca="false">IF(B814="","","B-"&amp;TEXT(ROW()-4,"0000"))</f>
        <v/>
      </c>
      <c r="B814" s="38"/>
      <c r="C814" s="38"/>
      <c r="D814" s="6"/>
      <c r="E814" s="6"/>
      <c r="F814" s="6"/>
      <c r="G814" s="11"/>
      <c r="H814" s="24" t="str">
        <f aca="false">IF(AND(ISNUMBER(B814),ISNUMBER(C814)),MAX(0,C814-B814),"")</f>
        <v/>
      </c>
      <c r="I814" s="37"/>
      <c r="J814" s="46" t="str">
        <f aca="false">IF(OR(D814="",N(H814)=0),"",IFERROR(IF(I814&lt;&gt;"",H814*I814,ROUND(((H814-(INT((WEEKDAY(B814-6)+H814-1)/7)+INT((WEEKDAY(B814-7)+H814-1)/7)))*INDEX(Properties!$E$5:$E$24,MATCH(D814,Properties!$A$5:$A$24,0))+(INT((WEEKDAY(B814-6)+H814-1)/7)+INT((WEEKDAY(B814-7)+H814-1)/7))*INDEX(Properties!$F$5:$F$24,MATCH(D814,Properties!$A$5:$A$24,0)))*(1-IF(H814&gt;=28,Settings!$B$10,IF(H814&gt;=7,Settings!$B$9,0))),2)),0))</f>
        <v/>
      </c>
      <c r="K814" s="46" t="str">
        <f aca="false">IF(J814="","",IFERROR(N(INDEX(Properties!$G$5:$G$24,MATCH(D814,Properties!$A$5:$A$24,0))),0))</f>
        <v/>
      </c>
      <c r="L814" s="46" t="str">
        <f aca="false">IF(J814="","",IFERROR(MAX(0,N(G814)-INDEX(Properties!$I$5:$I$24,MATCH(D814,Properties!$A$5:$A$24,0)))*N(INDEX(Properties!$J$5:$J$24,MATCH(D814,Properties!$A$5:$A$24,0)))*H814,0))</f>
        <v/>
      </c>
      <c r="M814" s="37"/>
      <c r="N814" s="46" t="str">
        <f aca="false">IF(J814="","",J814+K814+L814+N(M814))</f>
        <v/>
      </c>
      <c r="O814" s="46" t="str">
        <f aca="false">IF(N814="","",IF(P814&lt;&gt;"",N814-P814,ROUND(N814*IFERROR(INDEX(Settings!$E$5:$E$12,MATCH(F814,Settings!$D$5:$D$12,0)),0),2)))</f>
        <v/>
      </c>
      <c r="P814" s="37"/>
      <c r="Q814" s="46" t="str">
        <f aca="false">IF(N814="","",IF(P814&lt;&gt;"",P814,N814-O814))</f>
        <v/>
      </c>
      <c r="R814" s="46" t="str">
        <f aca="false">IF(J814="","",IFERROR(N(INDEX(Properties!$H$5:$H$24,MATCH(D814,Properties!$A$5:$A$24,0))),0))</f>
        <v/>
      </c>
      <c r="S814" s="46" t="str">
        <f aca="false">IF(Q814="","",Q814-R814)</f>
        <v/>
      </c>
      <c r="T814" s="6"/>
      <c r="U814" s="6"/>
      <c r="V814" s="6"/>
      <c r="W814" s="6"/>
      <c r="X814" s="6"/>
      <c r="Y814" s="8" t="str">
        <f aca="false">IF(OR(D814="",B814="",C814=""),"",IF(N(C814)&lt;=N(B814),"Check dates",IF(T814="Cancelled","",IF(COUNTIFS($D$5:$D$1004,D814,$B$5:$B$1004,"&lt;"&amp;C814,$C$5:$C$1004,"&gt;"&amp;B814,$T$5:$T$1004,"&lt;&gt;Cancelled")&gt;1,"Double-booked",""))))</f>
        <v/>
      </c>
      <c r="Z814" s="42" t="str">
        <f aca="false">IF(AND(AA814=1,ISNUMBER(C814)),C814+ROW()/100000,"")</f>
        <v/>
      </c>
      <c r="AA814" s="43" t="n">
        <f aca="false">IF(AND(D814&lt;&gt;"",ISNUMBER(B814),ISNUMBER(C814),N(H814)&gt;0,T814&lt;&gt;"Cancelled",J814&lt;&gt;""),1,0)</f>
        <v>0</v>
      </c>
      <c r="AB814" s="44" t="n">
        <f aca="false">IF(AA814=1,J814/H814,0)</f>
        <v>0</v>
      </c>
      <c r="AC814" s="44" t="n">
        <f aca="false">IF(AA814=1,Q814/H814,0)</f>
        <v>0</v>
      </c>
      <c r="AD814" s="44" t="n">
        <f aca="false">IF(AA814=1,R814/H814,0)</f>
        <v>0</v>
      </c>
      <c r="AE814" s="44" t="n">
        <f aca="false">IF(AA814=1,O814/H814,0)</f>
        <v>0</v>
      </c>
      <c r="AF814" s="44" t="n">
        <f aca="false">IF(AA814=1,K814/H814,0)</f>
        <v>0</v>
      </c>
      <c r="AG814" s="45" t="str">
        <f aca="false">IF(AA814=1,D814&amp;"|"&amp;TEXT(B814,"0"),"")</f>
        <v/>
      </c>
      <c r="AH814" s="43" t="n">
        <f aca="false">IF(AA814=1,H814,0)</f>
        <v>0</v>
      </c>
    </row>
    <row r="815" customFormat="false" ht="15" hidden="false" customHeight="false" outlineLevel="0" collapsed="false">
      <c r="A815" s="8" t="str">
        <f aca="false">IF(B815="","","B-"&amp;TEXT(ROW()-4,"0000"))</f>
        <v/>
      </c>
      <c r="B815" s="38"/>
      <c r="C815" s="38"/>
      <c r="D815" s="6"/>
      <c r="E815" s="6"/>
      <c r="F815" s="6"/>
      <c r="G815" s="11"/>
      <c r="H815" s="18" t="str">
        <f aca="false">IF(AND(ISNUMBER(B815),ISNUMBER(C815)),MAX(0,C815-B815),"")</f>
        <v/>
      </c>
      <c r="I815" s="37"/>
      <c r="J815" s="41" t="str">
        <f aca="false">IF(OR(D815="",N(H815)=0),"",IFERROR(IF(I815&lt;&gt;"",H815*I815,ROUND(((H815-(INT((WEEKDAY(B815-6)+H815-1)/7)+INT((WEEKDAY(B815-7)+H815-1)/7)))*INDEX(Properties!$E$5:$E$24,MATCH(D815,Properties!$A$5:$A$24,0))+(INT((WEEKDAY(B815-6)+H815-1)/7)+INT((WEEKDAY(B815-7)+H815-1)/7))*INDEX(Properties!$F$5:$F$24,MATCH(D815,Properties!$A$5:$A$24,0)))*(1-IF(H815&gt;=28,Settings!$B$10,IF(H815&gt;=7,Settings!$B$9,0))),2)),0))</f>
        <v/>
      </c>
      <c r="K815" s="41" t="str">
        <f aca="false">IF(J815="","",IFERROR(N(INDEX(Properties!$G$5:$G$24,MATCH(D815,Properties!$A$5:$A$24,0))),0))</f>
        <v/>
      </c>
      <c r="L815" s="41" t="str">
        <f aca="false">IF(J815="","",IFERROR(MAX(0,N(G815)-INDEX(Properties!$I$5:$I$24,MATCH(D815,Properties!$A$5:$A$24,0)))*N(INDEX(Properties!$J$5:$J$24,MATCH(D815,Properties!$A$5:$A$24,0)))*H815,0))</f>
        <v/>
      </c>
      <c r="M815" s="37"/>
      <c r="N815" s="41" t="str">
        <f aca="false">IF(J815="","",J815+K815+L815+N(M815))</f>
        <v/>
      </c>
      <c r="O815" s="41" t="str">
        <f aca="false">IF(N815="","",IF(P815&lt;&gt;"",N815-P815,ROUND(N815*IFERROR(INDEX(Settings!$E$5:$E$12,MATCH(F815,Settings!$D$5:$D$12,0)),0),2)))</f>
        <v/>
      </c>
      <c r="P815" s="37"/>
      <c r="Q815" s="41" t="str">
        <f aca="false">IF(N815="","",IF(P815&lt;&gt;"",P815,N815-O815))</f>
        <v/>
      </c>
      <c r="R815" s="41" t="str">
        <f aca="false">IF(J815="","",IFERROR(N(INDEX(Properties!$H$5:$H$24,MATCH(D815,Properties!$A$5:$A$24,0))),0))</f>
        <v/>
      </c>
      <c r="S815" s="41" t="str">
        <f aca="false">IF(Q815="","",Q815-R815)</f>
        <v/>
      </c>
      <c r="T815" s="6"/>
      <c r="U815" s="6"/>
      <c r="V815" s="6"/>
      <c r="W815" s="6"/>
      <c r="X815" s="6"/>
      <c r="Y815" s="8" t="str">
        <f aca="false">IF(OR(D815="",B815="",C815=""),"",IF(N(C815)&lt;=N(B815),"Check dates",IF(T815="Cancelled","",IF(COUNTIFS($D$5:$D$1004,D815,$B$5:$B$1004,"&lt;"&amp;C815,$C$5:$C$1004,"&gt;"&amp;B815,$T$5:$T$1004,"&lt;&gt;Cancelled")&gt;1,"Double-booked",""))))</f>
        <v/>
      </c>
      <c r="Z815" s="42" t="str">
        <f aca="false">IF(AND(AA815=1,ISNUMBER(C815)),C815+ROW()/100000,"")</f>
        <v/>
      </c>
      <c r="AA815" s="43" t="n">
        <f aca="false">IF(AND(D815&lt;&gt;"",ISNUMBER(B815),ISNUMBER(C815),N(H815)&gt;0,T815&lt;&gt;"Cancelled",J815&lt;&gt;""),1,0)</f>
        <v>0</v>
      </c>
      <c r="AB815" s="44" t="n">
        <f aca="false">IF(AA815=1,J815/H815,0)</f>
        <v>0</v>
      </c>
      <c r="AC815" s="44" t="n">
        <f aca="false">IF(AA815=1,Q815/H815,0)</f>
        <v>0</v>
      </c>
      <c r="AD815" s="44" t="n">
        <f aca="false">IF(AA815=1,R815/H815,0)</f>
        <v>0</v>
      </c>
      <c r="AE815" s="44" t="n">
        <f aca="false">IF(AA815=1,O815/H815,0)</f>
        <v>0</v>
      </c>
      <c r="AF815" s="44" t="n">
        <f aca="false">IF(AA815=1,K815/H815,0)</f>
        <v>0</v>
      </c>
      <c r="AG815" s="45" t="str">
        <f aca="false">IF(AA815=1,D815&amp;"|"&amp;TEXT(B815,"0"),"")</f>
        <v/>
      </c>
      <c r="AH815" s="43" t="n">
        <f aca="false">IF(AA815=1,H815,0)</f>
        <v>0</v>
      </c>
    </row>
    <row r="816" customFormat="false" ht="15" hidden="false" customHeight="false" outlineLevel="0" collapsed="false">
      <c r="A816" s="23" t="str">
        <f aca="false">IF(B816="","","B-"&amp;TEXT(ROW()-4,"0000"))</f>
        <v/>
      </c>
      <c r="B816" s="38"/>
      <c r="C816" s="38"/>
      <c r="D816" s="6"/>
      <c r="E816" s="6"/>
      <c r="F816" s="6"/>
      <c r="G816" s="11"/>
      <c r="H816" s="24" t="str">
        <f aca="false">IF(AND(ISNUMBER(B816),ISNUMBER(C816)),MAX(0,C816-B816),"")</f>
        <v/>
      </c>
      <c r="I816" s="37"/>
      <c r="J816" s="46" t="str">
        <f aca="false">IF(OR(D816="",N(H816)=0),"",IFERROR(IF(I816&lt;&gt;"",H816*I816,ROUND(((H816-(INT((WEEKDAY(B816-6)+H816-1)/7)+INT((WEEKDAY(B816-7)+H816-1)/7)))*INDEX(Properties!$E$5:$E$24,MATCH(D816,Properties!$A$5:$A$24,0))+(INT((WEEKDAY(B816-6)+H816-1)/7)+INT((WEEKDAY(B816-7)+H816-1)/7))*INDEX(Properties!$F$5:$F$24,MATCH(D816,Properties!$A$5:$A$24,0)))*(1-IF(H816&gt;=28,Settings!$B$10,IF(H816&gt;=7,Settings!$B$9,0))),2)),0))</f>
        <v/>
      </c>
      <c r="K816" s="46" t="str">
        <f aca="false">IF(J816="","",IFERROR(N(INDEX(Properties!$G$5:$G$24,MATCH(D816,Properties!$A$5:$A$24,0))),0))</f>
        <v/>
      </c>
      <c r="L816" s="46" t="str">
        <f aca="false">IF(J816="","",IFERROR(MAX(0,N(G816)-INDEX(Properties!$I$5:$I$24,MATCH(D816,Properties!$A$5:$A$24,0)))*N(INDEX(Properties!$J$5:$J$24,MATCH(D816,Properties!$A$5:$A$24,0)))*H816,0))</f>
        <v/>
      </c>
      <c r="M816" s="37"/>
      <c r="N816" s="46" t="str">
        <f aca="false">IF(J816="","",J816+K816+L816+N(M816))</f>
        <v/>
      </c>
      <c r="O816" s="46" t="str">
        <f aca="false">IF(N816="","",IF(P816&lt;&gt;"",N816-P816,ROUND(N816*IFERROR(INDEX(Settings!$E$5:$E$12,MATCH(F816,Settings!$D$5:$D$12,0)),0),2)))</f>
        <v/>
      </c>
      <c r="P816" s="37"/>
      <c r="Q816" s="46" t="str">
        <f aca="false">IF(N816="","",IF(P816&lt;&gt;"",P816,N816-O816))</f>
        <v/>
      </c>
      <c r="R816" s="46" t="str">
        <f aca="false">IF(J816="","",IFERROR(N(INDEX(Properties!$H$5:$H$24,MATCH(D816,Properties!$A$5:$A$24,0))),0))</f>
        <v/>
      </c>
      <c r="S816" s="46" t="str">
        <f aca="false">IF(Q816="","",Q816-R816)</f>
        <v/>
      </c>
      <c r="T816" s="6"/>
      <c r="U816" s="6"/>
      <c r="V816" s="6"/>
      <c r="W816" s="6"/>
      <c r="X816" s="6"/>
      <c r="Y816" s="8" t="str">
        <f aca="false">IF(OR(D816="",B816="",C816=""),"",IF(N(C816)&lt;=N(B816),"Check dates",IF(T816="Cancelled","",IF(COUNTIFS($D$5:$D$1004,D816,$B$5:$B$1004,"&lt;"&amp;C816,$C$5:$C$1004,"&gt;"&amp;B816,$T$5:$T$1004,"&lt;&gt;Cancelled")&gt;1,"Double-booked",""))))</f>
        <v/>
      </c>
      <c r="Z816" s="42" t="str">
        <f aca="false">IF(AND(AA816=1,ISNUMBER(C816)),C816+ROW()/100000,"")</f>
        <v/>
      </c>
      <c r="AA816" s="43" t="n">
        <f aca="false">IF(AND(D816&lt;&gt;"",ISNUMBER(B816),ISNUMBER(C816),N(H816)&gt;0,T816&lt;&gt;"Cancelled",J816&lt;&gt;""),1,0)</f>
        <v>0</v>
      </c>
      <c r="AB816" s="44" t="n">
        <f aca="false">IF(AA816=1,J816/H816,0)</f>
        <v>0</v>
      </c>
      <c r="AC816" s="44" t="n">
        <f aca="false">IF(AA816=1,Q816/H816,0)</f>
        <v>0</v>
      </c>
      <c r="AD816" s="44" t="n">
        <f aca="false">IF(AA816=1,R816/H816,0)</f>
        <v>0</v>
      </c>
      <c r="AE816" s="44" t="n">
        <f aca="false">IF(AA816=1,O816/H816,0)</f>
        <v>0</v>
      </c>
      <c r="AF816" s="44" t="n">
        <f aca="false">IF(AA816=1,K816/H816,0)</f>
        <v>0</v>
      </c>
      <c r="AG816" s="45" t="str">
        <f aca="false">IF(AA816=1,D816&amp;"|"&amp;TEXT(B816,"0"),"")</f>
        <v/>
      </c>
      <c r="AH816" s="43" t="n">
        <f aca="false">IF(AA816=1,H816,0)</f>
        <v>0</v>
      </c>
    </row>
    <row r="817" customFormat="false" ht="15" hidden="false" customHeight="false" outlineLevel="0" collapsed="false">
      <c r="A817" s="8" t="str">
        <f aca="false">IF(B817="","","B-"&amp;TEXT(ROW()-4,"0000"))</f>
        <v/>
      </c>
      <c r="B817" s="38"/>
      <c r="C817" s="38"/>
      <c r="D817" s="6"/>
      <c r="E817" s="6"/>
      <c r="F817" s="6"/>
      <c r="G817" s="11"/>
      <c r="H817" s="18" t="str">
        <f aca="false">IF(AND(ISNUMBER(B817),ISNUMBER(C817)),MAX(0,C817-B817),"")</f>
        <v/>
      </c>
      <c r="I817" s="37"/>
      <c r="J817" s="41" t="str">
        <f aca="false">IF(OR(D817="",N(H817)=0),"",IFERROR(IF(I817&lt;&gt;"",H817*I817,ROUND(((H817-(INT((WEEKDAY(B817-6)+H817-1)/7)+INT((WEEKDAY(B817-7)+H817-1)/7)))*INDEX(Properties!$E$5:$E$24,MATCH(D817,Properties!$A$5:$A$24,0))+(INT((WEEKDAY(B817-6)+H817-1)/7)+INT((WEEKDAY(B817-7)+H817-1)/7))*INDEX(Properties!$F$5:$F$24,MATCH(D817,Properties!$A$5:$A$24,0)))*(1-IF(H817&gt;=28,Settings!$B$10,IF(H817&gt;=7,Settings!$B$9,0))),2)),0))</f>
        <v/>
      </c>
      <c r="K817" s="41" t="str">
        <f aca="false">IF(J817="","",IFERROR(N(INDEX(Properties!$G$5:$G$24,MATCH(D817,Properties!$A$5:$A$24,0))),0))</f>
        <v/>
      </c>
      <c r="L817" s="41" t="str">
        <f aca="false">IF(J817="","",IFERROR(MAX(0,N(G817)-INDEX(Properties!$I$5:$I$24,MATCH(D817,Properties!$A$5:$A$24,0)))*N(INDEX(Properties!$J$5:$J$24,MATCH(D817,Properties!$A$5:$A$24,0)))*H817,0))</f>
        <v/>
      </c>
      <c r="M817" s="37"/>
      <c r="N817" s="41" t="str">
        <f aca="false">IF(J817="","",J817+K817+L817+N(M817))</f>
        <v/>
      </c>
      <c r="O817" s="41" t="str">
        <f aca="false">IF(N817="","",IF(P817&lt;&gt;"",N817-P817,ROUND(N817*IFERROR(INDEX(Settings!$E$5:$E$12,MATCH(F817,Settings!$D$5:$D$12,0)),0),2)))</f>
        <v/>
      </c>
      <c r="P817" s="37"/>
      <c r="Q817" s="41" t="str">
        <f aca="false">IF(N817="","",IF(P817&lt;&gt;"",P817,N817-O817))</f>
        <v/>
      </c>
      <c r="R817" s="41" t="str">
        <f aca="false">IF(J817="","",IFERROR(N(INDEX(Properties!$H$5:$H$24,MATCH(D817,Properties!$A$5:$A$24,0))),0))</f>
        <v/>
      </c>
      <c r="S817" s="41" t="str">
        <f aca="false">IF(Q817="","",Q817-R817)</f>
        <v/>
      </c>
      <c r="T817" s="6"/>
      <c r="U817" s="6"/>
      <c r="V817" s="6"/>
      <c r="W817" s="6"/>
      <c r="X817" s="6"/>
      <c r="Y817" s="8" t="str">
        <f aca="false">IF(OR(D817="",B817="",C817=""),"",IF(N(C817)&lt;=N(B817),"Check dates",IF(T817="Cancelled","",IF(COUNTIFS($D$5:$D$1004,D817,$B$5:$B$1004,"&lt;"&amp;C817,$C$5:$C$1004,"&gt;"&amp;B817,$T$5:$T$1004,"&lt;&gt;Cancelled")&gt;1,"Double-booked",""))))</f>
        <v/>
      </c>
      <c r="Z817" s="42" t="str">
        <f aca="false">IF(AND(AA817=1,ISNUMBER(C817)),C817+ROW()/100000,"")</f>
        <v/>
      </c>
      <c r="AA817" s="43" t="n">
        <f aca="false">IF(AND(D817&lt;&gt;"",ISNUMBER(B817),ISNUMBER(C817),N(H817)&gt;0,T817&lt;&gt;"Cancelled",J817&lt;&gt;""),1,0)</f>
        <v>0</v>
      </c>
      <c r="AB817" s="44" t="n">
        <f aca="false">IF(AA817=1,J817/H817,0)</f>
        <v>0</v>
      </c>
      <c r="AC817" s="44" t="n">
        <f aca="false">IF(AA817=1,Q817/H817,0)</f>
        <v>0</v>
      </c>
      <c r="AD817" s="44" t="n">
        <f aca="false">IF(AA817=1,R817/H817,0)</f>
        <v>0</v>
      </c>
      <c r="AE817" s="44" t="n">
        <f aca="false">IF(AA817=1,O817/H817,0)</f>
        <v>0</v>
      </c>
      <c r="AF817" s="44" t="n">
        <f aca="false">IF(AA817=1,K817/H817,0)</f>
        <v>0</v>
      </c>
      <c r="AG817" s="45" t="str">
        <f aca="false">IF(AA817=1,D817&amp;"|"&amp;TEXT(B817,"0"),"")</f>
        <v/>
      </c>
      <c r="AH817" s="43" t="n">
        <f aca="false">IF(AA817=1,H817,0)</f>
        <v>0</v>
      </c>
    </row>
    <row r="818" customFormat="false" ht="15" hidden="false" customHeight="false" outlineLevel="0" collapsed="false">
      <c r="A818" s="23" t="str">
        <f aca="false">IF(B818="","","B-"&amp;TEXT(ROW()-4,"0000"))</f>
        <v/>
      </c>
      <c r="B818" s="38"/>
      <c r="C818" s="38"/>
      <c r="D818" s="6"/>
      <c r="E818" s="6"/>
      <c r="F818" s="6"/>
      <c r="G818" s="11"/>
      <c r="H818" s="24" t="str">
        <f aca="false">IF(AND(ISNUMBER(B818),ISNUMBER(C818)),MAX(0,C818-B818),"")</f>
        <v/>
      </c>
      <c r="I818" s="37"/>
      <c r="J818" s="46" t="str">
        <f aca="false">IF(OR(D818="",N(H818)=0),"",IFERROR(IF(I818&lt;&gt;"",H818*I818,ROUND(((H818-(INT((WEEKDAY(B818-6)+H818-1)/7)+INT((WEEKDAY(B818-7)+H818-1)/7)))*INDEX(Properties!$E$5:$E$24,MATCH(D818,Properties!$A$5:$A$24,0))+(INT((WEEKDAY(B818-6)+H818-1)/7)+INT((WEEKDAY(B818-7)+H818-1)/7))*INDEX(Properties!$F$5:$F$24,MATCH(D818,Properties!$A$5:$A$24,0)))*(1-IF(H818&gt;=28,Settings!$B$10,IF(H818&gt;=7,Settings!$B$9,0))),2)),0))</f>
        <v/>
      </c>
      <c r="K818" s="46" t="str">
        <f aca="false">IF(J818="","",IFERROR(N(INDEX(Properties!$G$5:$G$24,MATCH(D818,Properties!$A$5:$A$24,0))),0))</f>
        <v/>
      </c>
      <c r="L818" s="46" t="str">
        <f aca="false">IF(J818="","",IFERROR(MAX(0,N(G818)-INDEX(Properties!$I$5:$I$24,MATCH(D818,Properties!$A$5:$A$24,0)))*N(INDEX(Properties!$J$5:$J$24,MATCH(D818,Properties!$A$5:$A$24,0)))*H818,0))</f>
        <v/>
      </c>
      <c r="M818" s="37"/>
      <c r="N818" s="46" t="str">
        <f aca="false">IF(J818="","",J818+K818+L818+N(M818))</f>
        <v/>
      </c>
      <c r="O818" s="46" t="str">
        <f aca="false">IF(N818="","",IF(P818&lt;&gt;"",N818-P818,ROUND(N818*IFERROR(INDEX(Settings!$E$5:$E$12,MATCH(F818,Settings!$D$5:$D$12,0)),0),2)))</f>
        <v/>
      </c>
      <c r="P818" s="37"/>
      <c r="Q818" s="46" t="str">
        <f aca="false">IF(N818="","",IF(P818&lt;&gt;"",P818,N818-O818))</f>
        <v/>
      </c>
      <c r="R818" s="46" t="str">
        <f aca="false">IF(J818="","",IFERROR(N(INDEX(Properties!$H$5:$H$24,MATCH(D818,Properties!$A$5:$A$24,0))),0))</f>
        <v/>
      </c>
      <c r="S818" s="46" t="str">
        <f aca="false">IF(Q818="","",Q818-R818)</f>
        <v/>
      </c>
      <c r="T818" s="6"/>
      <c r="U818" s="6"/>
      <c r="V818" s="6"/>
      <c r="W818" s="6"/>
      <c r="X818" s="6"/>
      <c r="Y818" s="8" t="str">
        <f aca="false">IF(OR(D818="",B818="",C818=""),"",IF(N(C818)&lt;=N(B818),"Check dates",IF(T818="Cancelled","",IF(COUNTIFS($D$5:$D$1004,D818,$B$5:$B$1004,"&lt;"&amp;C818,$C$5:$C$1004,"&gt;"&amp;B818,$T$5:$T$1004,"&lt;&gt;Cancelled")&gt;1,"Double-booked",""))))</f>
        <v/>
      </c>
      <c r="Z818" s="42" t="str">
        <f aca="false">IF(AND(AA818=1,ISNUMBER(C818)),C818+ROW()/100000,"")</f>
        <v/>
      </c>
      <c r="AA818" s="43" t="n">
        <f aca="false">IF(AND(D818&lt;&gt;"",ISNUMBER(B818),ISNUMBER(C818),N(H818)&gt;0,T818&lt;&gt;"Cancelled",J818&lt;&gt;""),1,0)</f>
        <v>0</v>
      </c>
      <c r="AB818" s="44" t="n">
        <f aca="false">IF(AA818=1,J818/H818,0)</f>
        <v>0</v>
      </c>
      <c r="AC818" s="44" t="n">
        <f aca="false">IF(AA818=1,Q818/H818,0)</f>
        <v>0</v>
      </c>
      <c r="AD818" s="44" t="n">
        <f aca="false">IF(AA818=1,R818/H818,0)</f>
        <v>0</v>
      </c>
      <c r="AE818" s="44" t="n">
        <f aca="false">IF(AA818=1,O818/H818,0)</f>
        <v>0</v>
      </c>
      <c r="AF818" s="44" t="n">
        <f aca="false">IF(AA818=1,K818/H818,0)</f>
        <v>0</v>
      </c>
      <c r="AG818" s="45" t="str">
        <f aca="false">IF(AA818=1,D818&amp;"|"&amp;TEXT(B818,"0"),"")</f>
        <v/>
      </c>
      <c r="AH818" s="43" t="n">
        <f aca="false">IF(AA818=1,H818,0)</f>
        <v>0</v>
      </c>
    </row>
    <row r="819" customFormat="false" ht="15" hidden="false" customHeight="false" outlineLevel="0" collapsed="false">
      <c r="A819" s="8" t="str">
        <f aca="false">IF(B819="","","B-"&amp;TEXT(ROW()-4,"0000"))</f>
        <v/>
      </c>
      <c r="B819" s="38"/>
      <c r="C819" s="38"/>
      <c r="D819" s="6"/>
      <c r="E819" s="6"/>
      <c r="F819" s="6"/>
      <c r="G819" s="11"/>
      <c r="H819" s="18" t="str">
        <f aca="false">IF(AND(ISNUMBER(B819),ISNUMBER(C819)),MAX(0,C819-B819),"")</f>
        <v/>
      </c>
      <c r="I819" s="37"/>
      <c r="J819" s="41" t="str">
        <f aca="false">IF(OR(D819="",N(H819)=0),"",IFERROR(IF(I819&lt;&gt;"",H819*I819,ROUND(((H819-(INT((WEEKDAY(B819-6)+H819-1)/7)+INT((WEEKDAY(B819-7)+H819-1)/7)))*INDEX(Properties!$E$5:$E$24,MATCH(D819,Properties!$A$5:$A$24,0))+(INT((WEEKDAY(B819-6)+H819-1)/7)+INT((WEEKDAY(B819-7)+H819-1)/7))*INDEX(Properties!$F$5:$F$24,MATCH(D819,Properties!$A$5:$A$24,0)))*(1-IF(H819&gt;=28,Settings!$B$10,IF(H819&gt;=7,Settings!$B$9,0))),2)),0))</f>
        <v/>
      </c>
      <c r="K819" s="41" t="str">
        <f aca="false">IF(J819="","",IFERROR(N(INDEX(Properties!$G$5:$G$24,MATCH(D819,Properties!$A$5:$A$24,0))),0))</f>
        <v/>
      </c>
      <c r="L819" s="41" t="str">
        <f aca="false">IF(J819="","",IFERROR(MAX(0,N(G819)-INDEX(Properties!$I$5:$I$24,MATCH(D819,Properties!$A$5:$A$24,0)))*N(INDEX(Properties!$J$5:$J$24,MATCH(D819,Properties!$A$5:$A$24,0)))*H819,0))</f>
        <v/>
      </c>
      <c r="M819" s="37"/>
      <c r="N819" s="41" t="str">
        <f aca="false">IF(J819="","",J819+K819+L819+N(M819))</f>
        <v/>
      </c>
      <c r="O819" s="41" t="str">
        <f aca="false">IF(N819="","",IF(P819&lt;&gt;"",N819-P819,ROUND(N819*IFERROR(INDEX(Settings!$E$5:$E$12,MATCH(F819,Settings!$D$5:$D$12,0)),0),2)))</f>
        <v/>
      </c>
      <c r="P819" s="37"/>
      <c r="Q819" s="41" t="str">
        <f aca="false">IF(N819="","",IF(P819&lt;&gt;"",P819,N819-O819))</f>
        <v/>
      </c>
      <c r="R819" s="41" t="str">
        <f aca="false">IF(J819="","",IFERROR(N(INDEX(Properties!$H$5:$H$24,MATCH(D819,Properties!$A$5:$A$24,0))),0))</f>
        <v/>
      </c>
      <c r="S819" s="41" t="str">
        <f aca="false">IF(Q819="","",Q819-R819)</f>
        <v/>
      </c>
      <c r="T819" s="6"/>
      <c r="U819" s="6"/>
      <c r="V819" s="6"/>
      <c r="W819" s="6"/>
      <c r="X819" s="6"/>
      <c r="Y819" s="8" t="str">
        <f aca="false">IF(OR(D819="",B819="",C819=""),"",IF(N(C819)&lt;=N(B819),"Check dates",IF(T819="Cancelled","",IF(COUNTIFS($D$5:$D$1004,D819,$B$5:$B$1004,"&lt;"&amp;C819,$C$5:$C$1004,"&gt;"&amp;B819,$T$5:$T$1004,"&lt;&gt;Cancelled")&gt;1,"Double-booked",""))))</f>
        <v/>
      </c>
      <c r="Z819" s="42" t="str">
        <f aca="false">IF(AND(AA819=1,ISNUMBER(C819)),C819+ROW()/100000,"")</f>
        <v/>
      </c>
      <c r="AA819" s="43" t="n">
        <f aca="false">IF(AND(D819&lt;&gt;"",ISNUMBER(B819),ISNUMBER(C819),N(H819)&gt;0,T819&lt;&gt;"Cancelled",J819&lt;&gt;""),1,0)</f>
        <v>0</v>
      </c>
      <c r="AB819" s="44" t="n">
        <f aca="false">IF(AA819=1,J819/H819,0)</f>
        <v>0</v>
      </c>
      <c r="AC819" s="44" t="n">
        <f aca="false">IF(AA819=1,Q819/H819,0)</f>
        <v>0</v>
      </c>
      <c r="AD819" s="44" t="n">
        <f aca="false">IF(AA819=1,R819/H819,0)</f>
        <v>0</v>
      </c>
      <c r="AE819" s="44" t="n">
        <f aca="false">IF(AA819=1,O819/H819,0)</f>
        <v>0</v>
      </c>
      <c r="AF819" s="44" t="n">
        <f aca="false">IF(AA819=1,K819/H819,0)</f>
        <v>0</v>
      </c>
      <c r="AG819" s="45" t="str">
        <f aca="false">IF(AA819=1,D819&amp;"|"&amp;TEXT(B819,"0"),"")</f>
        <v/>
      </c>
      <c r="AH819" s="43" t="n">
        <f aca="false">IF(AA819=1,H819,0)</f>
        <v>0</v>
      </c>
    </row>
    <row r="820" customFormat="false" ht="15" hidden="false" customHeight="false" outlineLevel="0" collapsed="false">
      <c r="A820" s="23" t="str">
        <f aca="false">IF(B820="","","B-"&amp;TEXT(ROW()-4,"0000"))</f>
        <v/>
      </c>
      <c r="B820" s="38"/>
      <c r="C820" s="38"/>
      <c r="D820" s="6"/>
      <c r="E820" s="6"/>
      <c r="F820" s="6"/>
      <c r="G820" s="11"/>
      <c r="H820" s="24" t="str">
        <f aca="false">IF(AND(ISNUMBER(B820),ISNUMBER(C820)),MAX(0,C820-B820),"")</f>
        <v/>
      </c>
      <c r="I820" s="37"/>
      <c r="J820" s="46" t="str">
        <f aca="false">IF(OR(D820="",N(H820)=0),"",IFERROR(IF(I820&lt;&gt;"",H820*I820,ROUND(((H820-(INT((WEEKDAY(B820-6)+H820-1)/7)+INT((WEEKDAY(B820-7)+H820-1)/7)))*INDEX(Properties!$E$5:$E$24,MATCH(D820,Properties!$A$5:$A$24,0))+(INT((WEEKDAY(B820-6)+H820-1)/7)+INT((WEEKDAY(B820-7)+H820-1)/7))*INDEX(Properties!$F$5:$F$24,MATCH(D820,Properties!$A$5:$A$24,0)))*(1-IF(H820&gt;=28,Settings!$B$10,IF(H820&gt;=7,Settings!$B$9,0))),2)),0))</f>
        <v/>
      </c>
      <c r="K820" s="46" t="str">
        <f aca="false">IF(J820="","",IFERROR(N(INDEX(Properties!$G$5:$G$24,MATCH(D820,Properties!$A$5:$A$24,0))),0))</f>
        <v/>
      </c>
      <c r="L820" s="46" t="str">
        <f aca="false">IF(J820="","",IFERROR(MAX(0,N(G820)-INDEX(Properties!$I$5:$I$24,MATCH(D820,Properties!$A$5:$A$24,0)))*N(INDEX(Properties!$J$5:$J$24,MATCH(D820,Properties!$A$5:$A$24,0)))*H820,0))</f>
        <v/>
      </c>
      <c r="M820" s="37"/>
      <c r="N820" s="46" t="str">
        <f aca="false">IF(J820="","",J820+K820+L820+N(M820))</f>
        <v/>
      </c>
      <c r="O820" s="46" t="str">
        <f aca="false">IF(N820="","",IF(P820&lt;&gt;"",N820-P820,ROUND(N820*IFERROR(INDEX(Settings!$E$5:$E$12,MATCH(F820,Settings!$D$5:$D$12,0)),0),2)))</f>
        <v/>
      </c>
      <c r="P820" s="37"/>
      <c r="Q820" s="46" t="str">
        <f aca="false">IF(N820="","",IF(P820&lt;&gt;"",P820,N820-O820))</f>
        <v/>
      </c>
      <c r="R820" s="46" t="str">
        <f aca="false">IF(J820="","",IFERROR(N(INDEX(Properties!$H$5:$H$24,MATCH(D820,Properties!$A$5:$A$24,0))),0))</f>
        <v/>
      </c>
      <c r="S820" s="46" t="str">
        <f aca="false">IF(Q820="","",Q820-R820)</f>
        <v/>
      </c>
      <c r="T820" s="6"/>
      <c r="U820" s="6"/>
      <c r="V820" s="6"/>
      <c r="W820" s="6"/>
      <c r="X820" s="6"/>
      <c r="Y820" s="8" t="str">
        <f aca="false">IF(OR(D820="",B820="",C820=""),"",IF(N(C820)&lt;=N(B820),"Check dates",IF(T820="Cancelled","",IF(COUNTIFS($D$5:$D$1004,D820,$B$5:$B$1004,"&lt;"&amp;C820,$C$5:$C$1004,"&gt;"&amp;B820,$T$5:$T$1004,"&lt;&gt;Cancelled")&gt;1,"Double-booked",""))))</f>
        <v/>
      </c>
      <c r="Z820" s="42" t="str">
        <f aca="false">IF(AND(AA820=1,ISNUMBER(C820)),C820+ROW()/100000,"")</f>
        <v/>
      </c>
      <c r="AA820" s="43" t="n">
        <f aca="false">IF(AND(D820&lt;&gt;"",ISNUMBER(B820),ISNUMBER(C820),N(H820)&gt;0,T820&lt;&gt;"Cancelled",J820&lt;&gt;""),1,0)</f>
        <v>0</v>
      </c>
      <c r="AB820" s="44" t="n">
        <f aca="false">IF(AA820=1,J820/H820,0)</f>
        <v>0</v>
      </c>
      <c r="AC820" s="44" t="n">
        <f aca="false">IF(AA820=1,Q820/H820,0)</f>
        <v>0</v>
      </c>
      <c r="AD820" s="44" t="n">
        <f aca="false">IF(AA820=1,R820/H820,0)</f>
        <v>0</v>
      </c>
      <c r="AE820" s="44" t="n">
        <f aca="false">IF(AA820=1,O820/H820,0)</f>
        <v>0</v>
      </c>
      <c r="AF820" s="44" t="n">
        <f aca="false">IF(AA820=1,K820/H820,0)</f>
        <v>0</v>
      </c>
      <c r="AG820" s="45" t="str">
        <f aca="false">IF(AA820=1,D820&amp;"|"&amp;TEXT(B820,"0"),"")</f>
        <v/>
      </c>
      <c r="AH820" s="43" t="n">
        <f aca="false">IF(AA820=1,H820,0)</f>
        <v>0</v>
      </c>
    </row>
    <row r="821" customFormat="false" ht="15" hidden="false" customHeight="false" outlineLevel="0" collapsed="false">
      <c r="A821" s="8" t="str">
        <f aca="false">IF(B821="","","B-"&amp;TEXT(ROW()-4,"0000"))</f>
        <v/>
      </c>
      <c r="B821" s="38"/>
      <c r="C821" s="38"/>
      <c r="D821" s="6"/>
      <c r="E821" s="6"/>
      <c r="F821" s="6"/>
      <c r="G821" s="11"/>
      <c r="H821" s="18" t="str">
        <f aca="false">IF(AND(ISNUMBER(B821),ISNUMBER(C821)),MAX(0,C821-B821),"")</f>
        <v/>
      </c>
      <c r="I821" s="37"/>
      <c r="J821" s="41" t="str">
        <f aca="false">IF(OR(D821="",N(H821)=0),"",IFERROR(IF(I821&lt;&gt;"",H821*I821,ROUND(((H821-(INT((WEEKDAY(B821-6)+H821-1)/7)+INT((WEEKDAY(B821-7)+H821-1)/7)))*INDEX(Properties!$E$5:$E$24,MATCH(D821,Properties!$A$5:$A$24,0))+(INT((WEEKDAY(B821-6)+H821-1)/7)+INT((WEEKDAY(B821-7)+H821-1)/7))*INDEX(Properties!$F$5:$F$24,MATCH(D821,Properties!$A$5:$A$24,0)))*(1-IF(H821&gt;=28,Settings!$B$10,IF(H821&gt;=7,Settings!$B$9,0))),2)),0))</f>
        <v/>
      </c>
      <c r="K821" s="41" t="str">
        <f aca="false">IF(J821="","",IFERROR(N(INDEX(Properties!$G$5:$G$24,MATCH(D821,Properties!$A$5:$A$24,0))),0))</f>
        <v/>
      </c>
      <c r="L821" s="41" t="str">
        <f aca="false">IF(J821="","",IFERROR(MAX(0,N(G821)-INDEX(Properties!$I$5:$I$24,MATCH(D821,Properties!$A$5:$A$24,0)))*N(INDEX(Properties!$J$5:$J$24,MATCH(D821,Properties!$A$5:$A$24,0)))*H821,0))</f>
        <v/>
      </c>
      <c r="M821" s="37"/>
      <c r="N821" s="41" t="str">
        <f aca="false">IF(J821="","",J821+K821+L821+N(M821))</f>
        <v/>
      </c>
      <c r="O821" s="41" t="str">
        <f aca="false">IF(N821="","",IF(P821&lt;&gt;"",N821-P821,ROUND(N821*IFERROR(INDEX(Settings!$E$5:$E$12,MATCH(F821,Settings!$D$5:$D$12,0)),0),2)))</f>
        <v/>
      </c>
      <c r="P821" s="37"/>
      <c r="Q821" s="41" t="str">
        <f aca="false">IF(N821="","",IF(P821&lt;&gt;"",P821,N821-O821))</f>
        <v/>
      </c>
      <c r="R821" s="41" t="str">
        <f aca="false">IF(J821="","",IFERROR(N(INDEX(Properties!$H$5:$H$24,MATCH(D821,Properties!$A$5:$A$24,0))),0))</f>
        <v/>
      </c>
      <c r="S821" s="41" t="str">
        <f aca="false">IF(Q821="","",Q821-R821)</f>
        <v/>
      </c>
      <c r="T821" s="6"/>
      <c r="U821" s="6"/>
      <c r="V821" s="6"/>
      <c r="W821" s="6"/>
      <c r="X821" s="6"/>
      <c r="Y821" s="8" t="str">
        <f aca="false">IF(OR(D821="",B821="",C821=""),"",IF(N(C821)&lt;=N(B821),"Check dates",IF(T821="Cancelled","",IF(COUNTIFS($D$5:$D$1004,D821,$B$5:$B$1004,"&lt;"&amp;C821,$C$5:$C$1004,"&gt;"&amp;B821,$T$5:$T$1004,"&lt;&gt;Cancelled")&gt;1,"Double-booked",""))))</f>
        <v/>
      </c>
      <c r="Z821" s="42" t="str">
        <f aca="false">IF(AND(AA821=1,ISNUMBER(C821)),C821+ROW()/100000,"")</f>
        <v/>
      </c>
      <c r="AA821" s="43" t="n">
        <f aca="false">IF(AND(D821&lt;&gt;"",ISNUMBER(B821),ISNUMBER(C821),N(H821)&gt;0,T821&lt;&gt;"Cancelled",J821&lt;&gt;""),1,0)</f>
        <v>0</v>
      </c>
      <c r="AB821" s="44" t="n">
        <f aca="false">IF(AA821=1,J821/H821,0)</f>
        <v>0</v>
      </c>
      <c r="AC821" s="44" t="n">
        <f aca="false">IF(AA821=1,Q821/H821,0)</f>
        <v>0</v>
      </c>
      <c r="AD821" s="44" t="n">
        <f aca="false">IF(AA821=1,R821/H821,0)</f>
        <v>0</v>
      </c>
      <c r="AE821" s="44" t="n">
        <f aca="false">IF(AA821=1,O821/H821,0)</f>
        <v>0</v>
      </c>
      <c r="AF821" s="44" t="n">
        <f aca="false">IF(AA821=1,K821/H821,0)</f>
        <v>0</v>
      </c>
      <c r="AG821" s="45" t="str">
        <f aca="false">IF(AA821=1,D821&amp;"|"&amp;TEXT(B821,"0"),"")</f>
        <v/>
      </c>
      <c r="AH821" s="43" t="n">
        <f aca="false">IF(AA821=1,H821,0)</f>
        <v>0</v>
      </c>
    </row>
    <row r="822" customFormat="false" ht="15" hidden="false" customHeight="false" outlineLevel="0" collapsed="false">
      <c r="A822" s="23" t="str">
        <f aca="false">IF(B822="","","B-"&amp;TEXT(ROW()-4,"0000"))</f>
        <v/>
      </c>
      <c r="B822" s="38"/>
      <c r="C822" s="38"/>
      <c r="D822" s="6"/>
      <c r="E822" s="6"/>
      <c r="F822" s="6"/>
      <c r="G822" s="11"/>
      <c r="H822" s="24" t="str">
        <f aca="false">IF(AND(ISNUMBER(B822),ISNUMBER(C822)),MAX(0,C822-B822),"")</f>
        <v/>
      </c>
      <c r="I822" s="37"/>
      <c r="J822" s="46" t="str">
        <f aca="false">IF(OR(D822="",N(H822)=0),"",IFERROR(IF(I822&lt;&gt;"",H822*I822,ROUND(((H822-(INT((WEEKDAY(B822-6)+H822-1)/7)+INT((WEEKDAY(B822-7)+H822-1)/7)))*INDEX(Properties!$E$5:$E$24,MATCH(D822,Properties!$A$5:$A$24,0))+(INT((WEEKDAY(B822-6)+H822-1)/7)+INT((WEEKDAY(B822-7)+H822-1)/7))*INDEX(Properties!$F$5:$F$24,MATCH(D822,Properties!$A$5:$A$24,0)))*(1-IF(H822&gt;=28,Settings!$B$10,IF(H822&gt;=7,Settings!$B$9,0))),2)),0))</f>
        <v/>
      </c>
      <c r="K822" s="46" t="str">
        <f aca="false">IF(J822="","",IFERROR(N(INDEX(Properties!$G$5:$G$24,MATCH(D822,Properties!$A$5:$A$24,0))),0))</f>
        <v/>
      </c>
      <c r="L822" s="46" t="str">
        <f aca="false">IF(J822="","",IFERROR(MAX(0,N(G822)-INDEX(Properties!$I$5:$I$24,MATCH(D822,Properties!$A$5:$A$24,0)))*N(INDEX(Properties!$J$5:$J$24,MATCH(D822,Properties!$A$5:$A$24,0)))*H822,0))</f>
        <v/>
      </c>
      <c r="M822" s="37"/>
      <c r="N822" s="46" t="str">
        <f aca="false">IF(J822="","",J822+K822+L822+N(M822))</f>
        <v/>
      </c>
      <c r="O822" s="46" t="str">
        <f aca="false">IF(N822="","",IF(P822&lt;&gt;"",N822-P822,ROUND(N822*IFERROR(INDEX(Settings!$E$5:$E$12,MATCH(F822,Settings!$D$5:$D$12,0)),0),2)))</f>
        <v/>
      </c>
      <c r="P822" s="37"/>
      <c r="Q822" s="46" t="str">
        <f aca="false">IF(N822="","",IF(P822&lt;&gt;"",P822,N822-O822))</f>
        <v/>
      </c>
      <c r="R822" s="46" t="str">
        <f aca="false">IF(J822="","",IFERROR(N(INDEX(Properties!$H$5:$H$24,MATCH(D822,Properties!$A$5:$A$24,0))),0))</f>
        <v/>
      </c>
      <c r="S822" s="46" t="str">
        <f aca="false">IF(Q822="","",Q822-R822)</f>
        <v/>
      </c>
      <c r="T822" s="6"/>
      <c r="U822" s="6"/>
      <c r="V822" s="6"/>
      <c r="W822" s="6"/>
      <c r="X822" s="6"/>
      <c r="Y822" s="8" t="str">
        <f aca="false">IF(OR(D822="",B822="",C822=""),"",IF(N(C822)&lt;=N(B822),"Check dates",IF(T822="Cancelled","",IF(COUNTIFS($D$5:$D$1004,D822,$B$5:$B$1004,"&lt;"&amp;C822,$C$5:$C$1004,"&gt;"&amp;B822,$T$5:$T$1004,"&lt;&gt;Cancelled")&gt;1,"Double-booked",""))))</f>
        <v/>
      </c>
      <c r="Z822" s="42" t="str">
        <f aca="false">IF(AND(AA822=1,ISNUMBER(C822)),C822+ROW()/100000,"")</f>
        <v/>
      </c>
      <c r="AA822" s="43" t="n">
        <f aca="false">IF(AND(D822&lt;&gt;"",ISNUMBER(B822),ISNUMBER(C822),N(H822)&gt;0,T822&lt;&gt;"Cancelled",J822&lt;&gt;""),1,0)</f>
        <v>0</v>
      </c>
      <c r="AB822" s="44" t="n">
        <f aca="false">IF(AA822=1,J822/H822,0)</f>
        <v>0</v>
      </c>
      <c r="AC822" s="44" t="n">
        <f aca="false">IF(AA822=1,Q822/H822,0)</f>
        <v>0</v>
      </c>
      <c r="AD822" s="44" t="n">
        <f aca="false">IF(AA822=1,R822/H822,0)</f>
        <v>0</v>
      </c>
      <c r="AE822" s="44" t="n">
        <f aca="false">IF(AA822=1,O822/H822,0)</f>
        <v>0</v>
      </c>
      <c r="AF822" s="44" t="n">
        <f aca="false">IF(AA822=1,K822/H822,0)</f>
        <v>0</v>
      </c>
      <c r="AG822" s="45" t="str">
        <f aca="false">IF(AA822=1,D822&amp;"|"&amp;TEXT(B822,"0"),"")</f>
        <v/>
      </c>
      <c r="AH822" s="43" t="n">
        <f aca="false">IF(AA822=1,H822,0)</f>
        <v>0</v>
      </c>
    </row>
    <row r="823" customFormat="false" ht="15" hidden="false" customHeight="false" outlineLevel="0" collapsed="false">
      <c r="A823" s="8" t="str">
        <f aca="false">IF(B823="","","B-"&amp;TEXT(ROW()-4,"0000"))</f>
        <v/>
      </c>
      <c r="B823" s="38"/>
      <c r="C823" s="38"/>
      <c r="D823" s="6"/>
      <c r="E823" s="6"/>
      <c r="F823" s="6"/>
      <c r="G823" s="11"/>
      <c r="H823" s="18" t="str">
        <f aca="false">IF(AND(ISNUMBER(B823),ISNUMBER(C823)),MAX(0,C823-B823),"")</f>
        <v/>
      </c>
      <c r="I823" s="37"/>
      <c r="J823" s="41" t="str">
        <f aca="false">IF(OR(D823="",N(H823)=0),"",IFERROR(IF(I823&lt;&gt;"",H823*I823,ROUND(((H823-(INT((WEEKDAY(B823-6)+H823-1)/7)+INT((WEEKDAY(B823-7)+H823-1)/7)))*INDEX(Properties!$E$5:$E$24,MATCH(D823,Properties!$A$5:$A$24,0))+(INT((WEEKDAY(B823-6)+H823-1)/7)+INT((WEEKDAY(B823-7)+H823-1)/7))*INDEX(Properties!$F$5:$F$24,MATCH(D823,Properties!$A$5:$A$24,0)))*(1-IF(H823&gt;=28,Settings!$B$10,IF(H823&gt;=7,Settings!$B$9,0))),2)),0))</f>
        <v/>
      </c>
      <c r="K823" s="41" t="str">
        <f aca="false">IF(J823="","",IFERROR(N(INDEX(Properties!$G$5:$G$24,MATCH(D823,Properties!$A$5:$A$24,0))),0))</f>
        <v/>
      </c>
      <c r="L823" s="41" t="str">
        <f aca="false">IF(J823="","",IFERROR(MAX(0,N(G823)-INDEX(Properties!$I$5:$I$24,MATCH(D823,Properties!$A$5:$A$24,0)))*N(INDEX(Properties!$J$5:$J$24,MATCH(D823,Properties!$A$5:$A$24,0)))*H823,0))</f>
        <v/>
      </c>
      <c r="M823" s="37"/>
      <c r="N823" s="41" t="str">
        <f aca="false">IF(J823="","",J823+K823+L823+N(M823))</f>
        <v/>
      </c>
      <c r="O823" s="41" t="str">
        <f aca="false">IF(N823="","",IF(P823&lt;&gt;"",N823-P823,ROUND(N823*IFERROR(INDEX(Settings!$E$5:$E$12,MATCH(F823,Settings!$D$5:$D$12,0)),0),2)))</f>
        <v/>
      </c>
      <c r="P823" s="37"/>
      <c r="Q823" s="41" t="str">
        <f aca="false">IF(N823="","",IF(P823&lt;&gt;"",P823,N823-O823))</f>
        <v/>
      </c>
      <c r="R823" s="41" t="str">
        <f aca="false">IF(J823="","",IFERROR(N(INDEX(Properties!$H$5:$H$24,MATCH(D823,Properties!$A$5:$A$24,0))),0))</f>
        <v/>
      </c>
      <c r="S823" s="41" t="str">
        <f aca="false">IF(Q823="","",Q823-R823)</f>
        <v/>
      </c>
      <c r="T823" s="6"/>
      <c r="U823" s="6"/>
      <c r="V823" s="6"/>
      <c r="W823" s="6"/>
      <c r="X823" s="6"/>
      <c r="Y823" s="8" t="str">
        <f aca="false">IF(OR(D823="",B823="",C823=""),"",IF(N(C823)&lt;=N(B823),"Check dates",IF(T823="Cancelled","",IF(COUNTIFS($D$5:$D$1004,D823,$B$5:$B$1004,"&lt;"&amp;C823,$C$5:$C$1004,"&gt;"&amp;B823,$T$5:$T$1004,"&lt;&gt;Cancelled")&gt;1,"Double-booked",""))))</f>
        <v/>
      </c>
      <c r="Z823" s="42" t="str">
        <f aca="false">IF(AND(AA823=1,ISNUMBER(C823)),C823+ROW()/100000,"")</f>
        <v/>
      </c>
      <c r="AA823" s="43" t="n">
        <f aca="false">IF(AND(D823&lt;&gt;"",ISNUMBER(B823),ISNUMBER(C823),N(H823)&gt;0,T823&lt;&gt;"Cancelled",J823&lt;&gt;""),1,0)</f>
        <v>0</v>
      </c>
      <c r="AB823" s="44" t="n">
        <f aca="false">IF(AA823=1,J823/H823,0)</f>
        <v>0</v>
      </c>
      <c r="AC823" s="44" t="n">
        <f aca="false">IF(AA823=1,Q823/H823,0)</f>
        <v>0</v>
      </c>
      <c r="AD823" s="44" t="n">
        <f aca="false">IF(AA823=1,R823/H823,0)</f>
        <v>0</v>
      </c>
      <c r="AE823" s="44" t="n">
        <f aca="false">IF(AA823=1,O823/H823,0)</f>
        <v>0</v>
      </c>
      <c r="AF823" s="44" t="n">
        <f aca="false">IF(AA823=1,K823/H823,0)</f>
        <v>0</v>
      </c>
      <c r="AG823" s="45" t="str">
        <f aca="false">IF(AA823=1,D823&amp;"|"&amp;TEXT(B823,"0"),"")</f>
        <v/>
      </c>
      <c r="AH823" s="43" t="n">
        <f aca="false">IF(AA823=1,H823,0)</f>
        <v>0</v>
      </c>
    </row>
    <row r="824" customFormat="false" ht="15" hidden="false" customHeight="false" outlineLevel="0" collapsed="false">
      <c r="A824" s="23" t="str">
        <f aca="false">IF(B824="","","B-"&amp;TEXT(ROW()-4,"0000"))</f>
        <v/>
      </c>
      <c r="B824" s="38"/>
      <c r="C824" s="38"/>
      <c r="D824" s="6"/>
      <c r="E824" s="6"/>
      <c r="F824" s="6"/>
      <c r="G824" s="11"/>
      <c r="H824" s="24" t="str">
        <f aca="false">IF(AND(ISNUMBER(B824),ISNUMBER(C824)),MAX(0,C824-B824),"")</f>
        <v/>
      </c>
      <c r="I824" s="37"/>
      <c r="J824" s="46" t="str">
        <f aca="false">IF(OR(D824="",N(H824)=0),"",IFERROR(IF(I824&lt;&gt;"",H824*I824,ROUND(((H824-(INT((WEEKDAY(B824-6)+H824-1)/7)+INT((WEEKDAY(B824-7)+H824-1)/7)))*INDEX(Properties!$E$5:$E$24,MATCH(D824,Properties!$A$5:$A$24,0))+(INT((WEEKDAY(B824-6)+H824-1)/7)+INT((WEEKDAY(B824-7)+H824-1)/7))*INDEX(Properties!$F$5:$F$24,MATCH(D824,Properties!$A$5:$A$24,0)))*(1-IF(H824&gt;=28,Settings!$B$10,IF(H824&gt;=7,Settings!$B$9,0))),2)),0))</f>
        <v/>
      </c>
      <c r="K824" s="46" t="str">
        <f aca="false">IF(J824="","",IFERROR(N(INDEX(Properties!$G$5:$G$24,MATCH(D824,Properties!$A$5:$A$24,0))),0))</f>
        <v/>
      </c>
      <c r="L824" s="46" t="str">
        <f aca="false">IF(J824="","",IFERROR(MAX(0,N(G824)-INDEX(Properties!$I$5:$I$24,MATCH(D824,Properties!$A$5:$A$24,0)))*N(INDEX(Properties!$J$5:$J$24,MATCH(D824,Properties!$A$5:$A$24,0)))*H824,0))</f>
        <v/>
      </c>
      <c r="M824" s="37"/>
      <c r="N824" s="46" t="str">
        <f aca="false">IF(J824="","",J824+K824+L824+N(M824))</f>
        <v/>
      </c>
      <c r="O824" s="46" t="str">
        <f aca="false">IF(N824="","",IF(P824&lt;&gt;"",N824-P824,ROUND(N824*IFERROR(INDEX(Settings!$E$5:$E$12,MATCH(F824,Settings!$D$5:$D$12,0)),0),2)))</f>
        <v/>
      </c>
      <c r="P824" s="37"/>
      <c r="Q824" s="46" t="str">
        <f aca="false">IF(N824="","",IF(P824&lt;&gt;"",P824,N824-O824))</f>
        <v/>
      </c>
      <c r="R824" s="46" t="str">
        <f aca="false">IF(J824="","",IFERROR(N(INDEX(Properties!$H$5:$H$24,MATCH(D824,Properties!$A$5:$A$24,0))),0))</f>
        <v/>
      </c>
      <c r="S824" s="46" t="str">
        <f aca="false">IF(Q824="","",Q824-R824)</f>
        <v/>
      </c>
      <c r="T824" s="6"/>
      <c r="U824" s="6"/>
      <c r="V824" s="6"/>
      <c r="W824" s="6"/>
      <c r="X824" s="6"/>
      <c r="Y824" s="8" t="str">
        <f aca="false">IF(OR(D824="",B824="",C824=""),"",IF(N(C824)&lt;=N(B824),"Check dates",IF(T824="Cancelled","",IF(COUNTIFS($D$5:$D$1004,D824,$B$5:$B$1004,"&lt;"&amp;C824,$C$5:$C$1004,"&gt;"&amp;B824,$T$5:$T$1004,"&lt;&gt;Cancelled")&gt;1,"Double-booked",""))))</f>
        <v/>
      </c>
      <c r="Z824" s="42" t="str">
        <f aca="false">IF(AND(AA824=1,ISNUMBER(C824)),C824+ROW()/100000,"")</f>
        <v/>
      </c>
      <c r="AA824" s="43" t="n">
        <f aca="false">IF(AND(D824&lt;&gt;"",ISNUMBER(B824),ISNUMBER(C824),N(H824)&gt;0,T824&lt;&gt;"Cancelled",J824&lt;&gt;""),1,0)</f>
        <v>0</v>
      </c>
      <c r="AB824" s="44" t="n">
        <f aca="false">IF(AA824=1,J824/H824,0)</f>
        <v>0</v>
      </c>
      <c r="AC824" s="44" t="n">
        <f aca="false">IF(AA824=1,Q824/H824,0)</f>
        <v>0</v>
      </c>
      <c r="AD824" s="44" t="n">
        <f aca="false">IF(AA824=1,R824/H824,0)</f>
        <v>0</v>
      </c>
      <c r="AE824" s="44" t="n">
        <f aca="false">IF(AA824=1,O824/H824,0)</f>
        <v>0</v>
      </c>
      <c r="AF824" s="44" t="n">
        <f aca="false">IF(AA824=1,K824/H824,0)</f>
        <v>0</v>
      </c>
      <c r="AG824" s="45" t="str">
        <f aca="false">IF(AA824=1,D824&amp;"|"&amp;TEXT(B824,"0"),"")</f>
        <v/>
      </c>
      <c r="AH824" s="43" t="n">
        <f aca="false">IF(AA824=1,H824,0)</f>
        <v>0</v>
      </c>
    </row>
    <row r="825" customFormat="false" ht="15" hidden="false" customHeight="false" outlineLevel="0" collapsed="false">
      <c r="A825" s="8" t="str">
        <f aca="false">IF(B825="","","B-"&amp;TEXT(ROW()-4,"0000"))</f>
        <v/>
      </c>
      <c r="B825" s="38"/>
      <c r="C825" s="38"/>
      <c r="D825" s="6"/>
      <c r="E825" s="6"/>
      <c r="F825" s="6"/>
      <c r="G825" s="11"/>
      <c r="H825" s="18" t="str">
        <f aca="false">IF(AND(ISNUMBER(B825),ISNUMBER(C825)),MAX(0,C825-B825),"")</f>
        <v/>
      </c>
      <c r="I825" s="37"/>
      <c r="J825" s="41" t="str">
        <f aca="false">IF(OR(D825="",N(H825)=0),"",IFERROR(IF(I825&lt;&gt;"",H825*I825,ROUND(((H825-(INT((WEEKDAY(B825-6)+H825-1)/7)+INT((WEEKDAY(B825-7)+H825-1)/7)))*INDEX(Properties!$E$5:$E$24,MATCH(D825,Properties!$A$5:$A$24,0))+(INT((WEEKDAY(B825-6)+H825-1)/7)+INT((WEEKDAY(B825-7)+H825-1)/7))*INDEX(Properties!$F$5:$F$24,MATCH(D825,Properties!$A$5:$A$24,0)))*(1-IF(H825&gt;=28,Settings!$B$10,IF(H825&gt;=7,Settings!$B$9,0))),2)),0))</f>
        <v/>
      </c>
      <c r="K825" s="41" t="str">
        <f aca="false">IF(J825="","",IFERROR(N(INDEX(Properties!$G$5:$G$24,MATCH(D825,Properties!$A$5:$A$24,0))),0))</f>
        <v/>
      </c>
      <c r="L825" s="41" t="str">
        <f aca="false">IF(J825="","",IFERROR(MAX(0,N(G825)-INDEX(Properties!$I$5:$I$24,MATCH(D825,Properties!$A$5:$A$24,0)))*N(INDEX(Properties!$J$5:$J$24,MATCH(D825,Properties!$A$5:$A$24,0)))*H825,0))</f>
        <v/>
      </c>
      <c r="M825" s="37"/>
      <c r="N825" s="41" t="str">
        <f aca="false">IF(J825="","",J825+K825+L825+N(M825))</f>
        <v/>
      </c>
      <c r="O825" s="41" t="str">
        <f aca="false">IF(N825="","",IF(P825&lt;&gt;"",N825-P825,ROUND(N825*IFERROR(INDEX(Settings!$E$5:$E$12,MATCH(F825,Settings!$D$5:$D$12,0)),0),2)))</f>
        <v/>
      </c>
      <c r="P825" s="37"/>
      <c r="Q825" s="41" t="str">
        <f aca="false">IF(N825="","",IF(P825&lt;&gt;"",P825,N825-O825))</f>
        <v/>
      </c>
      <c r="R825" s="41" t="str">
        <f aca="false">IF(J825="","",IFERROR(N(INDEX(Properties!$H$5:$H$24,MATCH(D825,Properties!$A$5:$A$24,0))),0))</f>
        <v/>
      </c>
      <c r="S825" s="41" t="str">
        <f aca="false">IF(Q825="","",Q825-R825)</f>
        <v/>
      </c>
      <c r="T825" s="6"/>
      <c r="U825" s="6"/>
      <c r="V825" s="6"/>
      <c r="W825" s="6"/>
      <c r="X825" s="6"/>
      <c r="Y825" s="8" t="str">
        <f aca="false">IF(OR(D825="",B825="",C825=""),"",IF(N(C825)&lt;=N(B825),"Check dates",IF(T825="Cancelled","",IF(COUNTIFS($D$5:$D$1004,D825,$B$5:$B$1004,"&lt;"&amp;C825,$C$5:$C$1004,"&gt;"&amp;B825,$T$5:$T$1004,"&lt;&gt;Cancelled")&gt;1,"Double-booked",""))))</f>
        <v/>
      </c>
      <c r="Z825" s="42" t="str">
        <f aca="false">IF(AND(AA825=1,ISNUMBER(C825)),C825+ROW()/100000,"")</f>
        <v/>
      </c>
      <c r="AA825" s="43" t="n">
        <f aca="false">IF(AND(D825&lt;&gt;"",ISNUMBER(B825),ISNUMBER(C825),N(H825)&gt;0,T825&lt;&gt;"Cancelled",J825&lt;&gt;""),1,0)</f>
        <v>0</v>
      </c>
      <c r="AB825" s="44" t="n">
        <f aca="false">IF(AA825=1,J825/H825,0)</f>
        <v>0</v>
      </c>
      <c r="AC825" s="44" t="n">
        <f aca="false">IF(AA825=1,Q825/H825,0)</f>
        <v>0</v>
      </c>
      <c r="AD825" s="44" t="n">
        <f aca="false">IF(AA825=1,R825/H825,0)</f>
        <v>0</v>
      </c>
      <c r="AE825" s="44" t="n">
        <f aca="false">IF(AA825=1,O825/H825,0)</f>
        <v>0</v>
      </c>
      <c r="AF825" s="44" t="n">
        <f aca="false">IF(AA825=1,K825/H825,0)</f>
        <v>0</v>
      </c>
      <c r="AG825" s="45" t="str">
        <f aca="false">IF(AA825=1,D825&amp;"|"&amp;TEXT(B825,"0"),"")</f>
        <v/>
      </c>
      <c r="AH825" s="43" t="n">
        <f aca="false">IF(AA825=1,H825,0)</f>
        <v>0</v>
      </c>
    </row>
    <row r="826" customFormat="false" ht="15" hidden="false" customHeight="false" outlineLevel="0" collapsed="false">
      <c r="A826" s="23" t="str">
        <f aca="false">IF(B826="","","B-"&amp;TEXT(ROW()-4,"0000"))</f>
        <v/>
      </c>
      <c r="B826" s="38"/>
      <c r="C826" s="38"/>
      <c r="D826" s="6"/>
      <c r="E826" s="6"/>
      <c r="F826" s="6"/>
      <c r="G826" s="11"/>
      <c r="H826" s="24" t="str">
        <f aca="false">IF(AND(ISNUMBER(B826),ISNUMBER(C826)),MAX(0,C826-B826),"")</f>
        <v/>
      </c>
      <c r="I826" s="37"/>
      <c r="J826" s="46" t="str">
        <f aca="false">IF(OR(D826="",N(H826)=0),"",IFERROR(IF(I826&lt;&gt;"",H826*I826,ROUND(((H826-(INT((WEEKDAY(B826-6)+H826-1)/7)+INT((WEEKDAY(B826-7)+H826-1)/7)))*INDEX(Properties!$E$5:$E$24,MATCH(D826,Properties!$A$5:$A$24,0))+(INT((WEEKDAY(B826-6)+H826-1)/7)+INT((WEEKDAY(B826-7)+H826-1)/7))*INDEX(Properties!$F$5:$F$24,MATCH(D826,Properties!$A$5:$A$24,0)))*(1-IF(H826&gt;=28,Settings!$B$10,IF(H826&gt;=7,Settings!$B$9,0))),2)),0))</f>
        <v/>
      </c>
      <c r="K826" s="46" t="str">
        <f aca="false">IF(J826="","",IFERROR(N(INDEX(Properties!$G$5:$G$24,MATCH(D826,Properties!$A$5:$A$24,0))),0))</f>
        <v/>
      </c>
      <c r="L826" s="46" t="str">
        <f aca="false">IF(J826="","",IFERROR(MAX(0,N(G826)-INDEX(Properties!$I$5:$I$24,MATCH(D826,Properties!$A$5:$A$24,0)))*N(INDEX(Properties!$J$5:$J$24,MATCH(D826,Properties!$A$5:$A$24,0)))*H826,0))</f>
        <v/>
      </c>
      <c r="M826" s="37"/>
      <c r="N826" s="46" t="str">
        <f aca="false">IF(J826="","",J826+K826+L826+N(M826))</f>
        <v/>
      </c>
      <c r="O826" s="46" t="str">
        <f aca="false">IF(N826="","",IF(P826&lt;&gt;"",N826-P826,ROUND(N826*IFERROR(INDEX(Settings!$E$5:$E$12,MATCH(F826,Settings!$D$5:$D$12,0)),0),2)))</f>
        <v/>
      </c>
      <c r="P826" s="37"/>
      <c r="Q826" s="46" t="str">
        <f aca="false">IF(N826="","",IF(P826&lt;&gt;"",P826,N826-O826))</f>
        <v/>
      </c>
      <c r="R826" s="46" t="str">
        <f aca="false">IF(J826="","",IFERROR(N(INDEX(Properties!$H$5:$H$24,MATCH(D826,Properties!$A$5:$A$24,0))),0))</f>
        <v/>
      </c>
      <c r="S826" s="46" t="str">
        <f aca="false">IF(Q826="","",Q826-R826)</f>
        <v/>
      </c>
      <c r="T826" s="6"/>
      <c r="U826" s="6"/>
      <c r="V826" s="6"/>
      <c r="W826" s="6"/>
      <c r="X826" s="6"/>
      <c r="Y826" s="8" t="str">
        <f aca="false">IF(OR(D826="",B826="",C826=""),"",IF(N(C826)&lt;=N(B826),"Check dates",IF(T826="Cancelled","",IF(COUNTIFS($D$5:$D$1004,D826,$B$5:$B$1004,"&lt;"&amp;C826,$C$5:$C$1004,"&gt;"&amp;B826,$T$5:$T$1004,"&lt;&gt;Cancelled")&gt;1,"Double-booked",""))))</f>
        <v/>
      </c>
      <c r="Z826" s="42" t="str">
        <f aca="false">IF(AND(AA826=1,ISNUMBER(C826)),C826+ROW()/100000,"")</f>
        <v/>
      </c>
      <c r="AA826" s="43" t="n">
        <f aca="false">IF(AND(D826&lt;&gt;"",ISNUMBER(B826),ISNUMBER(C826),N(H826)&gt;0,T826&lt;&gt;"Cancelled",J826&lt;&gt;""),1,0)</f>
        <v>0</v>
      </c>
      <c r="AB826" s="44" t="n">
        <f aca="false">IF(AA826=1,J826/H826,0)</f>
        <v>0</v>
      </c>
      <c r="AC826" s="44" t="n">
        <f aca="false">IF(AA826=1,Q826/H826,0)</f>
        <v>0</v>
      </c>
      <c r="AD826" s="44" t="n">
        <f aca="false">IF(AA826=1,R826/H826,0)</f>
        <v>0</v>
      </c>
      <c r="AE826" s="44" t="n">
        <f aca="false">IF(AA826=1,O826/H826,0)</f>
        <v>0</v>
      </c>
      <c r="AF826" s="44" t="n">
        <f aca="false">IF(AA826=1,K826/H826,0)</f>
        <v>0</v>
      </c>
      <c r="AG826" s="45" t="str">
        <f aca="false">IF(AA826=1,D826&amp;"|"&amp;TEXT(B826,"0"),"")</f>
        <v/>
      </c>
      <c r="AH826" s="43" t="n">
        <f aca="false">IF(AA826=1,H826,0)</f>
        <v>0</v>
      </c>
    </row>
    <row r="827" customFormat="false" ht="15" hidden="false" customHeight="false" outlineLevel="0" collapsed="false">
      <c r="A827" s="8" t="str">
        <f aca="false">IF(B827="","","B-"&amp;TEXT(ROW()-4,"0000"))</f>
        <v/>
      </c>
      <c r="B827" s="38"/>
      <c r="C827" s="38"/>
      <c r="D827" s="6"/>
      <c r="E827" s="6"/>
      <c r="F827" s="6"/>
      <c r="G827" s="11"/>
      <c r="H827" s="18" t="str">
        <f aca="false">IF(AND(ISNUMBER(B827),ISNUMBER(C827)),MAX(0,C827-B827),"")</f>
        <v/>
      </c>
      <c r="I827" s="37"/>
      <c r="J827" s="41" t="str">
        <f aca="false">IF(OR(D827="",N(H827)=0),"",IFERROR(IF(I827&lt;&gt;"",H827*I827,ROUND(((H827-(INT((WEEKDAY(B827-6)+H827-1)/7)+INT((WEEKDAY(B827-7)+H827-1)/7)))*INDEX(Properties!$E$5:$E$24,MATCH(D827,Properties!$A$5:$A$24,0))+(INT((WEEKDAY(B827-6)+H827-1)/7)+INT((WEEKDAY(B827-7)+H827-1)/7))*INDEX(Properties!$F$5:$F$24,MATCH(D827,Properties!$A$5:$A$24,0)))*(1-IF(H827&gt;=28,Settings!$B$10,IF(H827&gt;=7,Settings!$B$9,0))),2)),0))</f>
        <v/>
      </c>
      <c r="K827" s="41" t="str">
        <f aca="false">IF(J827="","",IFERROR(N(INDEX(Properties!$G$5:$G$24,MATCH(D827,Properties!$A$5:$A$24,0))),0))</f>
        <v/>
      </c>
      <c r="L827" s="41" t="str">
        <f aca="false">IF(J827="","",IFERROR(MAX(0,N(G827)-INDEX(Properties!$I$5:$I$24,MATCH(D827,Properties!$A$5:$A$24,0)))*N(INDEX(Properties!$J$5:$J$24,MATCH(D827,Properties!$A$5:$A$24,0)))*H827,0))</f>
        <v/>
      </c>
      <c r="M827" s="37"/>
      <c r="N827" s="41" t="str">
        <f aca="false">IF(J827="","",J827+K827+L827+N(M827))</f>
        <v/>
      </c>
      <c r="O827" s="41" t="str">
        <f aca="false">IF(N827="","",IF(P827&lt;&gt;"",N827-P827,ROUND(N827*IFERROR(INDEX(Settings!$E$5:$E$12,MATCH(F827,Settings!$D$5:$D$12,0)),0),2)))</f>
        <v/>
      </c>
      <c r="P827" s="37"/>
      <c r="Q827" s="41" t="str">
        <f aca="false">IF(N827="","",IF(P827&lt;&gt;"",P827,N827-O827))</f>
        <v/>
      </c>
      <c r="R827" s="41" t="str">
        <f aca="false">IF(J827="","",IFERROR(N(INDEX(Properties!$H$5:$H$24,MATCH(D827,Properties!$A$5:$A$24,0))),0))</f>
        <v/>
      </c>
      <c r="S827" s="41" t="str">
        <f aca="false">IF(Q827="","",Q827-R827)</f>
        <v/>
      </c>
      <c r="T827" s="6"/>
      <c r="U827" s="6"/>
      <c r="V827" s="6"/>
      <c r="W827" s="6"/>
      <c r="X827" s="6"/>
      <c r="Y827" s="8" t="str">
        <f aca="false">IF(OR(D827="",B827="",C827=""),"",IF(N(C827)&lt;=N(B827),"Check dates",IF(T827="Cancelled","",IF(COUNTIFS($D$5:$D$1004,D827,$B$5:$B$1004,"&lt;"&amp;C827,$C$5:$C$1004,"&gt;"&amp;B827,$T$5:$T$1004,"&lt;&gt;Cancelled")&gt;1,"Double-booked",""))))</f>
        <v/>
      </c>
      <c r="Z827" s="42" t="str">
        <f aca="false">IF(AND(AA827=1,ISNUMBER(C827)),C827+ROW()/100000,"")</f>
        <v/>
      </c>
      <c r="AA827" s="43" t="n">
        <f aca="false">IF(AND(D827&lt;&gt;"",ISNUMBER(B827),ISNUMBER(C827),N(H827)&gt;0,T827&lt;&gt;"Cancelled",J827&lt;&gt;""),1,0)</f>
        <v>0</v>
      </c>
      <c r="AB827" s="44" t="n">
        <f aca="false">IF(AA827=1,J827/H827,0)</f>
        <v>0</v>
      </c>
      <c r="AC827" s="44" t="n">
        <f aca="false">IF(AA827=1,Q827/H827,0)</f>
        <v>0</v>
      </c>
      <c r="AD827" s="44" t="n">
        <f aca="false">IF(AA827=1,R827/H827,0)</f>
        <v>0</v>
      </c>
      <c r="AE827" s="44" t="n">
        <f aca="false">IF(AA827=1,O827/H827,0)</f>
        <v>0</v>
      </c>
      <c r="AF827" s="44" t="n">
        <f aca="false">IF(AA827=1,K827/H827,0)</f>
        <v>0</v>
      </c>
      <c r="AG827" s="45" t="str">
        <f aca="false">IF(AA827=1,D827&amp;"|"&amp;TEXT(B827,"0"),"")</f>
        <v/>
      </c>
      <c r="AH827" s="43" t="n">
        <f aca="false">IF(AA827=1,H827,0)</f>
        <v>0</v>
      </c>
    </row>
    <row r="828" customFormat="false" ht="15" hidden="false" customHeight="false" outlineLevel="0" collapsed="false">
      <c r="A828" s="23" t="str">
        <f aca="false">IF(B828="","","B-"&amp;TEXT(ROW()-4,"0000"))</f>
        <v/>
      </c>
      <c r="B828" s="38"/>
      <c r="C828" s="38"/>
      <c r="D828" s="6"/>
      <c r="E828" s="6"/>
      <c r="F828" s="6"/>
      <c r="G828" s="11"/>
      <c r="H828" s="24" t="str">
        <f aca="false">IF(AND(ISNUMBER(B828),ISNUMBER(C828)),MAX(0,C828-B828),"")</f>
        <v/>
      </c>
      <c r="I828" s="37"/>
      <c r="J828" s="46" t="str">
        <f aca="false">IF(OR(D828="",N(H828)=0),"",IFERROR(IF(I828&lt;&gt;"",H828*I828,ROUND(((H828-(INT((WEEKDAY(B828-6)+H828-1)/7)+INT((WEEKDAY(B828-7)+H828-1)/7)))*INDEX(Properties!$E$5:$E$24,MATCH(D828,Properties!$A$5:$A$24,0))+(INT((WEEKDAY(B828-6)+H828-1)/7)+INT((WEEKDAY(B828-7)+H828-1)/7))*INDEX(Properties!$F$5:$F$24,MATCH(D828,Properties!$A$5:$A$24,0)))*(1-IF(H828&gt;=28,Settings!$B$10,IF(H828&gt;=7,Settings!$B$9,0))),2)),0))</f>
        <v/>
      </c>
      <c r="K828" s="46" t="str">
        <f aca="false">IF(J828="","",IFERROR(N(INDEX(Properties!$G$5:$G$24,MATCH(D828,Properties!$A$5:$A$24,0))),0))</f>
        <v/>
      </c>
      <c r="L828" s="46" t="str">
        <f aca="false">IF(J828="","",IFERROR(MAX(0,N(G828)-INDEX(Properties!$I$5:$I$24,MATCH(D828,Properties!$A$5:$A$24,0)))*N(INDEX(Properties!$J$5:$J$24,MATCH(D828,Properties!$A$5:$A$24,0)))*H828,0))</f>
        <v/>
      </c>
      <c r="M828" s="37"/>
      <c r="N828" s="46" t="str">
        <f aca="false">IF(J828="","",J828+K828+L828+N(M828))</f>
        <v/>
      </c>
      <c r="O828" s="46" t="str">
        <f aca="false">IF(N828="","",IF(P828&lt;&gt;"",N828-P828,ROUND(N828*IFERROR(INDEX(Settings!$E$5:$E$12,MATCH(F828,Settings!$D$5:$D$12,0)),0),2)))</f>
        <v/>
      </c>
      <c r="P828" s="37"/>
      <c r="Q828" s="46" t="str">
        <f aca="false">IF(N828="","",IF(P828&lt;&gt;"",P828,N828-O828))</f>
        <v/>
      </c>
      <c r="R828" s="46" t="str">
        <f aca="false">IF(J828="","",IFERROR(N(INDEX(Properties!$H$5:$H$24,MATCH(D828,Properties!$A$5:$A$24,0))),0))</f>
        <v/>
      </c>
      <c r="S828" s="46" t="str">
        <f aca="false">IF(Q828="","",Q828-R828)</f>
        <v/>
      </c>
      <c r="T828" s="6"/>
      <c r="U828" s="6"/>
      <c r="V828" s="6"/>
      <c r="W828" s="6"/>
      <c r="X828" s="6"/>
      <c r="Y828" s="8" t="str">
        <f aca="false">IF(OR(D828="",B828="",C828=""),"",IF(N(C828)&lt;=N(B828),"Check dates",IF(T828="Cancelled","",IF(COUNTIFS($D$5:$D$1004,D828,$B$5:$B$1004,"&lt;"&amp;C828,$C$5:$C$1004,"&gt;"&amp;B828,$T$5:$T$1004,"&lt;&gt;Cancelled")&gt;1,"Double-booked",""))))</f>
        <v/>
      </c>
      <c r="Z828" s="42" t="str">
        <f aca="false">IF(AND(AA828=1,ISNUMBER(C828)),C828+ROW()/100000,"")</f>
        <v/>
      </c>
      <c r="AA828" s="43" t="n">
        <f aca="false">IF(AND(D828&lt;&gt;"",ISNUMBER(B828),ISNUMBER(C828),N(H828)&gt;0,T828&lt;&gt;"Cancelled",J828&lt;&gt;""),1,0)</f>
        <v>0</v>
      </c>
      <c r="AB828" s="44" t="n">
        <f aca="false">IF(AA828=1,J828/H828,0)</f>
        <v>0</v>
      </c>
      <c r="AC828" s="44" t="n">
        <f aca="false">IF(AA828=1,Q828/H828,0)</f>
        <v>0</v>
      </c>
      <c r="AD828" s="44" t="n">
        <f aca="false">IF(AA828=1,R828/H828,0)</f>
        <v>0</v>
      </c>
      <c r="AE828" s="44" t="n">
        <f aca="false">IF(AA828=1,O828/H828,0)</f>
        <v>0</v>
      </c>
      <c r="AF828" s="44" t="n">
        <f aca="false">IF(AA828=1,K828/H828,0)</f>
        <v>0</v>
      </c>
      <c r="AG828" s="45" t="str">
        <f aca="false">IF(AA828=1,D828&amp;"|"&amp;TEXT(B828,"0"),"")</f>
        <v/>
      </c>
      <c r="AH828" s="43" t="n">
        <f aca="false">IF(AA828=1,H828,0)</f>
        <v>0</v>
      </c>
    </row>
    <row r="829" customFormat="false" ht="15" hidden="false" customHeight="false" outlineLevel="0" collapsed="false">
      <c r="A829" s="8" t="str">
        <f aca="false">IF(B829="","","B-"&amp;TEXT(ROW()-4,"0000"))</f>
        <v/>
      </c>
      <c r="B829" s="38"/>
      <c r="C829" s="38"/>
      <c r="D829" s="6"/>
      <c r="E829" s="6"/>
      <c r="F829" s="6"/>
      <c r="G829" s="11"/>
      <c r="H829" s="18" t="str">
        <f aca="false">IF(AND(ISNUMBER(B829),ISNUMBER(C829)),MAX(0,C829-B829),"")</f>
        <v/>
      </c>
      <c r="I829" s="37"/>
      <c r="J829" s="41" t="str">
        <f aca="false">IF(OR(D829="",N(H829)=0),"",IFERROR(IF(I829&lt;&gt;"",H829*I829,ROUND(((H829-(INT((WEEKDAY(B829-6)+H829-1)/7)+INT((WEEKDAY(B829-7)+H829-1)/7)))*INDEX(Properties!$E$5:$E$24,MATCH(D829,Properties!$A$5:$A$24,0))+(INT((WEEKDAY(B829-6)+H829-1)/7)+INT((WEEKDAY(B829-7)+H829-1)/7))*INDEX(Properties!$F$5:$F$24,MATCH(D829,Properties!$A$5:$A$24,0)))*(1-IF(H829&gt;=28,Settings!$B$10,IF(H829&gt;=7,Settings!$B$9,0))),2)),0))</f>
        <v/>
      </c>
      <c r="K829" s="41" t="str">
        <f aca="false">IF(J829="","",IFERROR(N(INDEX(Properties!$G$5:$G$24,MATCH(D829,Properties!$A$5:$A$24,0))),0))</f>
        <v/>
      </c>
      <c r="L829" s="41" t="str">
        <f aca="false">IF(J829="","",IFERROR(MAX(0,N(G829)-INDEX(Properties!$I$5:$I$24,MATCH(D829,Properties!$A$5:$A$24,0)))*N(INDEX(Properties!$J$5:$J$24,MATCH(D829,Properties!$A$5:$A$24,0)))*H829,0))</f>
        <v/>
      </c>
      <c r="M829" s="37"/>
      <c r="N829" s="41" t="str">
        <f aca="false">IF(J829="","",J829+K829+L829+N(M829))</f>
        <v/>
      </c>
      <c r="O829" s="41" t="str">
        <f aca="false">IF(N829="","",IF(P829&lt;&gt;"",N829-P829,ROUND(N829*IFERROR(INDEX(Settings!$E$5:$E$12,MATCH(F829,Settings!$D$5:$D$12,0)),0),2)))</f>
        <v/>
      </c>
      <c r="P829" s="37"/>
      <c r="Q829" s="41" t="str">
        <f aca="false">IF(N829="","",IF(P829&lt;&gt;"",P829,N829-O829))</f>
        <v/>
      </c>
      <c r="R829" s="41" t="str">
        <f aca="false">IF(J829="","",IFERROR(N(INDEX(Properties!$H$5:$H$24,MATCH(D829,Properties!$A$5:$A$24,0))),0))</f>
        <v/>
      </c>
      <c r="S829" s="41" t="str">
        <f aca="false">IF(Q829="","",Q829-R829)</f>
        <v/>
      </c>
      <c r="T829" s="6"/>
      <c r="U829" s="6"/>
      <c r="V829" s="6"/>
      <c r="W829" s="6"/>
      <c r="X829" s="6"/>
      <c r="Y829" s="8" t="str">
        <f aca="false">IF(OR(D829="",B829="",C829=""),"",IF(N(C829)&lt;=N(B829),"Check dates",IF(T829="Cancelled","",IF(COUNTIFS($D$5:$D$1004,D829,$B$5:$B$1004,"&lt;"&amp;C829,$C$5:$C$1004,"&gt;"&amp;B829,$T$5:$T$1004,"&lt;&gt;Cancelled")&gt;1,"Double-booked",""))))</f>
        <v/>
      </c>
      <c r="Z829" s="42" t="str">
        <f aca="false">IF(AND(AA829=1,ISNUMBER(C829)),C829+ROW()/100000,"")</f>
        <v/>
      </c>
      <c r="AA829" s="43" t="n">
        <f aca="false">IF(AND(D829&lt;&gt;"",ISNUMBER(B829),ISNUMBER(C829),N(H829)&gt;0,T829&lt;&gt;"Cancelled",J829&lt;&gt;""),1,0)</f>
        <v>0</v>
      </c>
      <c r="AB829" s="44" t="n">
        <f aca="false">IF(AA829=1,J829/H829,0)</f>
        <v>0</v>
      </c>
      <c r="AC829" s="44" t="n">
        <f aca="false">IF(AA829=1,Q829/H829,0)</f>
        <v>0</v>
      </c>
      <c r="AD829" s="44" t="n">
        <f aca="false">IF(AA829=1,R829/H829,0)</f>
        <v>0</v>
      </c>
      <c r="AE829" s="44" t="n">
        <f aca="false">IF(AA829=1,O829/H829,0)</f>
        <v>0</v>
      </c>
      <c r="AF829" s="44" t="n">
        <f aca="false">IF(AA829=1,K829/H829,0)</f>
        <v>0</v>
      </c>
      <c r="AG829" s="45" t="str">
        <f aca="false">IF(AA829=1,D829&amp;"|"&amp;TEXT(B829,"0"),"")</f>
        <v/>
      </c>
      <c r="AH829" s="43" t="n">
        <f aca="false">IF(AA829=1,H829,0)</f>
        <v>0</v>
      </c>
    </row>
    <row r="830" customFormat="false" ht="15" hidden="false" customHeight="false" outlineLevel="0" collapsed="false">
      <c r="A830" s="23" t="str">
        <f aca="false">IF(B830="","","B-"&amp;TEXT(ROW()-4,"0000"))</f>
        <v/>
      </c>
      <c r="B830" s="38"/>
      <c r="C830" s="38"/>
      <c r="D830" s="6"/>
      <c r="E830" s="6"/>
      <c r="F830" s="6"/>
      <c r="G830" s="11"/>
      <c r="H830" s="24" t="str">
        <f aca="false">IF(AND(ISNUMBER(B830),ISNUMBER(C830)),MAX(0,C830-B830),"")</f>
        <v/>
      </c>
      <c r="I830" s="37"/>
      <c r="J830" s="46" t="str">
        <f aca="false">IF(OR(D830="",N(H830)=0),"",IFERROR(IF(I830&lt;&gt;"",H830*I830,ROUND(((H830-(INT((WEEKDAY(B830-6)+H830-1)/7)+INT((WEEKDAY(B830-7)+H830-1)/7)))*INDEX(Properties!$E$5:$E$24,MATCH(D830,Properties!$A$5:$A$24,0))+(INT((WEEKDAY(B830-6)+H830-1)/7)+INT((WEEKDAY(B830-7)+H830-1)/7))*INDEX(Properties!$F$5:$F$24,MATCH(D830,Properties!$A$5:$A$24,0)))*(1-IF(H830&gt;=28,Settings!$B$10,IF(H830&gt;=7,Settings!$B$9,0))),2)),0))</f>
        <v/>
      </c>
      <c r="K830" s="46" t="str">
        <f aca="false">IF(J830="","",IFERROR(N(INDEX(Properties!$G$5:$G$24,MATCH(D830,Properties!$A$5:$A$24,0))),0))</f>
        <v/>
      </c>
      <c r="L830" s="46" t="str">
        <f aca="false">IF(J830="","",IFERROR(MAX(0,N(G830)-INDEX(Properties!$I$5:$I$24,MATCH(D830,Properties!$A$5:$A$24,0)))*N(INDEX(Properties!$J$5:$J$24,MATCH(D830,Properties!$A$5:$A$24,0)))*H830,0))</f>
        <v/>
      </c>
      <c r="M830" s="37"/>
      <c r="N830" s="46" t="str">
        <f aca="false">IF(J830="","",J830+K830+L830+N(M830))</f>
        <v/>
      </c>
      <c r="O830" s="46" t="str">
        <f aca="false">IF(N830="","",IF(P830&lt;&gt;"",N830-P830,ROUND(N830*IFERROR(INDEX(Settings!$E$5:$E$12,MATCH(F830,Settings!$D$5:$D$12,0)),0),2)))</f>
        <v/>
      </c>
      <c r="P830" s="37"/>
      <c r="Q830" s="46" t="str">
        <f aca="false">IF(N830="","",IF(P830&lt;&gt;"",P830,N830-O830))</f>
        <v/>
      </c>
      <c r="R830" s="46" t="str">
        <f aca="false">IF(J830="","",IFERROR(N(INDEX(Properties!$H$5:$H$24,MATCH(D830,Properties!$A$5:$A$24,0))),0))</f>
        <v/>
      </c>
      <c r="S830" s="46" t="str">
        <f aca="false">IF(Q830="","",Q830-R830)</f>
        <v/>
      </c>
      <c r="T830" s="6"/>
      <c r="U830" s="6"/>
      <c r="V830" s="6"/>
      <c r="W830" s="6"/>
      <c r="X830" s="6"/>
      <c r="Y830" s="8" t="str">
        <f aca="false">IF(OR(D830="",B830="",C830=""),"",IF(N(C830)&lt;=N(B830),"Check dates",IF(T830="Cancelled","",IF(COUNTIFS($D$5:$D$1004,D830,$B$5:$B$1004,"&lt;"&amp;C830,$C$5:$C$1004,"&gt;"&amp;B830,$T$5:$T$1004,"&lt;&gt;Cancelled")&gt;1,"Double-booked",""))))</f>
        <v/>
      </c>
      <c r="Z830" s="42" t="str">
        <f aca="false">IF(AND(AA830=1,ISNUMBER(C830)),C830+ROW()/100000,"")</f>
        <v/>
      </c>
      <c r="AA830" s="43" t="n">
        <f aca="false">IF(AND(D830&lt;&gt;"",ISNUMBER(B830),ISNUMBER(C830),N(H830)&gt;0,T830&lt;&gt;"Cancelled",J830&lt;&gt;""),1,0)</f>
        <v>0</v>
      </c>
      <c r="AB830" s="44" t="n">
        <f aca="false">IF(AA830=1,J830/H830,0)</f>
        <v>0</v>
      </c>
      <c r="AC830" s="44" t="n">
        <f aca="false">IF(AA830=1,Q830/H830,0)</f>
        <v>0</v>
      </c>
      <c r="AD830" s="44" t="n">
        <f aca="false">IF(AA830=1,R830/H830,0)</f>
        <v>0</v>
      </c>
      <c r="AE830" s="44" t="n">
        <f aca="false">IF(AA830=1,O830/H830,0)</f>
        <v>0</v>
      </c>
      <c r="AF830" s="44" t="n">
        <f aca="false">IF(AA830=1,K830/H830,0)</f>
        <v>0</v>
      </c>
      <c r="AG830" s="45" t="str">
        <f aca="false">IF(AA830=1,D830&amp;"|"&amp;TEXT(B830,"0"),"")</f>
        <v/>
      </c>
      <c r="AH830" s="43" t="n">
        <f aca="false">IF(AA830=1,H830,0)</f>
        <v>0</v>
      </c>
    </row>
    <row r="831" customFormat="false" ht="15" hidden="false" customHeight="false" outlineLevel="0" collapsed="false">
      <c r="A831" s="8" t="str">
        <f aca="false">IF(B831="","","B-"&amp;TEXT(ROW()-4,"0000"))</f>
        <v/>
      </c>
      <c r="B831" s="38"/>
      <c r="C831" s="38"/>
      <c r="D831" s="6"/>
      <c r="E831" s="6"/>
      <c r="F831" s="6"/>
      <c r="G831" s="11"/>
      <c r="H831" s="18" t="str">
        <f aca="false">IF(AND(ISNUMBER(B831),ISNUMBER(C831)),MAX(0,C831-B831),"")</f>
        <v/>
      </c>
      <c r="I831" s="37"/>
      <c r="J831" s="41" t="str">
        <f aca="false">IF(OR(D831="",N(H831)=0),"",IFERROR(IF(I831&lt;&gt;"",H831*I831,ROUND(((H831-(INT((WEEKDAY(B831-6)+H831-1)/7)+INT((WEEKDAY(B831-7)+H831-1)/7)))*INDEX(Properties!$E$5:$E$24,MATCH(D831,Properties!$A$5:$A$24,0))+(INT((WEEKDAY(B831-6)+H831-1)/7)+INT((WEEKDAY(B831-7)+H831-1)/7))*INDEX(Properties!$F$5:$F$24,MATCH(D831,Properties!$A$5:$A$24,0)))*(1-IF(H831&gt;=28,Settings!$B$10,IF(H831&gt;=7,Settings!$B$9,0))),2)),0))</f>
        <v/>
      </c>
      <c r="K831" s="41" t="str">
        <f aca="false">IF(J831="","",IFERROR(N(INDEX(Properties!$G$5:$G$24,MATCH(D831,Properties!$A$5:$A$24,0))),0))</f>
        <v/>
      </c>
      <c r="L831" s="41" t="str">
        <f aca="false">IF(J831="","",IFERROR(MAX(0,N(G831)-INDEX(Properties!$I$5:$I$24,MATCH(D831,Properties!$A$5:$A$24,0)))*N(INDEX(Properties!$J$5:$J$24,MATCH(D831,Properties!$A$5:$A$24,0)))*H831,0))</f>
        <v/>
      </c>
      <c r="M831" s="37"/>
      <c r="N831" s="41" t="str">
        <f aca="false">IF(J831="","",J831+K831+L831+N(M831))</f>
        <v/>
      </c>
      <c r="O831" s="41" t="str">
        <f aca="false">IF(N831="","",IF(P831&lt;&gt;"",N831-P831,ROUND(N831*IFERROR(INDEX(Settings!$E$5:$E$12,MATCH(F831,Settings!$D$5:$D$12,0)),0),2)))</f>
        <v/>
      </c>
      <c r="P831" s="37"/>
      <c r="Q831" s="41" t="str">
        <f aca="false">IF(N831="","",IF(P831&lt;&gt;"",P831,N831-O831))</f>
        <v/>
      </c>
      <c r="R831" s="41" t="str">
        <f aca="false">IF(J831="","",IFERROR(N(INDEX(Properties!$H$5:$H$24,MATCH(D831,Properties!$A$5:$A$24,0))),0))</f>
        <v/>
      </c>
      <c r="S831" s="41" t="str">
        <f aca="false">IF(Q831="","",Q831-R831)</f>
        <v/>
      </c>
      <c r="T831" s="6"/>
      <c r="U831" s="6"/>
      <c r="V831" s="6"/>
      <c r="W831" s="6"/>
      <c r="X831" s="6"/>
      <c r="Y831" s="8" t="str">
        <f aca="false">IF(OR(D831="",B831="",C831=""),"",IF(N(C831)&lt;=N(B831),"Check dates",IF(T831="Cancelled","",IF(COUNTIFS($D$5:$D$1004,D831,$B$5:$B$1004,"&lt;"&amp;C831,$C$5:$C$1004,"&gt;"&amp;B831,$T$5:$T$1004,"&lt;&gt;Cancelled")&gt;1,"Double-booked",""))))</f>
        <v/>
      </c>
      <c r="Z831" s="42" t="str">
        <f aca="false">IF(AND(AA831=1,ISNUMBER(C831)),C831+ROW()/100000,"")</f>
        <v/>
      </c>
      <c r="AA831" s="43" t="n">
        <f aca="false">IF(AND(D831&lt;&gt;"",ISNUMBER(B831),ISNUMBER(C831),N(H831)&gt;0,T831&lt;&gt;"Cancelled",J831&lt;&gt;""),1,0)</f>
        <v>0</v>
      </c>
      <c r="AB831" s="44" t="n">
        <f aca="false">IF(AA831=1,J831/H831,0)</f>
        <v>0</v>
      </c>
      <c r="AC831" s="44" t="n">
        <f aca="false">IF(AA831=1,Q831/H831,0)</f>
        <v>0</v>
      </c>
      <c r="AD831" s="44" t="n">
        <f aca="false">IF(AA831=1,R831/H831,0)</f>
        <v>0</v>
      </c>
      <c r="AE831" s="44" t="n">
        <f aca="false">IF(AA831=1,O831/H831,0)</f>
        <v>0</v>
      </c>
      <c r="AF831" s="44" t="n">
        <f aca="false">IF(AA831=1,K831/H831,0)</f>
        <v>0</v>
      </c>
      <c r="AG831" s="45" t="str">
        <f aca="false">IF(AA831=1,D831&amp;"|"&amp;TEXT(B831,"0"),"")</f>
        <v/>
      </c>
      <c r="AH831" s="43" t="n">
        <f aca="false">IF(AA831=1,H831,0)</f>
        <v>0</v>
      </c>
    </row>
    <row r="832" customFormat="false" ht="15" hidden="false" customHeight="false" outlineLevel="0" collapsed="false">
      <c r="A832" s="23" t="str">
        <f aca="false">IF(B832="","","B-"&amp;TEXT(ROW()-4,"0000"))</f>
        <v/>
      </c>
      <c r="B832" s="38"/>
      <c r="C832" s="38"/>
      <c r="D832" s="6"/>
      <c r="E832" s="6"/>
      <c r="F832" s="6"/>
      <c r="G832" s="11"/>
      <c r="H832" s="24" t="str">
        <f aca="false">IF(AND(ISNUMBER(B832),ISNUMBER(C832)),MAX(0,C832-B832),"")</f>
        <v/>
      </c>
      <c r="I832" s="37"/>
      <c r="J832" s="46" t="str">
        <f aca="false">IF(OR(D832="",N(H832)=0),"",IFERROR(IF(I832&lt;&gt;"",H832*I832,ROUND(((H832-(INT((WEEKDAY(B832-6)+H832-1)/7)+INT((WEEKDAY(B832-7)+H832-1)/7)))*INDEX(Properties!$E$5:$E$24,MATCH(D832,Properties!$A$5:$A$24,0))+(INT((WEEKDAY(B832-6)+H832-1)/7)+INT((WEEKDAY(B832-7)+H832-1)/7))*INDEX(Properties!$F$5:$F$24,MATCH(D832,Properties!$A$5:$A$24,0)))*(1-IF(H832&gt;=28,Settings!$B$10,IF(H832&gt;=7,Settings!$B$9,0))),2)),0))</f>
        <v/>
      </c>
      <c r="K832" s="46" t="str">
        <f aca="false">IF(J832="","",IFERROR(N(INDEX(Properties!$G$5:$G$24,MATCH(D832,Properties!$A$5:$A$24,0))),0))</f>
        <v/>
      </c>
      <c r="L832" s="46" t="str">
        <f aca="false">IF(J832="","",IFERROR(MAX(0,N(G832)-INDEX(Properties!$I$5:$I$24,MATCH(D832,Properties!$A$5:$A$24,0)))*N(INDEX(Properties!$J$5:$J$24,MATCH(D832,Properties!$A$5:$A$24,0)))*H832,0))</f>
        <v/>
      </c>
      <c r="M832" s="37"/>
      <c r="N832" s="46" t="str">
        <f aca="false">IF(J832="","",J832+K832+L832+N(M832))</f>
        <v/>
      </c>
      <c r="O832" s="46" t="str">
        <f aca="false">IF(N832="","",IF(P832&lt;&gt;"",N832-P832,ROUND(N832*IFERROR(INDEX(Settings!$E$5:$E$12,MATCH(F832,Settings!$D$5:$D$12,0)),0),2)))</f>
        <v/>
      </c>
      <c r="P832" s="37"/>
      <c r="Q832" s="46" t="str">
        <f aca="false">IF(N832="","",IF(P832&lt;&gt;"",P832,N832-O832))</f>
        <v/>
      </c>
      <c r="R832" s="46" t="str">
        <f aca="false">IF(J832="","",IFERROR(N(INDEX(Properties!$H$5:$H$24,MATCH(D832,Properties!$A$5:$A$24,0))),0))</f>
        <v/>
      </c>
      <c r="S832" s="46" t="str">
        <f aca="false">IF(Q832="","",Q832-R832)</f>
        <v/>
      </c>
      <c r="T832" s="6"/>
      <c r="U832" s="6"/>
      <c r="V832" s="6"/>
      <c r="W832" s="6"/>
      <c r="X832" s="6"/>
      <c r="Y832" s="8" t="str">
        <f aca="false">IF(OR(D832="",B832="",C832=""),"",IF(N(C832)&lt;=N(B832),"Check dates",IF(T832="Cancelled","",IF(COUNTIFS($D$5:$D$1004,D832,$B$5:$B$1004,"&lt;"&amp;C832,$C$5:$C$1004,"&gt;"&amp;B832,$T$5:$T$1004,"&lt;&gt;Cancelled")&gt;1,"Double-booked",""))))</f>
        <v/>
      </c>
      <c r="Z832" s="42" t="str">
        <f aca="false">IF(AND(AA832=1,ISNUMBER(C832)),C832+ROW()/100000,"")</f>
        <v/>
      </c>
      <c r="AA832" s="43" t="n">
        <f aca="false">IF(AND(D832&lt;&gt;"",ISNUMBER(B832),ISNUMBER(C832),N(H832)&gt;0,T832&lt;&gt;"Cancelled",J832&lt;&gt;""),1,0)</f>
        <v>0</v>
      </c>
      <c r="AB832" s="44" t="n">
        <f aca="false">IF(AA832=1,J832/H832,0)</f>
        <v>0</v>
      </c>
      <c r="AC832" s="44" t="n">
        <f aca="false">IF(AA832=1,Q832/H832,0)</f>
        <v>0</v>
      </c>
      <c r="AD832" s="44" t="n">
        <f aca="false">IF(AA832=1,R832/H832,0)</f>
        <v>0</v>
      </c>
      <c r="AE832" s="44" t="n">
        <f aca="false">IF(AA832=1,O832/H832,0)</f>
        <v>0</v>
      </c>
      <c r="AF832" s="44" t="n">
        <f aca="false">IF(AA832=1,K832/H832,0)</f>
        <v>0</v>
      </c>
      <c r="AG832" s="45" t="str">
        <f aca="false">IF(AA832=1,D832&amp;"|"&amp;TEXT(B832,"0"),"")</f>
        <v/>
      </c>
      <c r="AH832" s="43" t="n">
        <f aca="false">IF(AA832=1,H832,0)</f>
        <v>0</v>
      </c>
    </row>
    <row r="833" customFormat="false" ht="15" hidden="false" customHeight="false" outlineLevel="0" collapsed="false">
      <c r="A833" s="8" t="str">
        <f aca="false">IF(B833="","","B-"&amp;TEXT(ROW()-4,"0000"))</f>
        <v/>
      </c>
      <c r="B833" s="38"/>
      <c r="C833" s="38"/>
      <c r="D833" s="6"/>
      <c r="E833" s="6"/>
      <c r="F833" s="6"/>
      <c r="G833" s="11"/>
      <c r="H833" s="18" t="str">
        <f aca="false">IF(AND(ISNUMBER(B833),ISNUMBER(C833)),MAX(0,C833-B833),"")</f>
        <v/>
      </c>
      <c r="I833" s="37"/>
      <c r="J833" s="41" t="str">
        <f aca="false">IF(OR(D833="",N(H833)=0),"",IFERROR(IF(I833&lt;&gt;"",H833*I833,ROUND(((H833-(INT((WEEKDAY(B833-6)+H833-1)/7)+INT((WEEKDAY(B833-7)+H833-1)/7)))*INDEX(Properties!$E$5:$E$24,MATCH(D833,Properties!$A$5:$A$24,0))+(INT((WEEKDAY(B833-6)+H833-1)/7)+INT((WEEKDAY(B833-7)+H833-1)/7))*INDEX(Properties!$F$5:$F$24,MATCH(D833,Properties!$A$5:$A$24,0)))*(1-IF(H833&gt;=28,Settings!$B$10,IF(H833&gt;=7,Settings!$B$9,0))),2)),0))</f>
        <v/>
      </c>
      <c r="K833" s="41" t="str">
        <f aca="false">IF(J833="","",IFERROR(N(INDEX(Properties!$G$5:$G$24,MATCH(D833,Properties!$A$5:$A$24,0))),0))</f>
        <v/>
      </c>
      <c r="L833" s="41" t="str">
        <f aca="false">IF(J833="","",IFERROR(MAX(0,N(G833)-INDEX(Properties!$I$5:$I$24,MATCH(D833,Properties!$A$5:$A$24,0)))*N(INDEX(Properties!$J$5:$J$24,MATCH(D833,Properties!$A$5:$A$24,0)))*H833,0))</f>
        <v/>
      </c>
      <c r="M833" s="37"/>
      <c r="N833" s="41" t="str">
        <f aca="false">IF(J833="","",J833+K833+L833+N(M833))</f>
        <v/>
      </c>
      <c r="O833" s="41" t="str">
        <f aca="false">IF(N833="","",IF(P833&lt;&gt;"",N833-P833,ROUND(N833*IFERROR(INDEX(Settings!$E$5:$E$12,MATCH(F833,Settings!$D$5:$D$12,0)),0),2)))</f>
        <v/>
      </c>
      <c r="P833" s="37"/>
      <c r="Q833" s="41" t="str">
        <f aca="false">IF(N833="","",IF(P833&lt;&gt;"",P833,N833-O833))</f>
        <v/>
      </c>
      <c r="R833" s="41" t="str">
        <f aca="false">IF(J833="","",IFERROR(N(INDEX(Properties!$H$5:$H$24,MATCH(D833,Properties!$A$5:$A$24,0))),0))</f>
        <v/>
      </c>
      <c r="S833" s="41" t="str">
        <f aca="false">IF(Q833="","",Q833-R833)</f>
        <v/>
      </c>
      <c r="T833" s="6"/>
      <c r="U833" s="6"/>
      <c r="V833" s="6"/>
      <c r="W833" s="6"/>
      <c r="X833" s="6"/>
      <c r="Y833" s="8" t="str">
        <f aca="false">IF(OR(D833="",B833="",C833=""),"",IF(N(C833)&lt;=N(B833),"Check dates",IF(T833="Cancelled","",IF(COUNTIFS($D$5:$D$1004,D833,$B$5:$B$1004,"&lt;"&amp;C833,$C$5:$C$1004,"&gt;"&amp;B833,$T$5:$T$1004,"&lt;&gt;Cancelled")&gt;1,"Double-booked",""))))</f>
        <v/>
      </c>
      <c r="Z833" s="42" t="str">
        <f aca="false">IF(AND(AA833=1,ISNUMBER(C833)),C833+ROW()/100000,"")</f>
        <v/>
      </c>
      <c r="AA833" s="43" t="n">
        <f aca="false">IF(AND(D833&lt;&gt;"",ISNUMBER(B833),ISNUMBER(C833),N(H833)&gt;0,T833&lt;&gt;"Cancelled",J833&lt;&gt;""),1,0)</f>
        <v>0</v>
      </c>
      <c r="AB833" s="44" t="n">
        <f aca="false">IF(AA833=1,J833/H833,0)</f>
        <v>0</v>
      </c>
      <c r="AC833" s="44" t="n">
        <f aca="false">IF(AA833=1,Q833/H833,0)</f>
        <v>0</v>
      </c>
      <c r="AD833" s="44" t="n">
        <f aca="false">IF(AA833=1,R833/H833,0)</f>
        <v>0</v>
      </c>
      <c r="AE833" s="44" t="n">
        <f aca="false">IF(AA833=1,O833/H833,0)</f>
        <v>0</v>
      </c>
      <c r="AF833" s="44" t="n">
        <f aca="false">IF(AA833=1,K833/H833,0)</f>
        <v>0</v>
      </c>
      <c r="AG833" s="45" t="str">
        <f aca="false">IF(AA833=1,D833&amp;"|"&amp;TEXT(B833,"0"),"")</f>
        <v/>
      </c>
      <c r="AH833" s="43" t="n">
        <f aca="false">IF(AA833=1,H833,0)</f>
        <v>0</v>
      </c>
    </row>
    <row r="834" customFormat="false" ht="15" hidden="false" customHeight="false" outlineLevel="0" collapsed="false">
      <c r="A834" s="23" t="str">
        <f aca="false">IF(B834="","","B-"&amp;TEXT(ROW()-4,"0000"))</f>
        <v/>
      </c>
      <c r="B834" s="38"/>
      <c r="C834" s="38"/>
      <c r="D834" s="6"/>
      <c r="E834" s="6"/>
      <c r="F834" s="6"/>
      <c r="G834" s="11"/>
      <c r="H834" s="24" t="str">
        <f aca="false">IF(AND(ISNUMBER(B834),ISNUMBER(C834)),MAX(0,C834-B834),"")</f>
        <v/>
      </c>
      <c r="I834" s="37"/>
      <c r="J834" s="46" t="str">
        <f aca="false">IF(OR(D834="",N(H834)=0),"",IFERROR(IF(I834&lt;&gt;"",H834*I834,ROUND(((H834-(INT((WEEKDAY(B834-6)+H834-1)/7)+INT((WEEKDAY(B834-7)+H834-1)/7)))*INDEX(Properties!$E$5:$E$24,MATCH(D834,Properties!$A$5:$A$24,0))+(INT((WEEKDAY(B834-6)+H834-1)/7)+INT((WEEKDAY(B834-7)+H834-1)/7))*INDEX(Properties!$F$5:$F$24,MATCH(D834,Properties!$A$5:$A$24,0)))*(1-IF(H834&gt;=28,Settings!$B$10,IF(H834&gt;=7,Settings!$B$9,0))),2)),0))</f>
        <v/>
      </c>
      <c r="K834" s="46" t="str">
        <f aca="false">IF(J834="","",IFERROR(N(INDEX(Properties!$G$5:$G$24,MATCH(D834,Properties!$A$5:$A$24,0))),0))</f>
        <v/>
      </c>
      <c r="L834" s="46" t="str">
        <f aca="false">IF(J834="","",IFERROR(MAX(0,N(G834)-INDEX(Properties!$I$5:$I$24,MATCH(D834,Properties!$A$5:$A$24,0)))*N(INDEX(Properties!$J$5:$J$24,MATCH(D834,Properties!$A$5:$A$24,0)))*H834,0))</f>
        <v/>
      </c>
      <c r="M834" s="37"/>
      <c r="N834" s="46" t="str">
        <f aca="false">IF(J834="","",J834+K834+L834+N(M834))</f>
        <v/>
      </c>
      <c r="O834" s="46" t="str">
        <f aca="false">IF(N834="","",IF(P834&lt;&gt;"",N834-P834,ROUND(N834*IFERROR(INDEX(Settings!$E$5:$E$12,MATCH(F834,Settings!$D$5:$D$12,0)),0),2)))</f>
        <v/>
      </c>
      <c r="P834" s="37"/>
      <c r="Q834" s="46" t="str">
        <f aca="false">IF(N834="","",IF(P834&lt;&gt;"",P834,N834-O834))</f>
        <v/>
      </c>
      <c r="R834" s="46" t="str">
        <f aca="false">IF(J834="","",IFERROR(N(INDEX(Properties!$H$5:$H$24,MATCH(D834,Properties!$A$5:$A$24,0))),0))</f>
        <v/>
      </c>
      <c r="S834" s="46" t="str">
        <f aca="false">IF(Q834="","",Q834-R834)</f>
        <v/>
      </c>
      <c r="T834" s="6"/>
      <c r="U834" s="6"/>
      <c r="V834" s="6"/>
      <c r="W834" s="6"/>
      <c r="X834" s="6"/>
      <c r="Y834" s="8" t="str">
        <f aca="false">IF(OR(D834="",B834="",C834=""),"",IF(N(C834)&lt;=N(B834),"Check dates",IF(T834="Cancelled","",IF(COUNTIFS($D$5:$D$1004,D834,$B$5:$B$1004,"&lt;"&amp;C834,$C$5:$C$1004,"&gt;"&amp;B834,$T$5:$T$1004,"&lt;&gt;Cancelled")&gt;1,"Double-booked",""))))</f>
        <v/>
      </c>
      <c r="Z834" s="42" t="str">
        <f aca="false">IF(AND(AA834=1,ISNUMBER(C834)),C834+ROW()/100000,"")</f>
        <v/>
      </c>
      <c r="AA834" s="43" t="n">
        <f aca="false">IF(AND(D834&lt;&gt;"",ISNUMBER(B834),ISNUMBER(C834),N(H834)&gt;0,T834&lt;&gt;"Cancelled",J834&lt;&gt;""),1,0)</f>
        <v>0</v>
      </c>
      <c r="AB834" s="44" t="n">
        <f aca="false">IF(AA834=1,J834/H834,0)</f>
        <v>0</v>
      </c>
      <c r="AC834" s="44" t="n">
        <f aca="false">IF(AA834=1,Q834/H834,0)</f>
        <v>0</v>
      </c>
      <c r="AD834" s="44" t="n">
        <f aca="false">IF(AA834=1,R834/H834,0)</f>
        <v>0</v>
      </c>
      <c r="AE834" s="44" t="n">
        <f aca="false">IF(AA834=1,O834/H834,0)</f>
        <v>0</v>
      </c>
      <c r="AF834" s="44" t="n">
        <f aca="false">IF(AA834=1,K834/H834,0)</f>
        <v>0</v>
      </c>
      <c r="AG834" s="45" t="str">
        <f aca="false">IF(AA834=1,D834&amp;"|"&amp;TEXT(B834,"0"),"")</f>
        <v/>
      </c>
      <c r="AH834" s="43" t="n">
        <f aca="false">IF(AA834=1,H834,0)</f>
        <v>0</v>
      </c>
    </row>
    <row r="835" customFormat="false" ht="15" hidden="false" customHeight="false" outlineLevel="0" collapsed="false">
      <c r="A835" s="8" t="str">
        <f aca="false">IF(B835="","","B-"&amp;TEXT(ROW()-4,"0000"))</f>
        <v/>
      </c>
      <c r="B835" s="38"/>
      <c r="C835" s="38"/>
      <c r="D835" s="6"/>
      <c r="E835" s="6"/>
      <c r="F835" s="6"/>
      <c r="G835" s="11"/>
      <c r="H835" s="18" t="str">
        <f aca="false">IF(AND(ISNUMBER(B835),ISNUMBER(C835)),MAX(0,C835-B835),"")</f>
        <v/>
      </c>
      <c r="I835" s="37"/>
      <c r="J835" s="41" t="str">
        <f aca="false">IF(OR(D835="",N(H835)=0),"",IFERROR(IF(I835&lt;&gt;"",H835*I835,ROUND(((H835-(INT((WEEKDAY(B835-6)+H835-1)/7)+INT((WEEKDAY(B835-7)+H835-1)/7)))*INDEX(Properties!$E$5:$E$24,MATCH(D835,Properties!$A$5:$A$24,0))+(INT((WEEKDAY(B835-6)+H835-1)/7)+INT((WEEKDAY(B835-7)+H835-1)/7))*INDEX(Properties!$F$5:$F$24,MATCH(D835,Properties!$A$5:$A$24,0)))*(1-IF(H835&gt;=28,Settings!$B$10,IF(H835&gt;=7,Settings!$B$9,0))),2)),0))</f>
        <v/>
      </c>
      <c r="K835" s="41" t="str">
        <f aca="false">IF(J835="","",IFERROR(N(INDEX(Properties!$G$5:$G$24,MATCH(D835,Properties!$A$5:$A$24,0))),0))</f>
        <v/>
      </c>
      <c r="L835" s="41" t="str">
        <f aca="false">IF(J835="","",IFERROR(MAX(0,N(G835)-INDEX(Properties!$I$5:$I$24,MATCH(D835,Properties!$A$5:$A$24,0)))*N(INDEX(Properties!$J$5:$J$24,MATCH(D835,Properties!$A$5:$A$24,0)))*H835,0))</f>
        <v/>
      </c>
      <c r="M835" s="37"/>
      <c r="N835" s="41" t="str">
        <f aca="false">IF(J835="","",J835+K835+L835+N(M835))</f>
        <v/>
      </c>
      <c r="O835" s="41" t="str">
        <f aca="false">IF(N835="","",IF(P835&lt;&gt;"",N835-P835,ROUND(N835*IFERROR(INDEX(Settings!$E$5:$E$12,MATCH(F835,Settings!$D$5:$D$12,0)),0),2)))</f>
        <v/>
      </c>
      <c r="P835" s="37"/>
      <c r="Q835" s="41" t="str">
        <f aca="false">IF(N835="","",IF(P835&lt;&gt;"",P835,N835-O835))</f>
        <v/>
      </c>
      <c r="R835" s="41" t="str">
        <f aca="false">IF(J835="","",IFERROR(N(INDEX(Properties!$H$5:$H$24,MATCH(D835,Properties!$A$5:$A$24,0))),0))</f>
        <v/>
      </c>
      <c r="S835" s="41" t="str">
        <f aca="false">IF(Q835="","",Q835-R835)</f>
        <v/>
      </c>
      <c r="T835" s="6"/>
      <c r="U835" s="6"/>
      <c r="V835" s="6"/>
      <c r="W835" s="6"/>
      <c r="X835" s="6"/>
      <c r="Y835" s="8" t="str">
        <f aca="false">IF(OR(D835="",B835="",C835=""),"",IF(N(C835)&lt;=N(B835),"Check dates",IF(T835="Cancelled","",IF(COUNTIFS($D$5:$D$1004,D835,$B$5:$B$1004,"&lt;"&amp;C835,$C$5:$C$1004,"&gt;"&amp;B835,$T$5:$T$1004,"&lt;&gt;Cancelled")&gt;1,"Double-booked",""))))</f>
        <v/>
      </c>
      <c r="Z835" s="42" t="str">
        <f aca="false">IF(AND(AA835=1,ISNUMBER(C835)),C835+ROW()/100000,"")</f>
        <v/>
      </c>
      <c r="AA835" s="43" t="n">
        <f aca="false">IF(AND(D835&lt;&gt;"",ISNUMBER(B835),ISNUMBER(C835),N(H835)&gt;0,T835&lt;&gt;"Cancelled",J835&lt;&gt;""),1,0)</f>
        <v>0</v>
      </c>
      <c r="AB835" s="44" t="n">
        <f aca="false">IF(AA835=1,J835/H835,0)</f>
        <v>0</v>
      </c>
      <c r="AC835" s="44" t="n">
        <f aca="false">IF(AA835=1,Q835/H835,0)</f>
        <v>0</v>
      </c>
      <c r="AD835" s="44" t="n">
        <f aca="false">IF(AA835=1,R835/H835,0)</f>
        <v>0</v>
      </c>
      <c r="AE835" s="44" t="n">
        <f aca="false">IF(AA835=1,O835/H835,0)</f>
        <v>0</v>
      </c>
      <c r="AF835" s="44" t="n">
        <f aca="false">IF(AA835=1,K835/H835,0)</f>
        <v>0</v>
      </c>
      <c r="AG835" s="45" t="str">
        <f aca="false">IF(AA835=1,D835&amp;"|"&amp;TEXT(B835,"0"),"")</f>
        <v/>
      </c>
      <c r="AH835" s="43" t="n">
        <f aca="false">IF(AA835=1,H835,0)</f>
        <v>0</v>
      </c>
    </row>
    <row r="836" customFormat="false" ht="15" hidden="false" customHeight="false" outlineLevel="0" collapsed="false">
      <c r="A836" s="23" t="str">
        <f aca="false">IF(B836="","","B-"&amp;TEXT(ROW()-4,"0000"))</f>
        <v/>
      </c>
      <c r="B836" s="38"/>
      <c r="C836" s="38"/>
      <c r="D836" s="6"/>
      <c r="E836" s="6"/>
      <c r="F836" s="6"/>
      <c r="G836" s="11"/>
      <c r="H836" s="24" t="str">
        <f aca="false">IF(AND(ISNUMBER(B836),ISNUMBER(C836)),MAX(0,C836-B836),"")</f>
        <v/>
      </c>
      <c r="I836" s="37"/>
      <c r="J836" s="46" t="str">
        <f aca="false">IF(OR(D836="",N(H836)=0),"",IFERROR(IF(I836&lt;&gt;"",H836*I836,ROUND(((H836-(INT((WEEKDAY(B836-6)+H836-1)/7)+INT((WEEKDAY(B836-7)+H836-1)/7)))*INDEX(Properties!$E$5:$E$24,MATCH(D836,Properties!$A$5:$A$24,0))+(INT((WEEKDAY(B836-6)+H836-1)/7)+INT((WEEKDAY(B836-7)+H836-1)/7))*INDEX(Properties!$F$5:$F$24,MATCH(D836,Properties!$A$5:$A$24,0)))*(1-IF(H836&gt;=28,Settings!$B$10,IF(H836&gt;=7,Settings!$B$9,0))),2)),0))</f>
        <v/>
      </c>
      <c r="K836" s="46" t="str">
        <f aca="false">IF(J836="","",IFERROR(N(INDEX(Properties!$G$5:$G$24,MATCH(D836,Properties!$A$5:$A$24,0))),0))</f>
        <v/>
      </c>
      <c r="L836" s="46" t="str">
        <f aca="false">IF(J836="","",IFERROR(MAX(0,N(G836)-INDEX(Properties!$I$5:$I$24,MATCH(D836,Properties!$A$5:$A$24,0)))*N(INDEX(Properties!$J$5:$J$24,MATCH(D836,Properties!$A$5:$A$24,0)))*H836,0))</f>
        <v/>
      </c>
      <c r="M836" s="37"/>
      <c r="N836" s="46" t="str">
        <f aca="false">IF(J836="","",J836+K836+L836+N(M836))</f>
        <v/>
      </c>
      <c r="O836" s="46" t="str">
        <f aca="false">IF(N836="","",IF(P836&lt;&gt;"",N836-P836,ROUND(N836*IFERROR(INDEX(Settings!$E$5:$E$12,MATCH(F836,Settings!$D$5:$D$12,0)),0),2)))</f>
        <v/>
      </c>
      <c r="P836" s="37"/>
      <c r="Q836" s="46" t="str">
        <f aca="false">IF(N836="","",IF(P836&lt;&gt;"",P836,N836-O836))</f>
        <v/>
      </c>
      <c r="R836" s="46" t="str">
        <f aca="false">IF(J836="","",IFERROR(N(INDEX(Properties!$H$5:$H$24,MATCH(D836,Properties!$A$5:$A$24,0))),0))</f>
        <v/>
      </c>
      <c r="S836" s="46" t="str">
        <f aca="false">IF(Q836="","",Q836-R836)</f>
        <v/>
      </c>
      <c r="T836" s="6"/>
      <c r="U836" s="6"/>
      <c r="V836" s="6"/>
      <c r="W836" s="6"/>
      <c r="X836" s="6"/>
      <c r="Y836" s="8" t="str">
        <f aca="false">IF(OR(D836="",B836="",C836=""),"",IF(N(C836)&lt;=N(B836),"Check dates",IF(T836="Cancelled","",IF(COUNTIFS($D$5:$D$1004,D836,$B$5:$B$1004,"&lt;"&amp;C836,$C$5:$C$1004,"&gt;"&amp;B836,$T$5:$T$1004,"&lt;&gt;Cancelled")&gt;1,"Double-booked",""))))</f>
        <v/>
      </c>
      <c r="Z836" s="42" t="str">
        <f aca="false">IF(AND(AA836=1,ISNUMBER(C836)),C836+ROW()/100000,"")</f>
        <v/>
      </c>
      <c r="AA836" s="43" t="n">
        <f aca="false">IF(AND(D836&lt;&gt;"",ISNUMBER(B836),ISNUMBER(C836),N(H836)&gt;0,T836&lt;&gt;"Cancelled",J836&lt;&gt;""),1,0)</f>
        <v>0</v>
      </c>
      <c r="AB836" s="44" t="n">
        <f aca="false">IF(AA836=1,J836/H836,0)</f>
        <v>0</v>
      </c>
      <c r="AC836" s="44" t="n">
        <f aca="false">IF(AA836=1,Q836/H836,0)</f>
        <v>0</v>
      </c>
      <c r="AD836" s="44" t="n">
        <f aca="false">IF(AA836=1,R836/H836,0)</f>
        <v>0</v>
      </c>
      <c r="AE836" s="44" t="n">
        <f aca="false">IF(AA836=1,O836/H836,0)</f>
        <v>0</v>
      </c>
      <c r="AF836" s="44" t="n">
        <f aca="false">IF(AA836=1,K836/H836,0)</f>
        <v>0</v>
      </c>
      <c r="AG836" s="45" t="str">
        <f aca="false">IF(AA836=1,D836&amp;"|"&amp;TEXT(B836,"0"),"")</f>
        <v/>
      </c>
      <c r="AH836" s="43" t="n">
        <f aca="false">IF(AA836=1,H836,0)</f>
        <v>0</v>
      </c>
    </row>
    <row r="837" customFormat="false" ht="15" hidden="false" customHeight="false" outlineLevel="0" collapsed="false">
      <c r="A837" s="8" t="str">
        <f aca="false">IF(B837="","","B-"&amp;TEXT(ROW()-4,"0000"))</f>
        <v/>
      </c>
      <c r="B837" s="38"/>
      <c r="C837" s="38"/>
      <c r="D837" s="6"/>
      <c r="E837" s="6"/>
      <c r="F837" s="6"/>
      <c r="G837" s="11"/>
      <c r="H837" s="18" t="str">
        <f aca="false">IF(AND(ISNUMBER(B837),ISNUMBER(C837)),MAX(0,C837-B837),"")</f>
        <v/>
      </c>
      <c r="I837" s="37"/>
      <c r="J837" s="41" t="str">
        <f aca="false">IF(OR(D837="",N(H837)=0),"",IFERROR(IF(I837&lt;&gt;"",H837*I837,ROUND(((H837-(INT((WEEKDAY(B837-6)+H837-1)/7)+INT((WEEKDAY(B837-7)+H837-1)/7)))*INDEX(Properties!$E$5:$E$24,MATCH(D837,Properties!$A$5:$A$24,0))+(INT((WEEKDAY(B837-6)+H837-1)/7)+INT((WEEKDAY(B837-7)+H837-1)/7))*INDEX(Properties!$F$5:$F$24,MATCH(D837,Properties!$A$5:$A$24,0)))*(1-IF(H837&gt;=28,Settings!$B$10,IF(H837&gt;=7,Settings!$B$9,0))),2)),0))</f>
        <v/>
      </c>
      <c r="K837" s="41" t="str">
        <f aca="false">IF(J837="","",IFERROR(N(INDEX(Properties!$G$5:$G$24,MATCH(D837,Properties!$A$5:$A$24,0))),0))</f>
        <v/>
      </c>
      <c r="L837" s="41" t="str">
        <f aca="false">IF(J837="","",IFERROR(MAX(0,N(G837)-INDEX(Properties!$I$5:$I$24,MATCH(D837,Properties!$A$5:$A$24,0)))*N(INDEX(Properties!$J$5:$J$24,MATCH(D837,Properties!$A$5:$A$24,0)))*H837,0))</f>
        <v/>
      </c>
      <c r="M837" s="37"/>
      <c r="N837" s="41" t="str">
        <f aca="false">IF(J837="","",J837+K837+L837+N(M837))</f>
        <v/>
      </c>
      <c r="O837" s="41" t="str">
        <f aca="false">IF(N837="","",IF(P837&lt;&gt;"",N837-P837,ROUND(N837*IFERROR(INDEX(Settings!$E$5:$E$12,MATCH(F837,Settings!$D$5:$D$12,0)),0),2)))</f>
        <v/>
      </c>
      <c r="P837" s="37"/>
      <c r="Q837" s="41" t="str">
        <f aca="false">IF(N837="","",IF(P837&lt;&gt;"",P837,N837-O837))</f>
        <v/>
      </c>
      <c r="R837" s="41" t="str">
        <f aca="false">IF(J837="","",IFERROR(N(INDEX(Properties!$H$5:$H$24,MATCH(D837,Properties!$A$5:$A$24,0))),0))</f>
        <v/>
      </c>
      <c r="S837" s="41" t="str">
        <f aca="false">IF(Q837="","",Q837-R837)</f>
        <v/>
      </c>
      <c r="T837" s="6"/>
      <c r="U837" s="6"/>
      <c r="V837" s="6"/>
      <c r="W837" s="6"/>
      <c r="X837" s="6"/>
      <c r="Y837" s="8" t="str">
        <f aca="false">IF(OR(D837="",B837="",C837=""),"",IF(N(C837)&lt;=N(B837),"Check dates",IF(T837="Cancelled","",IF(COUNTIFS($D$5:$D$1004,D837,$B$5:$B$1004,"&lt;"&amp;C837,$C$5:$C$1004,"&gt;"&amp;B837,$T$5:$T$1004,"&lt;&gt;Cancelled")&gt;1,"Double-booked",""))))</f>
        <v/>
      </c>
      <c r="Z837" s="42" t="str">
        <f aca="false">IF(AND(AA837=1,ISNUMBER(C837)),C837+ROW()/100000,"")</f>
        <v/>
      </c>
      <c r="AA837" s="43" t="n">
        <f aca="false">IF(AND(D837&lt;&gt;"",ISNUMBER(B837),ISNUMBER(C837),N(H837)&gt;0,T837&lt;&gt;"Cancelled",J837&lt;&gt;""),1,0)</f>
        <v>0</v>
      </c>
      <c r="AB837" s="44" t="n">
        <f aca="false">IF(AA837=1,J837/H837,0)</f>
        <v>0</v>
      </c>
      <c r="AC837" s="44" t="n">
        <f aca="false">IF(AA837=1,Q837/H837,0)</f>
        <v>0</v>
      </c>
      <c r="AD837" s="44" t="n">
        <f aca="false">IF(AA837=1,R837/H837,0)</f>
        <v>0</v>
      </c>
      <c r="AE837" s="44" t="n">
        <f aca="false">IF(AA837=1,O837/H837,0)</f>
        <v>0</v>
      </c>
      <c r="AF837" s="44" t="n">
        <f aca="false">IF(AA837=1,K837/H837,0)</f>
        <v>0</v>
      </c>
      <c r="AG837" s="45" t="str">
        <f aca="false">IF(AA837=1,D837&amp;"|"&amp;TEXT(B837,"0"),"")</f>
        <v/>
      </c>
      <c r="AH837" s="43" t="n">
        <f aca="false">IF(AA837=1,H837,0)</f>
        <v>0</v>
      </c>
    </row>
    <row r="838" customFormat="false" ht="15" hidden="false" customHeight="false" outlineLevel="0" collapsed="false">
      <c r="A838" s="23" t="str">
        <f aca="false">IF(B838="","","B-"&amp;TEXT(ROW()-4,"0000"))</f>
        <v/>
      </c>
      <c r="B838" s="38"/>
      <c r="C838" s="38"/>
      <c r="D838" s="6"/>
      <c r="E838" s="6"/>
      <c r="F838" s="6"/>
      <c r="G838" s="11"/>
      <c r="H838" s="24" t="str">
        <f aca="false">IF(AND(ISNUMBER(B838),ISNUMBER(C838)),MAX(0,C838-B838),"")</f>
        <v/>
      </c>
      <c r="I838" s="37"/>
      <c r="J838" s="46" t="str">
        <f aca="false">IF(OR(D838="",N(H838)=0),"",IFERROR(IF(I838&lt;&gt;"",H838*I838,ROUND(((H838-(INT((WEEKDAY(B838-6)+H838-1)/7)+INT((WEEKDAY(B838-7)+H838-1)/7)))*INDEX(Properties!$E$5:$E$24,MATCH(D838,Properties!$A$5:$A$24,0))+(INT((WEEKDAY(B838-6)+H838-1)/7)+INT((WEEKDAY(B838-7)+H838-1)/7))*INDEX(Properties!$F$5:$F$24,MATCH(D838,Properties!$A$5:$A$24,0)))*(1-IF(H838&gt;=28,Settings!$B$10,IF(H838&gt;=7,Settings!$B$9,0))),2)),0))</f>
        <v/>
      </c>
      <c r="K838" s="46" t="str">
        <f aca="false">IF(J838="","",IFERROR(N(INDEX(Properties!$G$5:$G$24,MATCH(D838,Properties!$A$5:$A$24,0))),0))</f>
        <v/>
      </c>
      <c r="L838" s="46" t="str">
        <f aca="false">IF(J838="","",IFERROR(MAX(0,N(G838)-INDEX(Properties!$I$5:$I$24,MATCH(D838,Properties!$A$5:$A$24,0)))*N(INDEX(Properties!$J$5:$J$24,MATCH(D838,Properties!$A$5:$A$24,0)))*H838,0))</f>
        <v/>
      </c>
      <c r="M838" s="37"/>
      <c r="N838" s="46" t="str">
        <f aca="false">IF(J838="","",J838+K838+L838+N(M838))</f>
        <v/>
      </c>
      <c r="O838" s="46" t="str">
        <f aca="false">IF(N838="","",IF(P838&lt;&gt;"",N838-P838,ROUND(N838*IFERROR(INDEX(Settings!$E$5:$E$12,MATCH(F838,Settings!$D$5:$D$12,0)),0),2)))</f>
        <v/>
      </c>
      <c r="P838" s="37"/>
      <c r="Q838" s="46" t="str">
        <f aca="false">IF(N838="","",IF(P838&lt;&gt;"",P838,N838-O838))</f>
        <v/>
      </c>
      <c r="R838" s="46" t="str">
        <f aca="false">IF(J838="","",IFERROR(N(INDEX(Properties!$H$5:$H$24,MATCH(D838,Properties!$A$5:$A$24,0))),0))</f>
        <v/>
      </c>
      <c r="S838" s="46" t="str">
        <f aca="false">IF(Q838="","",Q838-R838)</f>
        <v/>
      </c>
      <c r="T838" s="6"/>
      <c r="U838" s="6"/>
      <c r="V838" s="6"/>
      <c r="W838" s="6"/>
      <c r="X838" s="6"/>
      <c r="Y838" s="8" t="str">
        <f aca="false">IF(OR(D838="",B838="",C838=""),"",IF(N(C838)&lt;=N(B838),"Check dates",IF(T838="Cancelled","",IF(COUNTIFS($D$5:$D$1004,D838,$B$5:$B$1004,"&lt;"&amp;C838,$C$5:$C$1004,"&gt;"&amp;B838,$T$5:$T$1004,"&lt;&gt;Cancelled")&gt;1,"Double-booked",""))))</f>
        <v/>
      </c>
      <c r="Z838" s="42" t="str">
        <f aca="false">IF(AND(AA838=1,ISNUMBER(C838)),C838+ROW()/100000,"")</f>
        <v/>
      </c>
      <c r="AA838" s="43" t="n">
        <f aca="false">IF(AND(D838&lt;&gt;"",ISNUMBER(B838),ISNUMBER(C838),N(H838)&gt;0,T838&lt;&gt;"Cancelled",J838&lt;&gt;""),1,0)</f>
        <v>0</v>
      </c>
      <c r="AB838" s="44" t="n">
        <f aca="false">IF(AA838=1,J838/H838,0)</f>
        <v>0</v>
      </c>
      <c r="AC838" s="44" t="n">
        <f aca="false">IF(AA838=1,Q838/H838,0)</f>
        <v>0</v>
      </c>
      <c r="AD838" s="44" t="n">
        <f aca="false">IF(AA838=1,R838/H838,0)</f>
        <v>0</v>
      </c>
      <c r="AE838" s="44" t="n">
        <f aca="false">IF(AA838=1,O838/H838,0)</f>
        <v>0</v>
      </c>
      <c r="AF838" s="44" t="n">
        <f aca="false">IF(AA838=1,K838/H838,0)</f>
        <v>0</v>
      </c>
      <c r="AG838" s="45" t="str">
        <f aca="false">IF(AA838=1,D838&amp;"|"&amp;TEXT(B838,"0"),"")</f>
        <v/>
      </c>
      <c r="AH838" s="43" t="n">
        <f aca="false">IF(AA838=1,H838,0)</f>
        <v>0</v>
      </c>
    </row>
    <row r="839" customFormat="false" ht="15" hidden="false" customHeight="false" outlineLevel="0" collapsed="false">
      <c r="A839" s="8" t="str">
        <f aca="false">IF(B839="","","B-"&amp;TEXT(ROW()-4,"0000"))</f>
        <v/>
      </c>
      <c r="B839" s="38"/>
      <c r="C839" s="38"/>
      <c r="D839" s="6"/>
      <c r="E839" s="6"/>
      <c r="F839" s="6"/>
      <c r="G839" s="11"/>
      <c r="H839" s="18" t="str">
        <f aca="false">IF(AND(ISNUMBER(B839),ISNUMBER(C839)),MAX(0,C839-B839),"")</f>
        <v/>
      </c>
      <c r="I839" s="37"/>
      <c r="J839" s="41" t="str">
        <f aca="false">IF(OR(D839="",N(H839)=0),"",IFERROR(IF(I839&lt;&gt;"",H839*I839,ROUND(((H839-(INT((WEEKDAY(B839-6)+H839-1)/7)+INT((WEEKDAY(B839-7)+H839-1)/7)))*INDEX(Properties!$E$5:$E$24,MATCH(D839,Properties!$A$5:$A$24,0))+(INT((WEEKDAY(B839-6)+H839-1)/7)+INT((WEEKDAY(B839-7)+H839-1)/7))*INDEX(Properties!$F$5:$F$24,MATCH(D839,Properties!$A$5:$A$24,0)))*(1-IF(H839&gt;=28,Settings!$B$10,IF(H839&gt;=7,Settings!$B$9,0))),2)),0))</f>
        <v/>
      </c>
      <c r="K839" s="41" t="str">
        <f aca="false">IF(J839="","",IFERROR(N(INDEX(Properties!$G$5:$G$24,MATCH(D839,Properties!$A$5:$A$24,0))),0))</f>
        <v/>
      </c>
      <c r="L839" s="41" t="str">
        <f aca="false">IF(J839="","",IFERROR(MAX(0,N(G839)-INDEX(Properties!$I$5:$I$24,MATCH(D839,Properties!$A$5:$A$24,0)))*N(INDEX(Properties!$J$5:$J$24,MATCH(D839,Properties!$A$5:$A$24,0)))*H839,0))</f>
        <v/>
      </c>
      <c r="M839" s="37"/>
      <c r="N839" s="41" t="str">
        <f aca="false">IF(J839="","",J839+K839+L839+N(M839))</f>
        <v/>
      </c>
      <c r="O839" s="41" t="str">
        <f aca="false">IF(N839="","",IF(P839&lt;&gt;"",N839-P839,ROUND(N839*IFERROR(INDEX(Settings!$E$5:$E$12,MATCH(F839,Settings!$D$5:$D$12,0)),0),2)))</f>
        <v/>
      </c>
      <c r="P839" s="37"/>
      <c r="Q839" s="41" t="str">
        <f aca="false">IF(N839="","",IF(P839&lt;&gt;"",P839,N839-O839))</f>
        <v/>
      </c>
      <c r="R839" s="41" t="str">
        <f aca="false">IF(J839="","",IFERROR(N(INDEX(Properties!$H$5:$H$24,MATCH(D839,Properties!$A$5:$A$24,0))),0))</f>
        <v/>
      </c>
      <c r="S839" s="41" t="str">
        <f aca="false">IF(Q839="","",Q839-R839)</f>
        <v/>
      </c>
      <c r="T839" s="6"/>
      <c r="U839" s="6"/>
      <c r="V839" s="6"/>
      <c r="W839" s="6"/>
      <c r="X839" s="6"/>
      <c r="Y839" s="8" t="str">
        <f aca="false">IF(OR(D839="",B839="",C839=""),"",IF(N(C839)&lt;=N(B839),"Check dates",IF(T839="Cancelled","",IF(COUNTIFS($D$5:$D$1004,D839,$B$5:$B$1004,"&lt;"&amp;C839,$C$5:$C$1004,"&gt;"&amp;B839,$T$5:$T$1004,"&lt;&gt;Cancelled")&gt;1,"Double-booked",""))))</f>
        <v/>
      </c>
      <c r="Z839" s="42" t="str">
        <f aca="false">IF(AND(AA839=1,ISNUMBER(C839)),C839+ROW()/100000,"")</f>
        <v/>
      </c>
      <c r="AA839" s="43" t="n">
        <f aca="false">IF(AND(D839&lt;&gt;"",ISNUMBER(B839),ISNUMBER(C839),N(H839)&gt;0,T839&lt;&gt;"Cancelled",J839&lt;&gt;""),1,0)</f>
        <v>0</v>
      </c>
      <c r="AB839" s="44" t="n">
        <f aca="false">IF(AA839=1,J839/H839,0)</f>
        <v>0</v>
      </c>
      <c r="AC839" s="44" t="n">
        <f aca="false">IF(AA839=1,Q839/H839,0)</f>
        <v>0</v>
      </c>
      <c r="AD839" s="44" t="n">
        <f aca="false">IF(AA839=1,R839/H839,0)</f>
        <v>0</v>
      </c>
      <c r="AE839" s="44" t="n">
        <f aca="false">IF(AA839=1,O839/H839,0)</f>
        <v>0</v>
      </c>
      <c r="AF839" s="44" t="n">
        <f aca="false">IF(AA839=1,K839/H839,0)</f>
        <v>0</v>
      </c>
      <c r="AG839" s="45" t="str">
        <f aca="false">IF(AA839=1,D839&amp;"|"&amp;TEXT(B839,"0"),"")</f>
        <v/>
      </c>
      <c r="AH839" s="43" t="n">
        <f aca="false">IF(AA839=1,H839,0)</f>
        <v>0</v>
      </c>
    </row>
    <row r="840" customFormat="false" ht="15" hidden="false" customHeight="false" outlineLevel="0" collapsed="false">
      <c r="A840" s="23" t="str">
        <f aca="false">IF(B840="","","B-"&amp;TEXT(ROW()-4,"0000"))</f>
        <v/>
      </c>
      <c r="B840" s="38"/>
      <c r="C840" s="38"/>
      <c r="D840" s="6"/>
      <c r="E840" s="6"/>
      <c r="F840" s="6"/>
      <c r="G840" s="11"/>
      <c r="H840" s="24" t="str">
        <f aca="false">IF(AND(ISNUMBER(B840),ISNUMBER(C840)),MAX(0,C840-B840),"")</f>
        <v/>
      </c>
      <c r="I840" s="37"/>
      <c r="J840" s="46" t="str">
        <f aca="false">IF(OR(D840="",N(H840)=0),"",IFERROR(IF(I840&lt;&gt;"",H840*I840,ROUND(((H840-(INT((WEEKDAY(B840-6)+H840-1)/7)+INT((WEEKDAY(B840-7)+H840-1)/7)))*INDEX(Properties!$E$5:$E$24,MATCH(D840,Properties!$A$5:$A$24,0))+(INT((WEEKDAY(B840-6)+H840-1)/7)+INT((WEEKDAY(B840-7)+H840-1)/7))*INDEX(Properties!$F$5:$F$24,MATCH(D840,Properties!$A$5:$A$24,0)))*(1-IF(H840&gt;=28,Settings!$B$10,IF(H840&gt;=7,Settings!$B$9,0))),2)),0))</f>
        <v/>
      </c>
      <c r="K840" s="46" t="str">
        <f aca="false">IF(J840="","",IFERROR(N(INDEX(Properties!$G$5:$G$24,MATCH(D840,Properties!$A$5:$A$24,0))),0))</f>
        <v/>
      </c>
      <c r="L840" s="46" t="str">
        <f aca="false">IF(J840="","",IFERROR(MAX(0,N(G840)-INDEX(Properties!$I$5:$I$24,MATCH(D840,Properties!$A$5:$A$24,0)))*N(INDEX(Properties!$J$5:$J$24,MATCH(D840,Properties!$A$5:$A$24,0)))*H840,0))</f>
        <v/>
      </c>
      <c r="M840" s="37"/>
      <c r="N840" s="46" t="str">
        <f aca="false">IF(J840="","",J840+K840+L840+N(M840))</f>
        <v/>
      </c>
      <c r="O840" s="46" t="str">
        <f aca="false">IF(N840="","",IF(P840&lt;&gt;"",N840-P840,ROUND(N840*IFERROR(INDEX(Settings!$E$5:$E$12,MATCH(F840,Settings!$D$5:$D$12,0)),0),2)))</f>
        <v/>
      </c>
      <c r="P840" s="37"/>
      <c r="Q840" s="46" t="str">
        <f aca="false">IF(N840="","",IF(P840&lt;&gt;"",P840,N840-O840))</f>
        <v/>
      </c>
      <c r="R840" s="46" t="str">
        <f aca="false">IF(J840="","",IFERROR(N(INDEX(Properties!$H$5:$H$24,MATCH(D840,Properties!$A$5:$A$24,0))),0))</f>
        <v/>
      </c>
      <c r="S840" s="46" t="str">
        <f aca="false">IF(Q840="","",Q840-R840)</f>
        <v/>
      </c>
      <c r="T840" s="6"/>
      <c r="U840" s="6"/>
      <c r="V840" s="6"/>
      <c r="W840" s="6"/>
      <c r="X840" s="6"/>
      <c r="Y840" s="8" t="str">
        <f aca="false">IF(OR(D840="",B840="",C840=""),"",IF(N(C840)&lt;=N(B840),"Check dates",IF(T840="Cancelled","",IF(COUNTIFS($D$5:$D$1004,D840,$B$5:$B$1004,"&lt;"&amp;C840,$C$5:$C$1004,"&gt;"&amp;B840,$T$5:$T$1004,"&lt;&gt;Cancelled")&gt;1,"Double-booked",""))))</f>
        <v/>
      </c>
      <c r="Z840" s="42" t="str">
        <f aca="false">IF(AND(AA840=1,ISNUMBER(C840)),C840+ROW()/100000,"")</f>
        <v/>
      </c>
      <c r="AA840" s="43" t="n">
        <f aca="false">IF(AND(D840&lt;&gt;"",ISNUMBER(B840),ISNUMBER(C840),N(H840)&gt;0,T840&lt;&gt;"Cancelled",J840&lt;&gt;""),1,0)</f>
        <v>0</v>
      </c>
      <c r="AB840" s="44" t="n">
        <f aca="false">IF(AA840=1,J840/H840,0)</f>
        <v>0</v>
      </c>
      <c r="AC840" s="44" t="n">
        <f aca="false">IF(AA840=1,Q840/H840,0)</f>
        <v>0</v>
      </c>
      <c r="AD840" s="44" t="n">
        <f aca="false">IF(AA840=1,R840/H840,0)</f>
        <v>0</v>
      </c>
      <c r="AE840" s="44" t="n">
        <f aca="false">IF(AA840=1,O840/H840,0)</f>
        <v>0</v>
      </c>
      <c r="AF840" s="44" t="n">
        <f aca="false">IF(AA840=1,K840/H840,0)</f>
        <v>0</v>
      </c>
      <c r="AG840" s="45" t="str">
        <f aca="false">IF(AA840=1,D840&amp;"|"&amp;TEXT(B840,"0"),"")</f>
        <v/>
      </c>
      <c r="AH840" s="43" t="n">
        <f aca="false">IF(AA840=1,H840,0)</f>
        <v>0</v>
      </c>
    </row>
    <row r="841" customFormat="false" ht="15" hidden="false" customHeight="false" outlineLevel="0" collapsed="false">
      <c r="A841" s="8" t="str">
        <f aca="false">IF(B841="","","B-"&amp;TEXT(ROW()-4,"0000"))</f>
        <v/>
      </c>
      <c r="B841" s="38"/>
      <c r="C841" s="38"/>
      <c r="D841" s="6"/>
      <c r="E841" s="6"/>
      <c r="F841" s="6"/>
      <c r="G841" s="11"/>
      <c r="H841" s="18" t="str">
        <f aca="false">IF(AND(ISNUMBER(B841),ISNUMBER(C841)),MAX(0,C841-B841),"")</f>
        <v/>
      </c>
      <c r="I841" s="37"/>
      <c r="J841" s="41" t="str">
        <f aca="false">IF(OR(D841="",N(H841)=0),"",IFERROR(IF(I841&lt;&gt;"",H841*I841,ROUND(((H841-(INT((WEEKDAY(B841-6)+H841-1)/7)+INT((WEEKDAY(B841-7)+H841-1)/7)))*INDEX(Properties!$E$5:$E$24,MATCH(D841,Properties!$A$5:$A$24,0))+(INT((WEEKDAY(B841-6)+H841-1)/7)+INT((WEEKDAY(B841-7)+H841-1)/7))*INDEX(Properties!$F$5:$F$24,MATCH(D841,Properties!$A$5:$A$24,0)))*(1-IF(H841&gt;=28,Settings!$B$10,IF(H841&gt;=7,Settings!$B$9,0))),2)),0))</f>
        <v/>
      </c>
      <c r="K841" s="41" t="str">
        <f aca="false">IF(J841="","",IFERROR(N(INDEX(Properties!$G$5:$G$24,MATCH(D841,Properties!$A$5:$A$24,0))),0))</f>
        <v/>
      </c>
      <c r="L841" s="41" t="str">
        <f aca="false">IF(J841="","",IFERROR(MAX(0,N(G841)-INDEX(Properties!$I$5:$I$24,MATCH(D841,Properties!$A$5:$A$24,0)))*N(INDEX(Properties!$J$5:$J$24,MATCH(D841,Properties!$A$5:$A$24,0)))*H841,0))</f>
        <v/>
      </c>
      <c r="M841" s="37"/>
      <c r="N841" s="41" t="str">
        <f aca="false">IF(J841="","",J841+K841+L841+N(M841))</f>
        <v/>
      </c>
      <c r="O841" s="41" t="str">
        <f aca="false">IF(N841="","",IF(P841&lt;&gt;"",N841-P841,ROUND(N841*IFERROR(INDEX(Settings!$E$5:$E$12,MATCH(F841,Settings!$D$5:$D$12,0)),0),2)))</f>
        <v/>
      </c>
      <c r="P841" s="37"/>
      <c r="Q841" s="41" t="str">
        <f aca="false">IF(N841="","",IF(P841&lt;&gt;"",P841,N841-O841))</f>
        <v/>
      </c>
      <c r="R841" s="41" t="str">
        <f aca="false">IF(J841="","",IFERROR(N(INDEX(Properties!$H$5:$H$24,MATCH(D841,Properties!$A$5:$A$24,0))),0))</f>
        <v/>
      </c>
      <c r="S841" s="41" t="str">
        <f aca="false">IF(Q841="","",Q841-R841)</f>
        <v/>
      </c>
      <c r="T841" s="6"/>
      <c r="U841" s="6"/>
      <c r="V841" s="6"/>
      <c r="W841" s="6"/>
      <c r="X841" s="6"/>
      <c r="Y841" s="8" t="str">
        <f aca="false">IF(OR(D841="",B841="",C841=""),"",IF(N(C841)&lt;=N(B841),"Check dates",IF(T841="Cancelled","",IF(COUNTIFS($D$5:$D$1004,D841,$B$5:$B$1004,"&lt;"&amp;C841,$C$5:$C$1004,"&gt;"&amp;B841,$T$5:$T$1004,"&lt;&gt;Cancelled")&gt;1,"Double-booked",""))))</f>
        <v/>
      </c>
      <c r="Z841" s="42" t="str">
        <f aca="false">IF(AND(AA841=1,ISNUMBER(C841)),C841+ROW()/100000,"")</f>
        <v/>
      </c>
      <c r="AA841" s="43" t="n">
        <f aca="false">IF(AND(D841&lt;&gt;"",ISNUMBER(B841),ISNUMBER(C841),N(H841)&gt;0,T841&lt;&gt;"Cancelled",J841&lt;&gt;""),1,0)</f>
        <v>0</v>
      </c>
      <c r="AB841" s="44" t="n">
        <f aca="false">IF(AA841=1,J841/H841,0)</f>
        <v>0</v>
      </c>
      <c r="AC841" s="44" t="n">
        <f aca="false">IF(AA841=1,Q841/H841,0)</f>
        <v>0</v>
      </c>
      <c r="AD841" s="44" t="n">
        <f aca="false">IF(AA841=1,R841/H841,0)</f>
        <v>0</v>
      </c>
      <c r="AE841" s="44" t="n">
        <f aca="false">IF(AA841=1,O841/H841,0)</f>
        <v>0</v>
      </c>
      <c r="AF841" s="44" t="n">
        <f aca="false">IF(AA841=1,K841/H841,0)</f>
        <v>0</v>
      </c>
      <c r="AG841" s="45" t="str">
        <f aca="false">IF(AA841=1,D841&amp;"|"&amp;TEXT(B841,"0"),"")</f>
        <v/>
      </c>
      <c r="AH841" s="43" t="n">
        <f aca="false">IF(AA841=1,H841,0)</f>
        <v>0</v>
      </c>
    </row>
    <row r="842" customFormat="false" ht="15" hidden="false" customHeight="false" outlineLevel="0" collapsed="false">
      <c r="A842" s="23" t="str">
        <f aca="false">IF(B842="","","B-"&amp;TEXT(ROW()-4,"0000"))</f>
        <v/>
      </c>
      <c r="B842" s="38"/>
      <c r="C842" s="38"/>
      <c r="D842" s="6"/>
      <c r="E842" s="6"/>
      <c r="F842" s="6"/>
      <c r="G842" s="11"/>
      <c r="H842" s="24" t="str">
        <f aca="false">IF(AND(ISNUMBER(B842),ISNUMBER(C842)),MAX(0,C842-B842),"")</f>
        <v/>
      </c>
      <c r="I842" s="37"/>
      <c r="J842" s="46" t="str">
        <f aca="false">IF(OR(D842="",N(H842)=0),"",IFERROR(IF(I842&lt;&gt;"",H842*I842,ROUND(((H842-(INT((WEEKDAY(B842-6)+H842-1)/7)+INT((WEEKDAY(B842-7)+H842-1)/7)))*INDEX(Properties!$E$5:$E$24,MATCH(D842,Properties!$A$5:$A$24,0))+(INT((WEEKDAY(B842-6)+H842-1)/7)+INT((WEEKDAY(B842-7)+H842-1)/7))*INDEX(Properties!$F$5:$F$24,MATCH(D842,Properties!$A$5:$A$24,0)))*(1-IF(H842&gt;=28,Settings!$B$10,IF(H842&gt;=7,Settings!$B$9,0))),2)),0))</f>
        <v/>
      </c>
      <c r="K842" s="46" t="str">
        <f aca="false">IF(J842="","",IFERROR(N(INDEX(Properties!$G$5:$G$24,MATCH(D842,Properties!$A$5:$A$24,0))),0))</f>
        <v/>
      </c>
      <c r="L842" s="46" t="str">
        <f aca="false">IF(J842="","",IFERROR(MAX(0,N(G842)-INDEX(Properties!$I$5:$I$24,MATCH(D842,Properties!$A$5:$A$24,0)))*N(INDEX(Properties!$J$5:$J$24,MATCH(D842,Properties!$A$5:$A$24,0)))*H842,0))</f>
        <v/>
      </c>
      <c r="M842" s="37"/>
      <c r="N842" s="46" t="str">
        <f aca="false">IF(J842="","",J842+K842+L842+N(M842))</f>
        <v/>
      </c>
      <c r="O842" s="46" t="str">
        <f aca="false">IF(N842="","",IF(P842&lt;&gt;"",N842-P842,ROUND(N842*IFERROR(INDEX(Settings!$E$5:$E$12,MATCH(F842,Settings!$D$5:$D$12,0)),0),2)))</f>
        <v/>
      </c>
      <c r="P842" s="37"/>
      <c r="Q842" s="46" t="str">
        <f aca="false">IF(N842="","",IF(P842&lt;&gt;"",P842,N842-O842))</f>
        <v/>
      </c>
      <c r="R842" s="46" t="str">
        <f aca="false">IF(J842="","",IFERROR(N(INDEX(Properties!$H$5:$H$24,MATCH(D842,Properties!$A$5:$A$24,0))),0))</f>
        <v/>
      </c>
      <c r="S842" s="46" t="str">
        <f aca="false">IF(Q842="","",Q842-R842)</f>
        <v/>
      </c>
      <c r="T842" s="6"/>
      <c r="U842" s="6"/>
      <c r="V842" s="6"/>
      <c r="W842" s="6"/>
      <c r="X842" s="6"/>
      <c r="Y842" s="8" t="str">
        <f aca="false">IF(OR(D842="",B842="",C842=""),"",IF(N(C842)&lt;=N(B842),"Check dates",IF(T842="Cancelled","",IF(COUNTIFS($D$5:$D$1004,D842,$B$5:$B$1004,"&lt;"&amp;C842,$C$5:$C$1004,"&gt;"&amp;B842,$T$5:$T$1004,"&lt;&gt;Cancelled")&gt;1,"Double-booked",""))))</f>
        <v/>
      </c>
      <c r="Z842" s="42" t="str">
        <f aca="false">IF(AND(AA842=1,ISNUMBER(C842)),C842+ROW()/100000,"")</f>
        <v/>
      </c>
      <c r="AA842" s="43" t="n">
        <f aca="false">IF(AND(D842&lt;&gt;"",ISNUMBER(B842),ISNUMBER(C842),N(H842)&gt;0,T842&lt;&gt;"Cancelled",J842&lt;&gt;""),1,0)</f>
        <v>0</v>
      </c>
      <c r="AB842" s="44" t="n">
        <f aca="false">IF(AA842=1,J842/H842,0)</f>
        <v>0</v>
      </c>
      <c r="AC842" s="44" t="n">
        <f aca="false">IF(AA842=1,Q842/H842,0)</f>
        <v>0</v>
      </c>
      <c r="AD842" s="44" t="n">
        <f aca="false">IF(AA842=1,R842/H842,0)</f>
        <v>0</v>
      </c>
      <c r="AE842" s="44" t="n">
        <f aca="false">IF(AA842=1,O842/H842,0)</f>
        <v>0</v>
      </c>
      <c r="AF842" s="44" t="n">
        <f aca="false">IF(AA842=1,K842/H842,0)</f>
        <v>0</v>
      </c>
      <c r="AG842" s="45" t="str">
        <f aca="false">IF(AA842=1,D842&amp;"|"&amp;TEXT(B842,"0"),"")</f>
        <v/>
      </c>
      <c r="AH842" s="43" t="n">
        <f aca="false">IF(AA842=1,H842,0)</f>
        <v>0</v>
      </c>
    </row>
    <row r="843" customFormat="false" ht="15" hidden="false" customHeight="false" outlineLevel="0" collapsed="false">
      <c r="A843" s="8" t="str">
        <f aca="false">IF(B843="","","B-"&amp;TEXT(ROW()-4,"0000"))</f>
        <v/>
      </c>
      <c r="B843" s="38"/>
      <c r="C843" s="38"/>
      <c r="D843" s="6"/>
      <c r="E843" s="6"/>
      <c r="F843" s="6"/>
      <c r="G843" s="11"/>
      <c r="H843" s="18" t="str">
        <f aca="false">IF(AND(ISNUMBER(B843),ISNUMBER(C843)),MAX(0,C843-B843),"")</f>
        <v/>
      </c>
      <c r="I843" s="37"/>
      <c r="J843" s="41" t="str">
        <f aca="false">IF(OR(D843="",N(H843)=0),"",IFERROR(IF(I843&lt;&gt;"",H843*I843,ROUND(((H843-(INT((WEEKDAY(B843-6)+H843-1)/7)+INT((WEEKDAY(B843-7)+H843-1)/7)))*INDEX(Properties!$E$5:$E$24,MATCH(D843,Properties!$A$5:$A$24,0))+(INT((WEEKDAY(B843-6)+H843-1)/7)+INT((WEEKDAY(B843-7)+H843-1)/7))*INDEX(Properties!$F$5:$F$24,MATCH(D843,Properties!$A$5:$A$24,0)))*(1-IF(H843&gt;=28,Settings!$B$10,IF(H843&gt;=7,Settings!$B$9,0))),2)),0))</f>
        <v/>
      </c>
      <c r="K843" s="41" t="str">
        <f aca="false">IF(J843="","",IFERROR(N(INDEX(Properties!$G$5:$G$24,MATCH(D843,Properties!$A$5:$A$24,0))),0))</f>
        <v/>
      </c>
      <c r="L843" s="41" t="str">
        <f aca="false">IF(J843="","",IFERROR(MAX(0,N(G843)-INDEX(Properties!$I$5:$I$24,MATCH(D843,Properties!$A$5:$A$24,0)))*N(INDEX(Properties!$J$5:$J$24,MATCH(D843,Properties!$A$5:$A$24,0)))*H843,0))</f>
        <v/>
      </c>
      <c r="M843" s="37"/>
      <c r="N843" s="41" t="str">
        <f aca="false">IF(J843="","",J843+K843+L843+N(M843))</f>
        <v/>
      </c>
      <c r="O843" s="41" t="str">
        <f aca="false">IF(N843="","",IF(P843&lt;&gt;"",N843-P843,ROUND(N843*IFERROR(INDEX(Settings!$E$5:$E$12,MATCH(F843,Settings!$D$5:$D$12,0)),0),2)))</f>
        <v/>
      </c>
      <c r="P843" s="37"/>
      <c r="Q843" s="41" t="str">
        <f aca="false">IF(N843="","",IF(P843&lt;&gt;"",P843,N843-O843))</f>
        <v/>
      </c>
      <c r="R843" s="41" t="str">
        <f aca="false">IF(J843="","",IFERROR(N(INDEX(Properties!$H$5:$H$24,MATCH(D843,Properties!$A$5:$A$24,0))),0))</f>
        <v/>
      </c>
      <c r="S843" s="41" t="str">
        <f aca="false">IF(Q843="","",Q843-R843)</f>
        <v/>
      </c>
      <c r="T843" s="6"/>
      <c r="U843" s="6"/>
      <c r="V843" s="6"/>
      <c r="W843" s="6"/>
      <c r="X843" s="6"/>
      <c r="Y843" s="8" t="str">
        <f aca="false">IF(OR(D843="",B843="",C843=""),"",IF(N(C843)&lt;=N(B843),"Check dates",IF(T843="Cancelled","",IF(COUNTIFS($D$5:$D$1004,D843,$B$5:$B$1004,"&lt;"&amp;C843,$C$5:$C$1004,"&gt;"&amp;B843,$T$5:$T$1004,"&lt;&gt;Cancelled")&gt;1,"Double-booked",""))))</f>
        <v/>
      </c>
      <c r="Z843" s="42" t="str">
        <f aca="false">IF(AND(AA843=1,ISNUMBER(C843)),C843+ROW()/100000,"")</f>
        <v/>
      </c>
      <c r="AA843" s="43" t="n">
        <f aca="false">IF(AND(D843&lt;&gt;"",ISNUMBER(B843),ISNUMBER(C843),N(H843)&gt;0,T843&lt;&gt;"Cancelled",J843&lt;&gt;""),1,0)</f>
        <v>0</v>
      </c>
      <c r="AB843" s="44" t="n">
        <f aca="false">IF(AA843=1,J843/H843,0)</f>
        <v>0</v>
      </c>
      <c r="AC843" s="44" t="n">
        <f aca="false">IF(AA843=1,Q843/H843,0)</f>
        <v>0</v>
      </c>
      <c r="AD843" s="44" t="n">
        <f aca="false">IF(AA843=1,R843/H843,0)</f>
        <v>0</v>
      </c>
      <c r="AE843" s="44" t="n">
        <f aca="false">IF(AA843=1,O843/H843,0)</f>
        <v>0</v>
      </c>
      <c r="AF843" s="44" t="n">
        <f aca="false">IF(AA843=1,K843/H843,0)</f>
        <v>0</v>
      </c>
      <c r="AG843" s="45" t="str">
        <f aca="false">IF(AA843=1,D843&amp;"|"&amp;TEXT(B843,"0"),"")</f>
        <v/>
      </c>
      <c r="AH843" s="43" t="n">
        <f aca="false">IF(AA843=1,H843,0)</f>
        <v>0</v>
      </c>
    </row>
    <row r="844" customFormat="false" ht="15" hidden="false" customHeight="false" outlineLevel="0" collapsed="false">
      <c r="A844" s="23" t="str">
        <f aca="false">IF(B844="","","B-"&amp;TEXT(ROW()-4,"0000"))</f>
        <v/>
      </c>
      <c r="B844" s="38"/>
      <c r="C844" s="38"/>
      <c r="D844" s="6"/>
      <c r="E844" s="6"/>
      <c r="F844" s="6"/>
      <c r="G844" s="11"/>
      <c r="H844" s="24" t="str">
        <f aca="false">IF(AND(ISNUMBER(B844),ISNUMBER(C844)),MAX(0,C844-B844),"")</f>
        <v/>
      </c>
      <c r="I844" s="37"/>
      <c r="J844" s="46" t="str">
        <f aca="false">IF(OR(D844="",N(H844)=0),"",IFERROR(IF(I844&lt;&gt;"",H844*I844,ROUND(((H844-(INT((WEEKDAY(B844-6)+H844-1)/7)+INT((WEEKDAY(B844-7)+H844-1)/7)))*INDEX(Properties!$E$5:$E$24,MATCH(D844,Properties!$A$5:$A$24,0))+(INT((WEEKDAY(B844-6)+H844-1)/7)+INT((WEEKDAY(B844-7)+H844-1)/7))*INDEX(Properties!$F$5:$F$24,MATCH(D844,Properties!$A$5:$A$24,0)))*(1-IF(H844&gt;=28,Settings!$B$10,IF(H844&gt;=7,Settings!$B$9,0))),2)),0))</f>
        <v/>
      </c>
      <c r="K844" s="46" t="str">
        <f aca="false">IF(J844="","",IFERROR(N(INDEX(Properties!$G$5:$G$24,MATCH(D844,Properties!$A$5:$A$24,0))),0))</f>
        <v/>
      </c>
      <c r="L844" s="46" t="str">
        <f aca="false">IF(J844="","",IFERROR(MAX(0,N(G844)-INDEX(Properties!$I$5:$I$24,MATCH(D844,Properties!$A$5:$A$24,0)))*N(INDEX(Properties!$J$5:$J$24,MATCH(D844,Properties!$A$5:$A$24,0)))*H844,0))</f>
        <v/>
      </c>
      <c r="M844" s="37"/>
      <c r="N844" s="46" t="str">
        <f aca="false">IF(J844="","",J844+K844+L844+N(M844))</f>
        <v/>
      </c>
      <c r="O844" s="46" t="str">
        <f aca="false">IF(N844="","",IF(P844&lt;&gt;"",N844-P844,ROUND(N844*IFERROR(INDEX(Settings!$E$5:$E$12,MATCH(F844,Settings!$D$5:$D$12,0)),0),2)))</f>
        <v/>
      </c>
      <c r="P844" s="37"/>
      <c r="Q844" s="46" t="str">
        <f aca="false">IF(N844="","",IF(P844&lt;&gt;"",P844,N844-O844))</f>
        <v/>
      </c>
      <c r="R844" s="46" t="str">
        <f aca="false">IF(J844="","",IFERROR(N(INDEX(Properties!$H$5:$H$24,MATCH(D844,Properties!$A$5:$A$24,0))),0))</f>
        <v/>
      </c>
      <c r="S844" s="46" t="str">
        <f aca="false">IF(Q844="","",Q844-R844)</f>
        <v/>
      </c>
      <c r="T844" s="6"/>
      <c r="U844" s="6"/>
      <c r="V844" s="6"/>
      <c r="W844" s="6"/>
      <c r="X844" s="6"/>
      <c r="Y844" s="8" t="str">
        <f aca="false">IF(OR(D844="",B844="",C844=""),"",IF(N(C844)&lt;=N(B844),"Check dates",IF(T844="Cancelled","",IF(COUNTIFS($D$5:$D$1004,D844,$B$5:$B$1004,"&lt;"&amp;C844,$C$5:$C$1004,"&gt;"&amp;B844,$T$5:$T$1004,"&lt;&gt;Cancelled")&gt;1,"Double-booked",""))))</f>
        <v/>
      </c>
      <c r="Z844" s="42" t="str">
        <f aca="false">IF(AND(AA844=1,ISNUMBER(C844)),C844+ROW()/100000,"")</f>
        <v/>
      </c>
      <c r="AA844" s="43" t="n">
        <f aca="false">IF(AND(D844&lt;&gt;"",ISNUMBER(B844),ISNUMBER(C844),N(H844)&gt;0,T844&lt;&gt;"Cancelled",J844&lt;&gt;""),1,0)</f>
        <v>0</v>
      </c>
      <c r="AB844" s="44" t="n">
        <f aca="false">IF(AA844=1,J844/H844,0)</f>
        <v>0</v>
      </c>
      <c r="AC844" s="44" t="n">
        <f aca="false">IF(AA844=1,Q844/H844,0)</f>
        <v>0</v>
      </c>
      <c r="AD844" s="44" t="n">
        <f aca="false">IF(AA844=1,R844/H844,0)</f>
        <v>0</v>
      </c>
      <c r="AE844" s="44" t="n">
        <f aca="false">IF(AA844=1,O844/H844,0)</f>
        <v>0</v>
      </c>
      <c r="AF844" s="44" t="n">
        <f aca="false">IF(AA844=1,K844/H844,0)</f>
        <v>0</v>
      </c>
      <c r="AG844" s="45" t="str">
        <f aca="false">IF(AA844=1,D844&amp;"|"&amp;TEXT(B844,"0"),"")</f>
        <v/>
      </c>
      <c r="AH844" s="43" t="n">
        <f aca="false">IF(AA844=1,H844,0)</f>
        <v>0</v>
      </c>
    </row>
    <row r="845" customFormat="false" ht="15" hidden="false" customHeight="false" outlineLevel="0" collapsed="false">
      <c r="A845" s="8" t="str">
        <f aca="false">IF(B845="","","B-"&amp;TEXT(ROW()-4,"0000"))</f>
        <v/>
      </c>
      <c r="B845" s="38"/>
      <c r="C845" s="38"/>
      <c r="D845" s="6"/>
      <c r="E845" s="6"/>
      <c r="F845" s="6"/>
      <c r="G845" s="11"/>
      <c r="H845" s="18" t="str">
        <f aca="false">IF(AND(ISNUMBER(B845),ISNUMBER(C845)),MAX(0,C845-B845),"")</f>
        <v/>
      </c>
      <c r="I845" s="37"/>
      <c r="J845" s="41" t="str">
        <f aca="false">IF(OR(D845="",N(H845)=0),"",IFERROR(IF(I845&lt;&gt;"",H845*I845,ROUND(((H845-(INT((WEEKDAY(B845-6)+H845-1)/7)+INT((WEEKDAY(B845-7)+H845-1)/7)))*INDEX(Properties!$E$5:$E$24,MATCH(D845,Properties!$A$5:$A$24,0))+(INT((WEEKDAY(B845-6)+H845-1)/7)+INT((WEEKDAY(B845-7)+H845-1)/7))*INDEX(Properties!$F$5:$F$24,MATCH(D845,Properties!$A$5:$A$24,0)))*(1-IF(H845&gt;=28,Settings!$B$10,IF(H845&gt;=7,Settings!$B$9,0))),2)),0))</f>
        <v/>
      </c>
      <c r="K845" s="41" t="str">
        <f aca="false">IF(J845="","",IFERROR(N(INDEX(Properties!$G$5:$G$24,MATCH(D845,Properties!$A$5:$A$24,0))),0))</f>
        <v/>
      </c>
      <c r="L845" s="41" t="str">
        <f aca="false">IF(J845="","",IFERROR(MAX(0,N(G845)-INDEX(Properties!$I$5:$I$24,MATCH(D845,Properties!$A$5:$A$24,0)))*N(INDEX(Properties!$J$5:$J$24,MATCH(D845,Properties!$A$5:$A$24,0)))*H845,0))</f>
        <v/>
      </c>
      <c r="M845" s="37"/>
      <c r="N845" s="41" t="str">
        <f aca="false">IF(J845="","",J845+K845+L845+N(M845))</f>
        <v/>
      </c>
      <c r="O845" s="41" t="str">
        <f aca="false">IF(N845="","",IF(P845&lt;&gt;"",N845-P845,ROUND(N845*IFERROR(INDEX(Settings!$E$5:$E$12,MATCH(F845,Settings!$D$5:$D$12,0)),0),2)))</f>
        <v/>
      </c>
      <c r="P845" s="37"/>
      <c r="Q845" s="41" t="str">
        <f aca="false">IF(N845="","",IF(P845&lt;&gt;"",P845,N845-O845))</f>
        <v/>
      </c>
      <c r="R845" s="41" t="str">
        <f aca="false">IF(J845="","",IFERROR(N(INDEX(Properties!$H$5:$H$24,MATCH(D845,Properties!$A$5:$A$24,0))),0))</f>
        <v/>
      </c>
      <c r="S845" s="41" t="str">
        <f aca="false">IF(Q845="","",Q845-R845)</f>
        <v/>
      </c>
      <c r="T845" s="6"/>
      <c r="U845" s="6"/>
      <c r="V845" s="6"/>
      <c r="W845" s="6"/>
      <c r="X845" s="6"/>
      <c r="Y845" s="8" t="str">
        <f aca="false">IF(OR(D845="",B845="",C845=""),"",IF(N(C845)&lt;=N(B845),"Check dates",IF(T845="Cancelled","",IF(COUNTIFS($D$5:$D$1004,D845,$B$5:$B$1004,"&lt;"&amp;C845,$C$5:$C$1004,"&gt;"&amp;B845,$T$5:$T$1004,"&lt;&gt;Cancelled")&gt;1,"Double-booked",""))))</f>
        <v/>
      </c>
      <c r="Z845" s="42" t="str">
        <f aca="false">IF(AND(AA845=1,ISNUMBER(C845)),C845+ROW()/100000,"")</f>
        <v/>
      </c>
      <c r="AA845" s="43" t="n">
        <f aca="false">IF(AND(D845&lt;&gt;"",ISNUMBER(B845),ISNUMBER(C845),N(H845)&gt;0,T845&lt;&gt;"Cancelled",J845&lt;&gt;""),1,0)</f>
        <v>0</v>
      </c>
      <c r="AB845" s="44" t="n">
        <f aca="false">IF(AA845=1,J845/H845,0)</f>
        <v>0</v>
      </c>
      <c r="AC845" s="44" t="n">
        <f aca="false">IF(AA845=1,Q845/H845,0)</f>
        <v>0</v>
      </c>
      <c r="AD845" s="44" t="n">
        <f aca="false">IF(AA845=1,R845/H845,0)</f>
        <v>0</v>
      </c>
      <c r="AE845" s="44" t="n">
        <f aca="false">IF(AA845=1,O845/H845,0)</f>
        <v>0</v>
      </c>
      <c r="AF845" s="44" t="n">
        <f aca="false">IF(AA845=1,K845/H845,0)</f>
        <v>0</v>
      </c>
      <c r="AG845" s="45" t="str">
        <f aca="false">IF(AA845=1,D845&amp;"|"&amp;TEXT(B845,"0"),"")</f>
        <v/>
      </c>
      <c r="AH845" s="43" t="n">
        <f aca="false">IF(AA845=1,H845,0)</f>
        <v>0</v>
      </c>
    </row>
    <row r="846" customFormat="false" ht="15" hidden="false" customHeight="false" outlineLevel="0" collapsed="false">
      <c r="A846" s="23" t="str">
        <f aca="false">IF(B846="","","B-"&amp;TEXT(ROW()-4,"0000"))</f>
        <v/>
      </c>
      <c r="B846" s="38"/>
      <c r="C846" s="38"/>
      <c r="D846" s="6"/>
      <c r="E846" s="6"/>
      <c r="F846" s="6"/>
      <c r="G846" s="11"/>
      <c r="H846" s="24" t="str">
        <f aca="false">IF(AND(ISNUMBER(B846),ISNUMBER(C846)),MAX(0,C846-B846),"")</f>
        <v/>
      </c>
      <c r="I846" s="37"/>
      <c r="J846" s="46" t="str">
        <f aca="false">IF(OR(D846="",N(H846)=0),"",IFERROR(IF(I846&lt;&gt;"",H846*I846,ROUND(((H846-(INT((WEEKDAY(B846-6)+H846-1)/7)+INT((WEEKDAY(B846-7)+H846-1)/7)))*INDEX(Properties!$E$5:$E$24,MATCH(D846,Properties!$A$5:$A$24,0))+(INT((WEEKDAY(B846-6)+H846-1)/7)+INT((WEEKDAY(B846-7)+H846-1)/7))*INDEX(Properties!$F$5:$F$24,MATCH(D846,Properties!$A$5:$A$24,0)))*(1-IF(H846&gt;=28,Settings!$B$10,IF(H846&gt;=7,Settings!$B$9,0))),2)),0))</f>
        <v/>
      </c>
      <c r="K846" s="46" t="str">
        <f aca="false">IF(J846="","",IFERROR(N(INDEX(Properties!$G$5:$G$24,MATCH(D846,Properties!$A$5:$A$24,0))),0))</f>
        <v/>
      </c>
      <c r="L846" s="46" t="str">
        <f aca="false">IF(J846="","",IFERROR(MAX(0,N(G846)-INDEX(Properties!$I$5:$I$24,MATCH(D846,Properties!$A$5:$A$24,0)))*N(INDEX(Properties!$J$5:$J$24,MATCH(D846,Properties!$A$5:$A$24,0)))*H846,0))</f>
        <v/>
      </c>
      <c r="M846" s="37"/>
      <c r="N846" s="46" t="str">
        <f aca="false">IF(J846="","",J846+K846+L846+N(M846))</f>
        <v/>
      </c>
      <c r="O846" s="46" t="str">
        <f aca="false">IF(N846="","",IF(P846&lt;&gt;"",N846-P846,ROUND(N846*IFERROR(INDEX(Settings!$E$5:$E$12,MATCH(F846,Settings!$D$5:$D$12,0)),0),2)))</f>
        <v/>
      </c>
      <c r="P846" s="37"/>
      <c r="Q846" s="46" t="str">
        <f aca="false">IF(N846="","",IF(P846&lt;&gt;"",P846,N846-O846))</f>
        <v/>
      </c>
      <c r="R846" s="46" t="str">
        <f aca="false">IF(J846="","",IFERROR(N(INDEX(Properties!$H$5:$H$24,MATCH(D846,Properties!$A$5:$A$24,0))),0))</f>
        <v/>
      </c>
      <c r="S846" s="46" t="str">
        <f aca="false">IF(Q846="","",Q846-R846)</f>
        <v/>
      </c>
      <c r="T846" s="6"/>
      <c r="U846" s="6"/>
      <c r="V846" s="6"/>
      <c r="W846" s="6"/>
      <c r="X846" s="6"/>
      <c r="Y846" s="8" t="str">
        <f aca="false">IF(OR(D846="",B846="",C846=""),"",IF(N(C846)&lt;=N(B846),"Check dates",IF(T846="Cancelled","",IF(COUNTIFS($D$5:$D$1004,D846,$B$5:$B$1004,"&lt;"&amp;C846,$C$5:$C$1004,"&gt;"&amp;B846,$T$5:$T$1004,"&lt;&gt;Cancelled")&gt;1,"Double-booked",""))))</f>
        <v/>
      </c>
      <c r="Z846" s="42" t="str">
        <f aca="false">IF(AND(AA846=1,ISNUMBER(C846)),C846+ROW()/100000,"")</f>
        <v/>
      </c>
      <c r="AA846" s="43" t="n">
        <f aca="false">IF(AND(D846&lt;&gt;"",ISNUMBER(B846),ISNUMBER(C846),N(H846)&gt;0,T846&lt;&gt;"Cancelled",J846&lt;&gt;""),1,0)</f>
        <v>0</v>
      </c>
      <c r="AB846" s="44" t="n">
        <f aca="false">IF(AA846=1,J846/H846,0)</f>
        <v>0</v>
      </c>
      <c r="AC846" s="44" t="n">
        <f aca="false">IF(AA846=1,Q846/H846,0)</f>
        <v>0</v>
      </c>
      <c r="AD846" s="44" t="n">
        <f aca="false">IF(AA846=1,R846/H846,0)</f>
        <v>0</v>
      </c>
      <c r="AE846" s="44" t="n">
        <f aca="false">IF(AA846=1,O846/H846,0)</f>
        <v>0</v>
      </c>
      <c r="AF846" s="44" t="n">
        <f aca="false">IF(AA846=1,K846/H846,0)</f>
        <v>0</v>
      </c>
      <c r="AG846" s="45" t="str">
        <f aca="false">IF(AA846=1,D846&amp;"|"&amp;TEXT(B846,"0"),"")</f>
        <v/>
      </c>
      <c r="AH846" s="43" t="n">
        <f aca="false">IF(AA846=1,H846,0)</f>
        <v>0</v>
      </c>
    </row>
    <row r="847" customFormat="false" ht="15" hidden="false" customHeight="false" outlineLevel="0" collapsed="false">
      <c r="A847" s="8" t="str">
        <f aca="false">IF(B847="","","B-"&amp;TEXT(ROW()-4,"0000"))</f>
        <v/>
      </c>
      <c r="B847" s="38"/>
      <c r="C847" s="38"/>
      <c r="D847" s="6"/>
      <c r="E847" s="6"/>
      <c r="F847" s="6"/>
      <c r="G847" s="11"/>
      <c r="H847" s="18" t="str">
        <f aca="false">IF(AND(ISNUMBER(B847),ISNUMBER(C847)),MAX(0,C847-B847),"")</f>
        <v/>
      </c>
      <c r="I847" s="37"/>
      <c r="J847" s="41" t="str">
        <f aca="false">IF(OR(D847="",N(H847)=0),"",IFERROR(IF(I847&lt;&gt;"",H847*I847,ROUND(((H847-(INT((WEEKDAY(B847-6)+H847-1)/7)+INT((WEEKDAY(B847-7)+H847-1)/7)))*INDEX(Properties!$E$5:$E$24,MATCH(D847,Properties!$A$5:$A$24,0))+(INT((WEEKDAY(B847-6)+H847-1)/7)+INT((WEEKDAY(B847-7)+H847-1)/7))*INDEX(Properties!$F$5:$F$24,MATCH(D847,Properties!$A$5:$A$24,0)))*(1-IF(H847&gt;=28,Settings!$B$10,IF(H847&gt;=7,Settings!$B$9,0))),2)),0))</f>
        <v/>
      </c>
      <c r="K847" s="41" t="str">
        <f aca="false">IF(J847="","",IFERROR(N(INDEX(Properties!$G$5:$G$24,MATCH(D847,Properties!$A$5:$A$24,0))),0))</f>
        <v/>
      </c>
      <c r="L847" s="41" t="str">
        <f aca="false">IF(J847="","",IFERROR(MAX(0,N(G847)-INDEX(Properties!$I$5:$I$24,MATCH(D847,Properties!$A$5:$A$24,0)))*N(INDEX(Properties!$J$5:$J$24,MATCH(D847,Properties!$A$5:$A$24,0)))*H847,0))</f>
        <v/>
      </c>
      <c r="M847" s="37"/>
      <c r="N847" s="41" t="str">
        <f aca="false">IF(J847="","",J847+K847+L847+N(M847))</f>
        <v/>
      </c>
      <c r="O847" s="41" t="str">
        <f aca="false">IF(N847="","",IF(P847&lt;&gt;"",N847-P847,ROUND(N847*IFERROR(INDEX(Settings!$E$5:$E$12,MATCH(F847,Settings!$D$5:$D$12,0)),0),2)))</f>
        <v/>
      </c>
      <c r="P847" s="37"/>
      <c r="Q847" s="41" t="str">
        <f aca="false">IF(N847="","",IF(P847&lt;&gt;"",P847,N847-O847))</f>
        <v/>
      </c>
      <c r="R847" s="41" t="str">
        <f aca="false">IF(J847="","",IFERROR(N(INDEX(Properties!$H$5:$H$24,MATCH(D847,Properties!$A$5:$A$24,0))),0))</f>
        <v/>
      </c>
      <c r="S847" s="41" t="str">
        <f aca="false">IF(Q847="","",Q847-R847)</f>
        <v/>
      </c>
      <c r="T847" s="6"/>
      <c r="U847" s="6"/>
      <c r="V847" s="6"/>
      <c r="W847" s="6"/>
      <c r="X847" s="6"/>
      <c r="Y847" s="8" t="str">
        <f aca="false">IF(OR(D847="",B847="",C847=""),"",IF(N(C847)&lt;=N(B847),"Check dates",IF(T847="Cancelled","",IF(COUNTIFS($D$5:$D$1004,D847,$B$5:$B$1004,"&lt;"&amp;C847,$C$5:$C$1004,"&gt;"&amp;B847,$T$5:$T$1004,"&lt;&gt;Cancelled")&gt;1,"Double-booked",""))))</f>
        <v/>
      </c>
      <c r="Z847" s="42" t="str">
        <f aca="false">IF(AND(AA847=1,ISNUMBER(C847)),C847+ROW()/100000,"")</f>
        <v/>
      </c>
      <c r="AA847" s="43" t="n">
        <f aca="false">IF(AND(D847&lt;&gt;"",ISNUMBER(B847),ISNUMBER(C847),N(H847)&gt;0,T847&lt;&gt;"Cancelled",J847&lt;&gt;""),1,0)</f>
        <v>0</v>
      </c>
      <c r="AB847" s="44" t="n">
        <f aca="false">IF(AA847=1,J847/H847,0)</f>
        <v>0</v>
      </c>
      <c r="AC847" s="44" t="n">
        <f aca="false">IF(AA847=1,Q847/H847,0)</f>
        <v>0</v>
      </c>
      <c r="AD847" s="44" t="n">
        <f aca="false">IF(AA847=1,R847/H847,0)</f>
        <v>0</v>
      </c>
      <c r="AE847" s="44" t="n">
        <f aca="false">IF(AA847=1,O847/H847,0)</f>
        <v>0</v>
      </c>
      <c r="AF847" s="44" t="n">
        <f aca="false">IF(AA847=1,K847/H847,0)</f>
        <v>0</v>
      </c>
      <c r="AG847" s="45" t="str">
        <f aca="false">IF(AA847=1,D847&amp;"|"&amp;TEXT(B847,"0"),"")</f>
        <v/>
      </c>
      <c r="AH847" s="43" t="n">
        <f aca="false">IF(AA847=1,H847,0)</f>
        <v>0</v>
      </c>
    </row>
    <row r="848" customFormat="false" ht="15" hidden="false" customHeight="false" outlineLevel="0" collapsed="false">
      <c r="A848" s="23" t="str">
        <f aca="false">IF(B848="","","B-"&amp;TEXT(ROW()-4,"0000"))</f>
        <v/>
      </c>
      <c r="B848" s="38"/>
      <c r="C848" s="38"/>
      <c r="D848" s="6"/>
      <c r="E848" s="6"/>
      <c r="F848" s="6"/>
      <c r="G848" s="11"/>
      <c r="H848" s="24" t="str">
        <f aca="false">IF(AND(ISNUMBER(B848),ISNUMBER(C848)),MAX(0,C848-B848),"")</f>
        <v/>
      </c>
      <c r="I848" s="37"/>
      <c r="J848" s="46" t="str">
        <f aca="false">IF(OR(D848="",N(H848)=0),"",IFERROR(IF(I848&lt;&gt;"",H848*I848,ROUND(((H848-(INT((WEEKDAY(B848-6)+H848-1)/7)+INT((WEEKDAY(B848-7)+H848-1)/7)))*INDEX(Properties!$E$5:$E$24,MATCH(D848,Properties!$A$5:$A$24,0))+(INT((WEEKDAY(B848-6)+H848-1)/7)+INT((WEEKDAY(B848-7)+H848-1)/7))*INDEX(Properties!$F$5:$F$24,MATCH(D848,Properties!$A$5:$A$24,0)))*(1-IF(H848&gt;=28,Settings!$B$10,IF(H848&gt;=7,Settings!$B$9,0))),2)),0))</f>
        <v/>
      </c>
      <c r="K848" s="46" t="str">
        <f aca="false">IF(J848="","",IFERROR(N(INDEX(Properties!$G$5:$G$24,MATCH(D848,Properties!$A$5:$A$24,0))),0))</f>
        <v/>
      </c>
      <c r="L848" s="46" t="str">
        <f aca="false">IF(J848="","",IFERROR(MAX(0,N(G848)-INDEX(Properties!$I$5:$I$24,MATCH(D848,Properties!$A$5:$A$24,0)))*N(INDEX(Properties!$J$5:$J$24,MATCH(D848,Properties!$A$5:$A$24,0)))*H848,0))</f>
        <v/>
      </c>
      <c r="M848" s="37"/>
      <c r="N848" s="46" t="str">
        <f aca="false">IF(J848="","",J848+K848+L848+N(M848))</f>
        <v/>
      </c>
      <c r="O848" s="46" t="str">
        <f aca="false">IF(N848="","",IF(P848&lt;&gt;"",N848-P848,ROUND(N848*IFERROR(INDEX(Settings!$E$5:$E$12,MATCH(F848,Settings!$D$5:$D$12,0)),0),2)))</f>
        <v/>
      </c>
      <c r="P848" s="37"/>
      <c r="Q848" s="46" t="str">
        <f aca="false">IF(N848="","",IF(P848&lt;&gt;"",P848,N848-O848))</f>
        <v/>
      </c>
      <c r="R848" s="46" t="str">
        <f aca="false">IF(J848="","",IFERROR(N(INDEX(Properties!$H$5:$H$24,MATCH(D848,Properties!$A$5:$A$24,0))),0))</f>
        <v/>
      </c>
      <c r="S848" s="46" t="str">
        <f aca="false">IF(Q848="","",Q848-R848)</f>
        <v/>
      </c>
      <c r="T848" s="6"/>
      <c r="U848" s="6"/>
      <c r="V848" s="6"/>
      <c r="W848" s="6"/>
      <c r="X848" s="6"/>
      <c r="Y848" s="8" t="str">
        <f aca="false">IF(OR(D848="",B848="",C848=""),"",IF(N(C848)&lt;=N(B848),"Check dates",IF(T848="Cancelled","",IF(COUNTIFS($D$5:$D$1004,D848,$B$5:$B$1004,"&lt;"&amp;C848,$C$5:$C$1004,"&gt;"&amp;B848,$T$5:$T$1004,"&lt;&gt;Cancelled")&gt;1,"Double-booked",""))))</f>
        <v/>
      </c>
      <c r="Z848" s="42" t="str">
        <f aca="false">IF(AND(AA848=1,ISNUMBER(C848)),C848+ROW()/100000,"")</f>
        <v/>
      </c>
      <c r="AA848" s="43" t="n">
        <f aca="false">IF(AND(D848&lt;&gt;"",ISNUMBER(B848),ISNUMBER(C848),N(H848)&gt;0,T848&lt;&gt;"Cancelled",J848&lt;&gt;""),1,0)</f>
        <v>0</v>
      </c>
      <c r="AB848" s="44" t="n">
        <f aca="false">IF(AA848=1,J848/H848,0)</f>
        <v>0</v>
      </c>
      <c r="AC848" s="44" t="n">
        <f aca="false">IF(AA848=1,Q848/H848,0)</f>
        <v>0</v>
      </c>
      <c r="AD848" s="44" t="n">
        <f aca="false">IF(AA848=1,R848/H848,0)</f>
        <v>0</v>
      </c>
      <c r="AE848" s="44" t="n">
        <f aca="false">IF(AA848=1,O848/H848,0)</f>
        <v>0</v>
      </c>
      <c r="AF848" s="44" t="n">
        <f aca="false">IF(AA848=1,K848/H848,0)</f>
        <v>0</v>
      </c>
      <c r="AG848" s="45" t="str">
        <f aca="false">IF(AA848=1,D848&amp;"|"&amp;TEXT(B848,"0"),"")</f>
        <v/>
      </c>
      <c r="AH848" s="43" t="n">
        <f aca="false">IF(AA848=1,H848,0)</f>
        <v>0</v>
      </c>
    </row>
    <row r="849" customFormat="false" ht="15" hidden="false" customHeight="false" outlineLevel="0" collapsed="false">
      <c r="A849" s="8" t="str">
        <f aca="false">IF(B849="","","B-"&amp;TEXT(ROW()-4,"0000"))</f>
        <v/>
      </c>
      <c r="B849" s="38"/>
      <c r="C849" s="38"/>
      <c r="D849" s="6"/>
      <c r="E849" s="6"/>
      <c r="F849" s="6"/>
      <c r="G849" s="11"/>
      <c r="H849" s="18" t="str">
        <f aca="false">IF(AND(ISNUMBER(B849),ISNUMBER(C849)),MAX(0,C849-B849),"")</f>
        <v/>
      </c>
      <c r="I849" s="37"/>
      <c r="J849" s="41" t="str">
        <f aca="false">IF(OR(D849="",N(H849)=0),"",IFERROR(IF(I849&lt;&gt;"",H849*I849,ROUND(((H849-(INT((WEEKDAY(B849-6)+H849-1)/7)+INT((WEEKDAY(B849-7)+H849-1)/7)))*INDEX(Properties!$E$5:$E$24,MATCH(D849,Properties!$A$5:$A$24,0))+(INT((WEEKDAY(B849-6)+H849-1)/7)+INT((WEEKDAY(B849-7)+H849-1)/7))*INDEX(Properties!$F$5:$F$24,MATCH(D849,Properties!$A$5:$A$24,0)))*(1-IF(H849&gt;=28,Settings!$B$10,IF(H849&gt;=7,Settings!$B$9,0))),2)),0))</f>
        <v/>
      </c>
      <c r="K849" s="41" t="str">
        <f aca="false">IF(J849="","",IFERROR(N(INDEX(Properties!$G$5:$G$24,MATCH(D849,Properties!$A$5:$A$24,0))),0))</f>
        <v/>
      </c>
      <c r="L849" s="41" t="str">
        <f aca="false">IF(J849="","",IFERROR(MAX(0,N(G849)-INDEX(Properties!$I$5:$I$24,MATCH(D849,Properties!$A$5:$A$24,0)))*N(INDEX(Properties!$J$5:$J$24,MATCH(D849,Properties!$A$5:$A$24,0)))*H849,0))</f>
        <v/>
      </c>
      <c r="M849" s="37"/>
      <c r="N849" s="41" t="str">
        <f aca="false">IF(J849="","",J849+K849+L849+N(M849))</f>
        <v/>
      </c>
      <c r="O849" s="41" t="str">
        <f aca="false">IF(N849="","",IF(P849&lt;&gt;"",N849-P849,ROUND(N849*IFERROR(INDEX(Settings!$E$5:$E$12,MATCH(F849,Settings!$D$5:$D$12,0)),0),2)))</f>
        <v/>
      </c>
      <c r="P849" s="37"/>
      <c r="Q849" s="41" t="str">
        <f aca="false">IF(N849="","",IF(P849&lt;&gt;"",P849,N849-O849))</f>
        <v/>
      </c>
      <c r="R849" s="41" t="str">
        <f aca="false">IF(J849="","",IFERROR(N(INDEX(Properties!$H$5:$H$24,MATCH(D849,Properties!$A$5:$A$24,0))),0))</f>
        <v/>
      </c>
      <c r="S849" s="41" t="str">
        <f aca="false">IF(Q849="","",Q849-R849)</f>
        <v/>
      </c>
      <c r="T849" s="6"/>
      <c r="U849" s="6"/>
      <c r="V849" s="6"/>
      <c r="W849" s="6"/>
      <c r="X849" s="6"/>
      <c r="Y849" s="8" t="str">
        <f aca="false">IF(OR(D849="",B849="",C849=""),"",IF(N(C849)&lt;=N(B849),"Check dates",IF(T849="Cancelled","",IF(COUNTIFS($D$5:$D$1004,D849,$B$5:$B$1004,"&lt;"&amp;C849,$C$5:$C$1004,"&gt;"&amp;B849,$T$5:$T$1004,"&lt;&gt;Cancelled")&gt;1,"Double-booked",""))))</f>
        <v/>
      </c>
      <c r="Z849" s="42" t="str">
        <f aca="false">IF(AND(AA849=1,ISNUMBER(C849)),C849+ROW()/100000,"")</f>
        <v/>
      </c>
      <c r="AA849" s="43" t="n">
        <f aca="false">IF(AND(D849&lt;&gt;"",ISNUMBER(B849),ISNUMBER(C849),N(H849)&gt;0,T849&lt;&gt;"Cancelled",J849&lt;&gt;""),1,0)</f>
        <v>0</v>
      </c>
      <c r="AB849" s="44" t="n">
        <f aca="false">IF(AA849=1,J849/H849,0)</f>
        <v>0</v>
      </c>
      <c r="AC849" s="44" t="n">
        <f aca="false">IF(AA849=1,Q849/H849,0)</f>
        <v>0</v>
      </c>
      <c r="AD849" s="44" t="n">
        <f aca="false">IF(AA849=1,R849/H849,0)</f>
        <v>0</v>
      </c>
      <c r="AE849" s="44" t="n">
        <f aca="false">IF(AA849=1,O849/H849,0)</f>
        <v>0</v>
      </c>
      <c r="AF849" s="44" t="n">
        <f aca="false">IF(AA849=1,K849/H849,0)</f>
        <v>0</v>
      </c>
      <c r="AG849" s="45" t="str">
        <f aca="false">IF(AA849=1,D849&amp;"|"&amp;TEXT(B849,"0"),"")</f>
        <v/>
      </c>
      <c r="AH849" s="43" t="n">
        <f aca="false">IF(AA849=1,H849,0)</f>
        <v>0</v>
      </c>
    </row>
    <row r="850" customFormat="false" ht="15" hidden="false" customHeight="false" outlineLevel="0" collapsed="false">
      <c r="A850" s="23" t="str">
        <f aca="false">IF(B850="","","B-"&amp;TEXT(ROW()-4,"0000"))</f>
        <v/>
      </c>
      <c r="B850" s="38"/>
      <c r="C850" s="38"/>
      <c r="D850" s="6"/>
      <c r="E850" s="6"/>
      <c r="F850" s="6"/>
      <c r="G850" s="11"/>
      <c r="H850" s="24" t="str">
        <f aca="false">IF(AND(ISNUMBER(B850),ISNUMBER(C850)),MAX(0,C850-B850),"")</f>
        <v/>
      </c>
      <c r="I850" s="37"/>
      <c r="J850" s="46" t="str">
        <f aca="false">IF(OR(D850="",N(H850)=0),"",IFERROR(IF(I850&lt;&gt;"",H850*I850,ROUND(((H850-(INT((WEEKDAY(B850-6)+H850-1)/7)+INT((WEEKDAY(B850-7)+H850-1)/7)))*INDEX(Properties!$E$5:$E$24,MATCH(D850,Properties!$A$5:$A$24,0))+(INT((WEEKDAY(B850-6)+H850-1)/7)+INT((WEEKDAY(B850-7)+H850-1)/7))*INDEX(Properties!$F$5:$F$24,MATCH(D850,Properties!$A$5:$A$24,0)))*(1-IF(H850&gt;=28,Settings!$B$10,IF(H850&gt;=7,Settings!$B$9,0))),2)),0))</f>
        <v/>
      </c>
      <c r="K850" s="46" t="str">
        <f aca="false">IF(J850="","",IFERROR(N(INDEX(Properties!$G$5:$G$24,MATCH(D850,Properties!$A$5:$A$24,0))),0))</f>
        <v/>
      </c>
      <c r="L850" s="46" t="str">
        <f aca="false">IF(J850="","",IFERROR(MAX(0,N(G850)-INDEX(Properties!$I$5:$I$24,MATCH(D850,Properties!$A$5:$A$24,0)))*N(INDEX(Properties!$J$5:$J$24,MATCH(D850,Properties!$A$5:$A$24,0)))*H850,0))</f>
        <v/>
      </c>
      <c r="M850" s="37"/>
      <c r="N850" s="46" t="str">
        <f aca="false">IF(J850="","",J850+K850+L850+N(M850))</f>
        <v/>
      </c>
      <c r="O850" s="46" t="str">
        <f aca="false">IF(N850="","",IF(P850&lt;&gt;"",N850-P850,ROUND(N850*IFERROR(INDEX(Settings!$E$5:$E$12,MATCH(F850,Settings!$D$5:$D$12,0)),0),2)))</f>
        <v/>
      </c>
      <c r="P850" s="37"/>
      <c r="Q850" s="46" t="str">
        <f aca="false">IF(N850="","",IF(P850&lt;&gt;"",P850,N850-O850))</f>
        <v/>
      </c>
      <c r="R850" s="46" t="str">
        <f aca="false">IF(J850="","",IFERROR(N(INDEX(Properties!$H$5:$H$24,MATCH(D850,Properties!$A$5:$A$24,0))),0))</f>
        <v/>
      </c>
      <c r="S850" s="46" t="str">
        <f aca="false">IF(Q850="","",Q850-R850)</f>
        <v/>
      </c>
      <c r="T850" s="6"/>
      <c r="U850" s="6"/>
      <c r="V850" s="6"/>
      <c r="W850" s="6"/>
      <c r="X850" s="6"/>
      <c r="Y850" s="8" t="str">
        <f aca="false">IF(OR(D850="",B850="",C850=""),"",IF(N(C850)&lt;=N(B850),"Check dates",IF(T850="Cancelled","",IF(COUNTIFS($D$5:$D$1004,D850,$B$5:$B$1004,"&lt;"&amp;C850,$C$5:$C$1004,"&gt;"&amp;B850,$T$5:$T$1004,"&lt;&gt;Cancelled")&gt;1,"Double-booked",""))))</f>
        <v/>
      </c>
      <c r="Z850" s="42" t="str">
        <f aca="false">IF(AND(AA850=1,ISNUMBER(C850)),C850+ROW()/100000,"")</f>
        <v/>
      </c>
      <c r="AA850" s="43" t="n">
        <f aca="false">IF(AND(D850&lt;&gt;"",ISNUMBER(B850),ISNUMBER(C850),N(H850)&gt;0,T850&lt;&gt;"Cancelled",J850&lt;&gt;""),1,0)</f>
        <v>0</v>
      </c>
      <c r="AB850" s="44" t="n">
        <f aca="false">IF(AA850=1,J850/H850,0)</f>
        <v>0</v>
      </c>
      <c r="AC850" s="44" t="n">
        <f aca="false">IF(AA850=1,Q850/H850,0)</f>
        <v>0</v>
      </c>
      <c r="AD850" s="44" t="n">
        <f aca="false">IF(AA850=1,R850/H850,0)</f>
        <v>0</v>
      </c>
      <c r="AE850" s="44" t="n">
        <f aca="false">IF(AA850=1,O850/H850,0)</f>
        <v>0</v>
      </c>
      <c r="AF850" s="44" t="n">
        <f aca="false">IF(AA850=1,K850/H850,0)</f>
        <v>0</v>
      </c>
      <c r="AG850" s="45" t="str">
        <f aca="false">IF(AA850=1,D850&amp;"|"&amp;TEXT(B850,"0"),"")</f>
        <v/>
      </c>
      <c r="AH850" s="43" t="n">
        <f aca="false">IF(AA850=1,H850,0)</f>
        <v>0</v>
      </c>
    </row>
    <row r="851" customFormat="false" ht="15" hidden="false" customHeight="false" outlineLevel="0" collapsed="false">
      <c r="A851" s="8" t="str">
        <f aca="false">IF(B851="","","B-"&amp;TEXT(ROW()-4,"0000"))</f>
        <v/>
      </c>
      <c r="B851" s="38"/>
      <c r="C851" s="38"/>
      <c r="D851" s="6"/>
      <c r="E851" s="6"/>
      <c r="F851" s="6"/>
      <c r="G851" s="11"/>
      <c r="H851" s="18" t="str">
        <f aca="false">IF(AND(ISNUMBER(B851),ISNUMBER(C851)),MAX(0,C851-B851),"")</f>
        <v/>
      </c>
      <c r="I851" s="37"/>
      <c r="J851" s="41" t="str">
        <f aca="false">IF(OR(D851="",N(H851)=0),"",IFERROR(IF(I851&lt;&gt;"",H851*I851,ROUND(((H851-(INT((WEEKDAY(B851-6)+H851-1)/7)+INT((WEEKDAY(B851-7)+H851-1)/7)))*INDEX(Properties!$E$5:$E$24,MATCH(D851,Properties!$A$5:$A$24,0))+(INT((WEEKDAY(B851-6)+H851-1)/7)+INT((WEEKDAY(B851-7)+H851-1)/7))*INDEX(Properties!$F$5:$F$24,MATCH(D851,Properties!$A$5:$A$24,0)))*(1-IF(H851&gt;=28,Settings!$B$10,IF(H851&gt;=7,Settings!$B$9,0))),2)),0))</f>
        <v/>
      </c>
      <c r="K851" s="41" t="str">
        <f aca="false">IF(J851="","",IFERROR(N(INDEX(Properties!$G$5:$G$24,MATCH(D851,Properties!$A$5:$A$24,0))),0))</f>
        <v/>
      </c>
      <c r="L851" s="41" t="str">
        <f aca="false">IF(J851="","",IFERROR(MAX(0,N(G851)-INDEX(Properties!$I$5:$I$24,MATCH(D851,Properties!$A$5:$A$24,0)))*N(INDEX(Properties!$J$5:$J$24,MATCH(D851,Properties!$A$5:$A$24,0)))*H851,0))</f>
        <v/>
      </c>
      <c r="M851" s="37"/>
      <c r="N851" s="41" t="str">
        <f aca="false">IF(J851="","",J851+K851+L851+N(M851))</f>
        <v/>
      </c>
      <c r="O851" s="41" t="str">
        <f aca="false">IF(N851="","",IF(P851&lt;&gt;"",N851-P851,ROUND(N851*IFERROR(INDEX(Settings!$E$5:$E$12,MATCH(F851,Settings!$D$5:$D$12,0)),0),2)))</f>
        <v/>
      </c>
      <c r="P851" s="37"/>
      <c r="Q851" s="41" t="str">
        <f aca="false">IF(N851="","",IF(P851&lt;&gt;"",P851,N851-O851))</f>
        <v/>
      </c>
      <c r="R851" s="41" t="str">
        <f aca="false">IF(J851="","",IFERROR(N(INDEX(Properties!$H$5:$H$24,MATCH(D851,Properties!$A$5:$A$24,0))),0))</f>
        <v/>
      </c>
      <c r="S851" s="41" t="str">
        <f aca="false">IF(Q851="","",Q851-R851)</f>
        <v/>
      </c>
      <c r="T851" s="6"/>
      <c r="U851" s="6"/>
      <c r="V851" s="6"/>
      <c r="W851" s="6"/>
      <c r="X851" s="6"/>
      <c r="Y851" s="8" t="str">
        <f aca="false">IF(OR(D851="",B851="",C851=""),"",IF(N(C851)&lt;=N(B851),"Check dates",IF(T851="Cancelled","",IF(COUNTIFS($D$5:$D$1004,D851,$B$5:$B$1004,"&lt;"&amp;C851,$C$5:$C$1004,"&gt;"&amp;B851,$T$5:$T$1004,"&lt;&gt;Cancelled")&gt;1,"Double-booked",""))))</f>
        <v/>
      </c>
      <c r="Z851" s="42" t="str">
        <f aca="false">IF(AND(AA851=1,ISNUMBER(C851)),C851+ROW()/100000,"")</f>
        <v/>
      </c>
      <c r="AA851" s="43" t="n">
        <f aca="false">IF(AND(D851&lt;&gt;"",ISNUMBER(B851),ISNUMBER(C851),N(H851)&gt;0,T851&lt;&gt;"Cancelled",J851&lt;&gt;""),1,0)</f>
        <v>0</v>
      </c>
      <c r="AB851" s="44" t="n">
        <f aca="false">IF(AA851=1,J851/H851,0)</f>
        <v>0</v>
      </c>
      <c r="AC851" s="44" t="n">
        <f aca="false">IF(AA851=1,Q851/H851,0)</f>
        <v>0</v>
      </c>
      <c r="AD851" s="44" t="n">
        <f aca="false">IF(AA851=1,R851/H851,0)</f>
        <v>0</v>
      </c>
      <c r="AE851" s="44" t="n">
        <f aca="false">IF(AA851=1,O851/H851,0)</f>
        <v>0</v>
      </c>
      <c r="AF851" s="44" t="n">
        <f aca="false">IF(AA851=1,K851/H851,0)</f>
        <v>0</v>
      </c>
      <c r="AG851" s="45" t="str">
        <f aca="false">IF(AA851=1,D851&amp;"|"&amp;TEXT(B851,"0"),"")</f>
        <v/>
      </c>
      <c r="AH851" s="43" t="n">
        <f aca="false">IF(AA851=1,H851,0)</f>
        <v>0</v>
      </c>
    </row>
    <row r="852" customFormat="false" ht="15" hidden="false" customHeight="false" outlineLevel="0" collapsed="false">
      <c r="A852" s="23" t="str">
        <f aca="false">IF(B852="","","B-"&amp;TEXT(ROW()-4,"0000"))</f>
        <v/>
      </c>
      <c r="B852" s="38"/>
      <c r="C852" s="38"/>
      <c r="D852" s="6"/>
      <c r="E852" s="6"/>
      <c r="F852" s="6"/>
      <c r="G852" s="11"/>
      <c r="H852" s="24" t="str">
        <f aca="false">IF(AND(ISNUMBER(B852),ISNUMBER(C852)),MAX(0,C852-B852),"")</f>
        <v/>
      </c>
      <c r="I852" s="37"/>
      <c r="J852" s="46" t="str">
        <f aca="false">IF(OR(D852="",N(H852)=0),"",IFERROR(IF(I852&lt;&gt;"",H852*I852,ROUND(((H852-(INT((WEEKDAY(B852-6)+H852-1)/7)+INT((WEEKDAY(B852-7)+H852-1)/7)))*INDEX(Properties!$E$5:$E$24,MATCH(D852,Properties!$A$5:$A$24,0))+(INT((WEEKDAY(B852-6)+H852-1)/7)+INT((WEEKDAY(B852-7)+H852-1)/7))*INDEX(Properties!$F$5:$F$24,MATCH(D852,Properties!$A$5:$A$24,0)))*(1-IF(H852&gt;=28,Settings!$B$10,IF(H852&gt;=7,Settings!$B$9,0))),2)),0))</f>
        <v/>
      </c>
      <c r="K852" s="46" t="str">
        <f aca="false">IF(J852="","",IFERROR(N(INDEX(Properties!$G$5:$G$24,MATCH(D852,Properties!$A$5:$A$24,0))),0))</f>
        <v/>
      </c>
      <c r="L852" s="46" t="str">
        <f aca="false">IF(J852="","",IFERROR(MAX(0,N(G852)-INDEX(Properties!$I$5:$I$24,MATCH(D852,Properties!$A$5:$A$24,0)))*N(INDEX(Properties!$J$5:$J$24,MATCH(D852,Properties!$A$5:$A$24,0)))*H852,0))</f>
        <v/>
      </c>
      <c r="M852" s="37"/>
      <c r="N852" s="46" t="str">
        <f aca="false">IF(J852="","",J852+K852+L852+N(M852))</f>
        <v/>
      </c>
      <c r="O852" s="46" t="str">
        <f aca="false">IF(N852="","",IF(P852&lt;&gt;"",N852-P852,ROUND(N852*IFERROR(INDEX(Settings!$E$5:$E$12,MATCH(F852,Settings!$D$5:$D$12,0)),0),2)))</f>
        <v/>
      </c>
      <c r="P852" s="37"/>
      <c r="Q852" s="46" t="str">
        <f aca="false">IF(N852="","",IF(P852&lt;&gt;"",P852,N852-O852))</f>
        <v/>
      </c>
      <c r="R852" s="46" t="str">
        <f aca="false">IF(J852="","",IFERROR(N(INDEX(Properties!$H$5:$H$24,MATCH(D852,Properties!$A$5:$A$24,0))),0))</f>
        <v/>
      </c>
      <c r="S852" s="46" t="str">
        <f aca="false">IF(Q852="","",Q852-R852)</f>
        <v/>
      </c>
      <c r="T852" s="6"/>
      <c r="U852" s="6"/>
      <c r="V852" s="6"/>
      <c r="W852" s="6"/>
      <c r="X852" s="6"/>
      <c r="Y852" s="8" t="str">
        <f aca="false">IF(OR(D852="",B852="",C852=""),"",IF(N(C852)&lt;=N(B852),"Check dates",IF(T852="Cancelled","",IF(COUNTIFS($D$5:$D$1004,D852,$B$5:$B$1004,"&lt;"&amp;C852,$C$5:$C$1004,"&gt;"&amp;B852,$T$5:$T$1004,"&lt;&gt;Cancelled")&gt;1,"Double-booked",""))))</f>
        <v/>
      </c>
      <c r="Z852" s="42" t="str">
        <f aca="false">IF(AND(AA852=1,ISNUMBER(C852)),C852+ROW()/100000,"")</f>
        <v/>
      </c>
      <c r="AA852" s="43" t="n">
        <f aca="false">IF(AND(D852&lt;&gt;"",ISNUMBER(B852),ISNUMBER(C852),N(H852)&gt;0,T852&lt;&gt;"Cancelled",J852&lt;&gt;""),1,0)</f>
        <v>0</v>
      </c>
      <c r="AB852" s="44" t="n">
        <f aca="false">IF(AA852=1,J852/H852,0)</f>
        <v>0</v>
      </c>
      <c r="AC852" s="44" t="n">
        <f aca="false">IF(AA852=1,Q852/H852,0)</f>
        <v>0</v>
      </c>
      <c r="AD852" s="44" t="n">
        <f aca="false">IF(AA852=1,R852/H852,0)</f>
        <v>0</v>
      </c>
      <c r="AE852" s="44" t="n">
        <f aca="false">IF(AA852=1,O852/H852,0)</f>
        <v>0</v>
      </c>
      <c r="AF852" s="44" t="n">
        <f aca="false">IF(AA852=1,K852/H852,0)</f>
        <v>0</v>
      </c>
      <c r="AG852" s="45" t="str">
        <f aca="false">IF(AA852=1,D852&amp;"|"&amp;TEXT(B852,"0"),"")</f>
        <v/>
      </c>
      <c r="AH852" s="43" t="n">
        <f aca="false">IF(AA852=1,H852,0)</f>
        <v>0</v>
      </c>
    </row>
    <row r="853" customFormat="false" ht="15" hidden="false" customHeight="false" outlineLevel="0" collapsed="false">
      <c r="A853" s="8" t="str">
        <f aca="false">IF(B853="","","B-"&amp;TEXT(ROW()-4,"0000"))</f>
        <v/>
      </c>
      <c r="B853" s="38"/>
      <c r="C853" s="38"/>
      <c r="D853" s="6"/>
      <c r="E853" s="6"/>
      <c r="F853" s="6"/>
      <c r="G853" s="11"/>
      <c r="H853" s="18" t="str">
        <f aca="false">IF(AND(ISNUMBER(B853),ISNUMBER(C853)),MAX(0,C853-B853),"")</f>
        <v/>
      </c>
      <c r="I853" s="37"/>
      <c r="J853" s="41" t="str">
        <f aca="false">IF(OR(D853="",N(H853)=0),"",IFERROR(IF(I853&lt;&gt;"",H853*I853,ROUND(((H853-(INT((WEEKDAY(B853-6)+H853-1)/7)+INT((WEEKDAY(B853-7)+H853-1)/7)))*INDEX(Properties!$E$5:$E$24,MATCH(D853,Properties!$A$5:$A$24,0))+(INT((WEEKDAY(B853-6)+H853-1)/7)+INT((WEEKDAY(B853-7)+H853-1)/7))*INDEX(Properties!$F$5:$F$24,MATCH(D853,Properties!$A$5:$A$24,0)))*(1-IF(H853&gt;=28,Settings!$B$10,IF(H853&gt;=7,Settings!$B$9,0))),2)),0))</f>
        <v/>
      </c>
      <c r="K853" s="41" t="str">
        <f aca="false">IF(J853="","",IFERROR(N(INDEX(Properties!$G$5:$G$24,MATCH(D853,Properties!$A$5:$A$24,0))),0))</f>
        <v/>
      </c>
      <c r="L853" s="41" t="str">
        <f aca="false">IF(J853="","",IFERROR(MAX(0,N(G853)-INDEX(Properties!$I$5:$I$24,MATCH(D853,Properties!$A$5:$A$24,0)))*N(INDEX(Properties!$J$5:$J$24,MATCH(D853,Properties!$A$5:$A$24,0)))*H853,0))</f>
        <v/>
      </c>
      <c r="M853" s="37"/>
      <c r="N853" s="41" t="str">
        <f aca="false">IF(J853="","",J853+K853+L853+N(M853))</f>
        <v/>
      </c>
      <c r="O853" s="41" t="str">
        <f aca="false">IF(N853="","",IF(P853&lt;&gt;"",N853-P853,ROUND(N853*IFERROR(INDEX(Settings!$E$5:$E$12,MATCH(F853,Settings!$D$5:$D$12,0)),0),2)))</f>
        <v/>
      </c>
      <c r="P853" s="37"/>
      <c r="Q853" s="41" t="str">
        <f aca="false">IF(N853="","",IF(P853&lt;&gt;"",P853,N853-O853))</f>
        <v/>
      </c>
      <c r="R853" s="41" t="str">
        <f aca="false">IF(J853="","",IFERROR(N(INDEX(Properties!$H$5:$H$24,MATCH(D853,Properties!$A$5:$A$24,0))),0))</f>
        <v/>
      </c>
      <c r="S853" s="41" t="str">
        <f aca="false">IF(Q853="","",Q853-R853)</f>
        <v/>
      </c>
      <c r="T853" s="6"/>
      <c r="U853" s="6"/>
      <c r="V853" s="6"/>
      <c r="W853" s="6"/>
      <c r="X853" s="6"/>
      <c r="Y853" s="8" t="str">
        <f aca="false">IF(OR(D853="",B853="",C853=""),"",IF(N(C853)&lt;=N(B853),"Check dates",IF(T853="Cancelled","",IF(COUNTIFS($D$5:$D$1004,D853,$B$5:$B$1004,"&lt;"&amp;C853,$C$5:$C$1004,"&gt;"&amp;B853,$T$5:$T$1004,"&lt;&gt;Cancelled")&gt;1,"Double-booked",""))))</f>
        <v/>
      </c>
      <c r="Z853" s="42" t="str">
        <f aca="false">IF(AND(AA853=1,ISNUMBER(C853)),C853+ROW()/100000,"")</f>
        <v/>
      </c>
      <c r="AA853" s="43" t="n">
        <f aca="false">IF(AND(D853&lt;&gt;"",ISNUMBER(B853),ISNUMBER(C853),N(H853)&gt;0,T853&lt;&gt;"Cancelled",J853&lt;&gt;""),1,0)</f>
        <v>0</v>
      </c>
      <c r="AB853" s="44" t="n">
        <f aca="false">IF(AA853=1,J853/H853,0)</f>
        <v>0</v>
      </c>
      <c r="AC853" s="44" t="n">
        <f aca="false">IF(AA853=1,Q853/H853,0)</f>
        <v>0</v>
      </c>
      <c r="AD853" s="44" t="n">
        <f aca="false">IF(AA853=1,R853/H853,0)</f>
        <v>0</v>
      </c>
      <c r="AE853" s="44" t="n">
        <f aca="false">IF(AA853=1,O853/H853,0)</f>
        <v>0</v>
      </c>
      <c r="AF853" s="44" t="n">
        <f aca="false">IF(AA853=1,K853/H853,0)</f>
        <v>0</v>
      </c>
      <c r="AG853" s="45" t="str">
        <f aca="false">IF(AA853=1,D853&amp;"|"&amp;TEXT(B853,"0"),"")</f>
        <v/>
      </c>
      <c r="AH853" s="43" t="n">
        <f aca="false">IF(AA853=1,H853,0)</f>
        <v>0</v>
      </c>
    </row>
    <row r="854" customFormat="false" ht="15" hidden="false" customHeight="false" outlineLevel="0" collapsed="false">
      <c r="A854" s="23" t="str">
        <f aca="false">IF(B854="","","B-"&amp;TEXT(ROW()-4,"0000"))</f>
        <v/>
      </c>
      <c r="B854" s="38"/>
      <c r="C854" s="38"/>
      <c r="D854" s="6"/>
      <c r="E854" s="6"/>
      <c r="F854" s="6"/>
      <c r="G854" s="11"/>
      <c r="H854" s="24" t="str">
        <f aca="false">IF(AND(ISNUMBER(B854),ISNUMBER(C854)),MAX(0,C854-B854),"")</f>
        <v/>
      </c>
      <c r="I854" s="37"/>
      <c r="J854" s="46" t="str">
        <f aca="false">IF(OR(D854="",N(H854)=0),"",IFERROR(IF(I854&lt;&gt;"",H854*I854,ROUND(((H854-(INT((WEEKDAY(B854-6)+H854-1)/7)+INT((WEEKDAY(B854-7)+H854-1)/7)))*INDEX(Properties!$E$5:$E$24,MATCH(D854,Properties!$A$5:$A$24,0))+(INT((WEEKDAY(B854-6)+H854-1)/7)+INT((WEEKDAY(B854-7)+H854-1)/7))*INDEX(Properties!$F$5:$F$24,MATCH(D854,Properties!$A$5:$A$24,0)))*(1-IF(H854&gt;=28,Settings!$B$10,IF(H854&gt;=7,Settings!$B$9,0))),2)),0))</f>
        <v/>
      </c>
      <c r="K854" s="46" t="str">
        <f aca="false">IF(J854="","",IFERROR(N(INDEX(Properties!$G$5:$G$24,MATCH(D854,Properties!$A$5:$A$24,0))),0))</f>
        <v/>
      </c>
      <c r="L854" s="46" t="str">
        <f aca="false">IF(J854="","",IFERROR(MAX(0,N(G854)-INDEX(Properties!$I$5:$I$24,MATCH(D854,Properties!$A$5:$A$24,0)))*N(INDEX(Properties!$J$5:$J$24,MATCH(D854,Properties!$A$5:$A$24,0)))*H854,0))</f>
        <v/>
      </c>
      <c r="M854" s="37"/>
      <c r="N854" s="46" t="str">
        <f aca="false">IF(J854="","",J854+K854+L854+N(M854))</f>
        <v/>
      </c>
      <c r="O854" s="46" t="str">
        <f aca="false">IF(N854="","",IF(P854&lt;&gt;"",N854-P854,ROUND(N854*IFERROR(INDEX(Settings!$E$5:$E$12,MATCH(F854,Settings!$D$5:$D$12,0)),0),2)))</f>
        <v/>
      </c>
      <c r="P854" s="37"/>
      <c r="Q854" s="46" t="str">
        <f aca="false">IF(N854="","",IF(P854&lt;&gt;"",P854,N854-O854))</f>
        <v/>
      </c>
      <c r="R854" s="46" t="str">
        <f aca="false">IF(J854="","",IFERROR(N(INDEX(Properties!$H$5:$H$24,MATCH(D854,Properties!$A$5:$A$24,0))),0))</f>
        <v/>
      </c>
      <c r="S854" s="46" t="str">
        <f aca="false">IF(Q854="","",Q854-R854)</f>
        <v/>
      </c>
      <c r="T854" s="6"/>
      <c r="U854" s="6"/>
      <c r="V854" s="6"/>
      <c r="W854" s="6"/>
      <c r="X854" s="6"/>
      <c r="Y854" s="8" t="str">
        <f aca="false">IF(OR(D854="",B854="",C854=""),"",IF(N(C854)&lt;=N(B854),"Check dates",IF(T854="Cancelled","",IF(COUNTIFS($D$5:$D$1004,D854,$B$5:$B$1004,"&lt;"&amp;C854,$C$5:$C$1004,"&gt;"&amp;B854,$T$5:$T$1004,"&lt;&gt;Cancelled")&gt;1,"Double-booked",""))))</f>
        <v/>
      </c>
      <c r="Z854" s="42" t="str">
        <f aca="false">IF(AND(AA854=1,ISNUMBER(C854)),C854+ROW()/100000,"")</f>
        <v/>
      </c>
      <c r="AA854" s="43" t="n">
        <f aca="false">IF(AND(D854&lt;&gt;"",ISNUMBER(B854),ISNUMBER(C854),N(H854)&gt;0,T854&lt;&gt;"Cancelled",J854&lt;&gt;""),1,0)</f>
        <v>0</v>
      </c>
      <c r="AB854" s="44" t="n">
        <f aca="false">IF(AA854=1,J854/H854,0)</f>
        <v>0</v>
      </c>
      <c r="AC854" s="44" t="n">
        <f aca="false">IF(AA854=1,Q854/H854,0)</f>
        <v>0</v>
      </c>
      <c r="AD854" s="44" t="n">
        <f aca="false">IF(AA854=1,R854/H854,0)</f>
        <v>0</v>
      </c>
      <c r="AE854" s="44" t="n">
        <f aca="false">IF(AA854=1,O854/H854,0)</f>
        <v>0</v>
      </c>
      <c r="AF854" s="44" t="n">
        <f aca="false">IF(AA854=1,K854/H854,0)</f>
        <v>0</v>
      </c>
      <c r="AG854" s="45" t="str">
        <f aca="false">IF(AA854=1,D854&amp;"|"&amp;TEXT(B854,"0"),"")</f>
        <v/>
      </c>
      <c r="AH854" s="43" t="n">
        <f aca="false">IF(AA854=1,H854,0)</f>
        <v>0</v>
      </c>
    </row>
    <row r="855" customFormat="false" ht="15" hidden="false" customHeight="false" outlineLevel="0" collapsed="false">
      <c r="A855" s="8" t="str">
        <f aca="false">IF(B855="","","B-"&amp;TEXT(ROW()-4,"0000"))</f>
        <v/>
      </c>
      <c r="B855" s="38"/>
      <c r="C855" s="38"/>
      <c r="D855" s="6"/>
      <c r="E855" s="6"/>
      <c r="F855" s="6"/>
      <c r="G855" s="11"/>
      <c r="H855" s="18" t="str">
        <f aca="false">IF(AND(ISNUMBER(B855),ISNUMBER(C855)),MAX(0,C855-B855),"")</f>
        <v/>
      </c>
      <c r="I855" s="37"/>
      <c r="J855" s="41" t="str">
        <f aca="false">IF(OR(D855="",N(H855)=0),"",IFERROR(IF(I855&lt;&gt;"",H855*I855,ROUND(((H855-(INT((WEEKDAY(B855-6)+H855-1)/7)+INT((WEEKDAY(B855-7)+H855-1)/7)))*INDEX(Properties!$E$5:$E$24,MATCH(D855,Properties!$A$5:$A$24,0))+(INT((WEEKDAY(B855-6)+H855-1)/7)+INT((WEEKDAY(B855-7)+H855-1)/7))*INDEX(Properties!$F$5:$F$24,MATCH(D855,Properties!$A$5:$A$24,0)))*(1-IF(H855&gt;=28,Settings!$B$10,IF(H855&gt;=7,Settings!$B$9,0))),2)),0))</f>
        <v/>
      </c>
      <c r="K855" s="41" t="str">
        <f aca="false">IF(J855="","",IFERROR(N(INDEX(Properties!$G$5:$G$24,MATCH(D855,Properties!$A$5:$A$24,0))),0))</f>
        <v/>
      </c>
      <c r="L855" s="41" t="str">
        <f aca="false">IF(J855="","",IFERROR(MAX(0,N(G855)-INDEX(Properties!$I$5:$I$24,MATCH(D855,Properties!$A$5:$A$24,0)))*N(INDEX(Properties!$J$5:$J$24,MATCH(D855,Properties!$A$5:$A$24,0)))*H855,0))</f>
        <v/>
      </c>
      <c r="M855" s="37"/>
      <c r="N855" s="41" t="str">
        <f aca="false">IF(J855="","",J855+K855+L855+N(M855))</f>
        <v/>
      </c>
      <c r="O855" s="41" t="str">
        <f aca="false">IF(N855="","",IF(P855&lt;&gt;"",N855-P855,ROUND(N855*IFERROR(INDEX(Settings!$E$5:$E$12,MATCH(F855,Settings!$D$5:$D$12,0)),0),2)))</f>
        <v/>
      </c>
      <c r="P855" s="37"/>
      <c r="Q855" s="41" t="str">
        <f aca="false">IF(N855="","",IF(P855&lt;&gt;"",P855,N855-O855))</f>
        <v/>
      </c>
      <c r="R855" s="41" t="str">
        <f aca="false">IF(J855="","",IFERROR(N(INDEX(Properties!$H$5:$H$24,MATCH(D855,Properties!$A$5:$A$24,0))),0))</f>
        <v/>
      </c>
      <c r="S855" s="41" t="str">
        <f aca="false">IF(Q855="","",Q855-R855)</f>
        <v/>
      </c>
      <c r="T855" s="6"/>
      <c r="U855" s="6"/>
      <c r="V855" s="6"/>
      <c r="W855" s="6"/>
      <c r="X855" s="6"/>
      <c r="Y855" s="8" t="str">
        <f aca="false">IF(OR(D855="",B855="",C855=""),"",IF(N(C855)&lt;=N(B855),"Check dates",IF(T855="Cancelled","",IF(COUNTIFS($D$5:$D$1004,D855,$B$5:$B$1004,"&lt;"&amp;C855,$C$5:$C$1004,"&gt;"&amp;B855,$T$5:$T$1004,"&lt;&gt;Cancelled")&gt;1,"Double-booked",""))))</f>
        <v/>
      </c>
      <c r="Z855" s="42" t="str">
        <f aca="false">IF(AND(AA855=1,ISNUMBER(C855)),C855+ROW()/100000,"")</f>
        <v/>
      </c>
      <c r="AA855" s="43" t="n">
        <f aca="false">IF(AND(D855&lt;&gt;"",ISNUMBER(B855),ISNUMBER(C855),N(H855)&gt;0,T855&lt;&gt;"Cancelled",J855&lt;&gt;""),1,0)</f>
        <v>0</v>
      </c>
      <c r="AB855" s="44" t="n">
        <f aca="false">IF(AA855=1,J855/H855,0)</f>
        <v>0</v>
      </c>
      <c r="AC855" s="44" t="n">
        <f aca="false">IF(AA855=1,Q855/H855,0)</f>
        <v>0</v>
      </c>
      <c r="AD855" s="44" t="n">
        <f aca="false">IF(AA855=1,R855/H855,0)</f>
        <v>0</v>
      </c>
      <c r="AE855" s="44" t="n">
        <f aca="false">IF(AA855=1,O855/H855,0)</f>
        <v>0</v>
      </c>
      <c r="AF855" s="44" t="n">
        <f aca="false">IF(AA855=1,K855/H855,0)</f>
        <v>0</v>
      </c>
      <c r="AG855" s="45" t="str">
        <f aca="false">IF(AA855=1,D855&amp;"|"&amp;TEXT(B855,"0"),"")</f>
        <v/>
      </c>
      <c r="AH855" s="43" t="n">
        <f aca="false">IF(AA855=1,H855,0)</f>
        <v>0</v>
      </c>
    </row>
    <row r="856" customFormat="false" ht="15" hidden="false" customHeight="false" outlineLevel="0" collapsed="false">
      <c r="A856" s="23" t="str">
        <f aca="false">IF(B856="","","B-"&amp;TEXT(ROW()-4,"0000"))</f>
        <v/>
      </c>
      <c r="B856" s="38"/>
      <c r="C856" s="38"/>
      <c r="D856" s="6"/>
      <c r="E856" s="6"/>
      <c r="F856" s="6"/>
      <c r="G856" s="11"/>
      <c r="H856" s="24" t="str">
        <f aca="false">IF(AND(ISNUMBER(B856),ISNUMBER(C856)),MAX(0,C856-B856),"")</f>
        <v/>
      </c>
      <c r="I856" s="37"/>
      <c r="J856" s="46" t="str">
        <f aca="false">IF(OR(D856="",N(H856)=0),"",IFERROR(IF(I856&lt;&gt;"",H856*I856,ROUND(((H856-(INT((WEEKDAY(B856-6)+H856-1)/7)+INT((WEEKDAY(B856-7)+H856-1)/7)))*INDEX(Properties!$E$5:$E$24,MATCH(D856,Properties!$A$5:$A$24,0))+(INT((WEEKDAY(B856-6)+H856-1)/7)+INT((WEEKDAY(B856-7)+H856-1)/7))*INDEX(Properties!$F$5:$F$24,MATCH(D856,Properties!$A$5:$A$24,0)))*(1-IF(H856&gt;=28,Settings!$B$10,IF(H856&gt;=7,Settings!$B$9,0))),2)),0))</f>
        <v/>
      </c>
      <c r="K856" s="46" t="str">
        <f aca="false">IF(J856="","",IFERROR(N(INDEX(Properties!$G$5:$G$24,MATCH(D856,Properties!$A$5:$A$24,0))),0))</f>
        <v/>
      </c>
      <c r="L856" s="46" t="str">
        <f aca="false">IF(J856="","",IFERROR(MAX(0,N(G856)-INDEX(Properties!$I$5:$I$24,MATCH(D856,Properties!$A$5:$A$24,0)))*N(INDEX(Properties!$J$5:$J$24,MATCH(D856,Properties!$A$5:$A$24,0)))*H856,0))</f>
        <v/>
      </c>
      <c r="M856" s="37"/>
      <c r="N856" s="46" t="str">
        <f aca="false">IF(J856="","",J856+K856+L856+N(M856))</f>
        <v/>
      </c>
      <c r="O856" s="46" t="str">
        <f aca="false">IF(N856="","",IF(P856&lt;&gt;"",N856-P856,ROUND(N856*IFERROR(INDEX(Settings!$E$5:$E$12,MATCH(F856,Settings!$D$5:$D$12,0)),0),2)))</f>
        <v/>
      </c>
      <c r="P856" s="37"/>
      <c r="Q856" s="46" t="str">
        <f aca="false">IF(N856="","",IF(P856&lt;&gt;"",P856,N856-O856))</f>
        <v/>
      </c>
      <c r="R856" s="46" t="str">
        <f aca="false">IF(J856="","",IFERROR(N(INDEX(Properties!$H$5:$H$24,MATCH(D856,Properties!$A$5:$A$24,0))),0))</f>
        <v/>
      </c>
      <c r="S856" s="46" t="str">
        <f aca="false">IF(Q856="","",Q856-R856)</f>
        <v/>
      </c>
      <c r="T856" s="6"/>
      <c r="U856" s="6"/>
      <c r="V856" s="6"/>
      <c r="W856" s="6"/>
      <c r="X856" s="6"/>
      <c r="Y856" s="8" t="str">
        <f aca="false">IF(OR(D856="",B856="",C856=""),"",IF(N(C856)&lt;=N(B856),"Check dates",IF(T856="Cancelled","",IF(COUNTIFS($D$5:$D$1004,D856,$B$5:$B$1004,"&lt;"&amp;C856,$C$5:$C$1004,"&gt;"&amp;B856,$T$5:$T$1004,"&lt;&gt;Cancelled")&gt;1,"Double-booked",""))))</f>
        <v/>
      </c>
      <c r="Z856" s="42" t="str">
        <f aca="false">IF(AND(AA856=1,ISNUMBER(C856)),C856+ROW()/100000,"")</f>
        <v/>
      </c>
      <c r="AA856" s="43" t="n">
        <f aca="false">IF(AND(D856&lt;&gt;"",ISNUMBER(B856),ISNUMBER(C856),N(H856)&gt;0,T856&lt;&gt;"Cancelled",J856&lt;&gt;""),1,0)</f>
        <v>0</v>
      </c>
      <c r="AB856" s="44" t="n">
        <f aca="false">IF(AA856=1,J856/H856,0)</f>
        <v>0</v>
      </c>
      <c r="AC856" s="44" t="n">
        <f aca="false">IF(AA856=1,Q856/H856,0)</f>
        <v>0</v>
      </c>
      <c r="AD856" s="44" t="n">
        <f aca="false">IF(AA856=1,R856/H856,0)</f>
        <v>0</v>
      </c>
      <c r="AE856" s="44" t="n">
        <f aca="false">IF(AA856=1,O856/H856,0)</f>
        <v>0</v>
      </c>
      <c r="AF856" s="44" t="n">
        <f aca="false">IF(AA856=1,K856/H856,0)</f>
        <v>0</v>
      </c>
      <c r="AG856" s="45" t="str">
        <f aca="false">IF(AA856=1,D856&amp;"|"&amp;TEXT(B856,"0"),"")</f>
        <v/>
      </c>
      <c r="AH856" s="43" t="n">
        <f aca="false">IF(AA856=1,H856,0)</f>
        <v>0</v>
      </c>
    </row>
    <row r="857" customFormat="false" ht="15" hidden="false" customHeight="false" outlineLevel="0" collapsed="false">
      <c r="A857" s="8" t="str">
        <f aca="false">IF(B857="","","B-"&amp;TEXT(ROW()-4,"0000"))</f>
        <v/>
      </c>
      <c r="B857" s="38"/>
      <c r="C857" s="38"/>
      <c r="D857" s="6"/>
      <c r="E857" s="6"/>
      <c r="F857" s="6"/>
      <c r="G857" s="11"/>
      <c r="H857" s="18" t="str">
        <f aca="false">IF(AND(ISNUMBER(B857),ISNUMBER(C857)),MAX(0,C857-B857),"")</f>
        <v/>
      </c>
      <c r="I857" s="37"/>
      <c r="J857" s="41" t="str">
        <f aca="false">IF(OR(D857="",N(H857)=0),"",IFERROR(IF(I857&lt;&gt;"",H857*I857,ROUND(((H857-(INT((WEEKDAY(B857-6)+H857-1)/7)+INT((WEEKDAY(B857-7)+H857-1)/7)))*INDEX(Properties!$E$5:$E$24,MATCH(D857,Properties!$A$5:$A$24,0))+(INT((WEEKDAY(B857-6)+H857-1)/7)+INT((WEEKDAY(B857-7)+H857-1)/7))*INDEX(Properties!$F$5:$F$24,MATCH(D857,Properties!$A$5:$A$24,0)))*(1-IF(H857&gt;=28,Settings!$B$10,IF(H857&gt;=7,Settings!$B$9,0))),2)),0))</f>
        <v/>
      </c>
      <c r="K857" s="41" t="str">
        <f aca="false">IF(J857="","",IFERROR(N(INDEX(Properties!$G$5:$G$24,MATCH(D857,Properties!$A$5:$A$24,0))),0))</f>
        <v/>
      </c>
      <c r="L857" s="41" t="str">
        <f aca="false">IF(J857="","",IFERROR(MAX(0,N(G857)-INDEX(Properties!$I$5:$I$24,MATCH(D857,Properties!$A$5:$A$24,0)))*N(INDEX(Properties!$J$5:$J$24,MATCH(D857,Properties!$A$5:$A$24,0)))*H857,0))</f>
        <v/>
      </c>
      <c r="M857" s="37"/>
      <c r="N857" s="41" t="str">
        <f aca="false">IF(J857="","",J857+K857+L857+N(M857))</f>
        <v/>
      </c>
      <c r="O857" s="41" t="str">
        <f aca="false">IF(N857="","",IF(P857&lt;&gt;"",N857-P857,ROUND(N857*IFERROR(INDEX(Settings!$E$5:$E$12,MATCH(F857,Settings!$D$5:$D$12,0)),0),2)))</f>
        <v/>
      </c>
      <c r="P857" s="37"/>
      <c r="Q857" s="41" t="str">
        <f aca="false">IF(N857="","",IF(P857&lt;&gt;"",P857,N857-O857))</f>
        <v/>
      </c>
      <c r="R857" s="41" t="str">
        <f aca="false">IF(J857="","",IFERROR(N(INDEX(Properties!$H$5:$H$24,MATCH(D857,Properties!$A$5:$A$24,0))),0))</f>
        <v/>
      </c>
      <c r="S857" s="41" t="str">
        <f aca="false">IF(Q857="","",Q857-R857)</f>
        <v/>
      </c>
      <c r="T857" s="6"/>
      <c r="U857" s="6"/>
      <c r="V857" s="6"/>
      <c r="W857" s="6"/>
      <c r="X857" s="6"/>
      <c r="Y857" s="8" t="str">
        <f aca="false">IF(OR(D857="",B857="",C857=""),"",IF(N(C857)&lt;=N(B857),"Check dates",IF(T857="Cancelled","",IF(COUNTIFS($D$5:$D$1004,D857,$B$5:$B$1004,"&lt;"&amp;C857,$C$5:$C$1004,"&gt;"&amp;B857,$T$5:$T$1004,"&lt;&gt;Cancelled")&gt;1,"Double-booked",""))))</f>
        <v/>
      </c>
      <c r="Z857" s="42" t="str">
        <f aca="false">IF(AND(AA857=1,ISNUMBER(C857)),C857+ROW()/100000,"")</f>
        <v/>
      </c>
      <c r="AA857" s="43" t="n">
        <f aca="false">IF(AND(D857&lt;&gt;"",ISNUMBER(B857),ISNUMBER(C857),N(H857)&gt;0,T857&lt;&gt;"Cancelled",J857&lt;&gt;""),1,0)</f>
        <v>0</v>
      </c>
      <c r="AB857" s="44" t="n">
        <f aca="false">IF(AA857=1,J857/H857,0)</f>
        <v>0</v>
      </c>
      <c r="AC857" s="44" t="n">
        <f aca="false">IF(AA857=1,Q857/H857,0)</f>
        <v>0</v>
      </c>
      <c r="AD857" s="44" t="n">
        <f aca="false">IF(AA857=1,R857/H857,0)</f>
        <v>0</v>
      </c>
      <c r="AE857" s="44" t="n">
        <f aca="false">IF(AA857=1,O857/H857,0)</f>
        <v>0</v>
      </c>
      <c r="AF857" s="44" t="n">
        <f aca="false">IF(AA857=1,K857/H857,0)</f>
        <v>0</v>
      </c>
      <c r="AG857" s="45" t="str">
        <f aca="false">IF(AA857=1,D857&amp;"|"&amp;TEXT(B857,"0"),"")</f>
        <v/>
      </c>
      <c r="AH857" s="43" t="n">
        <f aca="false">IF(AA857=1,H857,0)</f>
        <v>0</v>
      </c>
    </row>
    <row r="858" customFormat="false" ht="15" hidden="false" customHeight="false" outlineLevel="0" collapsed="false">
      <c r="A858" s="23" t="str">
        <f aca="false">IF(B858="","","B-"&amp;TEXT(ROW()-4,"0000"))</f>
        <v/>
      </c>
      <c r="B858" s="38"/>
      <c r="C858" s="38"/>
      <c r="D858" s="6"/>
      <c r="E858" s="6"/>
      <c r="F858" s="6"/>
      <c r="G858" s="11"/>
      <c r="H858" s="24" t="str">
        <f aca="false">IF(AND(ISNUMBER(B858),ISNUMBER(C858)),MAX(0,C858-B858),"")</f>
        <v/>
      </c>
      <c r="I858" s="37"/>
      <c r="J858" s="46" t="str">
        <f aca="false">IF(OR(D858="",N(H858)=0),"",IFERROR(IF(I858&lt;&gt;"",H858*I858,ROUND(((H858-(INT((WEEKDAY(B858-6)+H858-1)/7)+INT((WEEKDAY(B858-7)+H858-1)/7)))*INDEX(Properties!$E$5:$E$24,MATCH(D858,Properties!$A$5:$A$24,0))+(INT((WEEKDAY(B858-6)+H858-1)/7)+INT((WEEKDAY(B858-7)+H858-1)/7))*INDEX(Properties!$F$5:$F$24,MATCH(D858,Properties!$A$5:$A$24,0)))*(1-IF(H858&gt;=28,Settings!$B$10,IF(H858&gt;=7,Settings!$B$9,0))),2)),0))</f>
        <v/>
      </c>
      <c r="K858" s="46" t="str">
        <f aca="false">IF(J858="","",IFERROR(N(INDEX(Properties!$G$5:$G$24,MATCH(D858,Properties!$A$5:$A$24,0))),0))</f>
        <v/>
      </c>
      <c r="L858" s="46" t="str">
        <f aca="false">IF(J858="","",IFERROR(MAX(0,N(G858)-INDEX(Properties!$I$5:$I$24,MATCH(D858,Properties!$A$5:$A$24,0)))*N(INDEX(Properties!$J$5:$J$24,MATCH(D858,Properties!$A$5:$A$24,0)))*H858,0))</f>
        <v/>
      </c>
      <c r="M858" s="37"/>
      <c r="N858" s="46" t="str">
        <f aca="false">IF(J858="","",J858+K858+L858+N(M858))</f>
        <v/>
      </c>
      <c r="O858" s="46" t="str">
        <f aca="false">IF(N858="","",IF(P858&lt;&gt;"",N858-P858,ROUND(N858*IFERROR(INDEX(Settings!$E$5:$E$12,MATCH(F858,Settings!$D$5:$D$12,0)),0),2)))</f>
        <v/>
      </c>
      <c r="P858" s="37"/>
      <c r="Q858" s="46" t="str">
        <f aca="false">IF(N858="","",IF(P858&lt;&gt;"",P858,N858-O858))</f>
        <v/>
      </c>
      <c r="R858" s="46" t="str">
        <f aca="false">IF(J858="","",IFERROR(N(INDEX(Properties!$H$5:$H$24,MATCH(D858,Properties!$A$5:$A$24,0))),0))</f>
        <v/>
      </c>
      <c r="S858" s="46" t="str">
        <f aca="false">IF(Q858="","",Q858-R858)</f>
        <v/>
      </c>
      <c r="T858" s="6"/>
      <c r="U858" s="6"/>
      <c r="V858" s="6"/>
      <c r="W858" s="6"/>
      <c r="X858" s="6"/>
      <c r="Y858" s="8" t="str">
        <f aca="false">IF(OR(D858="",B858="",C858=""),"",IF(N(C858)&lt;=N(B858),"Check dates",IF(T858="Cancelled","",IF(COUNTIFS($D$5:$D$1004,D858,$B$5:$B$1004,"&lt;"&amp;C858,$C$5:$C$1004,"&gt;"&amp;B858,$T$5:$T$1004,"&lt;&gt;Cancelled")&gt;1,"Double-booked",""))))</f>
        <v/>
      </c>
      <c r="Z858" s="42" t="str">
        <f aca="false">IF(AND(AA858=1,ISNUMBER(C858)),C858+ROW()/100000,"")</f>
        <v/>
      </c>
      <c r="AA858" s="43" t="n">
        <f aca="false">IF(AND(D858&lt;&gt;"",ISNUMBER(B858),ISNUMBER(C858),N(H858)&gt;0,T858&lt;&gt;"Cancelled",J858&lt;&gt;""),1,0)</f>
        <v>0</v>
      </c>
      <c r="AB858" s="44" t="n">
        <f aca="false">IF(AA858=1,J858/H858,0)</f>
        <v>0</v>
      </c>
      <c r="AC858" s="44" t="n">
        <f aca="false">IF(AA858=1,Q858/H858,0)</f>
        <v>0</v>
      </c>
      <c r="AD858" s="44" t="n">
        <f aca="false">IF(AA858=1,R858/H858,0)</f>
        <v>0</v>
      </c>
      <c r="AE858" s="44" t="n">
        <f aca="false">IF(AA858=1,O858/H858,0)</f>
        <v>0</v>
      </c>
      <c r="AF858" s="44" t="n">
        <f aca="false">IF(AA858=1,K858/H858,0)</f>
        <v>0</v>
      </c>
      <c r="AG858" s="45" t="str">
        <f aca="false">IF(AA858=1,D858&amp;"|"&amp;TEXT(B858,"0"),"")</f>
        <v/>
      </c>
      <c r="AH858" s="43" t="n">
        <f aca="false">IF(AA858=1,H858,0)</f>
        <v>0</v>
      </c>
    </row>
    <row r="859" customFormat="false" ht="15" hidden="false" customHeight="false" outlineLevel="0" collapsed="false">
      <c r="A859" s="8" t="str">
        <f aca="false">IF(B859="","","B-"&amp;TEXT(ROW()-4,"0000"))</f>
        <v/>
      </c>
      <c r="B859" s="38"/>
      <c r="C859" s="38"/>
      <c r="D859" s="6"/>
      <c r="E859" s="6"/>
      <c r="F859" s="6"/>
      <c r="G859" s="11"/>
      <c r="H859" s="18" t="str">
        <f aca="false">IF(AND(ISNUMBER(B859),ISNUMBER(C859)),MAX(0,C859-B859),"")</f>
        <v/>
      </c>
      <c r="I859" s="37"/>
      <c r="J859" s="41" t="str">
        <f aca="false">IF(OR(D859="",N(H859)=0),"",IFERROR(IF(I859&lt;&gt;"",H859*I859,ROUND(((H859-(INT((WEEKDAY(B859-6)+H859-1)/7)+INT((WEEKDAY(B859-7)+H859-1)/7)))*INDEX(Properties!$E$5:$E$24,MATCH(D859,Properties!$A$5:$A$24,0))+(INT((WEEKDAY(B859-6)+H859-1)/7)+INT((WEEKDAY(B859-7)+H859-1)/7))*INDEX(Properties!$F$5:$F$24,MATCH(D859,Properties!$A$5:$A$24,0)))*(1-IF(H859&gt;=28,Settings!$B$10,IF(H859&gt;=7,Settings!$B$9,0))),2)),0))</f>
        <v/>
      </c>
      <c r="K859" s="41" t="str">
        <f aca="false">IF(J859="","",IFERROR(N(INDEX(Properties!$G$5:$G$24,MATCH(D859,Properties!$A$5:$A$24,0))),0))</f>
        <v/>
      </c>
      <c r="L859" s="41" t="str">
        <f aca="false">IF(J859="","",IFERROR(MAX(0,N(G859)-INDEX(Properties!$I$5:$I$24,MATCH(D859,Properties!$A$5:$A$24,0)))*N(INDEX(Properties!$J$5:$J$24,MATCH(D859,Properties!$A$5:$A$24,0)))*H859,0))</f>
        <v/>
      </c>
      <c r="M859" s="37"/>
      <c r="N859" s="41" t="str">
        <f aca="false">IF(J859="","",J859+K859+L859+N(M859))</f>
        <v/>
      </c>
      <c r="O859" s="41" t="str">
        <f aca="false">IF(N859="","",IF(P859&lt;&gt;"",N859-P859,ROUND(N859*IFERROR(INDEX(Settings!$E$5:$E$12,MATCH(F859,Settings!$D$5:$D$12,0)),0),2)))</f>
        <v/>
      </c>
      <c r="P859" s="37"/>
      <c r="Q859" s="41" t="str">
        <f aca="false">IF(N859="","",IF(P859&lt;&gt;"",P859,N859-O859))</f>
        <v/>
      </c>
      <c r="R859" s="41" t="str">
        <f aca="false">IF(J859="","",IFERROR(N(INDEX(Properties!$H$5:$H$24,MATCH(D859,Properties!$A$5:$A$24,0))),0))</f>
        <v/>
      </c>
      <c r="S859" s="41" t="str">
        <f aca="false">IF(Q859="","",Q859-R859)</f>
        <v/>
      </c>
      <c r="T859" s="6"/>
      <c r="U859" s="6"/>
      <c r="V859" s="6"/>
      <c r="W859" s="6"/>
      <c r="X859" s="6"/>
      <c r="Y859" s="8" t="str">
        <f aca="false">IF(OR(D859="",B859="",C859=""),"",IF(N(C859)&lt;=N(B859),"Check dates",IF(T859="Cancelled","",IF(COUNTIFS($D$5:$D$1004,D859,$B$5:$B$1004,"&lt;"&amp;C859,$C$5:$C$1004,"&gt;"&amp;B859,$T$5:$T$1004,"&lt;&gt;Cancelled")&gt;1,"Double-booked",""))))</f>
        <v/>
      </c>
      <c r="Z859" s="42" t="str">
        <f aca="false">IF(AND(AA859=1,ISNUMBER(C859)),C859+ROW()/100000,"")</f>
        <v/>
      </c>
      <c r="AA859" s="43" t="n">
        <f aca="false">IF(AND(D859&lt;&gt;"",ISNUMBER(B859),ISNUMBER(C859),N(H859)&gt;0,T859&lt;&gt;"Cancelled",J859&lt;&gt;""),1,0)</f>
        <v>0</v>
      </c>
      <c r="AB859" s="44" t="n">
        <f aca="false">IF(AA859=1,J859/H859,0)</f>
        <v>0</v>
      </c>
      <c r="AC859" s="44" t="n">
        <f aca="false">IF(AA859=1,Q859/H859,0)</f>
        <v>0</v>
      </c>
      <c r="AD859" s="44" t="n">
        <f aca="false">IF(AA859=1,R859/H859,0)</f>
        <v>0</v>
      </c>
      <c r="AE859" s="44" t="n">
        <f aca="false">IF(AA859=1,O859/H859,0)</f>
        <v>0</v>
      </c>
      <c r="AF859" s="44" t="n">
        <f aca="false">IF(AA859=1,K859/H859,0)</f>
        <v>0</v>
      </c>
      <c r="AG859" s="45" t="str">
        <f aca="false">IF(AA859=1,D859&amp;"|"&amp;TEXT(B859,"0"),"")</f>
        <v/>
      </c>
      <c r="AH859" s="43" t="n">
        <f aca="false">IF(AA859=1,H859,0)</f>
        <v>0</v>
      </c>
    </row>
    <row r="860" customFormat="false" ht="15" hidden="false" customHeight="false" outlineLevel="0" collapsed="false">
      <c r="A860" s="23" t="str">
        <f aca="false">IF(B860="","","B-"&amp;TEXT(ROW()-4,"0000"))</f>
        <v/>
      </c>
      <c r="B860" s="38"/>
      <c r="C860" s="38"/>
      <c r="D860" s="6"/>
      <c r="E860" s="6"/>
      <c r="F860" s="6"/>
      <c r="G860" s="11"/>
      <c r="H860" s="24" t="str">
        <f aca="false">IF(AND(ISNUMBER(B860),ISNUMBER(C860)),MAX(0,C860-B860),"")</f>
        <v/>
      </c>
      <c r="I860" s="37"/>
      <c r="J860" s="46" t="str">
        <f aca="false">IF(OR(D860="",N(H860)=0),"",IFERROR(IF(I860&lt;&gt;"",H860*I860,ROUND(((H860-(INT((WEEKDAY(B860-6)+H860-1)/7)+INT((WEEKDAY(B860-7)+H860-1)/7)))*INDEX(Properties!$E$5:$E$24,MATCH(D860,Properties!$A$5:$A$24,0))+(INT((WEEKDAY(B860-6)+H860-1)/7)+INT((WEEKDAY(B860-7)+H860-1)/7))*INDEX(Properties!$F$5:$F$24,MATCH(D860,Properties!$A$5:$A$24,0)))*(1-IF(H860&gt;=28,Settings!$B$10,IF(H860&gt;=7,Settings!$B$9,0))),2)),0))</f>
        <v/>
      </c>
      <c r="K860" s="46" t="str">
        <f aca="false">IF(J860="","",IFERROR(N(INDEX(Properties!$G$5:$G$24,MATCH(D860,Properties!$A$5:$A$24,0))),0))</f>
        <v/>
      </c>
      <c r="L860" s="46" t="str">
        <f aca="false">IF(J860="","",IFERROR(MAX(0,N(G860)-INDEX(Properties!$I$5:$I$24,MATCH(D860,Properties!$A$5:$A$24,0)))*N(INDEX(Properties!$J$5:$J$24,MATCH(D860,Properties!$A$5:$A$24,0)))*H860,0))</f>
        <v/>
      </c>
      <c r="M860" s="37"/>
      <c r="N860" s="46" t="str">
        <f aca="false">IF(J860="","",J860+K860+L860+N(M860))</f>
        <v/>
      </c>
      <c r="O860" s="46" t="str">
        <f aca="false">IF(N860="","",IF(P860&lt;&gt;"",N860-P860,ROUND(N860*IFERROR(INDEX(Settings!$E$5:$E$12,MATCH(F860,Settings!$D$5:$D$12,0)),0),2)))</f>
        <v/>
      </c>
      <c r="P860" s="37"/>
      <c r="Q860" s="46" t="str">
        <f aca="false">IF(N860="","",IF(P860&lt;&gt;"",P860,N860-O860))</f>
        <v/>
      </c>
      <c r="R860" s="46" t="str">
        <f aca="false">IF(J860="","",IFERROR(N(INDEX(Properties!$H$5:$H$24,MATCH(D860,Properties!$A$5:$A$24,0))),0))</f>
        <v/>
      </c>
      <c r="S860" s="46" t="str">
        <f aca="false">IF(Q860="","",Q860-R860)</f>
        <v/>
      </c>
      <c r="T860" s="6"/>
      <c r="U860" s="6"/>
      <c r="V860" s="6"/>
      <c r="W860" s="6"/>
      <c r="X860" s="6"/>
      <c r="Y860" s="8" t="str">
        <f aca="false">IF(OR(D860="",B860="",C860=""),"",IF(N(C860)&lt;=N(B860),"Check dates",IF(T860="Cancelled","",IF(COUNTIFS($D$5:$D$1004,D860,$B$5:$B$1004,"&lt;"&amp;C860,$C$5:$C$1004,"&gt;"&amp;B860,$T$5:$T$1004,"&lt;&gt;Cancelled")&gt;1,"Double-booked",""))))</f>
        <v/>
      </c>
      <c r="Z860" s="42" t="str">
        <f aca="false">IF(AND(AA860=1,ISNUMBER(C860)),C860+ROW()/100000,"")</f>
        <v/>
      </c>
      <c r="AA860" s="43" t="n">
        <f aca="false">IF(AND(D860&lt;&gt;"",ISNUMBER(B860),ISNUMBER(C860),N(H860)&gt;0,T860&lt;&gt;"Cancelled",J860&lt;&gt;""),1,0)</f>
        <v>0</v>
      </c>
      <c r="AB860" s="44" t="n">
        <f aca="false">IF(AA860=1,J860/H860,0)</f>
        <v>0</v>
      </c>
      <c r="AC860" s="44" t="n">
        <f aca="false">IF(AA860=1,Q860/H860,0)</f>
        <v>0</v>
      </c>
      <c r="AD860" s="44" t="n">
        <f aca="false">IF(AA860=1,R860/H860,0)</f>
        <v>0</v>
      </c>
      <c r="AE860" s="44" t="n">
        <f aca="false">IF(AA860=1,O860/H860,0)</f>
        <v>0</v>
      </c>
      <c r="AF860" s="44" t="n">
        <f aca="false">IF(AA860=1,K860/H860,0)</f>
        <v>0</v>
      </c>
      <c r="AG860" s="45" t="str">
        <f aca="false">IF(AA860=1,D860&amp;"|"&amp;TEXT(B860,"0"),"")</f>
        <v/>
      </c>
      <c r="AH860" s="43" t="n">
        <f aca="false">IF(AA860=1,H860,0)</f>
        <v>0</v>
      </c>
    </row>
    <row r="861" customFormat="false" ht="15" hidden="false" customHeight="false" outlineLevel="0" collapsed="false">
      <c r="A861" s="8" t="str">
        <f aca="false">IF(B861="","","B-"&amp;TEXT(ROW()-4,"0000"))</f>
        <v/>
      </c>
      <c r="B861" s="38"/>
      <c r="C861" s="38"/>
      <c r="D861" s="6"/>
      <c r="E861" s="6"/>
      <c r="F861" s="6"/>
      <c r="G861" s="11"/>
      <c r="H861" s="18" t="str">
        <f aca="false">IF(AND(ISNUMBER(B861),ISNUMBER(C861)),MAX(0,C861-B861),"")</f>
        <v/>
      </c>
      <c r="I861" s="37"/>
      <c r="J861" s="41" t="str">
        <f aca="false">IF(OR(D861="",N(H861)=0),"",IFERROR(IF(I861&lt;&gt;"",H861*I861,ROUND(((H861-(INT((WEEKDAY(B861-6)+H861-1)/7)+INT((WEEKDAY(B861-7)+H861-1)/7)))*INDEX(Properties!$E$5:$E$24,MATCH(D861,Properties!$A$5:$A$24,0))+(INT((WEEKDAY(B861-6)+H861-1)/7)+INT((WEEKDAY(B861-7)+H861-1)/7))*INDEX(Properties!$F$5:$F$24,MATCH(D861,Properties!$A$5:$A$24,0)))*(1-IF(H861&gt;=28,Settings!$B$10,IF(H861&gt;=7,Settings!$B$9,0))),2)),0))</f>
        <v/>
      </c>
      <c r="K861" s="41" t="str">
        <f aca="false">IF(J861="","",IFERROR(N(INDEX(Properties!$G$5:$G$24,MATCH(D861,Properties!$A$5:$A$24,0))),0))</f>
        <v/>
      </c>
      <c r="L861" s="41" t="str">
        <f aca="false">IF(J861="","",IFERROR(MAX(0,N(G861)-INDEX(Properties!$I$5:$I$24,MATCH(D861,Properties!$A$5:$A$24,0)))*N(INDEX(Properties!$J$5:$J$24,MATCH(D861,Properties!$A$5:$A$24,0)))*H861,0))</f>
        <v/>
      </c>
      <c r="M861" s="37"/>
      <c r="N861" s="41" t="str">
        <f aca="false">IF(J861="","",J861+K861+L861+N(M861))</f>
        <v/>
      </c>
      <c r="O861" s="41" t="str">
        <f aca="false">IF(N861="","",IF(P861&lt;&gt;"",N861-P861,ROUND(N861*IFERROR(INDEX(Settings!$E$5:$E$12,MATCH(F861,Settings!$D$5:$D$12,0)),0),2)))</f>
        <v/>
      </c>
      <c r="P861" s="37"/>
      <c r="Q861" s="41" t="str">
        <f aca="false">IF(N861="","",IF(P861&lt;&gt;"",P861,N861-O861))</f>
        <v/>
      </c>
      <c r="R861" s="41" t="str">
        <f aca="false">IF(J861="","",IFERROR(N(INDEX(Properties!$H$5:$H$24,MATCH(D861,Properties!$A$5:$A$24,0))),0))</f>
        <v/>
      </c>
      <c r="S861" s="41" t="str">
        <f aca="false">IF(Q861="","",Q861-R861)</f>
        <v/>
      </c>
      <c r="T861" s="6"/>
      <c r="U861" s="6"/>
      <c r="V861" s="6"/>
      <c r="W861" s="6"/>
      <c r="X861" s="6"/>
      <c r="Y861" s="8" t="str">
        <f aca="false">IF(OR(D861="",B861="",C861=""),"",IF(N(C861)&lt;=N(B861),"Check dates",IF(T861="Cancelled","",IF(COUNTIFS($D$5:$D$1004,D861,$B$5:$B$1004,"&lt;"&amp;C861,$C$5:$C$1004,"&gt;"&amp;B861,$T$5:$T$1004,"&lt;&gt;Cancelled")&gt;1,"Double-booked",""))))</f>
        <v/>
      </c>
      <c r="Z861" s="42" t="str">
        <f aca="false">IF(AND(AA861=1,ISNUMBER(C861)),C861+ROW()/100000,"")</f>
        <v/>
      </c>
      <c r="AA861" s="43" t="n">
        <f aca="false">IF(AND(D861&lt;&gt;"",ISNUMBER(B861),ISNUMBER(C861),N(H861)&gt;0,T861&lt;&gt;"Cancelled",J861&lt;&gt;""),1,0)</f>
        <v>0</v>
      </c>
      <c r="AB861" s="44" t="n">
        <f aca="false">IF(AA861=1,J861/H861,0)</f>
        <v>0</v>
      </c>
      <c r="AC861" s="44" t="n">
        <f aca="false">IF(AA861=1,Q861/H861,0)</f>
        <v>0</v>
      </c>
      <c r="AD861" s="44" t="n">
        <f aca="false">IF(AA861=1,R861/H861,0)</f>
        <v>0</v>
      </c>
      <c r="AE861" s="44" t="n">
        <f aca="false">IF(AA861=1,O861/H861,0)</f>
        <v>0</v>
      </c>
      <c r="AF861" s="44" t="n">
        <f aca="false">IF(AA861=1,K861/H861,0)</f>
        <v>0</v>
      </c>
      <c r="AG861" s="45" t="str">
        <f aca="false">IF(AA861=1,D861&amp;"|"&amp;TEXT(B861,"0"),"")</f>
        <v/>
      </c>
      <c r="AH861" s="43" t="n">
        <f aca="false">IF(AA861=1,H861,0)</f>
        <v>0</v>
      </c>
    </row>
    <row r="862" customFormat="false" ht="15" hidden="false" customHeight="false" outlineLevel="0" collapsed="false">
      <c r="A862" s="23" t="str">
        <f aca="false">IF(B862="","","B-"&amp;TEXT(ROW()-4,"0000"))</f>
        <v/>
      </c>
      <c r="B862" s="38"/>
      <c r="C862" s="38"/>
      <c r="D862" s="6"/>
      <c r="E862" s="6"/>
      <c r="F862" s="6"/>
      <c r="G862" s="11"/>
      <c r="H862" s="24" t="str">
        <f aca="false">IF(AND(ISNUMBER(B862),ISNUMBER(C862)),MAX(0,C862-B862),"")</f>
        <v/>
      </c>
      <c r="I862" s="37"/>
      <c r="J862" s="46" t="str">
        <f aca="false">IF(OR(D862="",N(H862)=0),"",IFERROR(IF(I862&lt;&gt;"",H862*I862,ROUND(((H862-(INT((WEEKDAY(B862-6)+H862-1)/7)+INT((WEEKDAY(B862-7)+H862-1)/7)))*INDEX(Properties!$E$5:$E$24,MATCH(D862,Properties!$A$5:$A$24,0))+(INT((WEEKDAY(B862-6)+H862-1)/7)+INT((WEEKDAY(B862-7)+H862-1)/7))*INDEX(Properties!$F$5:$F$24,MATCH(D862,Properties!$A$5:$A$24,0)))*(1-IF(H862&gt;=28,Settings!$B$10,IF(H862&gt;=7,Settings!$B$9,0))),2)),0))</f>
        <v/>
      </c>
      <c r="K862" s="46" t="str">
        <f aca="false">IF(J862="","",IFERROR(N(INDEX(Properties!$G$5:$G$24,MATCH(D862,Properties!$A$5:$A$24,0))),0))</f>
        <v/>
      </c>
      <c r="L862" s="46" t="str">
        <f aca="false">IF(J862="","",IFERROR(MAX(0,N(G862)-INDEX(Properties!$I$5:$I$24,MATCH(D862,Properties!$A$5:$A$24,0)))*N(INDEX(Properties!$J$5:$J$24,MATCH(D862,Properties!$A$5:$A$24,0)))*H862,0))</f>
        <v/>
      </c>
      <c r="M862" s="37"/>
      <c r="N862" s="46" t="str">
        <f aca="false">IF(J862="","",J862+K862+L862+N(M862))</f>
        <v/>
      </c>
      <c r="O862" s="46" t="str">
        <f aca="false">IF(N862="","",IF(P862&lt;&gt;"",N862-P862,ROUND(N862*IFERROR(INDEX(Settings!$E$5:$E$12,MATCH(F862,Settings!$D$5:$D$12,0)),0),2)))</f>
        <v/>
      </c>
      <c r="P862" s="37"/>
      <c r="Q862" s="46" t="str">
        <f aca="false">IF(N862="","",IF(P862&lt;&gt;"",P862,N862-O862))</f>
        <v/>
      </c>
      <c r="R862" s="46" t="str">
        <f aca="false">IF(J862="","",IFERROR(N(INDEX(Properties!$H$5:$H$24,MATCH(D862,Properties!$A$5:$A$24,0))),0))</f>
        <v/>
      </c>
      <c r="S862" s="46" t="str">
        <f aca="false">IF(Q862="","",Q862-R862)</f>
        <v/>
      </c>
      <c r="T862" s="6"/>
      <c r="U862" s="6"/>
      <c r="V862" s="6"/>
      <c r="W862" s="6"/>
      <c r="X862" s="6"/>
      <c r="Y862" s="8" t="str">
        <f aca="false">IF(OR(D862="",B862="",C862=""),"",IF(N(C862)&lt;=N(B862),"Check dates",IF(T862="Cancelled","",IF(COUNTIFS($D$5:$D$1004,D862,$B$5:$B$1004,"&lt;"&amp;C862,$C$5:$C$1004,"&gt;"&amp;B862,$T$5:$T$1004,"&lt;&gt;Cancelled")&gt;1,"Double-booked",""))))</f>
        <v/>
      </c>
      <c r="Z862" s="42" t="str">
        <f aca="false">IF(AND(AA862=1,ISNUMBER(C862)),C862+ROW()/100000,"")</f>
        <v/>
      </c>
      <c r="AA862" s="43" t="n">
        <f aca="false">IF(AND(D862&lt;&gt;"",ISNUMBER(B862),ISNUMBER(C862),N(H862)&gt;0,T862&lt;&gt;"Cancelled",J862&lt;&gt;""),1,0)</f>
        <v>0</v>
      </c>
      <c r="AB862" s="44" t="n">
        <f aca="false">IF(AA862=1,J862/H862,0)</f>
        <v>0</v>
      </c>
      <c r="AC862" s="44" t="n">
        <f aca="false">IF(AA862=1,Q862/H862,0)</f>
        <v>0</v>
      </c>
      <c r="AD862" s="44" t="n">
        <f aca="false">IF(AA862=1,R862/H862,0)</f>
        <v>0</v>
      </c>
      <c r="AE862" s="44" t="n">
        <f aca="false">IF(AA862=1,O862/H862,0)</f>
        <v>0</v>
      </c>
      <c r="AF862" s="44" t="n">
        <f aca="false">IF(AA862=1,K862/H862,0)</f>
        <v>0</v>
      </c>
      <c r="AG862" s="45" t="str">
        <f aca="false">IF(AA862=1,D862&amp;"|"&amp;TEXT(B862,"0"),"")</f>
        <v/>
      </c>
      <c r="AH862" s="43" t="n">
        <f aca="false">IF(AA862=1,H862,0)</f>
        <v>0</v>
      </c>
    </row>
    <row r="863" customFormat="false" ht="15" hidden="false" customHeight="false" outlineLevel="0" collapsed="false">
      <c r="A863" s="8" t="str">
        <f aca="false">IF(B863="","","B-"&amp;TEXT(ROW()-4,"0000"))</f>
        <v/>
      </c>
      <c r="B863" s="38"/>
      <c r="C863" s="38"/>
      <c r="D863" s="6"/>
      <c r="E863" s="6"/>
      <c r="F863" s="6"/>
      <c r="G863" s="11"/>
      <c r="H863" s="18" t="str">
        <f aca="false">IF(AND(ISNUMBER(B863),ISNUMBER(C863)),MAX(0,C863-B863),"")</f>
        <v/>
      </c>
      <c r="I863" s="37"/>
      <c r="J863" s="41" t="str">
        <f aca="false">IF(OR(D863="",N(H863)=0),"",IFERROR(IF(I863&lt;&gt;"",H863*I863,ROUND(((H863-(INT((WEEKDAY(B863-6)+H863-1)/7)+INT((WEEKDAY(B863-7)+H863-1)/7)))*INDEX(Properties!$E$5:$E$24,MATCH(D863,Properties!$A$5:$A$24,0))+(INT((WEEKDAY(B863-6)+H863-1)/7)+INT((WEEKDAY(B863-7)+H863-1)/7))*INDEX(Properties!$F$5:$F$24,MATCH(D863,Properties!$A$5:$A$24,0)))*(1-IF(H863&gt;=28,Settings!$B$10,IF(H863&gt;=7,Settings!$B$9,0))),2)),0))</f>
        <v/>
      </c>
      <c r="K863" s="41" t="str">
        <f aca="false">IF(J863="","",IFERROR(N(INDEX(Properties!$G$5:$G$24,MATCH(D863,Properties!$A$5:$A$24,0))),0))</f>
        <v/>
      </c>
      <c r="L863" s="41" t="str">
        <f aca="false">IF(J863="","",IFERROR(MAX(0,N(G863)-INDEX(Properties!$I$5:$I$24,MATCH(D863,Properties!$A$5:$A$24,0)))*N(INDEX(Properties!$J$5:$J$24,MATCH(D863,Properties!$A$5:$A$24,0)))*H863,0))</f>
        <v/>
      </c>
      <c r="M863" s="37"/>
      <c r="N863" s="41" t="str">
        <f aca="false">IF(J863="","",J863+K863+L863+N(M863))</f>
        <v/>
      </c>
      <c r="O863" s="41" t="str">
        <f aca="false">IF(N863="","",IF(P863&lt;&gt;"",N863-P863,ROUND(N863*IFERROR(INDEX(Settings!$E$5:$E$12,MATCH(F863,Settings!$D$5:$D$12,0)),0),2)))</f>
        <v/>
      </c>
      <c r="P863" s="37"/>
      <c r="Q863" s="41" t="str">
        <f aca="false">IF(N863="","",IF(P863&lt;&gt;"",P863,N863-O863))</f>
        <v/>
      </c>
      <c r="R863" s="41" t="str">
        <f aca="false">IF(J863="","",IFERROR(N(INDEX(Properties!$H$5:$H$24,MATCH(D863,Properties!$A$5:$A$24,0))),0))</f>
        <v/>
      </c>
      <c r="S863" s="41" t="str">
        <f aca="false">IF(Q863="","",Q863-R863)</f>
        <v/>
      </c>
      <c r="T863" s="6"/>
      <c r="U863" s="6"/>
      <c r="V863" s="6"/>
      <c r="W863" s="6"/>
      <c r="X863" s="6"/>
      <c r="Y863" s="8" t="str">
        <f aca="false">IF(OR(D863="",B863="",C863=""),"",IF(N(C863)&lt;=N(B863),"Check dates",IF(T863="Cancelled","",IF(COUNTIFS($D$5:$D$1004,D863,$B$5:$B$1004,"&lt;"&amp;C863,$C$5:$C$1004,"&gt;"&amp;B863,$T$5:$T$1004,"&lt;&gt;Cancelled")&gt;1,"Double-booked",""))))</f>
        <v/>
      </c>
      <c r="Z863" s="42" t="str">
        <f aca="false">IF(AND(AA863=1,ISNUMBER(C863)),C863+ROW()/100000,"")</f>
        <v/>
      </c>
      <c r="AA863" s="43" t="n">
        <f aca="false">IF(AND(D863&lt;&gt;"",ISNUMBER(B863),ISNUMBER(C863),N(H863)&gt;0,T863&lt;&gt;"Cancelled",J863&lt;&gt;""),1,0)</f>
        <v>0</v>
      </c>
      <c r="AB863" s="44" t="n">
        <f aca="false">IF(AA863=1,J863/H863,0)</f>
        <v>0</v>
      </c>
      <c r="AC863" s="44" t="n">
        <f aca="false">IF(AA863=1,Q863/H863,0)</f>
        <v>0</v>
      </c>
      <c r="AD863" s="44" t="n">
        <f aca="false">IF(AA863=1,R863/H863,0)</f>
        <v>0</v>
      </c>
      <c r="AE863" s="44" t="n">
        <f aca="false">IF(AA863=1,O863/H863,0)</f>
        <v>0</v>
      </c>
      <c r="AF863" s="44" t="n">
        <f aca="false">IF(AA863=1,K863/H863,0)</f>
        <v>0</v>
      </c>
      <c r="AG863" s="45" t="str">
        <f aca="false">IF(AA863=1,D863&amp;"|"&amp;TEXT(B863,"0"),"")</f>
        <v/>
      </c>
      <c r="AH863" s="43" t="n">
        <f aca="false">IF(AA863=1,H863,0)</f>
        <v>0</v>
      </c>
    </row>
    <row r="864" customFormat="false" ht="15" hidden="false" customHeight="false" outlineLevel="0" collapsed="false">
      <c r="A864" s="23" t="str">
        <f aca="false">IF(B864="","","B-"&amp;TEXT(ROW()-4,"0000"))</f>
        <v/>
      </c>
      <c r="B864" s="38"/>
      <c r="C864" s="38"/>
      <c r="D864" s="6"/>
      <c r="E864" s="6"/>
      <c r="F864" s="6"/>
      <c r="G864" s="11"/>
      <c r="H864" s="24" t="str">
        <f aca="false">IF(AND(ISNUMBER(B864),ISNUMBER(C864)),MAX(0,C864-B864),"")</f>
        <v/>
      </c>
      <c r="I864" s="37"/>
      <c r="J864" s="46" t="str">
        <f aca="false">IF(OR(D864="",N(H864)=0),"",IFERROR(IF(I864&lt;&gt;"",H864*I864,ROUND(((H864-(INT((WEEKDAY(B864-6)+H864-1)/7)+INT((WEEKDAY(B864-7)+H864-1)/7)))*INDEX(Properties!$E$5:$E$24,MATCH(D864,Properties!$A$5:$A$24,0))+(INT((WEEKDAY(B864-6)+H864-1)/7)+INT((WEEKDAY(B864-7)+H864-1)/7))*INDEX(Properties!$F$5:$F$24,MATCH(D864,Properties!$A$5:$A$24,0)))*(1-IF(H864&gt;=28,Settings!$B$10,IF(H864&gt;=7,Settings!$B$9,0))),2)),0))</f>
        <v/>
      </c>
      <c r="K864" s="46" t="str">
        <f aca="false">IF(J864="","",IFERROR(N(INDEX(Properties!$G$5:$G$24,MATCH(D864,Properties!$A$5:$A$24,0))),0))</f>
        <v/>
      </c>
      <c r="L864" s="46" t="str">
        <f aca="false">IF(J864="","",IFERROR(MAX(0,N(G864)-INDEX(Properties!$I$5:$I$24,MATCH(D864,Properties!$A$5:$A$24,0)))*N(INDEX(Properties!$J$5:$J$24,MATCH(D864,Properties!$A$5:$A$24,0)))*H864,0))</f>
        <v/>
      </c>
      <c r="M864" s="37"/>
      <c r="N864" s="46" t="str">
        <f aca="false">IF(J864="","",J864+K864+L864+N(M864))</f>
        <v/>
      </c>
      <c r="O864" s="46" t="str">
        <f aca="false">IF(N864="","",IF(P864&lt;&gt;"",N864-P864,ROUND(N864*IFERROR(INDEX(Settings!$E$5:$E$12,MATCH(F864,Settings!$D$5:$D$12,0)),0),2)))</f>
        <v/>
      </c>
      <c r="P864" s="37"/>
      <c r="Q864" s="46" t="str">
        <f aca="false">IF(N864="","",IF(P864&lt;&gt;"",P864,N864-O864))</f>
        <v/>
      </c>
      <c r="R864" s="46" t="str">
        <f aca="false">IF(J864="","",IFERROR(N(INDEX(Properties!$H$5:$H$24,MATCH(D864,Properties!$A$5:$A$24,0))),0))</f>
        <v/>
      </c>
      <c r="S864" s="46" t="str">
        <f aca="false">IF(Q864="","",Q864-R864)</f>
        <v/>
      </c>
      <c r="T864" s="6"/>
      <c r="U864" s="6"/>
      <c r="V864" s="6"/>
      <c r="W864" s="6"/>
      <c r="X864" s="6"/>
      <c r="Y864" s="8" t="str">
        <f aca="false">IF(OR(D864="",B864="",C864=""),"",IF(N(C864)&lt;=N(B864),"Check dates",IF(T864="Cancelled","",IF(COUNTIFS($D$5:$D$1004,D864,$B$5:$B$1004,"&lt;"&amp;C864,$C$5:$C$1004,"&gt;"&amp;B864,$T$5:$T$1004,"&lt;&gt;Cancelled")&gt;1,"Double-booked",""))))</f>
        <v/>
      </c>
      <c r="Z864" s="42" t="str">
        <f aca="false">IF(AND(AA864=1,ISNUMBER(C864)),C864+ROW()/100000,"")</f>
        <v/>
      </c>
      <c r="AA864" s="43" t="n">
        <f aca="false">IF(AND(D864&lt;&gt;"",ISNUMBER(B864),ISNUMBER(C864),N(H864)&gt;0,T864&lt;&gt;"Cancelled",J864&lt;&gt;""),1,0)</f>
        <v>0</v>
      </c>
      <c r="AB864" s="44" t="n">
        <f aca="false">IF(AA864=1,J864/H864,0)</f>
        <v>0</v>
      </c>
      <c r="AC864" s="44" t="n">
        <f aca="false">IF(AA864=1,Q864/H864,0)</f>
        <v>0</v>
      </c>
      <c r="AD864" s="44" t="n">
        <f aca="false">IF(AA864=1,R864/H864,0)</f>
        <v>0</v>
      </c>
      <c r="AE864" s="44" t="n">
        <f aca="false">IF(AA864=1,O864/H864,0)</f>
        <v>0</v>
      </c>
      <c r="AF864" s="44" t="n">
        <f aca="false">IF(AA864=1,K864/H864,0)</f>
        <v>0</v>
      </c>
      <c r="AG864" s="45" t="str">
        <f aca="false">IF(AA864=1,D864&amp;"|"&amp;TEXT(B864,"0"),"")</f>
        <v/>
      </c>
      <c r="AH864" s="43" t="n">
        <f aca="false">IF(AA864=1,H864,0)</f>
        <v>0</v>
      </c>
    </row>
    <row r="865" customFormat="false" ht="15" hidden="false" customHeight="false" outlineLevel="0" collapsed="false">
      <c r="A865" s="8" t="str">
        <f aca="false">IF(B865="","","B-"&amp;TEXT(ROW()-4,"0000"))</f>
        <v/>
      </c>
      <c r="B865" s="38"/>
      <c r="C865" s="38"/>
      <c r="D865" s="6"/>
      <c r="E865" s="6"/>
      <c r="F865" s="6"/>
      <c r="G865" s="11"/>
      <c r="H865" s="18" t="str">
        <f aca="false">IF(AND(ISNUMBER(B865),ISNUMBER(C865)),MAX(0,C865-B865),"")</f>
        <v/>
      </c>
      <c r="I865" s="37"/>
      <c r="J865" s="41" t="str">
        <f aca="false">IF(OR(D865="",N(H865)=0),"",IFERROR(IF(I865&lt;&gt;"",H865*I865,ROUND(((H865-(INT((WEEKDAY(B865-6)+H865-1)/7)+INT((WEEKDAY(B865-7)+H865-1)/7)))*INDEX(Properties!$E$5:$E$24,MATCH(D865,Properties!$A$5:$A$24,0))+(INT((WEEKDAY(B865-6)+H865-1)/7)+INT((WEEKDAY(B865-7)+H865-1)/7))*INDEX(Properties!$F$5:$F$24,MATCH(D865,Properties!$A$5:$A$24,0)))*(1-IF(H865&gt;=28,Settings!$B$10,IF(H865&gt;=7,Settings!$B$9,0))),2)),0))</f>
        <v/>
      </c>
      <c r="K865" s="41" t="str">
        <f aca="false">IF(J865="","",IFERROR(N(INDEX(Properties!$G$5:$G$24,MATCH(D865,Properties!$A$5:$A$24,0))),0))</f>
        <v/>
      </c>
      <c r="L865" s="41" t="str">
        <f aca="false">IF(J865="","",IFERROR(MAX(0,N(G865)-INDEX(Properties!$I$5:$I$24,MATCH(D865,Properties!$A$5:$A$24,0)))*N(INDEX(Properties!$J$5:$J$24,MATCH(D865,Properties!$A$5:$A$24,0)))*H865,0))</f>
        <v/>
      </c>
      <c r="M865" s="37"/>
      <c r="N865" s="41" t="str">
        <f aca="false">IF(J865="","",J865+K865+L865+N(M865))</f>
        <v/>
      </c>
      <c r="O865" s="41" t="str">
        <f aca="false">IF(N865="","",IF(P865&lt;&gt;"",N865-P865,ROUND(N865*IFERROR(INDEX(Settings!$E$5:$E$12,MATCH(F865,Settings!$D$5:$D$12,0)),0),2)))</f>
        <v/>
      </c>
      <c r="P865" s="37"/>
      <c r="Q865" s="41" t="str">
        <f aca="false">IF(N865="","",IF(P865&lt;&gt;"",P865,N865-O865))</f>
        <v/>
      </c>
      <c r="R865" s="41" t="str">
        <f aca="false">IF(J865="","",IFERROR(N(INDEX(Properties!$H$5:$H$24,MATCH(D865,Properties!$A$5:$A$24,0))),0))</f>
        <v/>
      </c>
      <c r="S865" s="41" t="str">
        <f aca="false">IF(Q865="","",Q865-R865)</f>
        <v/>
      </c>
      <c r="T865" s="6"/>
      <c r="U865" s="6"/>
      <c r="V865" s="6"/>
      <c r="W865" s="6"/>
      <c r="X865" s="6"/>
      <c r="Y865" s="8" t="str">
        <f aca="false">IF(OR(D865="",B865="",C865=""),"",IF(N(C865)&lt;=N(B865),"Check dates",IF(T865="Cancelled","",IF(COUNTIFS($D$5:$D$1004,D865,$B$5:$B$1004,"&lt;"&amp;C865,$C$5:$C$1004,"&gt;"&amp;B865,$T$5:$T$1004,"&lt;&gt;Cancelled")&gt;1,"Double-booked",""))))</f>
        <v/>
      </c>
      <c r="Z865" s="42" t="str">
        <f aca="false">IF(AND(AA865=1,ISNUMBER(C865)),C865+ROW()/100000,"")</f>
        <v/>
      </c>
      <c r="AA865" s="43" t="n">
        <f aca="false">IF(AND(D865&lt;&gt;"",ISNUMBER(B865),ISNUMBER(C865),N(H865)&gt;0,T865&lt;&gt;"Cancelled",J865&lt;&gt;""),1,0)</f>
        <v>0</v>
      </c>
      <c r="AB865" s="44" t="n">
        <f aca="false">IF(AA865=1,J865/H865,0)</f>
        <v>0</v>
      </c>
      <c r="AC865" s="44" t="n">
        <f aca="false">IF(AA865=1,Q865/H865,0)</f>
        <v>0</v>
      </c>
      <c r="AD865" s="44" t="n">
        <f aca="false">IF(AA865=1,R865/H865,0)</f>
        <v>0</v>
      </c>
      <c r="AE865" s="44" t="n">
        <f aca="false">IF(AA865=1,O865/H865,0)</f>
        <v>0</v>
      </c>
      <c r="AF865" s="44" t="n">
        <f aca="false">IF(AA865=1,K865/H865,0)</f>
        <v>0</v>
      </c>
      <c r="AG865" s="45" t="str">
        <f aca="false">IF(AA865=1,D865&amp;"|"&amp;TEXT(B865,"0"),"")</f>
        <v/>
      </c>
      <c r="AH865" s="43" t="n">
        <f aca="false">IF(AA865=1,H865,0)</f>
        <v>0</v>
      </c>
    </row>
    <row r="866" customFormat="false" ht="15" hidden="false" customHeight="false" outlineLevel="0" collapsed="false">
      <c r="A866" s="23" t="str">
        <f aca="false">IF(B866="","","B-"&amp;TEXT(ROW()-4,"0000"))</f>
        <v/>
      </c>
      <c r="B866" s="38"/>
      <c r="C866" s="38"/>
      <c r="D866" s="6"/>
      <c r="E866" s="6"/>
      <c r="F866" s="6"/>
      <c r="G866" s="11"/>
      <c r="H866" s="24" t="str">
        <f aca="false">IF(AND(ISNUMBER(B866),ISNUMBER(C866)),MAX(0,C866-B866),"")</f>
        <v/>
      </c>
      <c r="I866" s="37"/>
      <c r="J866" s="46" t="str">
        <f aca="false">IF(OR(D866="",N(H866)=0),"",IFERROR(IF(I866&lt;&gt;"",H866*I866,ROUND(((H866-(INT((WEEKDAY(B866-6)+H866-1)/7)+INT((WEEKDAY(B866-7)+H866-1)/7)))*INDEX(Properties!$E$5:$E$24,MATCH(D866,Properties!$A$5:$A$24,0))+(INT((WEEKDAY(B866-6)+H866-1)/7)+INT((WEEKDAY(B866-7)+H866-1)/7))*INDEX(Properties!$F$5:$F$24,MATCH(D866,Properties!$A$5:$A$24,0)))*(1-IF(H866&gt;=28,Settings!$B$10,IF(H866&gt;=7,Settings!$B$9,0))),2)),0))</f>
        <v/>
      </c>
      <c r="K866" s="46" t="str">
        <f aca="false">IF(J866="","",IFERROR(N(INDEX(Properties!$G$5:$G$24,MATCH(D866,Properties!$A$5:$A$24,0))),0))</f>
        <v/>
      </c>
      <c r="L866" s="46" t="str">
        <f aca="false">IF(J866="","",IFERROR(MAX(0,N(G866)-INDEX(Properties!$I$5:$I$24,MATCH(D866,Properties!$A$5:$A$24,0)))*N(INDEX(Properties!$J$5:$J$24,MATCH(D866,Properties!$A$5:$A$24,0)))*H866,0))</f>
        <v/>
      </c>
      <c r="M866" s="37"/>
      <c r="N866" s="46" t="str">
        <f aca="false">IF(J866="","",J866+K866+L866+N(M866))</f>
        <v/>
      </c>
      <c r="O866" s="46" t="str">
        <f aca="false">IF(N866="","",IF(P866&lt;&gt;"",N866-P866,ROUND(N866*IFERROR(INDEX(Settings!$E$5:$E$12,MATCH(F866,Settings!$D$5:$D$12,0)),0),2)))</f>
        <v/>
      </c>
      <c r="P866" s="37"/>
      <c r="Q866" s="46" t="str">
        <f aca="false">IF(N866="","",IF(P866&lt;&gt;"",P866,N866-O866))</f>
        <v/>
      </c>
      <c r="R866" s="46" t="str">
        <f aca="false">IF(J866="","",IFERROR(N(INDEX(Properties!$H$5:$H$24,MATCH(D866,Properties!$A$5:$A$24,0))),0))</f>
        <v/>
      </c>
      <c r="S866" s="46" t="str">
        <f aca="false">IF(Q866="","",Q866-R866)</f>
        <v/>
      </c>
      <c r="T866" s="6"/>
      <c r="U866" s="6"/>
      <c r="V866" s="6"/>
      <c r="W866" s="6"/>
      <c r="X866" s="6"/>
      <c r="Y866" s="8" t="str">
        <f aca="false">IF(OR(D866="",B866="",C866=""),"",IF(N(C866)&lt;=N(B866),"Check dates",IF(T866="Cancelled","",IF(COUNTIFS($D$5:$D$1004,D866,$B$5:$B$1004,"&lt;"&amp;C866,$C$5:$C$1004,"&gt;"&amp;B866,$T$5:$T$1004,"&lt;&gt;Cancelled")&gt;1,"Double-booked",""))))</f>
        <v/>
      </c>
      <c r="Z866" s="42" t="str">
        <f aca="false">IF(AND(AA866=1,ISNUMBER(C866)),C866+ROW()/100000,"")</f>
        <v/>
      </c>
      <c r="AA866" s="43" t="n">
        <f aca="false">IF(AND(D866&lt;&gt;"",ISNUMBER(B866),ISNUMBER(C866),N(H866)&gt;0,T866&lt;&gt;"Cancelled",J866&lt;&gt;""),1,0)</f>
        <v>0</v>
      </c>
      <c r="AB866" s="44" t="n">
        <f aca="false">IF(AA866=1,J866/H866,0)</f>
        <v>0</v>
      </c>
      <c r="AC866" s="44" t="n">
        <f aca="false">IF(AA866=1,Q866/H866,0)</f>
        <v>0</v>
      </c>
      <c r="AD866" s="44" t="n">
        <f aca="false">IF(AA866=1,R866/H866,0)</f>
        <v>0</v>
      </c>
      <c r="AE866" s="44" t="n">
        <f aca="false">IF(AA866=1,O866/H866,0)</f>
        <v>0</v>
      </c>
      <c r="AF866" s="44" t="n">
        <f aca="false">IF(AA866=1,K866/H866,0)</f>
        <v>0</v>
      </c>
      <c r="AG866" s="45" t="str">
        <f aca="false">IF(AA866=1,D866&amp;"|"&amp;TEXT(B866,"0"),"")</f>
        <v/>
      </c>
      <c r="AH866" s="43" t="n">
        <f aca="false">IF(AA866=1,H866,0)</f>
        <v>0</v>
      </c>
    </row>
    <row r="867" customFormat="false" ht="15" hidden="false" customHeight="false" outlineLevel="0" collapsed="false">
      <c r="A867" s="8" t="str">
        <f aca="false">IF(B867="","","B-"&amp;TEXT(ROW()-4,"0000"))</f>
        <v/>
      </c>
      <c r="B867" s="38"/>
      <c r="C867" s="38"/>
      <c r="D867" s="6"/>
      <c r="E867" s="6"/>
      <c r="F867" s="6"/>
      <c r="G867" s="11"/>
      <c r="H867" s="18" t="str">
        <f aca="false">IF(AND(ISNUMBER(B867),ISNUMBER(C867)),MAX(0,C867-B867),"")</f>
        <v/>
      </c>
      <c r="I867" s="37"/>
      <c r="J867" s="41" t="str">
        <f aca="false">IF(OR(D867="",N(H867)=0),"",IFERROR(IF(I867&lt;&gt;"",H867*I867,ROUND(((H867-(INT((WEEKDAY(B867-6)+H867-1)/7)+INT((WEEKDAY(B867-7)+H867-1)/7)))*INDEX(Properties!$E$5:$E$24,MATCH(D867,Properties!$A$5:$A$24,0))+(INT((WEEKDAY(B867-6)+H867-1)/7)+INT((WEEKDAY(B867-7)+H867-1)/7))*INDEX(Properties!$F$5:$F$24,MATCH(D867,Properties!$A$5:$A$24,0)))*(1-IF(H867&gt;=28,Settings!$B$10,IF(H867&gt;=7,Settings!$B$9,0))),2)),0))</f>
        <v/>
      </c>
      <c r="K867" s="41" t="str">
        <f aca="false">IF(J867="","",IFERROR(N(INDEX(Properties!$G$5:$G$24,MATCH(D867,Properties!$A$5:$A$24,0))),0))</f>
        <v/>
      </c>
      <c r="L867" s="41" t="str">
        <f aca="false">IF(J867="","",IFERROR(MAX(0,N(G867)-INDEX(Properties!$I$5:$I$24,MATCH(D867,Properties!$A$5:$A$24,0)))*N(INDEX(Properties!$J$5:$J$24,MATCH(D867,Properties!$A$5:$A$24,0)))*H867,0))</f>
        <v/>
      </c>
      <c r="M867" s="37"/>
      <c r="N867" s="41" t="str">
        <f aca="false">IF(J867="","",J867+K867+L867+N(M867))</f>
        <v/>
      </c>
      <c r="O867" s="41" t="str">
        <f aca="false">IF(N867="","",IF(P867&lt;&gt;"",N867-P867,ROUND(N867*IFERROR(INDEX(Settings!$E$5:$E$12,MATCH(F867,Settings!$D$5:$D$12,0)),0),2)))</f>
        <v/>
      </c>
      <c r="P867" s="37"/>
      <c r="Q867" s="41" t="str">
        <f aca="false">IF(N867="","",IF(P867&lt;&gt;"",P867,N867-O867))</f>
        <v/>
      </c>
      <c r="R867" s="41" t="str">
        <f aca="false">IF(J867="","",IFERROR(N(INDEX(Properties!$H$5:$H$24,MATCH(D867,Properties!$A$5:$A$24,0))),0))</f>
        <v/>
      </c>
      <c r="S867" s="41" t="str">
        <f aca="false">IF(Q867="","",Q867-R867)</f>
        <v/>
      </c>
      <c r="T867" s="6"/>
      <c r="U867" s="6"/>
      <c r="V867" s="6"/>
      <c r="W867" s="6"/>
      <c r="X867" s="6"/>
      <c r="Y867" s="8" t="str">
        <f aca="false">IF(OR(D867="",B867="",C867=""),"",IF(N(C867)&lt;=N(B867),"Check dates",IF(T867="Cancelled","",IF(COUNTIFS($D$5:$D$1004,D867,$B$5:$B$1004,"&lt;"&amp;C867,$C$5:$C$1004,"&gt;"&amp;B867,$T$5:$T$1004,"&lt;&gt;Cancelled")&gt;1,"Double-booked",""))))</f>
        <v/>
      </c>
      <c r="Z867" s="42" t="str">
        <f aca="false">IF(AND(AA867=1,ISNUMBER(C867)),C867+ROW()/100000,"")</f>
        <v/>
      </c>
      <c r="AA867" s="43" t="n">
        <f aca="false">IF(AND(D867&lt;&gt;"",ISNUMBER(B867),ISNUMBER(C867),N(H867)&gt;0,T867&lt;&gt;"Cancelled",J867&lt;&gt;""),1,0)</f>
        <v>0</v>
      </c>
      <c r="AB867" s="44" t="n">
        <f aca="false">IF(AA867=1,J867/H867,0)</f>
        <v>0</v>
      </c>
      <c r="AC867" s="44" t="n">
        <f aca="false">IF(AA867=1,Q867/H867,0)</f>
        <v>0</v>
      </c>
      <c r="AD867" s="44" t="n">
        <f aca="false">IF(AA867=1,R867/H867,0)</f>
        <v>0</v>
      </c>
      <c r="AE867" s="44" t="n">
        <f aca="false">IF(AA867=1,O867/H867,0)</f>
        <v>0</v>
      </c>
      <c r="AF867" s="44" t="n">
        <f aca="false">IF(AA867=1,K867/H867,0)</f>
        <v>0</v>
      </c>
      <c r="AG867" s="45" t="str">
        <f aca="false">IF(AA867=1,D867&amp;"|"&amp;TEXT(B867,"0"),"")</f>
        <v/>
      </c>
      <c r="AH867" s="43" t="n">
        <f aca="false">IF(AA867=1,H867,0)</f>
        <v>0</v>
      </c>
    </row>
    <row r="868" customFormat="false" ht="15" hidden="false" customHeight="false" outlineLevel="0" collapsed="false">
      <c r="A868" s="23" t="str">
        <f aca="false">IF(B868="","","B-"&amp;TEXT(ROW()-4,"0000"))</f>
        <v/>
      </c>
      <c r="B868" s="38"/>
      <c r="C868" s="38"/>
      <c r="D868" s="6"/>
      <c r="E868" s="6"/>
      <c r="F868" s="6"/>
      <c r="G868" s="11"/>
      <c r="H868" s="24" t="str">
        <f aca="false">IF(AND(ISNUMBER(B868),ISNUMBER(C868)),MAX(0,C868-B868),"")</f>
        <v/>
      </c>
      <c r="I868" s="37"/>
      <c r="J868" s="46" t="str">
        <f aca="false">IF(OR(D868="",N(H868)=0),"",IFERROR(IF(I868&lt;&gt;"",H868*I868,ROUND(((H868-(INT((WEEKDAY(B868-6)+H868-1)/7)+INT((WEEKDAY(B868-7)+H868-1)/7)))*INDEX(Properties!$E$5:$E$24,MATCH(D868,Properties!$A$5:$A$24,0))+(INT((WEEKDAY(B868-6)+H868-1)/7)+INT((WEEKDAY(B868-7)+H868-1)/7))*INDEX(Properties!$F$5:$F$24,MATCH(D868,Properties!$A$5:$A$24,0)))*(1-IF(H868&gt;=28,Settings!$B$10,IF(H868&gt;=7,Settings!$B$9,0))),2)),0))</f>
        <v/>
      </c>
      <c r="K868" s="46" t="str">
        <f aca="false">IF(J868="","",IFERROR(N(INDEX(Properties!$G$5:$G$24,MATCH(D868,Properties!$A$5:$A$24,0))),0))</f>
        <v/>
      </c>
      <c r="L868" s="46" t="str">
        <f aca="false">IF(J868="","",IFERROR(MAX(0,N(G868)-INDEX(Properties!$I$5:$I$24,MATCH(D868,Properties!$A$5:$A$24,0)))*N(INDEX(Properties!$J$5:$J$24,MATCH(D868,Properties!$A$5:$A$24,0)))*H868,0))</f>
        <v/>
      </c>
      <c r="M868" s="37"/>
      <c r="N868" s="46" t="str">
        <f aca="false">IF(J868="","",J868+K868+L868+N(M868))</f>
        <v/>
      </c>
      <c r="O868" s="46" t="str">
        <f aca="false">IF(N868="","",IF(P868&lt;&gt;"",N868-P868,ROUND(N868*IFERROR(INDEX(Settings!$E$5:$E$12,MATCH(F868,Settings!$D$5:$D$12,0)),0),2)))</f>
        <v/>
      </c>
      <c r="P868" s="37"/>
      <c r="Q868" s="46" t="str">
        <f aca="false">IF(N868="","",IF(P868&lt;&gt;"",P868,N868-O868))</f>
        <v/>
      </c>
      <c r="R868" s="46" t="str">
        <f aca="false">IF(J868="","",IFERROR(N(INDEX(Properties!$H$5:$H$24,MATCH(D868,Properties!$A$5:$A$24,0))),0))</f>
        <v/>
      </c>
      <c r="S868" s="46" t="str">
        <f aca="false">IF(Q868="","",Q868-R868)</f>
        <v/>
      </c>
      <c r="T868" s="6"/>
      <c r="U868" s="6"/>
      <c r="V868" s="6"/>
      <c r="W868" s="6"/>
      <c r="X868" s="6"/>
      <c r="Y868" s="8" t="str">
        <f aca="false">IF(OR(D868="",B868="",C868=""),"",IF(N(C868)&lt;=N(B868),"Check dates",IF(T868="Cancelled","",IF(COUNTIFS($D$5:$D$1004,D868,$B$5:$B$1004,"&lt;"&amp;C868,$C$5:$C$1004,"&gt;"&amp;B868,$T$5:$T$1004,"&lt;&gt;Cancelled")&gt;1,"Double-booked",""))))</f>
        <v/>
      </c>
      <c r="Z868" s="42" t="str">
        <f aca="false">IF(AND(AA868=1,ISNUMBER(C868)),C868+ROW()/100000,"")</f>
        <v/>
      </c>
      <c r="AA868" s="43" t="n">
        <f aca="false">IF(AND(D868&lt;&gt;"",ISNUMBER(B868),ISNUMBER(C868),N(H868)&gt;0,T868&lt;&gt;"Cancelled",J868&lt;&gt;""),1,0)</f>
        <v>0</v>
      </c>
      <c r="AB868" s="44" t="n">
        <f aca="false">IF(AA868=1,J868/H868,0)</f>
        <v>0</v>
      </c>
      <c r="AC868" s="44" t="n">
        <f aca="false">IF(AA868=1,Q868/H868,0)</f>
        <v>0</v>
      </c>
      <c r="AD868" s="44" t="n">
        <f aca="false">IF(AA868=1,R868/H868,0)</f>
        <v>0</v>
      </c>
      <c r="AE868" s="44" t="n">
        <f aca="false">IF(AA868=1,O868/H868,0)</f>
        <v>0</v>
      </c>
      <c r="AF868" s="44" t="n">
        <f aca="false">IF(AA868=1,K868/H868,0)</f>
        <v>0</v>
      </c>
      <c r="AG868" s="45" t="str">
        <f aca="false">IF(AA868=1,D868&amp;"|"&amp;TEXT(B868,"0"),"")</f>
        <v/>
      </c>
      <c r="AH868" s="43" t="n">
        <f aca="false">IF(AA868=1,H868,0)</f>
        <v>0</v>
      </c>
    </row>
    <row r="869" customFormat="false" ht="15" hidden="false" customHeight="false" outlineLevel="0" collapsed="false">
      <c r="A869" s="8" t="str">
        <f aca="false">IF(B869="","","B-"&amp;TEXT(ROW()-4,"0000"))</f>
        <v/>
      </c>
      <c r="B869" s="38"/>
      <c r="C869" s="38"/>
      <c r="D869" s="6"/>
      <c r="E869" s="6"/>
      <c r="F869" s="6"/>
      <c r="G869" s="11"/>
      <c r="H869" s="18" t="str">
        <f aca="false">IF(AND(ISNUMBER(B869),ISNUMBER(C869)),MAX(0,C869-B869),"")</f>
        <v/>
      </c>
      <c r="I869" s="37"/>
      <c r="J869" s="41" t="str">
        <f aca="false">IF(OR(D869="",N(H869)=0),"",IFERROR(IF(I869&lt;&gt;"",H869*I869,ROUND(((H869-(INT((WEEKDAY(B869-6)+H869-1)/7)+INT((WEEKDAY(B869-7)+H869-1)/7)))*INDEX(Properties!$E$5:$E$24,MATCH(D869,Properties!$A$5:$A$24,0))+(INT((WEEKDAY(B869-6)+H869-1)/7)+INT((WEEKDAY(B869-7)+H869-1)/7))*INDEX(Properties!$F$5:$F$24,MATCH(D869,Properties!$A$5:$A$24,0)))*(1-IF(H869&gt;=28,Settings!$B$10,IF(H869&gt;=7,Settings!$B$9,0))),2)),0))</f>
        <v/>
      </c>
      <c r="K869" s="41" t="str">
        <f aca="false">IF(J869="","",IFERROR(N(INDEX(Properties!$G$5:$G$24,MATCH(D869,Properties!$A$5:$A$24,0))),0))</f>
        <v/>
      </c>
      <c r="L869" s="41" t="str">
        <f aca="false">IF(J869="","",IFERROR(MAX(0,N(G869)-INDEX(Properties!$I$5:$I$24,MATCH(D869,Properties!$A$5:$A$24,0)))*N(INDEX(Properties!$J$5:$J$24,MATCH(D869,Properties!$A$5:$A$24,0)))*H869,0))</f>
        <v/>
      </c>
      <c r="M869" s="37"/>
      <c r="N869" s="41" t="str">
        <f aca="false">IF(J869="","",J869+K869+L869+N(M869))</f>
        <v/>
      </c>
      <c r="O869" s="41" t="str">
        <f aca="false">IF(N869="","",IF(P869&lt;&gt;"",N869-P869,ROUND(N869*IFERROR(INDEX(Settings!$E$5:$E$12,MATCH(F869,Settings!$D$5:$D$12,0)),0),2)))</f>
        <v/>
      </c>
      <c r="P869" s="37"/>
      <c r="Q869" s="41" t="str">
        <f aca="false">IF(N869="","",IF(P869&lt;&gt;"",P869,N869-O869))</f>
        <v/>
      </c>
      <c r="R869" s="41" t="str">
        <f aca="false">IF(J869="","",IFERROR(N(INDEX(Properties!$H$5:$H$24,MATCH(D869,Properties!$A$5:$A$24,0))),0))</f>
        <v/>
      </c>
      <c r="S869" s="41" t="str">
        <f aca="false">IF(Q869="","",Q869-R869)</f>
        <v/>
      </c>
      <c r="T869" s="6"/>
      <c r="U869" s="6"/>
      <c r="V869" s="6"/>
      <c r="W869" s="6"/>
      <c r="X869" s="6"/>
      <c r="Y869" s="8" t="str">
        <f aca="false">IF(OR(D869="",B869="",C869=""),"",IF(N(C869)&lt;=N(B869),"Check dates",IF(T869="Cancelled","",IF(COUNTIFS($D$5:$D$1004,D869,$B$5:$B$1004,"&lt;"&amp;C869,$C$5:$C$1004,"&gt;"&amp;B869,$T$5:$T$1004,"&lt;&gt;Cancelled")&gt;1,"Double-booked",""))))</f>
        <v/>
      </c>
      <c r="Z869" s="42" t="str">
        <f aca="false">IF(AND(AA869=1,ISNUMBER(C869)),C869+ROW()/100000,"")</f>
        <v/>
      </c>
      <c r="AA869" s="43" t="n">
        <f aca="false">IF(AND(D869&lt;&gt;"",ISNUMBER(B869),ISNUMBER(C869),N(H869)&gt;0,T869&lt;&gt;"Cancelled",J869&lt;&gt;""),1,0)</f>
        <v>0</v>
      </c>
      <c r="AB869" s="44" t="n">
        <f aca="false">IF(AA869=1,J869/H869,0)</f>
        <v>0</v>
      </c>
      <c r="AC869" s="44" t="n">
        <f aca="false">IF(AA869=1,Q869/H869,0)</f>
        <v>0</v>
      </c>
      <c r="AD869" s="44" t="n">
        <f aca="false">IF(AA869=1,R869/H869,0)</f>
        <v>0</v>
      </c>
      <c r="AE869" s="44" t="n">
        <f aca="false">IF(AA869=1,O869/H869,0)</f>
        <v>0</v>
      </c>
      <c r="AF869" s="44" t="n">
        <f aca="false">IF(AA869=1,K869/H869,0)</f>
        <v>0</v>
      </c>
      <c r="AG869" s="45" t="str">
        <f aca="false">IF(AA869=1,D869&amp;"|"&amp;TEXT(B869,"0"),"")</f>
        <v/>
      </c>
      <c r="AH869" s="43" t="n">
        <f aca="false">IF(AA869=1,H869,0)</f>
        <v>0</v>
      </c>
    </row>
    <row r="870" customFormat="false" ht="15" hidden="false" customHeight="false" outlineLevel="0" collapsed="false">
      <c r="A870" s="23" t="str">
        <f aca="false">IF(B870="","","B-"&amp;TEXT(ROW()-4,"0000"))</f>
        <v/>
      </c>
      <c r="B870" s="38"/>
      <c r="C870" s="38"/>
      <c r="D870" s="6"/>
      <c r="E870" s="6"/>
      <c r="F870" s="6"/>
      <c r="G870" s="11"/>
      <c r="H870" s="24" t="str">
        <f aca="false">IF(AND(ISNUMBER(B870),ISNUMBER(C870)),MAX(0,C870-B870),"")</f>
        <v/>
      </c>
      <c r="I870" s="37"/>
      <c r="J870" s="46" t="str">
        <f aca="false">IF(OR(D870="",N(H870)=0),"",IFERROR(IF(I870&lt;&gt;"",H870*I870,ROUND(((H870-(INT((WEEKDAY(B870-6)+H870-1)/7)+INT((WEEKDAY(B870-7)+H870-1)/7)))*INDEX(Properties!$E$5:$E$24,MATCH(D870,Properties!$A$5:$A$24,0))+(INT((WEEKDAY(B870-6)+H870-1)/7)+INT((WEEKDAY(B870-7)+H870-1)/7))*INDEX(Properties!$F$5:$F$24,MATCH(D870,Properties!$A$5:$A$24,0)))*(1-IF(H870&gt;=28,Settings!$B$10,IF(H870&gt;=7,Settings!$B$9,0))),2)),0))</f>
        <v/>
      </c>
      <c r="K870" s="46" t="str">
        <f aca="false">IF(J870="","",IFERROR(N(INDEX(Properties!$G$5:$G$24,MATCH(D870,Properties!$A$5:$A$24,0))),0))</f>
        <v/>
      </c>
      <c r="L870" s="46" t="str">
        <f aca="false">IF(J870="","",IFERROR(MAX(0,N(G870)-INDEX(Properties!$I$5:$I$24,MATCH(D870,Properties!$A$5:$A$24,0)))*N(INDEX(Properties!$J$5:$J$24,MATCH(D870,Properties!$A$5:$A$24,0)))*H870,0))</f>
        <v/>
      </c>
      <c r="M870" s="37"/>
      <c r="N870" s="46" t="str">
        <f aca="false">IF(J870="","",J870+K870+L870+N(M870))</f>
        <v/>
      </c>
      <c r="O870" s="46" t="str">
        <f aca="false">IF(N870="","",IF(P870&lt;&gt;"",N870-P870,ROUND(N870*IFERROR(INDEX(Settings!$E$5:$E$12,MATCH(F870,Settings!$D$5:$D$12,0)),0),2)))</f>
        <v/>
      </c>
      <c r="P870" s="37"/>
      <c r="Q870" s="46" t="str">
        <f aca="false">IF(N870="","",IF(P870&lt;&gt;"",P870,N870-O870))</f>
        <v/>
      </c>
      <c r="R870" s="46" t="str">
        <f aca="false">IF(J870="","",IFERROR(N(INDEX(Properties!$H$5:$H$24,MATCH(D870,Properties!$A$5:$A$24,0))),0))</f>
        <v/>
      </c>
      <c r="S870" s="46" t="str">
        <f aca="false">IF(Q870="","",Q870-R870)</f>
        <v/>
      </c>
      <c r="T870" s="6"/>
      <c r="U870" s="6"/>
      <c r="V870" s="6"/>
      <c r="W870" s="6"/>
      <c r="X870" s="6"/>
      <c r="Y870" s="8" t="str">
        <f aca="false">IF(OR(D870="",B870="",C870=""),"",IF(N(C870)&lt;=N(B870),"Check dates",IF(T870="Cancelled","",IF(COUNTIFS($D$5:$D$1004,D870,$B$5:$B$1004,"&lt;"&amp;C870,$C$5:$C$1004,"&gt;"&amp;B870,$T$5:$T$1004,"&lt;&gt;Cancelled")&gt;1,"Double-booked",""))))</f>
        <v/>
      </c>
      <c r="Z870" s="42" t="str">
        <f aca="false">IF(AND(AA870=1,ISNUMBER(C870)),C870+ROW()/100000,"")</f>
        <v/>
      </c>
      <c r="AA870" s="43" t="n">
        <f aca="false">IF(AND(D870&lt;&gt;"",ISNUMBER(B870),ISNUMBER(C870),N(H870)&gt;0,T870&lt;&gt;"Cancelled",J870&lt;&gt;""),1,0)</f>
        <v>0</v>
      </c>
      <c r="AB870" s="44" t="n">
        <f aca="false">IF(AA870=1,J870/H870,0)</f>
        <v>0</v>
      </c>
      <c r="AC870" s="44" t="n">
        <f aca="false">IF(AA870=1,Q870/H870,0)</f>
        <v>0</v>
      </c>
      <c r="AD870" s="44" t="n">
        <f aca="false">IF(AA870=1,R870/H870,0)</f>
        <v>0</v>
      </c>
      <c r="AE870" s="44" t="n">
        <f aca="false">IF(AA870=1,O870/H870,0)</f>
        <v>0</v>
      </c>
      <c r="AF870" s="44" t="n">
        <f aca="false">IF(AA870=1,K870/H870,0)</f>
        <v>0</v>
      </c>
      <c r="AG870" s="45" t="str">
        <f aca="false">IF(AA870=1,D870&amp;"|"&amp;TEXT(B870,"0"),"")</f>
        <v/>
      </c>
      <c r="AH870" s="43" t="n">
        <f aca="false">IF(AA870=1,H870,0)</f>
        <v>0</v>
      </c>
    </row>
    <row r="871" customFormat="false" ht="15" hidden="false" customHeight="false" outlineLevel="0" collapsed="false">
      <c r="A871" s="8" t="str">
        <f aca="false">IF(B871="","","B-"&amp;TEXT(ROW()-4,"0000"))</f>
        <v/>
      </c>
      <c r="B871" s="38"/>
      <c r="C871" s="38"/>
      <c r="D871" s="6"/>
      <c r="E871" s="6"/>
      <c r="F871" s="6"/>
      <c r="G871" s="11"/>
      <c r="H871" s="18" t="str">
        <f aca="false">IF(AND(ISNUMBER(B871),ISNUMBER(C871)),MAX(0,C871-B871),"")</f>
        <v/>
      </c>
      <c r="I871" s="37"/>
      <c r="J871" s="41" t="str">
        <f aca="false">IF(OR(D871="",N(H871)=0),"",IFERROR(IF(I871&lt;&gt;"",H871*I871,ROUND(((H871-(INT((WEEKDAY(B871-6)+H871-1)/7)+INT((WEEKDAY(B871-7)+H871-1)/7)))*INDEX(Properties!$E$5:$E$24,MATCH(D871,Properties!$A$5:$A$24,0))+(INT((WEEKDAY(B871-6)+H871-1)/7)+INT((WEEKDAY(B871-7)+H871-1)/7))*INDEX(Properties!$F$5:$F$24,MATCH(D871,Properties!$A$5:$A$24,0)))*(1-IF(H871&gt;=28,Settings!$B$10,IF(H871&gt;=7,Settings!$B$9,0))),2)),0))</f>
        <v/>
      </c>
      <c r="K871" s="41" t="str">
        <f aca="false">IF(J871="","",IFERROR(N(INDEX(Properties!$G$5:$G$24,MATCH(D871,Properties!$A$5:$A$24,0))),0))</f>
        <v/>
      </c>
      <c r="L871" s="41" t="str">
        <f aca="false">IF(J871="","",IFERROR(MAX(0,N(G871)-INDEX(Properties!$I$5:$I$24,MATCH(D871,Properties!$A$5:$A$24,0)))*N(INDEX(Properties!$J$5:$J$24,MATCH(D871,Properties!$A$5:$A$24,0)))*H871,0))</f>
        <v/>
      </c>
      <c r="M871" s="37"/>
      <c r="N871" s="41" t="str">
        <f aca="false">IF(J871="","",J871+K871+L871+N(M871))</f>
        <v/>
      </c>
      <c r="O871" s="41" t="str">
        <f aca="false">IF(N871="","",IF(P871&lt;&gt;"",N871-P871,ROUND(N871*IFERROR(INDEX(Settings!$E$5:$E$12,MATCH(F871,Settings!$D$5:$D$12,0)),0),2)))</f>
        <v/>
      </c>
      <c r="P871" s="37"/>
      <c r="Q871" s="41" t="str">
        <f aca="false">IF(N871="","",IF(P871&lt;&gt;"",P871,N871-O871))</f>
        <v/>
      </c>
      <c r="R871" s="41" t="str">
        <f aca="false">IF(J871="","",IFERROR(N(INDEX(Properties!$H$5:$H$24,MATCH(D871,Properties!$A$5:$A$24,0))),0))</f>
        <v/>
      </c>
      <c r="S871" s="41" t="str">
        <f aca="false">IF(Q871="","",Q871-R871)</f>
        <v/>
      </c>
      <c r="T871" s="6"/>
      <c r="U871" s="6"/>
      <c r="V871" s="6"/>
      <c r="W871" s="6"/>
      <c r="X871" s="6"/>
      <c r="Y871" s="8" t="str">
        <f aca="false">IF(OR(D871="",B871="",C871=""),"",IF(N(C871)&lt;=N(B871),"Check dates",IF(T871="Cancelled","",IF(COUNTIFS($D$5:$D$1004,D871,$B$5:$B$1004,"&lt;"&amp;C871,$C$5:$C$1004,"&gt;"&amp;B871,$T$5:$T$1004,"&lt;&gt;Cancelled")&gt;1,"Double-booked",""))))</f>
        <v/>
      </c>
      <c r="Z871" s="42" t="str">
        <f aca="false">IF(AND(AA871=1,ISNUMBER(C871)),C871+ROW()/100000,"")</f>
        <v/>
      </c>
      <c r="AA871" s="43" t="n">
        <f aca="false">IF(AND(D871&lt;&gt;"",ISNUMBER(B871),ISNUMBER(C871),N(H871)&gt;0,T871&lt;&gt;"Cancelled",J871&lt;&gt;""),1,0)</f>
        <v>0</v>
      </c>
      <c r="AB871" s="44" t="n">
        <f aca="false">IF(AA871=1,J871/H871,0)</f>
        <v>0</v>
      </c>
      <c r="AC871" s="44" t="n">
        <f aca="false">IF(AA871=1,Q871/H871,0)</f>
        <v>0</v>
      </c>
      <c r="AD871" s="44" t="n">
        <f aca="false">IF(AA871=1,R871/H871,0)</f>
        <v>0</v>
      </c>
      <c r="AE871" s="44" t="n">
        <f aca="false">IF(AA871=1,O871/H871,0)</f>
        <v>0</v>
      </c>
      <c r="AF871" s="44" t="n">
        <f aca="false">IF(AA871=1,K871/H871,0)</f>
        <v>0</v>
      </c>
      <c r="AG871" s="45" t="str">
        <f aca="false">IF(AA871=1,D871&amp;"|"&amp;TEXT(B871,"0"),"")</f>
        <v/>
      </c>
      <c r="AH871" s="43" t="n">
        <f aca="false">IF(AA871=1,H871,0)</f>
        <v>0</v>
      </c>
    </row>
    <row r="872" customFormat="false" ht="15" hidden="false" customHeight="false" outlineLevel="0" collapsed="false">
      <c r="A872" s="23" t="str">
        <f aca="false">IF(B872="","","B-"&amp;TEXT(ROW()-4,"0000"))</f>
        <v/>
      </c>
      <c r="B872" s="38"/>
      <c r="C872" s="38"/>
      <c r="D872" s="6"/>
      <c r="E872" s="6"/>
      <c r="F872" s="6"/>
      <c r="G872" s="11"/>
      <c r="H872" s="24" t="str">
        <f aca="false">IF(AND(ISNUMBER(B872),ISNUMBER(C872)),MAX(0,C872-B872),"")</f>
        <v/>
      </c>
      <c r="I872" s="37"/>
      <c r="J872" s="46" t="str">
        <f aca="false">IF(OR(D872="",N(H872)=0),"",IFERROR(IF(I872&lt;&gt;"",H872*I872,ROUND(((H872-(INT((WEEKDAY(B872-6)+H872-1)/7)+INT((WEEKDAY(B872-7)+H872-1)/7)))*INDEX(Properties!$E$5:$E$24,MATCH(D872,Properties!$A$5:$A$24,0))+(INT((WEEKDAY(B872-6)+H872-1)/7)+INT((WEEKDAY(B872-7)+H872-1)/7))*INDEX(Properties!$F$5:$F$24,MATCH(D872,Properties!$A$5:$A$24,0)))*(1-IF(H872&gt;=28,Settings!$B$10,IF(H872&gt;=7,Settings!$B$9,0))),2)),0))</f>
        <v/>
      </c>
      <c r="K872" s="46" t="str">
        <f aca="false">IF(J872="","",IFERROR(N(INDEX(Properties!$G$5:$G$24,MATCH(D872,Properties!$A$5:$A$24,0))),0))</f>
        <v/>
      </c>
      <c r="L872" s="46" t="str">
        <f aca="false">IF(J872="","",IFERROR(MAX(0,N(G872)-INDEX(Properties!$I$5:$I$24,MATCH(D872,Properties!$A$5:$A$24,0)))*N(INDEX(Properties!$J$5:$J$24,MATCH(D872,Properties!$A$5:$A$24,0)))*H872,0))</f>
        <v/>
      </c>
      <c r="M872" s="37"/>
      <c r="N872" s="46" t="str">
        <f aca="false">IF(J872="","",J872+K872+L872+N(M872))</f>
        <v/>
      </c>
      <c r="O872" s="46" t="str">
        <f aca="false">IF(N872="","",IF(P872&lt;&gt;"",N872-P872,ROUND(N872*IFERROR(INDEX(Settings!$E$5:$E$12,MATCH(F872,Settings!$D$5:$D$12,0)),0),2)))</f>
        <v/>
      </c>
      <c r="P872" s="37"/>
      <c r="Q872" s="46" t="str">
        <f aca="false">IF(N872="","",IF(P872&lt;&gt;"",P872,N872-O872))</f>
        <v/>
      </c>
      <c r="R872" s="46" t="str">
        <f aca="false">IF(J872="","",IFERROR(N(INDEX(Properties!$H$5:$H$24,MATCH(D872,Properties!$A$5:$A$24,0))),0))</f>
        <v/>
      </c>
      <c r="S872" s="46" t="str">
        <f aca="false">IF(Q872="","",Q872-R872)</f>
        <v/>
      </c>
      <c r="T872" s="6"/>
      <c r="U872" s="6"/>
      <c r="V872" s="6"/>
      <c r="W872" s="6"/>
      <c r="X872" s="6"/>
      <c r="Y872" s="8" t="str">
        <f aca="false">IF(OR(D872="",B872="",C872=""),"",IF(N(C872)&lt;=N(B872),"Check dates",IF(T872="Cancelled","",IF(COUNTIFS($D$5:$D$1004,D872,$B$5:$B$1004,"&lt;"&amp;C872,$C$5:$C$1004,"&gt;"&amp;B872,$T$5:$T$1004,"&lt;&gt;Cancelled")&gt;1,"Double-booked",""))))</f>
        <v/>
      </c>
      <c r="Z872" s="42" t="str">
        <f aca="false">IF(AND(AA872=1,ISNUMBER(C872)),C872+ROW()/100000,"")</f>
        <v/>
      </c>
      <c r="AA872" s="43" t="n">
        <f aca="false">IF(AND(D872&lt;&gt;"",ISNUMBER(B872),ISNUMBER(C872),N(H872)&gt;0,T872&lt;&gt;"Cancelled",J872&lt;&gt;""),1,0)</f>
        <v>0</v>
      </c>
      <c r="AB872" s="44" t="n">
        <f aca="false">IF(AA872=1,J872/H872,0)</f>
        <v>0</v>
      </c>
      <c r="AC872" s="44" t="n">
        <f aca="false">IF(AA872=1,Q872/H872,0)</f>
        <v>0</v>
      </c>
      <c r="AD872" s="44" t="n">
        <f aca="false">IF(AA872=1,R872/H872,0)</f>
        <v>0</v>
      </c>
      <c r="AE872" s="44" t="n">
        <f aca="false">IF(AA872=1,O872/H872,0)</f>
        <v>0</v>
      </c>
      <c r="AF872" s="44" t="n">
        <f aca="false">IF(AA872=1,K872/H872,0)</f>
        <v>0</v>
      </c>
      <c r="AG872" s="45" t="str">
        <f aca="false">IF(AA872=1,D872&amp;"|"&amp;TEXT(B872,"0"),"")</f>
        <v/>
      </c>
      <c r="AH872" s="43" t="n">
        <f aca="false">IF(AA872=1,H872,0)</f>
        <v>0</v>
      </c>
    </row>
    <row r="873" customFormat="false" ht="15" hidden="false" customHeight="false" outlineLevel="0" collapsed="false">
      <c r="A873" s="8" t="str">
        <f aca="false">IF(B873="","","B-"&amp;TEXT(ROW()-4,"0000"))</f>
        <v/>
      </c>
      <c r="B873" s="38"/>
      <c r="C873" s="38"/>
      <c r="D873" s="6"/>
      <c r="E873" s="6"/>
      <c r="F873" s="6"/>
      <c r="G873" s="11"/>
      <c r="H873" s="18" t="str">
        <f aca="false">IF(AND(ISNUMBER(B873),ISNUMBER(C873)),MAX(0,C873-B873),"")</f>
        <v/>
      </c>
      <c r="I873" s="37"/>
      <c r="J873" s="41" t="str">
        <f aca="false">IF(OR(D873="",N(H873)=0),"",IFERROR(IF(I873&lt;&gt;"",H873*I873,ROUND(((H873-(INT((WEEKDAY(B873-6)+H873-1)/7)+INT((WEEKDAY(B873-7)+H873-1)/7)))*INDEX(Properties!$E$5:$E$24,MATCH(D873,Properties!$A$5:$A$24,0))+(INT((WEEKDAY(B873-6)+H873-1)/7)+INT((WEEKDAY(B873-7)+H873-1)/7))*INDEX(Properties!$F$5:$F$24,MATCH(D873,Properties!$A$5:$A$24,0)))*(1-IF(H873&gt;=28,Settings!$B$10,IF(H873&gt;=7,Settings!$B$9,0))),2)),0))</f>
        <v/>
      </c>
      <c r="K873" s="41" t="str">
        <f aca="false">IF(J873="","",IFERROR(N(INDEX(Properties!$G$5:$G$24,MATCH(D873,Properties!$A$5:$A$24,0))),0))</f>
        <v/>
      </c>
      <c r="L873" s="41" t="str">
        <f aca="false">IF(J873="","",IFERROR(MAX(0,N(G873)-INDEX(Properties!$I$5:$I$24,MATCH(D873,Properties!$A$5:$A$24,0)))*N(INDEX(Properties!$J$5:$J$24,MATCH(D873,Properties!$A$5:$A$24,0)))*H873,0))</f>
        <v/>
      </c>
      <c r="M873" s="37"/>
      <c r="N873" s="41" t="str">
        <f aca="false">IF(J873="","",J873+K873+L873+N(M873))</f>
        <v/>
      </c>
      <c r="O873" s="41" t="str">
        <f aca="false">IF(N873="","",IF(P873&lt;&gt;"",N873-P873,ROUND(N873*IFERROR(INDEX(Settings!$E$5:$E$12,MATCH(F873,Settings!$D$5:$D$12,0)),0),2)))</f>
        <v/>
      </c>
      <c r="P873" s="37"/>
      <c r="Q873" s="41" t="str">
        <f aca="false">IF(N873="","",IF(P873&lt;&gt;"",P873,N873-O873))</f>
        <v/>
      </c>
      <c r="R873" s="41" t="str">
        <f aca="false">IF(J873="","",IFERROR(N(INDEX(Properties!$H$5:$H$24,MATCH(D873,Properties!$A$5:$A$24,0))),0))</f>
        <v/>
      </c>
      <c r="S873" s="41" t="str">
        <f aca="false">IF(Q873="","",Q873-R873)</f>
        <v/>
      </c>
      <c r="T873" s="6"/>
      <c r="U873" s="6"/>
      <c r="V873" s="6"/>
      <c r="W873" s="6"/>
      <c r="X873" s="6"/>
      <c r="Y873" s="8" t="str">
        <f aca="false">IF(OR(D873="",B873="",C873=""),"",IF(N(C873)&lt;=N(B873),"Check dates",IF(T873="Cancelled","",IF(COUNTIFS($D$5:$D$1004,D873,$B$5:$B$1004,"&lt;"&amp;C873,$C$5:$C$1004,"&gt;"&amp;B873,$T$5:$T$1004,"&lt;&gt;Cancelled")&gt;1,"Double-booked",""))))</f>
        <v/>
      </c>
      <c r="Z873" s="42" t="str">
        <f aca="false">IF(AND(AA873=1,ISNUMBER(C873)),C873+ROW()/100000,"")</f>
        <v/>
      </c>
      <c r="AA873" s="43" t="n">
        <f aca="false">IF(AND(D873&lt;&gt;"",ISNUMBER(B873),ISNUMBER(C873),N(H873)&gt;0,T873&lt;&gt;"Cancelled",J873&lt;&gt;""),1,0)</f>
        <v>0</v>
      </c>
      <c r="AB873" s="44" t="n">
        <f aca="false">IF(AA873=1,J873/H873,0)</f>
        <v>0</v>
      </c>
      <c r="AC873" s="44" t="n">
        <f aca="false">IF(AA873=1,Q873/H873,0)</f>
        <v>0</v>
      </c>
      <c r="AD873" s="44" t="n">
        <f aca="false">IF(AA873=1,R873/H873,0)</f>
        <v>0</v>
      </c>
      <c r="AE873" s="44" t="n">
        <f aca="false">IF(AA873=1,O873/H873,0)</f>
        <v>0</v>
      </c>
      <c r="AF873" s="44" t="n">
        <f aca="false">IF(AA873=1,K873/H873,0)</f>
        <v>0</v>
      </c>
      <c r="AG873" s="45" t="str">
        <f aca="false">IF(AA873=1,D873&amp;"|"&amp;TEXT(B873,"0"),"")</f>
        <v/>
      </c>
      <c r="AH873" s="43" t="n">
        <f aca="false">IF(AA873=1,H873,0)</f>
        <v>0</v>
      </c>
    </row>
    <row r="874" customFormat="false" ht="15" hidden="false" customHeight="false" outlineLevel="0" collapsed="false">
      <c r="A874" s="23" t="str">
        <f aca="false">IF(B874="","","B-"&amp;TEXT(ROW()-4,"0000"))</f>
        <v/>
      </c>
      <c r="B874" s="38"/>
      <c r="C874" s="38"/>
      <c r="D874" s="6"/>
      <c r="E874" s="6"/>
      <c r="F874" s="6"/>
      <c r="G874" s="11"/>
      <c r="H874" s="24" t="str">
        <f aca="false">IF(AND(ISNUMBER(B874),ISNUMBER(C874)),MAX(0,C874-B874),"")</f>
        <v/>
      </c>
      <c r="I874" s="37"/>
      <c r="J874" s="46" t="str">
        <f aca="false">IF(OR(D874="",N(H874)=0),"",IFERROR(IF(I874&lt;&gt;"",H874*I874,ROUND(((H874-(INT((WEEKDAY(B874-6)+H874-1)/7)+INT((WEEKDAY(B874-7)+H874-1)/7)))*INDEX(Properties!$E$5:$E$24,MATCH(D874,Properties!$A$5:$A$24,0))+(INT((WEEKDAY(B874-6)+H874-1)/7)+INT((WEEKDAY(B874-7)+H874-1)/7))*INDEX(Properties!$F$5:$F$24,MATCH(D874,Properties!$A$5:$A$24,0)))*(1-IF(H874&gt;=28,Settings!$B$10,IF(H874&gt;=7,Settings!$B$9,0))),2)),0))</f>
        <v/>
      </c>
      <c r="K874" s="46" t="str">
        <f aca="false">IF(J874="","",IFERROR(N(INDEX(Properties!$G$5:$G$24,MATCH(D874,Properties!$A$5:$A$24,0))),0))</f>
        <v/>
      </c>
      <c r="L874" s="46" t="str">
        <f aca="false">IF(J874="","",IFERROR(MAX(0,N(G874)-INDEX(Properties!$I$5:$I$24,MATCH(D874,Properties!$A$5:$A$24,0)))*N(INDEX(Properties!$J$5:$J$24,MATCH(D874,Properties!$A$5:$A$24,0)))*H874,0))</f>
        <v/>
      </c>
      <c r="M874" s="37"/>
      <c r="N874" s="46" t="str">
        <f aca="false">IF(J874="","",J874+K874+L874+N(M874))</f>
        <v/>
      </c>
      <c r="O874" s="46" t="str">
        <f aca="false">IF(N874="","",IF(P874&lt;&gt;"",N874-P874,ROUND(N874*IFERROR(INDEX(Settings!$E$5:$E$12,MATCH(F874,Settings!$D$5:$D$12,0)),0),2)))</f>
        <v/>
      </c>
      <c r="P874" s="37"/>
      <c r="Q874" s="46" t="str">
        <f aca="false">IF(N874="","",IF(P874&lt;&gt;"",P874,N874-O874))</f>
        <v/>
      </c>
      <c r="R874" s="46" t="str">
        <f aca="false">IF(J874="","",IFERROR(N(INDEX(Properties!$H$5:$H$24,MATCH(D874,Properties!$A$5:$A$24,0))),0))</f>
        <v/>
      </c>
      <c r="S874" s="46" t="str">
        <f aca="false">IF(Q874="","",Q874-R874)</f>
        <v/>
      </c>
      <c r="T874" s="6"/>
      <c r="U874" s="6"/>
      <c r="V874" s="6"/>
      <c r="W874" s="6"/>
      <c r="X874" s="6"/>
      <c r="Y874" s="8" t="str">
        <f aca="false">IF(OR(D874="",B874="",C874=""),"",IF(N(C874)&lt;=N(B874),"Check dates",IF(T874="Cancelled","",IF(COUNTIFS($D$5:$D$1004,D874,$B$5:$B$1004,"&lt;"&amp;C874,$C$5:$C$1004,"&gt;"&amp;B874,$T$5:$T$1004,"&lt;&gt;Cancelled")&gt;1,"Double-booked",""))))</f>
        <v/>
      </c>
      <c r="Z874" s="42" t="str">
        <f aca="false">IF(AND(AA874=1,ISNUMBER(C874)),C874+ROW()/100000,"")</f>
        <v/>
      </c>
      <c r="AA874" s="43" t="n">
        <f aca="false">IF(AND(D874&lt;&gt;"",ISNUMBER(B874),ISNUMBER(C874),N(H874)&gt;0,T874&lt;&gt;"Cancelled",J874&lt;&gt;""),1,0)</f>
        <v>0</v>
      </c>
      <c r="AB874" s="44" t="n">
        <f aca="false">IF(AA874=1,J874/H874,0)</f>
        <v>0</v>
      </c>
      <c r="AC874" s="44" t="n">
        <f aca="false">IF(AA874=1,Q874/H874,0)</f>
        <v>0</v>
      </c>
      <c r="AD874" s="44" t="n">
        <f aca="false">IF(AA874=1,R874/H874,0)</f>
        <v>0</v>
      </c>
      <c r="AE874" s="44" t="n">
        <f aca="false">IF(AA874=1,O874/H874,0)</f>
        <v>0</v>
      </c>
      <c r="AF874" s="44" t="n">
        <f aca="false">IF(AA874=1,K874/H874,0)</f>
        <v>0</v>
      </c>
      <c r="AG874" s="45" t="str">
        <f aca="false">IF(AA874=1,D874&amp;"|"&amp;TEXT(B874,"0"),"")</f>
        <v/>
      </c>
      <c r="AH874" s="43" t="n">
        <f aca="false">IF(AA874=1,H874,0)</f>
        <v>0</v>
      </c>
    </row>
    <row r="875" customFormat="false" ht="15" hidden="false" customHeight="false" outlineLevel="0" collapsed="false">
      <c r="A875" s="8" t="str">
        <f aca="false">IF(B875="","","B-"&amp;TEXT(ROW()-4,"0000"))</f>
        <v/>
      </c>
      <c r="B875" s="38"/>
      <c r="C875" s="38"/>
      <c r="D875" s="6"/>
      <c r="E875" s="6"/>
      <c r="F875" s="6"/>
      <c r="G875" s="11"/>
      <c r="H875" s="18" t="str">
        <f aca="false">IF(AND(ISNUMBER(B875),ISNUMBER(C875)),MAX(0,C875-B875),"")</f>
        <v/>
      </c>
      <c r="I875" s="37"/>
      <c r="J875" s="41" t="str">
        <f aca="false">IF(OR(D875="",N(H875)=0),"",IFERROR(IF(I875&lt;&gt;"",H875*I875,ROUND(((H875-(INT((WEEKDAY(B875-6)+H875-1)/7)+INT((WEEKDAY(B875-7)+H875-1)/7)))*INDEX(Properties!$E$5:$E$24,MATCH(D875,Properties!$A$5:$A$24,0))+(INT((WEEKDAY(B875-6)+H875-1)/7)+INT((WEEKDAY(B875-7)+H875-1)/7))*INDEX(Properties!$F$5:$F$24,MATCH(D875,Properties!$A$5:$A$24,0)))*(1-IF(H875&gt;=28,Settings!$B$10,IF(H875&gt;=7,Settings!$B$9,0))),2)),0))</f>
        <v/>
      </c>
      <c r="K875" s="41" t="str">
        <f aca="false">IF(J875="","",IFERROR(N(INDEX(Properties!$G$5:$G$24,MATCH(D875,Properties!$A$5:$A$24,0))),0))</f>
        <v/>
      </c>
      <c r="L875" s="41" t="str">
        <f aca="false">IF(J875="","",IFERROR(MAX(0,N(G875)-INDEX(Properties!$I$5:$I$24,MATCH(D875,Properties!$A$5:$A$24,0)))*N(INDEX(Properties!$J$5:$J$24,MATCH(D875,Properties!$A$5:$A$24,0)))*H875,0))</f>
        <v/>
      </c>
      <c r="M875" s="37"/>
      <c r="N875" s="41" t="str">
        <f aca="false">IF(J875="","",J875+K875+L875+N(M875))</f>
        <v/>
      </c>
      <c r="O875" s="41" t="str">
        <f aca="false">IF(N875="","",IF(P875&lt;&gt;"",N875-P875,ROUND(N875*IFERROR(INDEX(Settings!$E$5:$E$12,MATCH(F875,Settings!$D$5:$D$12,0)),0),2)))</f>
        <v/>
      </c>
      <c r="P875" s="37"/>
      <c r="Q875" s="41" t="str">
        <f aca="false">IF(N875="","",IF(P875&lt;&gt;"",P875,N875-O875))</f>
        <v/>
      </c>
      <c r="R875" s="41" t="str">
        <f aca="false">IF(J875="","",IFERROR(N(INDEX(Properties!$H$5:$H$24,MATCH(D875,Properties!$A$5:$A$24,0))),0))</f>
        <v/>
      </c>
      <c r="S875" s="41" t="str">
        <f aca="false">IF(Q875="","",Q875-R875)</f>
        <v/>
      </c>
      <c r="T875" s="6"/>
      <c r="U875" s="6"/>
      <c r="V875" s="6"/>
      <c r="W875" s="6"/>
      <c r="X875" s="6"/>
      <c r="Y875" s="8" t="str">
        <f aca="false">IF(OR(D875="",B875="",C875=""),"",IF(N(C875)&lt;=N(B875),"Check dates",IF(T875="Cancelled","",IF(COUNTIFS($D$5:$D$1004,D875,$B$5:$B$1004,"&lt;"&amp;C875,$C$5:$C$1004,"&gt;"&amp;B875,$T$5:$T$1004,"&lt;&gt;Cancelled")&gt;1,"Double-booked",""))))</f>
        <v/>
      </c>
      <c r="Z875" s="42" t="str">
        <f aca="false">IF(AND(AA875=1,ISNUMBER(C875)),C875+ROW()/100000,"")</f>
        <v/>
      </c>
      <c r="AA875" s="43" t="n">
        <f aca="false">IF(AND(D875&lt;&gt;"",ISNUMBER(B875),ISNUMBER(C875),N(H875)&gt;0,T875&lt;&gt;"Cancelled",J875&lt;&gt;""),1,0)</f>
        <v>0</v>
      </c>
      <c r="AB875" s="44" t="n">
        <f aca="false">IF(AA875=1,J875/H875,0)</f>
        <v>0</v>
      </c>
      <c r="AC875" s="44" t="n">
        <f aca="false">IF(AA875=1,Q875/H875,0)</f>
        <v>0</v>
      </c>
      <c r="AD875" s="44" t="n">
        <f aca="false">IF(AA875=1,R875/H875,0)</f>
        <v>0</v>
      </c>
      <c r="AE875" s="44" t="n">
        <f aca="false">IF(AA875=1,O875/H875,0)</f>
        <v>0</v>
      </c>
      <c r="AF875" s="44" t="n">
        <f aca="false">IF(AA875=1,K875/H875,0)</f>
        <v>0</v>
      </c>
      <c r="AG875" s="45" t="str">
        <f aca="false">IF(AA875=1,D875&amp;"|"&amp;TEXT(B875,"0"),"")</f>
        <v/>
      </c>
      <c r="AH875" s="43" t="n">
        <f aca="false">IF(AA875=1,H875,0)</f>
        <v>0</v>
      </c>
    </row>
    <row r="876" customFormat="false" ht="15" hidden="false" customHeight="false" outlineLevel="0" collapsed="false">
      <c r="A876" s="23" t="str">
        <f aca="false">IF(B876="","","B-"&amp;TEXT(ROW()-4,"0000"))</f>
        <v/>
      </c>
      <c r="B876" s="38"/>
      <c r="C876" s="38"/>
      <c r="D876" s="6"/>
      <c r="E876" s="6"/>
      <c r="F876" s="6"/>
      <c r="G876" s="11"/>
      <c r="H876" s="24" t="str">
        <f aca="false">IF(AND(ISNUMBER(B876),ISNUMBER(C876)),MAX(0,C876-B876),"")</f>
        <v/>
      </c>
      <c r="I876" s="37"/>
      <c r="J876" s="46" t="str">
        <f aca="false">IF(OR(D876="",N(H876)=0),"",IFERROR(IF(I876&lt;&gt;"",H876*I876,ROUND(((H876-(INT((WEEKDAY(B876-6)+H876-1)/7)+INT((WEEKDAY(B876-7)+H876-1)/7)))*INDEX(Properties!$E$5:$E$24,MATCH(D876,Properties!$A$5:$A$24,0))+(INT((WEEKDAY(B876-6)+H876-1)/7)+INT((WEEKDAY(B876-7)+H876-1)/7))*INDEX(Properties!$F$5:$F$24,MATCH(D876,Properties!$A$5:$A$24,0)))*(1-IF(H876&gt;=28,Settings!$B$10,IF(H876&gt;=7,Settings!$B$9,0))),2)),0))</f>
        <v/>
      </c>
      <c r="K876" s="46" t="str">
        <f aca="false">IF(J876="","",IFERROR(N(INDEX(Properties!$G$5:$G$24,MATCH(D876,Properties!$A$5:$A$24,0))),0))</f>
        <v/>
      </c>
      <c r="L876" s="46" t="str">
        <f aca="false">IF(J876="","",IFERROR(MAX(0,N(G876)-INDEX(Properties!$I$5:$I$24,MATCH(D876,Properties!$A$5:$A$24,0)))*N(INDEX(Properties!$J$5:$J$24,MATCH(D876,Properties!$A$5:$A$24,0)))*H876,0))</f>
        <v/>
      </c>
      <c r="M876" s="37"/>
      <c r="N876" s="46" t="str">
        <f aca="false">IF(J876="","",J876+K876+L876+N(M876))</f>
        <v/>
      </c>
      <c r="O876" s="46" t="str">
        <f aca="false">IF(N876="","",IF(P876&lt;&gt;"",N876-P876,ROUND(N876*IFERROR(INDEX(Settings!$E$5:$E$12,MATCH(F876,Settings!$D$5:$D$12,0)),0),2)))</f>
        <v/>
      </c>
      <c r="P876" s="37"/>
      <c r="Q876" s="46" t="str">
        <f aca="false">IF(N876="","",IF(P876&lt;&gt;"",P876,N876-O876))</f>
        <v/>
      </c>
      <c r="R876" s="46" t="str">
        <f aca="false">IF(J876="","",IFERROR(N(INDEX(Properties!$H$5:$H$24,MATCH(D876,Properties!$A$5:$A$24,0))),0))</f>
        <v/>
      </c>
      <c r="S876" s="46" t="str">
        <f aca="false">IF(Q876="","",Q876-R876)</f>
        <v/>
      </c>
      <c r="T876" s="6"/>
      <c r="U876" s="6"/>
      <c r="V876" s="6"/>
      <c r="W876" s="6"/>
      <c r="X876" s="6"/>
      <c r="Y876" s="8" t="str">
        <f aca="false">IF(OR(D876="",B876="",C876=""),"",IF(N(C876)&lt;=N(B876),"Check dates",IF(T876="Cancelled","",IF(COUNTIFS($D$5:$D$1004,D876,$B$5:$B$1004,"&lt;"&amp;C876,$C$5:$C$1004,"&gt;"&amp;B876,$T$5:$T$1004,"&lt;&gt;Cancelled")&gt;1,"Double-booked",""))))</f>
        <v/>
      </c>
      <c r="Z876" s="42" t="str">
        <f aca="false">IF(AND(AA876=1,ISNUMBER(C876)),C876+ROW()/100000,"")</f>
        <v/>
      </c>
      <c r="AA876" s="43" t="n">
        <f aca="false">IF(AND(D876&lt;&gt;"",ISNUMBER(B876),ISNUMBER(C876),N(H876)&gt;0,T876&lt;&gt;"Cancelled",J876&lt;&gt;""),1,0)</f>
        <v>0</v>
      </c>
      <c r="AB876" s="44" t="n">
        <f aca="false">IF(AA876=1,J876/H876,0)</f>
        <v>0</v>
      </c>
      <c r="AC876" s="44" t="n">
        <f aca="false">IF(AA876=1,Q876/H876,0)</f>
        <v>0</v>
      </c>
      <c r="AD876" s="44" t="n">
        <f aca="false">IF(AA876=1,R876/H876,0)</f>
        <v>0</v>
      </c>
      <c r="AE876" s="44" t="n">
        <f aca="false">IF(AA876=1,O876/H876,0)</f>
        <v>0</v>
      </c>
      <c r="AF876" s="44" t="n">
        <f aca="false">IF(AA876=1,K876/H876,0)</f>
        <v>0</v>
      </c>
      <c r="AG876" s="45" t="str">
        <f aca="false">IF(AA876=1,D876&amp;"|"&amp;TEXT(B876,"0"),"")</f>
        <v/>
      </c>
      <c r="AH876" s="43" t="n">
        <f aca="false">IF(AA876=1,H876,0)</f>
        <v>0</v>
      </c>
    </row>
    <row r="877" customFormat="false" ht="15" hidden="false" customHeight="false" outlineLevel="0" collapsed="false">
      <c r="A877" s="8" t="str">
        <f aca="false">IF(B877="","","B-"&amp;TEXT(ROW()-4,"0000"))</f>
        <v/>
      </c>
      <c r="B877" s="38"/>
      <c r="C877" s="38"/>
      <c r="D877" s="6"/>
      <c r="E877" s="6"/>
      <c r="F877" s="6"/>
      <c r="G877" s="11"/>
      <c r="H877" s="18" t="str">
        <f aca="false">IF(AND(ISNUMBER(B877),ISNUMBER(C877)),MAX(0,C877-B877),"")</f>
        <v/>
      </c>
      <c r="I877" s="37"/>
      <c r="J877" s="41" t="str">
        <f aca="false">IF(OR(D877="",N(H877)=0),"",IFERROR(IF(I877&lt;&gt;"",H877*I877,ROUND(((H877-(INT((WEEKDAY(B877-6)+H877-1)/7)+INT((WEEKDAY(B877-7)+H877-1)/7)))*INDEX(Properties!$E$5:$E$24,MATCH(D877,Properties!$A$5:$A$24,0))+(INT((WEEKDAY(B877-6)+H877-1)/7)+INT((WEEKDAY(B877-7)+H877-1)/7))*INDEX(Properties!$F$5:$F$24,MATCH(D877,Properties!$A$5:$A$24,0)))*(1-IF(H877&gt;=28,Settings!$B$10,IF(H877&gt;=7,Settings!$B$9,0))),2)),0))</f>
        <v/>
      </c>
      <c r="K877" s="41" t="str">
        <f aca="false">IF(J877="","",IFERROR(N(INDEX(Properties!$G$5:$G$24,MATCH(D877,Properties!$A$5:$A$24,0))),0))</f>
        <v/>
      </c>
      <c r="L877" s="41" t="str">
        <f aca="false">IF(J877="","",IFERROR(MAX(0,N(G877)-INDEX(Properties!$I$5:$I$24,MATCH(D877,Properties!$A$5:$A$24,0)))*N(INDEX(Properties!$J$5:$J$24,MATCH(D877,Properties!$A$5:$A$24,0)))*H877,0))</f>
        <v/>
      </c>
      <c r="M877" s="37"/>
      <c r="N877" s="41" t="str">
        <f aca="false">IF(J877="","",J877+K877+L877+N(M877))</f>
        <v/>
      </c>
      <c r="O877" s="41" t="str">
        <f aca="false">IF(N877="","",IF(P877&lt;&gt;"",N877-P877,ROUND(N877*IFERROR(INDEX(Settings!$E$5:$E$12,MATCH(F877,Settings!$D$5:$D$12,0)),0),2)))</f>
        <v/>
      </c>
      <c r="P877" s="37"/>
      <c r="Q877" s="41" t="str">
        <f aca="false">IF(N877="","",IF(P877&lt;&gt;"",P877,N877-O877))</f>
        <v/>
      </c>
      <c r="R877" s="41" t="str">
        <f aca="false">IF(J877="","",IFERROR(N(INDEX(Properties!$H$5:$H$24,MATCH(D877,Properties!$A$5:$A$24,0))),0))</f>
        <v/>
      </c>
      <c r="S877" s="41" t="str">
        <f aca="false">IF(Q877="","",Q877-R877)</f>
        <v/>
      </c>
      <c r="T877" s="6"/>
      <c r="U877" s="6"/>
      <c r="V877" s="6"/>
      <c r="W877" s="6"/>
      <c r="X877" s="6"/>
      <c r="Y877" s="8" t="str">
        <f aca="false">IF(OR(D877="",B877="",C877=""),"",IF(N(C877)&lt;=N(B877),"Check dates",IF(T877="Cancelled","",IF(COUNTIFS($D$5:$D$1004,D877,$B$5:$B$1004,"&lt;"&amp;C877,$C$5:$C$1004,"&gt;"&amp;B877,$T$5:$T$1004,"&lt;&gt;Cancelled")&gt;1,"Double-booked",""))))</f>
        <v/>
      </c>
      <c r="Z877" s="42" t="str">
        <f aca="false">IF(AND(AA877=1,ISNUMBER(C877)),C877+ROW()/100000,"")</f>
        <v/>
      </c>
      <c r="AA877" s="43" t="n">
        <f aca="false">IF(AND(D877&lt;&gt;"",ISNUMBER(B877),ISNUMBER(C877),N(H877)&gt;0,T877&lt;&gt;"Cancelled",J877&lt;&gt;""),1,0)</f>
        <v>0</v>
      </c>
      <c r="AB877" s="44" t="n">
        <f aca="false">IF(AA877=1,J877/H877,0)</f>
        <v>0</v>
      </c>
      <c r="AC877" s="44" t="n">
        <f aca="false">IF(AA877=1,Q877/H877,0)</f>
        <v>0</v>
      </c>
      <c r="AD877" s="44" t="n">
        <f aca="false">IF(AA877=1,R877/H877,0)</f>
        <v>0</v>
      </c>
      <c r="AE877" s="44" t="n">
        <f aca="false">IF(AA877=1,O877/H877,0)</f>
        <v>0</v>
      </c>
      <c r="AF877" s="44" t="n">
        <f aca="false">IF(AA877=1,K877/H877,0)</f>
        <v>0</v>
      </c>
      <c r="AG877" s="45" t="str">
        <f aca="false">IF(AA877=1,D877&amp;"|"&amp;TEXT(B877,"0"),"")</f>
        <v/>
      </c>
      <c r="AH877" s="43" t="n">
        <f aca="false">IF(AA877=1,H877,0)</f>
        <v>0</v>
      </c>
    </row>
    <row r="878" customFormat="false" ht="15" hidden="false" customHeight="false" outlineLevel="0" collapsed="false">
      <c r="A878" s="23" t="str">
        <f aca="false">IF(B878="","","B-"&amp;TEXT(ROW()-4,"0000"))</f>
        <v/>
      </c>
      <c r="B878" s="38"/>
      <c r="C878" s="38"/>
      <c r="D878" s="6"/>
      <c r="E878" s="6"/>
      <c r="F878" s="6"/>
      <c r="G878" s="11"/>
      <c r="H878" s="24" t="str">
        <f aca="false">IF(AND(ISNUMBER(B878),ISNUMBER(C878)),MAX(0,C878-B878),"")</f>
        <v/>
      </c>
      <c r="I878" s="37"/>
      <c r="J878" s="46" t="str">
        <f aca="false">IF(OR(D878="",N(H878)=0),"",IFERROR(IF(I878&lt;&gt;"",H878*I878,ROUND(((H878-(INT((WEEKDAY(B878-6)+H878-1)/7)+INT((WEEKDAY(B878-7)+H878-1)/7)))*INDEX(Properties!$E$5:$E$24,MATCH(D878,Properties!$A$5:$A$24,0))+(INT((WEEKDAY(B878-6)+H878-1)/7)+INT((WEEKDAY(B878-7)+H878-1)/7))*INDEX(Properties!$F$5:$F$24,MATCH(D878,Properties!$A$5:$A$24,0)))*(1-IF(H878&gt;=28,Settings!$B$10,IF(H878&gt;=7,Settings!$B$9,0))),2)),0))</f>
        <v/>
      </c>
      <c r="K878" s="46" t="str">
        <f aca="false">IF(J878="","",IFERROR(N(INDEX(Properties!$G$5:$G$24,MATCH(D878,Properties!$A$5:$A$24,0))),0))</f>
        <v/>
      </c>
      <c r="L878" s="46" t="str">
        <f aca="false">IF(J878="","",IFERROR(MAX(0,N(G878)-INDEX(Properties!$I$5:$I$24,MATCH(D878,Properties!$A$5:$A$24,0)))*N(INDEX(Properties!$J$5:$J$24,MATCH(D878,Properties!$A$5:$A$24,0)))*H878,0))</f>
        <v/>
      </c>
      <c r="M878" s="37"/>
      <c r="N878" s="46" t="str">
        <f aca="false">IF(J878="","",J878+K878+L878+N(M878))</f>
        <v/>
      </c>
      <c r="O878" s="46" t="str">
        <f aca="false">IF(N878="","",IF(P878&lt;&gt;"",N878-P878,ROUND(N878*IFERROR(INDEX(Settings!$E$5:$E$12,MATCH(F878,Settings!$D$5:$D$12,0)),0),2)))</f>
        <v/>
      </c>
      <c r="P878" s="37"/>
      <c r="Q878" s="46" t="str">
        <f aca="false">IF(N878="","",IF(P878&lt;&gt;"",P878,N878-O878))</f>
        <v/>
      </c>
      <c r="R878" s="46" t="str">
        <f aca="false">IF(J878="","",IFERROR(N(INDEX(Properties!$H$5:$H$24,MATCH(D878,Properties!$A$5:$A$24,0))),0))</f>
        <v/>
      </c>
      <c r="S878" s="46" t="str">
        <f aca="false">IF(Q878="","",Q878-R878)</f>
        <v/>
      </c>
      <c r="T878" s="6"/>
      <c r="U878" s="6"/>
      <c r="V878" s="6"/>
      <c r="W878" s="6"/>
      <c r="X878" s="6"/>
      <c r="Y878" s="8" t="str">
        <f aca="false">IF(OR(D878="",B878="",C878=""),"",IF(N(C878)&lt;=N(B878),"Check dates",IF(T878="Cancelled","",IF(COUNTIFS($D$5:$D$1004,D878,$B$5:$B$1004,"&lt;"&amp;C878,$C$5:$C$1004,"&gt;"&amp;B878,$T$5:$T$1004,"&lt;&gt;Cancelled")&gt;1,"Double-booked",""))))</f>
        <v/>
      </c>
      <c r="Z878" s="42" t="str">
        <f aca="false">IF(AND(AA878=1,ISNUMBER(C878)),C878+ROW()/100000,"")</f>
        <v/>
      </c>
      <c r="AA878" s="43" t="n">
        <f aca="false">IF(AND(D878&lt;&gt;"",ISNUMBER(B878),ISNUMBER(C878),N(H878)&gt;0,T878&lt;&gt;"Cancelled",J878&lt;&gt;""),1,0)</f>
        <v>0</v>
      </c>
      <c r="AB878" s="44" t="n">
        <f aca="false">IF(AA878=1,J878/H878,0)</f>
        <v>0</v>
      </c>
      <c r="AC878" s="44" t="n">
        <f aca="false">IF(AA878=1,Q878/H878,0)</f>
        <v>0</v>
      </c>
      <c r="AD878" s="44" t="n">
        <f aca="false">IF(AA878=1,R878/H878,0)</f>
        <v>0</v>
      </c>
      <c r="AE878" s="44" t="n">
        <f aca="false">IF(AA878=1,O878/H878,0)</f>
        <v>0</v>
      </c>
      <c r="AF878" s="44" t="n">
        <f aca="false">IF(AA878=1,K878/H878,0)</f>
        <v>0</v>
      </c>
      <c r="AG878" s="45" t="str">
        <f aca="false">IF(AA878=1,D878&amp;"|"&amp;TEXT(B878,"0"),"")</f>
        <v/>
      </c>
      <c r="AH878" s="43" t="n">
        <f aca="false">IF(AA878=1,H878,0)</f>
        <v>0</v>
      </c>
    </row>
    <row r="879" customFormat="false" ht="15" hidden="false" customHeight="false" outlineLevel="0" collapsed="false">
      <c r="A879" s="8" t="str">
        <f aca="false">IF(B879="","","B-"&amp;TEXT(ROW()-4,"0000"))</f>
        <v/>
      </c>
      <c r="B879" s="38"/>
      <c r="C879" s="38"/>
      <c r="D879" s="6"/>
      <c r="E879" s="6"/>
      <c r="F879" s="6"/>
      <c r="G879" s="11"/>
      <c r="H879" s="18" t="str">
        <f aca="false">IF(AND(ISNUMBER(B879),ISNUMBER(C879)),MAX(0,C879-B879),"")</f>
        <v/>
      </c>
      <c r="I879" s="37"/>
      <c r="J879" s="41" t="str">
        <f aca="false">IF(OR(D879="",N(H879)=0),"",IFERROR(IF(I879&lt;&gt;"",H879*I879,ROUND(((H879-(INT((WEEKDAY(B879-6)+H879-1)/7)+INT((WEEKDAY(B879-7)+H879-1)/7)))*INDEX(Properties!$E$5:$E$24,MATCH(D879,Properties!$A$5:$A$24,0))+(INT((WEEKDAY(B879-6)+H879-1)/7)+INT((WEEKDAY(B879-7)+H879-1)/7))*INDEX(Properties!$F$5:$F$24,MATCH(D879,Properties!$A$5:$A$24,0)))*(1-IF(H879&gt;=28,Settings!$B$10,IF(H879&gt;=7,Settings!$B$9,0))),2)),0))</f>
        <v/>
      </c>
      <c r="K879" s="41" t="str">
        <f aca="false">IF(J879="","",IFERROR(N(INDEX(Properties!$G$5:$G$24,MATCH(D879,Properties!$A$5:$A$24,0))),0))</f>
        <v/>
      </c>
      <c r="L879" s="41" t="str">
        <f aca="false">IF(J879="","",IFERROR(MAX(0,N(G879)-INDEX(Properties!$I$5:$I$24,MATCH(D879,Properties!$A$5:$A$24,0)))*N(INDEX(Properties!$J$5:$J$24,MATCH(D879,Properties!$A$5:$A$24,0)))*H879,0))</f>
        <v/>
      </c>
      <c r="M879" s="37"/>
      <c r="N879" s="41" t="str">
        <f aca="false">IF(J879="","",J879+K879+L879+N(M879))</f>
        <v/>
      </c>
      <c r="O879" s="41" t="str">
        <f aca="false">IF(N879="","",IF(P879&lt;&gt;"",N879-P879,ROUND(N879*IFERROR(INDEX(Settings!$E$5:$E$12,MATCH(F879,Settings!$D$5:$D$12,0)),0),2)))</f>
        <v/>
      </c>
      <c r="P879" s="37"/>
      <c r="Q879" s="41" t="str">
        <f aca="false">IF(N879="","",IF(P879&lt;&gt;"",P879,N879-O879))</f>
        <v/>
      </c>
      <c r="R879" s="41" t="str">
        <f aca="false">IF(J879="","",IFERROR(N(INDEX(Properties!$H$5:$H$24,MATCH(D879,Properties!$A$5:$A$24,0))),0))</f>
        <v/>
      </c>
      <c r="S879" s="41" t="str">
        <f aca="false">IF(Q879="","",Q879-R879)</f>
        <v/>
      </c>
      <c r="T879" s="6"/>
      <c r="U879" s="6"/>
      <c r="V879" s="6"/>
      <c r="W879" s="6"/>
      <c r="X879" s="6"/>
      <c r="Y879" s="8" t="str">
        <f aca="false">IF(OR(D879="",B879="",C879=""),"",IF(N(C879)&lt;=N(B879),"Check dates",IF(T879="Cancelled","",IF(COUNTIFS($D$5:$D$1004,D879,$B$5:$B$1004,"&lt;"&amp;C879,$C$5:$C$1004,"&gt;"&amp;B879,$T$5:$T$1004,"&lt;&gt;Cancelled")&gt;1,"Double-booked",""))))</f>
        <v/>
      </c>
      <c r="Z879" s="42" t="str">
        <f aca="false">IF(AND(AA879=1,ISNUMBER(C879)),C879+ROW()/100000,"")</f>
        <v/>
      </c>
      <c r="AA879" s="43" t="n">
        <f aca="false">IF(AND(D879&lt;&gt;"",ISNUMBER(B879),ISNUMBER(C879),N(H879)&gt;0,T879&lt;&gt;"Cancelled",J879&lt;&gt;""),1,0)</f>
        <v>0</v>
      </c>
      <c r="AB879" s="44" t="n">
        <f aca="false">IF(AA879=1,J879/H879,0)</f>
        <v>0</v>
      </c>
      <c r="AC879" s="44" t="n">
        <f aca="false">IF(AA879=1,Q879/H879,0)</f>
        <v>0</v>
      </c>
      <c r="AD879" s="44" t="n">
        <f aca="false">IF(AA879=1,R879/H879,0)</f>
        <v>0</v>
      </c>
      <c r="AE879" s="44" t="n">
        <f aca="false">IF(AA879=1,O879/H879,0)</f>
        <v>0</v>
      </c>
      <c r="AF879" s="44" t="n">
        <f aca="false">IF(AA879=1,K879/H879,0)</f>
        <v>0</v>
      </c>
      <c r="AG879" s="45" t="str">
        <f aca="false">IF(AA879=1,D879&amp;"|"&amp;TEXT(B879,"0"),"")</f>
        <v/>
      </c>
      <c r="AH879" s="43" t="n">
        <f aca="false">IF(AA879=1,H879,0)</f>
        <v>0</v>
      </c>
    </row>
    <row r="880" customFormat="false" ht="15" hidden="false" customHeight="false" outlineLevel="0" collapsed="false">
      <c r="A880" s="23" t="str">
        <f aca="false">IF(B880="","","B-"&amp;TEXT(ROW()-4,"0000"))</f>
        <v/>
      </c>
      <c r="B880" s="38"/>
      <c r="C880" s="38"/>
      <c r="D880" s="6"/>
      <c r="E880" s="6"/>
      <c r="F880" s="6"/>
      <c r="G880" s="11"/>
      <c r="H880" s="24" t="str">
        <f aca="false">IF(AND(ISNUMBER(B880),ISNUMBER(C880)),MAX(0,C880-B880),"")</f>
        <v/>
      </c>
      <c r="I880" s="37"/>
      <c r="J880" s="46" t="str">
        <f aca="false">IF(OR(D880="",N(H880)=0),"",IFERROR(IF(I880&lt;&gt;"",H880*I880,ROUND(((H880-(INT((WEEKDAY(B880-6)+H880-1)/7)+INT((WEEKDAY(B880-7)+H880-1)/7)))*INDEX(Properties!$E$5:$E$24,MATCH(D880,Properties!$A$5:$A$24,0))+(INT((WEEKDAY(B880-6)+H880-1)/7)+INT((WEEKDAY(B880-7)+H880-1)/7))*INDEX(Properties!$F$5:$F$24,MATCH(D880,Properties!$A$5:$A$24,0)))*(1-IF(H880&gt;=28,Settings!$B$10,IF(H880&gt;=7,Settings!$B$9,0))),2)),0))</f>
        <v/>
      </c>
      <c r="K880" s="46" t="str">
        <f aca="false">IF(J880="","",IFERROR(N(INDEX(Properties!$G$5:$G$24,MATCH(D880,Properties!$A$5:$A$24,0))),0))</f>
        <v/>
      </c>
      <c r="L880" s="46" t="str">
        <f aca="false">IF(J880="","",IFERROR(MAX(0,N(G880)-INDEX(Properties!$I$5:$I$24,MATCH(D880,Properties!$A$5:$A$24,0)))*N(INDEX(Properties!$J$5:$J$24,MATCH(D880,Properties!$A$5:$A$24,0)))*H880,0))</f>
        <v/>
      </c>
      <c r="M880" s="37"/>
      <c r="N880" s="46" t="str">
        <f aca="false">IF(J880="","",J880+K880+L880+N(M880))</f>
        <v/>
      </c>
      <c r="O880" s="46" t="str">
        <f aca="false">IF(N880="","",IF(P880&lt;&gt;"",N880-P880,ROUND(N880*IFERROR(INDEX(Settings!$E$5:$E$12,MATCH(F880,Settings!$D$5:$D$12,0)),0),2)))</f>
        <v/>
      </c>
      <c r="P880" s="37"/>
      <c r="Q880" s="46" t="str">
        <f aca="false">IF(N880="","",IF(P880&lt;&gt;"",P880,N880-O880))</f>
        <v/>
      </c>
      <c r="R880" s="46" t="str">
        <f aca="false">IF(J880="","",IFERROR(N(INDEX(Properties!$H$5:$H$24,MATCH(D880,Properties!$A$5:$A$24,0))),0))</f>
        <v/>
      </c>
      <c r="S880" s="46" t="str">
        <f aca="false">IF(Q880="","",Q880-R880)</f>
        <v/>
      </c>
      <c r="T880" s="6"/>
      <c r="U880" s="6"/>
      <c r="V880" s="6"/>
      <c r="W880" s="6"/>
      <c r="X880" s="6"/>
      <c r="Y880" s="8" t="str">
        <f aca="false">IF(OR(D880="",B880="",C880=""),"",IF(N(C880)&lt;=N(B880),"Check dates",IF(T880="Cancelled","",IF(COUNTIFS($D$5:$D$1004,D880,$B$5:$B$1004,"&lt;"&amp;C880,$C$5:$C$1004,"&gt;"&amp;B880,$T$5:$T$1004,"&lt;&gt;Cancelled")&gt;1,"Double-booked",""))))</f>
        <v/>
      </c>
      <c r="Z880" s="42" t="str">
        <f aca="false">IF(AND(AA880=1,ISNUMBER(C880)),C880+ROW()/100000,"")</f>
        <v/>
      </c>
      <c r="AA880" s="43" t="n">
        <f aca="false">IF(AND(D880&lt;&gt;"",ISNUMBER(B880),ISNUMBER(C880),N(H880)&gt;0,T880&lt;&gt;"Cancelled",J880&lt;&gt;""),1,0)</f>
        <v>0</v>
      </c>
      <c r="AB880" s="44" t="n">
        <f aca="false">IF(AA880=1,J880/H880,0)</f>
        <v>0</v>
      </c>
      <c r="AC880" s="44" t="n">
        <f aca="false">IF(AA880=1,Q880/H880,0)</f>
        <v>0</v>
      </c>
      <c r="AD880" s="44" t="n">
        <f aca="false">IF(AA880=1,R880/H880,0)</f>
        <v>0</v>
      </c>
      <c r="AE880" s="44" t="n">
        <f aca="false">IF(AA880=1,O880/H880,0)</f>
        <v>0</v>
      </c>
      <c r="AF880" s="44" t="n">
        <f aca="false">IF(AA880=1,K880/H880,0)</f>
        <v>0</v>
      </c>
      <c r="AG880" s="45" t="str">
        <f aca="false">IF(AA880=1,D880&amp;"|"&amp;TEXT(B880,"0"),"")</f>
        <v/>
      </c>
      <c r="AH880" s="43" t="n">
        <f aca="false">IF(AA880=1,H880,0)</f>
        <v>0</v>
      </c>
    </row>
    <row r="881" customFormat="false" ht="15" hidden="false" customHeight="false" outlineLevel="0" collapsed="false">
      <c r="A881" s="8" t="str">
        <f aca="false">IF(B881="","","B-"&amp;TEXT(ROW()-4,"0000"))</f>
        <v/>
      </c>
      <c r="B881" s="38"/>
      <c r="C881" s="38"/>
      <c r="D881" s="6"/>
      <c r="E881" s="6"/>
      <c r="F881" s="6"/>
      <c r="G881" s="11"/>
      <c r="H881" s="18" t="str">
        <f aca="false">IF(AND(ISNUMBER(B881),ISNUMBER(C881)),MAX(0,C881-B881),"")</f>
        <v/>
      </c>
      <c r="I881" s="37"/>
      <c r="J881" s="41" t="str">
        <f aca="false">IF(OR(D881="",N(H881)=0),"",IFERROR(IF(I881&lt;&gt;"",H881*I881,ROUND(((H881-(INT((WEEKDAY(B881-6)+H881-1)/7)+INT((WEEKDAY(B881-7)+H881-1)/7)))*INDEX(Properties!$E$5:$E$24,MATCH(D881,Properties!$A$5:$A$24,0))+(INT((WEEKDAY(B881-6)+H881-1)/7)+INT((WEEKDAY(B881-7)+H881-1)/7))*INDEX(Properties!$F$5:$F$24,MATCH(D881,Properties!$A$5:$A$24,0)))*(1-IF(H881&gt;=28,Settings!$B$10,IF(H881&gt;=7,Settings!$B$9,0))),2)),0))</f>
        <v/>
      </c>
      <c r="K881" s="41" t="str">
        <f aca="false">IF(J881="","",IFERROR(N(INDEX(Properties!$G$5:$G$24,MATCH(D881,Properties!$A$5:$A$24,0))),0))</f>
        <v/>
      </c>
      <c r="L881" s="41" t="str">
        <f aca="false">IF(J881="","",IFERROR(MAX(0,N(G881)-INDEX(Properties!$I$5:$I$24,MATCH(D881,Properties!$A$5:$A$24,0)))*N(INDEX(Properties!$J$5:$J$24,MATCH(D881,Properties!$A$5:$A$24,0)))*H881,0))</f>
        <v/>
      </c>
      <c r="M881" s="37"/>
      <c r="N881" s="41" t="str">
        <f aca="false">IF(J881="","",J881+K881+L881+N(M881))</f>
        <v/>
      </c>
      <c r="O881" s="41" t="str">
        <f aca="false">IF(N881="","",IF(P881&lt;&gt;"",N881-P881,ROUND(N881*IFERROR(INDEX(Settings!$E$5:$E$12,MATCH(F881,Settings!$D$5:$D$12,0)),0),2)))</f>
        <v/>
      </c>
      <c r="P881" s="37"/>
      <c r="Q881" s="41" t="str">
        <f aca="false">IF(N881="","",IF(P881&lt;&gt;"",P881,N881-O881))</f>
        <v/>
      </c>
      <c r="R881" s="41" t="str">
        <f aca="false">IF(J881="","",IFERROR(N(INDEX(Properties!$H$5:$H$24,MATCH(D881,Properties!$A$5:$A$24,0))),0))</f>
        <v/>
      </c>
      <c r="S881" s="41" t="str">
        <f aca="false">IF(Q881="","",Q881-R881)</f>
        <v/>
      </c>
      <c r="T881" s="6"/>
      <c r="U881" s="6"/>
      <c r="V881" s="6"/>
      <c r="W881" s="6"/>
      <c r="X881" s="6"/>
      <c r="Y881" s="8" t="str">
        <f aca="false">IF(OR(D881="",B881="",C881=""),"",IF(N(C881)&lt;=N(B881),"Check dates",IF(T881="Cancelled","",IF(COUNTIFS($D$5:$D$1004,D881,$B$5:$B$1004,"&lt;"&amp;C881,$C$5:$C$1004,"&gt;"&amp;B881,$T$5:$T$1004,"&lt;&gt;Cancelled")&gt;1,"Double-booked",""))))</f>
        <v/>
      </c>
      <c r="Z881" s="42" t="str">
        <f aca="false">IF(AND(AA881=1,ISNUMBER(C881)),C881+ROW()/100000,"")</f>
        <v/>
      </c>
      <c r="AA881" s="43" t="n">
        <f aca="false">IF(AND(D881&lt;&gt;"",ISNUMBER(B881),ISNUMBER(C881),N(H881)&gt;0,T881&lt;&gt;"Cancelled",J881&lt;&gt;""),1,0)</f>
        <v>0</v>
      </c>
      <c r="AB881" s="44" t="n">
        <f aca="false">IF(AA881=1,J881/H881,0)</f>
        <v>0</v>
      </c>
      <c r="AC881" s="44" t="n">
        <f aca="false">IF(AA881=1,Q881/H881,0)</f>
        <v>0</v>
      </c>
      <c r="AD881" s="44" t="n">
        <f aca="false">IF(AA881=1,R881/H881,0)</f>
        <v>0</v>
      </c>
      <c r="AE881" s="44" t="n">
        <f aca="false">IF(AA881=1,O881/H881,0)</f>
        <v>0</v>
      </c>
      <c r="AF881" s="44" t="n">
        <f aca="false">IF(AA881=1,K881/H881,0)</f>
        <v>0</v>
      </c>
      <c r="AG881" s="45" t="str">
        <f aca="false">IF(AA881=1,D881&amp;"|"&amp;TEXT(B881,"0"),"")</f>
        <v/>
      </c>
      <c r="AH881" s="43" t="n">
        <f aca="false">IF(AA881=1,H881,0)</f>
        <v>0</v>
      </c>
    </row>
    <row r="882" customFormat="false" ht="15" hidden="false" customHeight="false" outlineLevel="0" collapsed="false">
      <c r="A882" s="23" t="str">
        <f aca="false">IF(B882="","","B-"&amp;TEXT(ROW()-4,"0000"))</f>
        <v/>
      </c>
      <c r="B882" s="38"/>
      <c r="C882" s="38"/>
      <c r="D882" s="6"/>
      <c r="E882" s="6"/>
      <c r="F882" s="6"/>
      <c r="G882" s="11"/>
      <c r="H882" s="24" t="str">
        <f aca="false">IF(AND(ISNUMBER(B882),ISNUMBER(C882)),MAX(0,C882-B882),"")</f>
        <v/>
      </c>
      <c r="I882" s="37"/>
      <c r="J882" s="46" t="str">
        <f aca="false">IF(OR(D882="",N(H882)=0),"",IFERROR(IF(I882&lt;&gt;"",H882*I882,ROUND(((H882-(INT((WEEKDAY(B882-6)+H882-1)/7)+INT((WEEKDAY(B882-7)+H882-1)/7)))*INDEX(Properties!$E$5:$E$24,MATCH(D882,Properties!$A$5:$A$24,0))+(INT((WEEKDAY(B882-6)+H882-1)/7)+INT((WEEKDAY(B882-7)+H882-1)/7))*INDEX(Properties!$F$5:$F$24,MATCH(D882,Properties!$A$5:$A$24,0)))*(1-IF(H882&gt;=28,Settings!$B$10,IF(H882&gt;=7,Settings!$B$9,0))),2)),0))</f>
        <v/>
      </c>
      <c r="K882" s="46" t="str">
        <f aca="false">IF(J882="","",IFERROR(N(INDEX(Properties!$G$5:$G$24,MATCH(D882,Properties!$A$5:$A$24,0))),0))</f>
        <v/>
      </c>
      <c r="L882" s="46" t="str">
        <f aca="false">IF(J882="","",IFERROR(MAX(0,N(G882)-INDEX(Properties!$I$5:$I$24,MATCH(D882,Properties!$A$5:$A$24,0)))*N(INDEX(Properties!$J$5:$J$24,MATCH(D882,Properties!$A$5:$A$24,0)))*H882,0))</f>
        <v/>
      </c>
      <c r="M882" s="37"/>
      <c r="N882" s="46" t="str">
        <f aca="false">IF(J882="","",J882+K882+L882+N(M882))</f>
        <v/>
      </c>
      <c r="O882" s="46" t="str">
        <f aca="false">IF(N882="","",IF(P882&lt;&gt;"",N882-P882,ROUND(N882*IFERROR(INDEX(Settings!$E$5:$E$12,MATCH(F882,Settings!$D$5:$D$12,0)),0),2)))</f>
        <v/>
      </c>
      <c r="P882" s="37"/>
      <c r="Q882" s="46" t="str">
        <f aca="false">IF(N882="","",IF(P882&lt;&gt;"",P882,N882-O882))</f>
        <v/>
      </c>
      <c r="R882" s="46" t="str">
        <f aca="false">IF(J882="","",IFERROR(N(INDEX(Properties!$H$5:$H$24,MATCH(D882,Properties!$A$5:$A$24,0))),0))</f>
        <v/>
      </c>
      <c r="S882" s="46" t="str">
        <f aca="false">IF(Q882="","",Q882-R882)</f>
        <v/>
      </c>
      <c r="T882" s="6"/>
      <c r="U882" s="6"/>
      <c r="V882" s="6"/>
      <c r="W882" s="6"/>
      <c r="X882" s="6"/>
      <c r="Y882" s="8" t="str">
        <f aca="false">IF(OR(D882="",B882="",C882=""),"",IF(N(C882)&lt;=N(B882),"Check dates",IF(T882="Cancelled","",IF(COUNTIFS($D$5:$D$1004,D882,$B$5:$B$1004,"&lt;"&amp;C882,$C$5:$C$1004,"&gt;"&amp;B882,$T$5:$T$1004,"&lt;&gt;Cancelled")&gt;1,"Double-booked",""))))</f>
        <v/>
      </c>
      <c r="Z882" s="42" t="str">
        <f aca="false">IF(AND(AA882=1,ISNUMBER(C882)),C882+ROW()/100000,"")</f>
        <v/>
      </c>
      <c r="AA882" s="43" t="n">
        <f aca="false">IF(AND(D882&lt;&gt;"",ISNUMBER(B882),ISNUMBER(C882),N(H882)&gt;0,T882&lt;&gt;"Cancelled",J882&lt;&gt;""),1,0)</f>
        <v>0</v>
      </c>
      <c r="AB882" s="44" t="n">
        <f aca="false">IF(AA882=1,J882/H882,0)</f>
        <v>0</v>
      </c>
      <c r="AC882" s="44" t="n">
        <f aca="false">IF(AA882=1,Q882/H882,0)</f>
        <v>0</v>
      </c>
      <c r="AD882" s="44" t="n">
        <f aca="false">IF(AA882=1,R882/H882,0)</f>
        <v>0</v>
      </c>
      <c r="AE882" s="44" t="n">
        <f aca="false">IF(AA882=1,O882/H882,0)</f>
        <v>0</v>
      </c>
      <c r="AF882" s="44" t="n">
        <f aca="false">IF(AA882=1,K882/H882,0)</f>
        <v>0</v>
      </c>
      <c r="AG882" s="45" t="str">
        <f aca="false">IF(AA882=1,D882&amp;"|"&amp;TEXT(B882,"0"),"")</f>
        <v/>
      </c>
      <c r="AH882" s="43" t="n">
        <f aca="false">IF(AA882=1,H882,0)</f>
        <v>0</v>
      </c>
    </row>
    <row r="883" customFormat="false" ht="15" hidden="false" customHeight="false" outlineLevel="0" collapsed="false">
      <c r="A883" s="8" t="str">
        <f aca="false">IF(B883="","","B-"&amp;TEXT(ROW()-4,"0000"))</f>
        <v/>
      </c>
      <c r="B883" s="38"/>
      <c r="C883" s="38"/>
      <c r="D883" s="6"/>
      <c r="E883" s="6"/>
      <c r="F883" s="6"/>
      <c r="G883" s="11"/>
      <c r="H883" s="18" t="str">
        <f aca="false">IF(AND(ISNUMBER(B883),ISNUMBER(C883)),MAX(0,C883-B883),"")</f>
        <v/>
      </c>
      <c r="I883" s="37"/>
      <c r="J883" s="41" t="str">
        <f aca="false">IF(OR(D883="",N(H883)=0),"",IFERROR(IF(I883&lt;&gt;"",H883*I883,ROUND(((H883-(INT((WEEKDAY(B883-6)+H883-1)/7)+INT((WEEKDAY(B883-7)+H883-1)/7)))*INDEX(Properties!$E$5:$E$24,MATCH(D883,Properties!$A$5:$A$24,0))+(INT((WEEKDAY(B883-6)+H883-1)/7)+INT((WEEKDAY(B883-7)+H883-1)/7))*INDEX(Properties!$F$5:$F$24,MATCH(D883,Properties!$A$5:$A$24,0)))*(1-IF(H883&gt;=28,Settings!$B$10,IF(H883&gt;=7,Settings!$B$9,0))),2)),0))</f>
        <v/>
      </c>
      <c r="K883" s="41" t="str">
        <f aca="false">IF(J883="","",IFERROR(N(INDEX(Properties!$G$5:$G$24,MATCH(D883,Properties!$A$5:$A$24,0))),0))</f>
        <v/>
      </c>
      <c r="L883" s="41" t="str">
        <f aca="false">IF(J883="","",IFERROR(MAX(0,N(G883)-INDEX(Properties!$I$5:$I$24,MATCH(D883,Properties!$A$5:$A$24,0)))*N(INDEX(Properties!$J$5:$J$24,MATCH(D883,Properties!$A$5:$A$24,0)))*H883,0))</f>
        <v/>
      </c>
      <c r="M883" s="37"/>
      <c r="N883" s="41" t="str">
        <f aca="false">IF(J883="","",J883+K883+L883+N(M883))</f>
        <v/>
      </c>
      <c r="O883" s="41" t="str">
        <f aca="false">IF(N883="","",IF(P883&lt;&gt;"",N883-P883,ROUND(N883*IFERROR(INDEX(Settings!$E$5:$E$12,MATCH(F883,Settings!$D$5:$D$12,0)),0),2)))</f>
        <v/>
      </c>
      <c r="P883" s="37"/>
      <c r="Q883" s="41" t="str">
        <f aca="false">IF(N883="","",IF(P883&lt;&gt;"",P883,N883-O883))</f>
        <v/>
      </c>
      <c r="R883" s="41" t="str">
        <f aca="false">IF(J883="","",IFERROR(N(INDEX(Properties!$H$5:$H$24,MATCH(D883,Properties!$A$5:$A$24,0))),0))</f>
        <v/>
      </c>
      <c r="S883" s="41" t="str">
        <f aca="false">IF(Q883="","",Q883-R883)</f>
        <v/>
      </c>
      <c r="T883" s="6"/>
      <c r="U883" s="6"/>
      <c r="V883" s="6"/>
      <c r="W883" s="6"/>
      <c r="X883" s="6"/>
      <c r="Y883" s="8" t="str">
        <f aca="false">IF(OR(D883="",B883="",C883=""),"",IF(N(C883)&lt;=N(B883),"Check dates",IF(T883="Cancelled","",IF(COUNTIFS($D$5:$D$1004,D883,$B$5:$B$1004,"&lt;"&amp;C883,$C$5:$C$1004,"&gt;"&amp;B883,$T$5:$T$1004,"&lt;&gt;Cancelled")&gt;1,"Double-booked",""))))</f>
        <v/>
      </c>
      <c r="Z883" s="42" t="str">
        <f aca="false">IF(AND(AA883=1,ISNUMBER(C883)),C883+ROW()/100000,"")</f>
        <v/>
      </c>
      <c r="AA883" s="43" t="n">
        <f aca="false">IF(AND(D883&lt;&gt;"",ISNUMBER(B883),ISNUMBER(C883),N(H883)&gt;0,T883&lt;&gt;"Cancelled",J883&lt;&gt;""),1,0)</f>
        <v>0</v>
      </c>
      <c r="AB883" s="44" t="n">
        <f aca="false">IF(AA883=1,J883/H883,0)</f>
        <v>0</v>
      </c>
      <c r="AC883" s="44" t="n">
        <f aca="false">IF(AA883=1,Q883/H883,0)</f>
        <v>0</v>
      </c>
      <c r="AD883" s="44" t="n">
        <f aca="false">IF(AA883=1,R883/H883,0)</f>
        <v>0</v>
      </c>
      <c r="AE883" s="44" t="n">
        <f aca="false">IF(AA883=1,O883/H883,0)</f>
        <v>0</v>
      </c>
      <c r="AF883" s="44" t="n">
        <f aca="false">IF(AA883=1,K883/H883,0)</f>
        <v>0</v>
      </c>
      <c r="AG883" s="45" t="str">
        <f aca="false">IF(AA883=1,D883&amp;"|"&amp;TEXT(B883,"0"),"")</f>
        <v/>
      </c>
      <c r="AH883" s="43" t="n">
        <f aca="false">IF(AA883=1,H883,0)</f>
        <v>0</v>
      </c>
    </row>
    <row r="884" customFormat="false" ht="15" hidden="false" customHeight="false" outlineLevel="0" collapsed="false">
      <c r="A884" s="23" t="str">
        <f aca="false">IF(B884="","","B-"&amp;TEXT(ROW()-4,"0000"))</f>
        <v/>
      </c>
      <c r="B884" s="38"/>
      <c r="C884" s="38"/>
      <c r="D884" s="6"/>
      <c r="E884" s="6"/>
      <c r="F884" s="6"/>
      <c r="G884" s="11"/>
      <c r="H884" s="24" t="str">
        <f aca="false">IF(AND(ISNUMBER(B884),ISNUMBER(C884)),MAX(0,C884-B884),"")</f>
        <v/>
      </c>
      <c r="I884" s="37"/>
      <c r="J884" s="46" t="str">
        <f aca="false">IF(OR(D884="",N(H884)=0),"",IFERROR(IF(I884&lt;&gt;"",H884*I884,ROUND(((H884-(INT((WEEKDAY(B884-6)+H884-1)/7)+INT((WEEKDAY(B884-7)+H884-1)/7)))*INDEX(Properties!$E$5:$E$24,MATCH(D884,Properties!$A$5:$A$24,0))+(INT((WEEKDAY(B884-6)+H884-1)/7)+INT((WEEKDAY(B884-7)+H884-1)/7))*INDEX(Properties!$F$5:$F$24,MATCH(D884,Properties!$A$5:$A$24,0)))*(1-IF(H884&gt;=28,Settings!$B$10,IF(H884&gt;=7,Settings!$B$9,0))),2)),0))</f>
        <v/>
      </c>
      <c r="K884" s="46" t="str">
        <f aca="false">IF(J884="","",IFERROR(N(INDEX(Properties!$G$5:$G$24,MATCH(D884,Properties!$A$5:$A$24,0))),0))</f>
        <v/>
      </c>
      <c r="L884" s="46" t="str">
        <f aca="false">IF(J884="","",IFERROR(MAX(0,N(G884)-INDEX(Properties!$I$5:$I$24,MATCH(D884,Properties!$A$5:$A$24,0)))*N(INDEX(Properties!$J$5:$J$24,MATCH(D884,Properties!$A$5:$A$24,0)))*H884,0))</f>
        <v/>
      </c>
      <c r="M884" s="37"/>
      <c r="N884" s="46" t="str">
        <f aca="false">IF(J884="","",J884+K884+L884+N(M884))</f>
        <v/>
      </c>
      <c r="O884" s="46" t="str">
        <f aca="false">IF(N884="","",IF(P884&lt;&gt;"",N884-P884,ROUND(N884*IFERROR(INDEX(Settings!$E$5:$E$12,MATCH(F884,Settings!$D$5:$D$12,0)),0),2)))</f>
        <v/>
      </c>
      <c r="P884" s="37"/>
      <c r="Q884" s="46" t="str">
        <f aca="false">IF(N884="","",IF(P884&lt;&gt;"",P884,N884-O884))</f>
        <v/>
      </c>
      <c r="R884" s="46" t="str">
        <f aca="false">IF(J884="","",IFERROR(N(INDEX(Properties!$H$5:$H$24,MATCH(D884,Properties!$A$5:$A$24,0))),0))</f>
        <v/>
      </c>
      <c r="S884" s="46" t="str">
        <f aca="false">IF(Q884="","",Q884-R884)</f>
        <v/>
      </c>
      <c r="T884" s="6"/>
      <c r="U884" s="6"/>
      <c r="V884" s="6"/>
      <c r="W884" s="6"/>
      <c r="X884" s="6"/>
      <c r="Y884" s="8" t="str">
        <f aca="false">IF(OR(D884="",B884="",C884=""),"",IF(N(C884)&lt;=N(B884),"Check dates",IF(T884="Cancelled","",IF(COUNTIFS($D$5:$D$1004,D884,$B$5:$B$1004,"&lt;"&amp;C884,$C$5:$C$1004,"&gt;"&amp;B884,$T$5:$T$1004,"&lt;&gt;Cancelled")&gt;1,"Double-booked",""))))</f>
        <v/>
      </c>
      <c r="Z884" s="42" t="str">
        <f aca="false">IF(AND(AA884=1,ISNUMBER(C884)),C884+ROW()/100000,"")</f>
        <v/>
      </c>
      <c r="AA884" s="43" t="n">
        <f aca="false">IF(AND(D884&lt;&gt;"",ISNUMBER(B884),ISNUMBER(C884),N(H884)&gt;0,T884&lt;&gt;"Cancelled",J884&lt;&gt;""),1,0)</f>
        <v>0</v>
      </c>
      <c r="AB884" s="44" t="n">
        <f aca="false">IF(AA884=1,J884/H884,0)</f>
        <v>0</v>
      </c>
      <c r="AC884" s="44" t="n">
        <f aca="false">IF(AA884=1,Q884/H884,0)</f>
        <v>0</v>
      </c>
      <c r="AD884" s="44" t="n">
        <f aca="false">IF(AA884=1,R884/H884,0)</f>
        <v>0</v>
      </c>
      <c r="AE884" s="44" t="n">
        <f aca="false">IF(AA884=1,O884/H884,0)</f>
        <v>0</v>
      </c>
      <c r="AF884" s="44" t="n">
        <f aca="false">IF(AA884=1,K884/H884,0)</f>
        <v>0</v>
      </c>
      <c r="AG884" s="45" t="str">
        <f aca="false">IF(AA884=1,D884&amp;"|"&amp;TEXT(B884,"0"),"")</f>
        <v/>
      </c>
      <c r="AH884" s="43" t="n">
        <f aca="false">IF(AA884=1,H884,0)</f>
        <v>0</v>
      </c>
    </row>
    <row r="885" customFormat="false" ht="15" hidden="false" customHeight="false" outlineLevel="0" collapsed="false">
      <c r="A885" s="8" t="str">
        <f aca="false">IF(B885="","","B-"&amp;TEXT(ROW()-4,"0000"))</f>
        <v/>
      </c>
      <c r="B885" s="38"/>
      <c r="C885" s="38"/>
      <c r="D885" s="6"/>
      <c r="E885" s="6"/>
      <c r="F885" s="6"/>
      <c r="G885" s="11"/>
      <c r="H885" s="18" t="str">
        <f aca="false">IF(AND(ISNUMBER(B885),ISNUMBER(C885)),MAX(0,C885-B885),"")</f>
        <v/>
      </c>
      <c r="I885" s="37"/>
      <c r="J885" s="41" t="str">
        <f aca="false">IF(OR(D885="",N(H885)=0),"",IFERROR(IF(I885&lt;&gt;"",H885*I885,ROUND(((H885-(INT((WEEKDAY(B885-6)+H885-1)/7)+INT((WEEKDAY(B885-7)+H885-1)/7)))*INDEX(Properties!$E$5:$E$24,MATCH(D885,Properties!$A$5:$A$24,0))+(INT((WEEKDAY(B885-6)+H885-1)/7)+INT((WEEKDAY(B885-7)+H885-1)/7))*INDEX(Properties!$F$5:$F$24,MATCH(D885,Properties!$A$5:$A$24,0)))*(1-IF(H885&gt;=28,Settings!$B$10,IF(H885&gt;=7,Settings!$B$9,0))),2)),0))</f>
        <v/>
      </c>
      <c r="K885" s="41" t="str">
        <f aca="false">IF(J885="","",IFERROR(N(INDEX(Properties!$G$5:$G$24,MATCH(D885,Properties!$A$5:$A$24,0))),0))</f>
        <v/>
      </c>
      <c r="L885" s="41" t="str">
        <f aca="false">IF(J885="","",IFERROR(MAX(0,N(G885)-INDEX(Properties!$I$5:$I$24,MATCH(D885,Properties!$A$5:$A$24,0)))*N(INDEX(Properties!$J$5:$J$24,MATCH(D885,Properties!$A$5:$A$24,0)))*H885,0))</f>
        <v/>
      </c>
      <c r="M885" s="37"/>
      <c r="N885" s="41" t="str">
        <f aca="false">IF(J885="","",J885+K885+L885+N(M885))</f>
        <v/>
      </c>
      <c r="O885" s="41" t="str">
        <f aca="false">IF(N885="","",IF(P885&lt;&gt;"",N885-P885,ROUND(N885*IFERROR(INDEX(Settings!$E$5:$E$12,MATCH(F885,Settings!$D$5:$D$12,0)),0),2)))</f>
        <v/>
      </c>
      <c r="P885" s="37"/>
      <c r="Q885" s="41" t="str">
        <f aca="false">IF(N885="","",IF(P885&lt;&gt;"",P885,N885-O885))</f>
        <v/>
      </c>
      <c r="R885" s="41" t="str">
        <f aca="false">IF(J885="","",IFERROR(N(INDEX(Properties!$H$5:$H$24,MATCH(D885,Properties!$A$5:$A$24,0))),0))</f>
        <v/>
      </c>
      <c r="S885" s="41" t="str">
        <f aca="false">IF(Q885="","",Q885-R885)</f>
        <v/>
      </c>
      <c r="T885" s="6"/>
      <c r="U885" s="6"/>
      <c r="V885" s="6"/>
      <c r="W885" s="6"/>
      <c r="X885" s="6"/>
      <c r="Y885" s="8" t="str">
        <f aca="false">IF(OR(D885="",B885="",C885=""),"",IF(N(C885)&lt;=N(B885),"Check dates",IF(T885="Cancelled","",IF(COUNTIFS($D$5:$D$1004,D885,$B$5:$B$1004,"&lt;"&amp;C885,$C$5:$C$1004,"&gt;"&amp;B885,$T$5:$T$1004,"&lt;&gt;Cancelled")&gt;1,"Double-booked",""))))</f>
        <v/>
      </c>
      <c r="Z885" s="42" t="str">
        <f aca="false">IF(AND(AA885=1,ISNUMBER(C885)),C885+ROW()/100000,"")</f>
        <v/>
      </c>
      <c r="AA885" s="43" t="n">
        <f aca="false">IF(AND(D885&lt;&gt;"",ISNUMBER(B885),ISNUMBER(C885),N(H885)&gt;0,T885&lt;&gt;"Cancelled",J885&lt;&gt;""),1,0)</f>
        <v>0</v>
      </c>
      <c r="AB885" s="44" t="n">
        <f aca="false">IF(AA885=1,J885/H885,0)</f>
        <v>0</v>
      </c>
      <c r="AC885" s="44" t="n">
        <f aca="false">IF(AA885=1,Q885/H885,0)</f>
        <v>0</v>
      </c>
      <c r="AD885" s="44" t="n">
        <f aca="false">IF(AA885=1,R885/H885,0)</f>
        <v>0</v>
      </c>
      <c r="AE885" s="44" t="n">
        <f aca="false">IF(AA885=1,O885/H885,0)</f>
        <v>0</v>
      </c>
      <c r="AF885" s="44" t="n">
        <f aca="false">IF(AA885=1,K885/H885,0)</f>
        <v>0</v>
      </c>
      <c r="AG885" s="45" t="str">
        <f aca="false">IF(AA885=1,D885&amp;"|"&amp;TEXT(B885,"0"),"")</f>
        <v/>
      </c>
      <c r="AH885" s="43" t="n">
        <f aca="false">IF(AA885=1,H885,0)</f>
        <v>0</v>
      </c>
    </row>
    <row r="886" customFormat="false" ht="15" hidden="false" customHeight="false" outlineLevel="0" collapsed="false">
      <c r="A886" s="23" t="str">
        <f aca="false">IF(B886="","","B-"&amp;TEXT(ROW()-4,"0000"))</f>
        <v/>
      </c>
      <c r="B886" s="38"/>
      <c r="C886" s="38"/>
      <c r="D886" s="6"/>
      <c r="E886" s="6"/>
      <c r="F886" s="6"/>
      <c r="G886" s="11"/>
      <c r="H886" s="24" t="str">
        <f aca="false">IF(AND(ISNUMBER(B886),ISNUMBER(C886)),MAX(0,C886-B886),"")</f>
        <v/>
      </c>
      <c r="I886" s="37"/>
      <c r="J886" s="46" t="str">
        <f aca="false">IF(OR(D886="",N(H886)=0),"",IFERROR(IF(I886&lt;&gt;"",H886*I886,ROUND(((H886-(INT((WEEKDAY(B886-6)+H886-1)/7)+INT((WEEKDAY(B886-7)+H886-1)/7)))*INDEX(Properties!$E$5:$E$24,MATCH(D886,Properties!$A$5:$A$24,0))+(INT((WEEKDAY(B886-6)+H886-1)/7)+INT((WEEKDAY(B886-7)+H886-1)/7))*INDEX(Properties!$F$5:$F$24,MATCH(D886,Properties!$A$5:$A$24,0)))*(1-IF(H886&gt;=28,Settings!$B$10,IF(H886&gt;=7,Settings!$B$9,0))),2)),0))</f>
        <v/>
      </c>
      <c r="K886" s="46" t="str">
        <f aca="false">IF(J886="","",IFERROR(N(INDEX(Properties!$G$5:$G$24,MATCH(D886,Properties!$A$5:$A$24,0))),0))</f>
        <v/>
      </c>
      <c r="L886" s="46" t="str">
        <f aca="false">IF(J886="","",IFERROR(MAX(0,N(G886)-INDEX(Properties!$I$5:$I$24,MATCH(D886,Properties!$A$5:$A$24,0)))*N(INDEX(Properties!$J$5:$J$24,MATCH(D886,Properties!$A$5:$A$24,0)))*H886,0))</f>
        <v/>
      </c>
      <c r="M886" s="37"/>
      <c r="N886" s="46" t="str">
        <f aca="false">IF(J886="","",J886+K886+L886+N(M886))</f>
        <v/>
      </c>
      <c r="O886" s="46" t="str">
        <f aca="false">IF(N886="","",IF(P886&lt;&gt;"",N886-P886,ROUND(N886*IFERROR(INDEX(Settings!$E$5:$E$12,MATCH(F886,Settings!$D$5:$D$12,0)),0),2)))</f>
        <v/>
      </c>
      <c r="P886" s="37"/>
      <c r="Q886" s="46" t="str">
        <f aca="false">IF(N886="","",IF(P886&lt;&gt;"",P886,N886-O886))</f>
        <v/>
      </c>
      <c r="R886" s="46" t="str">
        <f aca="false">IF(J886="","",IFERROR(N(INDEX(Properties!$H$5:$H$24,MATCH(D886,Properties!$A$5:$A$24,0))),0))</f>
        <v/>
      </c>
      <c r="S886" s="46" t="str">
        <f aca="false">IF(Q886="","",Q886-R886)</f>
        <v/>
      </c>
      <c r="T886" s="6"/>
      <c r="U886" s="6"/>
      <c r="V886" s="6"/>
      <c r="W886" s="6"/>
      <c r="X886" s="6"/>
      <c r="Y886" s="8" t="str">
        <f aca="false">IF(OR(D886="",B886="",C886=""),"",IF(N(C886)&lt;=N(B886),"Check dates",IF(T886="Cancelled","",IF(COUNTIFS($D$5:$D$1004,D886,$B$5:$B$1004,"&lt;"&amp;C886,$C$5:$C$1004,"&gt;"&amp;B886,$T$5:$T$1004,"&lt;&gt;Cancelled")&gt;1,"Double-booked",""))))</f>
        <v/>
      </c>
      <c r="Z886" s="42" t="str">
        <f aca="false">IF(AND(AA886=1,ISNUMBER(C886)),C886+ROW()/100000,"")</f>
        <v/>
      </c>
      <c r="AA886" s="43" t="n">
        <f aca="false">IF(AND(D886&lt;&gt;"",ISNUMBER(B886),ISNUMBER(C886),N(H886)&gt;0,T886&lt;&gt;"Cancelled",J886&lt;&gt;""),1,0)</f>
        <v>0</v>
      </c>
      <c r="AB886" s="44" t="n">
        <f aca="false">IF(AA886=1,J886/H886,0)</f>
        <v>0</v>
      </c>
      <c r="AC886" s="44" t="n">
        <f aca="false">IF(AA886=1,Q886/H886,0)</f>
        <v>0</v>
      </c>
      <c r="AD886" s="44" t="n">
        <f aca="false">IF(AA886=1,R886/H886,0)</f>
        <v>0</v>
      </c>
      <c r="AE886" s="44" t="n">
        <f aca="false">IF(AA886=1,O886/H886,0)</f>
        <v>0</v>
      </c>
      <c r="AF886" s="44" t="n">
        <f aca="false">IF(AA886=1,K886/H886,0)</f>
        <v>0</v>
      </c>
      <c r="AG886" s="45" t="str">
        <f aca="false">IF(AA886=1,D886&amp;"|"&amp;TEXT(B886,"0"),"")</f>
        <v/>
      </c>
      <c r="AH886" s="43" t="n">
        <f aca="false">IF(AA886=1,H886,0)</f>
        <v>0</v>
      </c>
    </row>
    <row r="887" customFormat="false" ht="15" hidden="false" customHeight="false" outlineLevel="0" collapsed="false">
      <c r="A887" s="8" t="str">
        <f aca="false">IF(B887="","","B-"&amp;TEXT(ROW()-4,"0000"))</f>
        <v/>
      </c>
      <c r="B887" s="38"/>
      <c r="C887" s="38"/>
      <c r="D887" s="6"/>
      <c r="E887" s="6"/>
      <c r="F887" s="6"/>
      <c r="G887" s="11"/>
      <c r="H887" s="18" t="str">
        <f aca="false">IF(AND(ISNUMBER(B887),ISNUMBER(C887)),MAX(0,C887-B887),"")</f>
        <v/>
      </c>
      <c r="I887" s="37"/>
      <c r="J887" s="41" t="str">
        <f aca="false">IF(OR(D887="",N(H887)=0),"",IFERROR(IF(I887&lt;&gt;"",H887*I887,ROUND(((H887-(INT((WEEKDAY(B887-6)+H887-1)/7)+INT((WEEKDAY(B887-7)+H887-1)/7)))*INDEX(Properties!$E$5:$E$24,MATCH(D887,Properties!$A$5:$A$24,0))+(INT((WEEKDAY(B887-6)+H887-1)/7)+INT((WEEKDAY(B887-7)+H887-1)/7))*INDEX(Properties!$F$5:$F$24,MATCH(D887,Properties!$A$5:$A$24,0)))*(1-IF(H887&gt;=28,Settings!$B$10,IF(H887&gt;=7,Settings!$B$9,0))),2)),0))</f>
        <v/>
      </c>
      <c r="K887" s="41" t="str">
        <f aca="false">IF(J887="","",IFERROR(N(INDEX(Properties!$G$5:$G$24,MATCH(D887,Properties!$A$5:$A$24,0))),0))</f>
        <v/>
      </c>
      <c r="L887" s="41" t="str">
        <f aca="false">IF(J887="","",IFERROR(MAX(0,N(G887)-INDEX(Properties!$I$5:$I$24,MATCH(D887,Properties!$A$5:$A$24,0)))*N(INDEX(Properties!$J$5:$J$24,MATCH(D887,Properties!$A$5:$A$24,0)))*H887,0))</f>
        <v/>
      </c>
      <c r="M887" s="37"/>
      <c r="N887" s="41" t="str">
        <f aca="false">IF(J887="","",J887+K887+L887+N(M887))</f>
        <v/>
      </c>
      <c r="O887" s="41" t="str">
        <f aca="false">IF(N887="","",IF(P887&lt;&gt;"",N887-P887,ROUND(N887*IFERROR(INDEX(Settings!$E$5:$E$12,MATCH(F887,Settings!$D$5:$D$12,0)),0),2)))</f>
        <v/>
      </c>
      <c r="P887" s="37"/>
      <c r="Q887" s="41" t="str">
        <f aca="false">IF(N887="","",IF(P887&lt;&gt;"",P887,N887-O887))</f>
        <v/>
      </c>
      <c r="R887" s="41" t="str">
        <f aca="false">IF(J887="","",IFERROR(N(INDEX(Properties!$H$5:$H$24,MATCH(D887,Properties!$A$5:$A$24,0))),0))</f>
        <v/>
      </c>
      <c r="S887" s="41" t="str">
        <f aca="false">IF(Q887="","",Q887-R887)</f>
        <v/>
      </c>
      <c r="T887" s="6"/>
      <c r="U887" s="6"/>
      <c r="V887" s="6"/>
      <c r="W887" s="6"/>
      <c r="X887" s="6"/>
      <c r="Y887" s="8" t="str">
        <f aca="false">IF(OR(D887="",B887="",C887=""),"",IF(N(C887)&lt;=N(B887),"Check dates",IF(T887="Cancelled","",IF(COUNTIFS($D$5:$D$1004,D887,$B$5:$B$1004,"&lt;"&amp;C887,$C$5:$C$1004,"&gt;"&amp;B887,$T$5:$T$1004,"&lt;&gt;Cancelled")&gt;1,"Double-booked",""))))</f>
        <v/>
      </c>
      <c r="Z887" s="42" t="str">
        <f aca="false">IF(AND(AA887=1,ISNUMBER(C887)),C887+ROW()/100000,"")</f>
        <v/>
      </c>
      <c r="AA887" s="43" t="n">
        <f aca="false">IF(AND(D887&lt;&gt;"",ISNUMBER(B887),ISNUMBER(C887),N(H887)&gt;0,T887&lt;&gt;"Cancelled",J887&lt;&gt;""),1,0)</f>
        <v>0</v>
      </c>
      <c r="AB887" s="44" t="n">
        <f aca="false">IF(AA887=1,J887/H887,0)</f>
        <v>0</v>
      </c>
      <c r="AC887" s="44" t="n">
        <f aca="false">IF(AA887=1,Q887/H887,0)</f>
        <v>0</v>
      </c>
      <c r="AD887" s="44" t="n">
        <f aca="false">IF(AA887=1,R887/H887,0)</f>
        <v>0</v>
      </c>
      <c r="AE887" s="44" t="n">
        <f aca="false">IF(AA887=1,O887/H887,0)</f>
        <v>0</v>
      </c>
      <c r="AF887" s="44" t="n">
        <f aca="false">IF(AA887=1,K887/H887,0)</f>
        <v>0</v>
      </c>
      <c r="AG887" s="45" t="str">
        <f aca="false">IF(AA887=1,D887&amp;"|"&amp;TEXT(B887,"0"),"")</f>
        <v/>
      </c>
      <c r="AH887" s="43" t="n">
        <f aca="false">IF(AA887=1,H887,0)</f>
        <v>0</v>
      </c>
    </row>
    <row r="888" customFormat="false" ht="15" hidden="false" customHeight="false" outlineLevel="0" collapsed="false">
      <c r="A888" s="23" t="str">
        <f aca="false">IF(B888="","","B-"&amp;TEXT(ROW()-4,"0000"))</f>
        <v/>
      </c>
      <c r="B888" s="38"/>
      <c r="C888" s="38"/>
      <c r="D888" s="6"/>
      <c r="E888" s="6"/>
      <c r="F888" s="6"/>
      <c r="G888" s="11"/>
      <c r="H888" s="24" t="str">
        <f aca="false">IF(AND(ISNUMBER(B888),ISNUMBER(C888)),MAX(0,C888-B888),"")</f>
        <v/>
      </c>
      <c r="I888" s="37"/>
      <c r="J888" s="46" t="str">
        <f aca="false">IF(OR(D888="",N(H888)=0),"",IFERROR(IF(I888&lt;&gt;"",H888*I888,ROUND(((H888-(INT((WEEKDAY(B888-6)+H888-1)/7)+INT((WEEKDAY(B888-7)+H888-1)/7)))*INDEX(Properties!$E$5:$E$24,MATCH(D888,Properties!$A$5:$A$24,0))+(INT((WEEKDAY(B888-6)+H888-1)/7)+INT((WEEKDAY(B888-7)+H888-1)/7))*INDEX(Properties!$F$5:$F$24,MATCH(D888,Properties!$A$5:$A$24,0)))*(1-IF(H888&gt;=28,Settings!$B$10,IF(H888&gt;=7,Settings!$B$9,0))),2)),0))</f>
        <v/>
      </c>
      <c r="K888" s="46" t="str">
        <f aca="false">IF(J888="","",IFERROR(N(INDEX(Properties!$G$5:$G$24,MATCH(D888,Properties!$A$5:$A$24,0))),0))</f>
        <v/>
      </c>
      <c r="L888" s="46" t="str">
        <f aca="false">IF(J888="","",IFERROR(MAX(0,N(G888)-INDEX(Properties!$I$5:$I$24,MATCH(D888,Properties!$A$5:$A$24,0)))*N(INDEX(Properties!$J$5:$J$24,MATCH(D888,Properties!$A$5:$A$24,0)))*H888,0))</f>
        <v/>
      </c>
      <c r="M888" s="37"/>
      <c r="N888" s="46" t="str">
        <f aca="false">IF(J888="","",J888+K888+L888+N(M888))</f>
        <v/>
      </c>
      <c r="O888" s="46" t="str">
        <f aca="false">IF(N888="","",IF(P888&lt;&gt;"",N888-P888,ROUND(N888*IFERROR(INDEX(Settings!$E$5:$E$12,MATCH(F888,Settings!$D$5:$D$12,0)),0),2)))</f>
        <v/>
      </c>
      <c r="P888" s="37"/>
      <c r="Q888" s="46" t="str">
        <f aca="false">IF(N888="","",IF(P888&lt;&gt;"",P888,N888-O888))</f>
        <v/>
      </c>
      <c r="R888" s="46" t="str">
        <f aca="false">IF(J888="","",IFERROR(N(INDEX(Properties!$H$5:$H$24,MATCH(D888,Properties!$A$5:$A$24,0))),0))</f>
        <v/>
      </c>
      <c r="S888" s="46" t="str">
        <f aca="false">IF(Q888="","",Q888-R888)</f>
        <v/>
      </c>
      <c r="T888" s="6"/>
      <c r="U888" s="6"/>
      <c r="V888" s="6"/>
      <c r="W888" s="6"/>
      <c r="X888" s="6"/>
      <c r="Y888" s="8" t="str">
        <f aca="false">IF(OR(D888="",B888="",C888=""),"",IF(N(C888)&lt;=N(B888),"Check dates",IF(T888="Cancelled","",IF(COUNTIFS($D$5:$D$1004,D888,$B$5:$B$1004,"&lt;"&amp;C888,$C$5:$C$1004,"&gt;"&amp;B888,$T$5:$T$1004,"&lt;&gt;Cancelled")&gt;1,"Double-booked",""))))</f>
        <v/>
      </c>
      <c r="Z888" s="42" t="str">
        <f aca="false">IF(AND(AA888=1,ISNUMBER(C888)),C888+ROW()/100000,"")</f>
        <v/>
      </c>
      <c r="AA888" s="43" t="n">
        <f aca="false">IF(AND(D888&lt;&gt;"",ISNUMBER(B888),ISNUMBER(C888),N(H888)&gt;0,T888&lt;&gt;"Cancelled",J888&lt;&gt;""),1,0)</f>
        <v>0</v>
      </c>
      <c r="AB888" s="44" t="n">
        <f aca="false">IF(AA888=1,J888/H888,0)</f>
        <v>0</v>
      </c>
      <c r="AC888" s="44" t="n">
        <f aca="false">IF(AA888=1,Q888/H888,0)</f>
        <v>0</v>
      </c>
      <c r="AD888" s="44" t="n">
        <f aca="false">IF(AA888=1,R888/H888,0)</f>
        <v>0</v>
      </c>
      <c r="AE888" s="44" t="n">
        <f aca="false">IF(AA888=1,O888/H888,0)</f>
        <v>0</v>
      </c>
      <c r="AF888" s="44" t="n">
        <f aca="false">IF(AA888=1,K888/H888,0)</f>
        <v>0</v>
      </c>
      <c r="AG888" s="45" t="str">
        <f aca="false">IF(AA888=1,D888&amp;"|"&amp;TEXT(B888,"0"),"")</f>
        <v/>
      </c>
      <c r="AH888" s="43" t="n">
        <f aca="false">IF(AA888=1,H888,0)</f>
        <v>0</v>
      </c>
    </row>
    <row r="889" customFormat="false" ht="15" hidden="false" customHeight="false" outlineLevel="0" collapsed="false">
      <c r="A889" s="8" t="str">
        <f aca="false">IF(B889="","","B-"&amp;TEXT(ROW()-4,"0000"))</f>
        <v/>
      </c>
      <c r="B889" s="38"/>
      <c r="C889" s="38"/>
      <c r="D889" s="6"/>
      <c r="E889" s="6"/>
      <c r="F889" s="6"/>
      <c r="G889" s="11"/>
      <c r="H889" s="18" t="str">
        <f aca="false">IF(AND(ISNUMBER(B889),ISNUMBER(C889)),MAX(0,C889-B889),"")</f>
        <v/>
      </c>
      <c r="I889" s="37"/>
      <c r="J889" s="41" t="str">
        <f aca="false">IF(OR(D889="",N(H889)=0),"",IFERROR(IF(I889&lt;&gt;"",H889*I889,ROUND(((H889-(INT((WEEKDAY(B889-6)+H889-1)/7)+INT((WEEKDAY(B889-7)+H889-1)/7)))*INDEX(Properties!$E$5:$E$24,MATCH(D889,Properties!$A$5:$A$24,0))+(INT((WEEKDAY(B889-6)+H889-1)/7)+INT((WEEKDAY(B889-7)+H889-1)/7))*INDEX(Properties!$F$5:$F$24,MATCH(D889,Properties!$A$5:$A$24,0)))*(1-IF(H889&gt;=28,Settings!$B$10,IF(H889&gt;=7,Settings!$B$9,0))),2)),0))</f>
        <v/>
      </c>
      <c r="K889" s="41" t="str">
        <f aca="false">IF(J889="","",IFERROR(N(INDEX(Properties!$G$5:$G$24,MATCH(D889,Properties!$A$5:$A$24,0))),0))</f>
        <v/>
      </c>
      <c r="L889" s="41" t="str">
        <f aca="false">IF(J889="","",IFERROR(MAX(0,N(G889)-INDEX(Properties!$I$5:$I$24,MATCH(D889,Properties!$A$5:$A$24,0)))*N(INDEX(Properties!$J$5:$J$24,MATCH(D889,Properties!$A$5:$A$24,0)))*H889,0))</f>
        <v/>
      </c>
      <c r="M889" s="37"/>
      <c r="N889" s="41" t="str">
        <f aca="false">IF(J889="","",J889+K889+L889+N(M889))</f>
        <v/>
      </c>
      <c r="O889" s="41" t="str">
        <f aca="false">IF(N889="","",IF(P889&lt;&gt;"",N889-P889,ROUND(N889*IFERROR(INDEX(Settings!$E$5:$E$12,MATCH(F889,Settings!$D$5:$D$12,0)),0),2)))</f>
        <v/>
      </c>
      <c r="P889" s="37"/>
      <c r="Q889" s="41" t="str">
        <f aca="false">IF(N889="","",IF(P889&lt;&gt;"",P889,N889-O889))</f>
        <v/>
      </c>
      <c r="R889" s="41" t="str">
        <f aca="false">IF(J889="","",IFERROR(N(INDEX(Properties!$H$5:$H$24,MATCH(D889,Properties!$A$5:$A$24,0))),0))</f>
        <v/>
      </c>
      <c r="S889" s="41" t="str">
        <f aca="false">IF(Q889="","",Q889-R889)</f>
        <v/>
      </c>
      <c r="T889" s="6"/>
      <c r="U889" s="6"/>
      <c r="V889" s="6"/>
      <c r="W889" s="6"/>
      <c r="X889" s="6"/>
      <c r="Y889" s="8" t="str">
        <f aca="false">IF(OR(D889="",B889="",C889=""),"",IF(N(C889)&lt;=N(B889),"Check dates",IF(T889="Cancelled","",IF(COUNTIFS($D$5:$D$1004,D889,$B$5:$B$1004,"&lt;"&amp;C889,$C$5:$C$1004,"&gt;"&amp;B889,$T$5:$T$1004,"&lt;&gt;Cancelled")&gt;1,"Double-booked",""))))</f>
        <v/>
      </c>
      <c r="Z889" s="42" t="str">
        <f aca="false">IF(AND(AA889=1,ISNUMBER(C889)),C889+ROW()/100000,"")</f>
        <v/>
      </c>
      <c r="AA889" s="43" t="n">
        <f aca="false">IF(AND(D889&lt;&gt;"",ISNUMBER(B889),ISNUMBER(C889),N(H889)&gt;0,T889&lt;&gt;"Cancelled",J889&lt;&gt;""),1,0)</f>
        <v>0</v>
      </c>
      <c r="AB889" s="44" t="n">
        <f aca="false">IF(AA889=1,J889/H889,0)</f>
        <v>0</v>
      </c>
      <c r="AC889" s="44" t="n">
        <f aca="false">IF(AA889=1,Q889/H889,0)</f>
        <v>0</v>
      </c>
      <c r="AD889" s="44" t="n">
        <f aca="false">IF(AA889=1,R889/H889,0)</f>
        <v>0</v>
      </c>
      <c r="AE889" s="44" t="n">
        <f aca="false">IF(AA889=1,O889/H889,0)</f>
        <v>0</v>
      </c>
      <c r="AF889" s="44" t="n">
        <f aca="false">IF(AA889=1,K889/H889,0)</f>
        <v>0</v>
      </c>
      <c r="AG889" s="45" t="str">
        <f aca="false">IF(AA889=1,D889&amp;"|"&amp;TEXT(B889,"0"),"")</f>
        <v/>
      </c>
      <c r="AH889" s="43" t="n">
        <f aca="false">IF(AA889=1,H889,0)</f>
        <v>0</v>
      </c>
    </row>
    <row r="890" customFormat="false" ht="15" hidden="false" customHeight="false" outlineLevel="0" collapsed="false">
      <c r="A890" s="23" t="str">
        <f aca="false">IF(B890="","","B-"&amp;TEXT(ROW()-4,"0000"))</f>
        <v/>
      </c>
      <c r="B890" s="38"/>
      <c r="C890" s="38"/>
      <c r="D890" s="6"/>
      <c r="E890" s="6"/>
      <c r="F890" s="6"/>
      <c r="G890" s="11"/>
      <c r="H890" s="24" t="str">
        <f aca="false">IF(AND(ISNUMBER(B890),ISNUMBER(C890)),MAX(0,C890-B890),"")</f>
        <v/>
      </c>
      <c r="I890" s="37"/>
      <c r="J890" s="46" t="str">
        <f aca="false">IF(OR(D890="",N(H890)=0),"",IFERROR(IF(I890&lt;&gt;"",H890*I890,ROUND(((H890-(INT((WEEKDAY(B890-6)+H890-1)/7)+INT((WEEKDAY(B890-7)+H890-1)/7)))*INDEX(Properties!$E$5:$E$24,MATCH(D890,Properties!$A$5:$A$24,0))+(INT((WEEKDAY(B890-6)+H890-1)/7)+INT((WEEKDAY(B890-7)+H890-1)/7))*INDEX(Properties!$F$5:$F$24,MATCH(D890,Properties!$A$5:$A$24,0)))*(1-IF(H890&gt;=28,Settings!$B$10,IF(H890&gt;=7,Settings!$B$9,0))),2)),0))</f>
        <v/>
      </c>
      <c r="K890" s="46" t="str">
        <f aca="false">IF(J890="","",IFERROR(N(INDEX(Properties!$G$5:$G$24,MATCH(D890,Properties!$A$5:$A$24,0))),0))</f>
        <v/>
      </c>
      <c r="L890" s="46" t="str">
        <f aca="false">IF(J890="","",IFERROR(MAX(0,N(G890)-INDEX(Properties!$I$5:$I$24,MATCH(D890,Properties!$A$5:$A$24,0)))*N(INDEX(Properties!$J$5:$J$24,MATCH(D890,Properties!$A$5:$A$24,0)))*H890,0))</f>
        <v/>
      </c>
      <c r="M890" s="37"/>
      <c r="N890" s="46" t="str">
        <f aca="false">IF(J890="","",J890+K890+L890+N(M890))</f>
        <v/>
      </c>
      <c r="O890" s="46" t="str">
        <f aca="false">IF(N890="","",IF(P890&lt;&gt;"",N890-P890,ROUND(N890*IFERROR(INDEX(Settings!$E$5:$E$12,MATCH(F890,Settings!$D$5:$D$12,0)),0),2)))</f>
        <v/>
      </c>
      <c r="P890" s="37"/>
      <c r="Q890" s="46" t="str">
        <f aca="false">IF(N890="","",IF(P890&lt;&gt;"",P890,N890-O890))</f>
        <v/>
      </c>
      <c r="R890" s="46" t="str">
        <f aca="false">IF(J890="","",IFERROR(N(INDEX(Properties!$H$5:$H$24,MATCH(D890,Properties!$A$5:$A$24,0))),0))</f>
        <v/>
      </c>
      <c r="S890" s="46" t="str">
        <f aca="false">IF(Q890="","",Q890-R890)</f>
        <v/>
      </c>
      <c r="T890" s="6"/>
      <c r="U890" s="6"/>
      <c r="V890" s="6"/>
      <c r="W890" s="6"/>
      <c r="X890" s="6"/>
      <c r="Y890" s="8" t="str">
        <f aca="false">IF(OR(D890="",B890="",C890=""),"",IF(N(C890)&lt;=N(B890),"Check dates",IF(T890="Cancelled","",IF(COUNTIFS($D$5:$D$1004,D890,$B$5:$B$1004,"&lt;"&amp;C890,$C$5:$C$1004,"&gt;"&amp;B890,$T$5:$T$1004,"&lt;&gt;Cancelled")&gt;1,"Double-booked",""))))</f>
        <v/>
      </c>
      <c r="Z890" s="42" t="str">
        <f aca="false">IF(AND(AA890=1,ISNUMBER(C890)),C890+ROW()/100000,"")</f>
        <v/>
      </c>
      <c r="AA890" s="43" t="n">
        <f aca="false">IF(AND(D890&lt;&gt;"",ISNUMBER(B890),ISNUMBER(C890),N(H890)&gt;0,T890&lt;&gt;"Cancelled",J890&lt;&gt;""),1,0)</f>
        <v>0</v>
      </c>
      <c r="AB890" s="44" t="n">
        <f aca="false">IF(AA890=1,J890/H890,0)</f>
        <v>0</v>
      </c>
      <c r="AC890" s="44" t="n">
        <f aca="false">IF(AA890=1,Q890/H890,0)</f>
        <v>0</v>
      </c>
      <c r="AD890" s="44" t="n">
        <f aca="false">IF(AA890=1,R890/H890,0)</f>
        <v>0</v>
      </c>
      <c r="AE890" s="44" t="n">
        <f aca="false">IF(AA890=1,O890/H890,0)</f>
        <v>0</v>
      </c>
      <c r="AF890" s="44" t="n">
        <f aca="false">IF(AA890=1,K890/H890,0)</f>
        <v>0</v>
      </c>
      <c r="AG890" s="45" t="str">
        <f aca="false">IF(AA890=1,D890&amp;"|"&amp;TEXT(B890,"0"),"")</f>
        <v/>
      </c>
      <c r="AH890" s="43" t="n">
        <f aca="false">IF(AA890=1,H890,0)</f>
        <v>0</v>
      </c>
    </row>
    <row r="891" customFormat="false" ht="15" hidden="false" customHeight="false" outlineLevel="0" collapsed="false">
      <c r="A891" s="8" t="str">
        <f aca="false">IF(B891="","","B-"&amp;TEXT(ROW()-4,"0000"))</f>
        <v/>
      </c>
      <c r="B891" s="38"/>
      <c r="C891" s="38"/>
      <c r="D891" s="6"/>
      <c r="E891" s="6"/>
      <c r="F891" s="6"/>
      <c r="G891" s="11"/>
      <c r="H891" s="18" t="str">
        <f aca="false">IF(AND(ISNUMBER(B891),ISNUMBER(C891)),MAX(0,C891-B891),"")</f>
        <v/>
      </c>
      <c r="I891" s="37"/>
      <c r="J891" s="41" t="str">
        <f aca="false">IF(OR(D891="",N(H891)=0),"",IFERROR(IF(I891&lt;&gt;"",H891*I891,ROUND(((H891-(INT((WEEKDAY(B891-6)+H891-1)/7)+INT((WEEKDAY(B891-7)+H891-1)/7)))*INDEX(Properties!$E$5:$E$24,MATCH(D891,Properties!$A$5:$A$24,0))+(INT((WEEKDAY(B891-6)+H891-1)/7)+INT((WEEKDAY(B891-7)+H891-1)/7))*INDEX(Properties!$F$5:$F$24,MATCH(D891,Properties!$A$5:$A$24,0)))*(1-IF(H891&gt;=28,Settings!$B$10,IF(H891&gt;=7,Settings!$B$9,0))),2)),0))</f>
        <v/>
      </c>
      <c r="K891" s="41" t="str">
        <f aca="false">IF(J891="","",IFERROR(N(INDEX(Properties!$G$5:$G$24,MATCH(D891,Properties!$A$5:$A$24,0))),0))</f>
        <v/>
      </c>
      <c r="L891" s="41" t="str">
        <f aca="false">IF(J891="","",IFERROR(MAX(0,N(G891)-INDEX(Properties!$I$5:$I$24,MATCH(D891,Properties!$A$5:$A$24,0)))*N(INDEX(Properties!$J$5:$J$24,MATCH(D891,Properties!$A$5:$A$24,0)))*H891,0))</f>
        <v/>
      </c>
      <c r="M891" s="37"/>
      <c r="N891" s="41" t="str">
        <f aca="false">IF(J891="","",J891+K891+L891+N(M891))</f>
        <v/>
      </c>
      <c r="O891" s="41" t="str">
        <f aca="false">IF(N891="","",IF(P891&lt;&gt;"",N891-P891,ROUND(N891*IFERROR(INDEX(Settings!$E$5:$E$12,MATCH(F891,Settings!$D$5:$D$12,0)),0),2)))</f>
        <v/>
      </c>
      <c r="P891" s="37"/>
      <c r="Q891" s="41" t="str">
        <f aca="false">IF(N891="","",IF(P891&lt;&gt;"",P891,N891-O891))</f>
        <v/>
      </c>
      <c r="R891" s="41" t="str">
        <f aca="false">IF(J891="","",IFERROR(N(INDEX(Properties!$H$5:$H$24,MATCH(D891,Properties!$A$5:$A$24,0))),0))</f>
        <v/>
      </c>
      <c r="S891" s="41" t="str">
        <f aca="false">IF(Q891="","",Q891-R891)</f>
        <v/>
      </c>
      <c r="T891" s="6"/>
      <c r="U891" s="6"/>
      <c r="V891" s="6"/>
      <c r="W891" s="6"/>
      <c r="X891" s="6"/>
      <c r="Y891" s="8" t="str">
        <f aca="false">IF(OR(D891="",B891="",C891=""),"",IF(N(C891)&lt;=N(B891),"Check dates",IF(T891="Cancelled","",IF(COUNTIFS($D$5:$D$1004,D891,$B$5:$B$1004,"&lt;"&amp;C891,$C$5:$C$1004,"&gt;"&amp;B891,$T$5:$T$1004,"&lt;&gt;Cancelled")&gt;1,"Double-booked",""))))</f>
        <v/>
      </c>
      <c r="Z891" s="42" t="str">
        <f aca="false">IF(AND(AA891=1,ISNUMBER(C891)),C891+ROW()/100000,"")</f>
        <v/>
      </c>
      <c r="AA891" s="43" t="n">
        <f aca="false">IF(AND(D891&lt;&gt;"",ISNUMBER(B891),ISNUMBER(C891),N(H891)&gt;0,T891&lt;&gt;"Cancelled",J891&lt;&gt;""),1,0)</f>
        <v>0</v>
      </c>
      <c r="AB891" s="44" t="n">
        <f aca="false">IF(AA891=1,J891/H891,0)</f>
        <v>0</v>
      </c>
      <c r="AC891" s="44" t="n">
        <f aca="false">IF(AA891=1,Q891/H891,0)</f>
        <v>0</v>
      </c>
      <c r="AD891" s="44" t="n">
        <f aca="false">IF(AA891=1,R891/H891,0)</f>
        <v>0</v>
      </c>
      <c r="AE891" s="44" t="n">
        <f aca="false">IF(AA891=1,O891/H891,0)</f>
        <v>0</v>
      </c>
      <c r="AF891" s="44" t="n">
        <f aca="false">IF(AA891=1,K891/H891,0)</f>
        <v>0</v>
      </c>
      <c r="AG891" s="45" t="str">
        <f aca="false">IF(AA891=1,D891&amp;"|"&amp;TEXT(B891,"0"),"")</f>
        <v/>
      </c>
      <c r="AH891" s="43" t="n">
        <f aca="false">IF(AA891=1,H891,0)</f>
        <v>0</v>
      </c>
    </row>
    <row r="892" customFormat="false" ht="15" hidden="false" customHeight="false" outlineLevel="0" collapsed="false">
      <c r="A892" s="23" t="str">
        <f aca="false">IF(B892="","","B-"&amp;TEXT(ROW()-4,"0000"))</f>
        <v/>
      </c>
      <c r="B892" s="38"/>
      <c r="C892" s="38"/>
      <c r="D892" s="6"/>
      <c r="E892" s="6"/>
      <c r="F892" s="6"/>
      <c r="G892" s="11"/>
      <c r="H892" s="24" t="str">
        <f aca="false">IF(AND(ISNUMBER(B892),ISNUMBER(C892)),MAX(0,C892-B892),"")</f>
        <v/>
      </c>
      <c r="I892" s="37"/>
      <c r="J892" s="46" t="str">
        <f aca="false">IF(OR(D892="",N(H892)=0),"",IFERROR(IF(I892&lt;&gt;"",H892*I892,ROUND(((H892-(INT((WEEKDAY(B892-6)+H892-1)/7)+INT((WEEKDAY(B892-7)+H892-1)/7)))*INDEX(Properties!$E$5:$E$24,MATCH(D892,Properties!$A$5:$A$24,0))+(INT((WEEKDAY(B892-6)+H892-1)/7)+INT((WEEKDAY(B892-7)+H892-1)/7))*INDEX(Properties!$F$5:$F$24,MATCH(D892,Properties!$A$5:$A$24,0)))*(1-IF(H892&gt;=28,Settings!$B$10,IF(H892&gt;=7,Settings!$B$9,0))),2)),0))</f>
        <v/>
      </c>
      <c r="K892" s="46" t="str">
        <f aca="false">IF(J892="","",IFERROR(N(INDEX(Properties!$G$5:$G$24,MATCH(D892,Properties!$A$5:$A$24,0))),0))</f>
        <v/>
      </c>
      <c r="L892" s="46" t="str">
        <f aca="false">IF(J892="","",IFERROR(MAX(0,N(G892)-INDEX(Properties!$I$5:$I$24,MATCH(D892,Properties!$A$5:$A$24,0)))*N(INDEX(Properties!$J$5:$J$24,MATCH(D892,Properties!$A$5:$A$24,0)))*H892,0))</f>
        <v/>
      </c>
      <c r="M892" s="37"/>
      <c r="N892" s="46" t="str">
        <f aca="false">IF(J892="","",J892+K892+L892+N(M892))</f>
        <v/>
      </c>
      <c r="O892" s="46" t="str">
        <f aca="false">IF(N892="","",IF(P892&lt;&gt;"",N892-P892,ROUND(N892*IFERROR(INDEX(Settings!$E$5:$E$12,MATCH(F892,Settings!$D$5:$D$12,0)),0),2)))</f>
        <v/>
      </c>
      <c r="P892" s="37"/>
      <c r="Q892" s="46" t="str">
        <f aca="false">IF(N892="","",IF(P892&lt;&gt;"",P892,N892-O892))</f>
        <v/>
      </c>
      <c r="R892" s="46" t="str">
        <f aca="false">IF(J892="","",IFERROR(N(INDEX(Properties!$H$5:$H$24,MATCH(D892,Properties!$A$5:$A$24,0))),0))</f>
        <v/>
      </c>
      <c r="S892" s="46" t="str">
        <f aca="false">IF(Q892="","",Q892-R892)</f>
        <v/>
      </c>
      <c r="T892" s="6"/>
      <c r="U892" s="6"/>
      <c r="V892" s="6"/>
      <c r="W892" s="6"/>
      <c r="X892" s="6"/>
      <c r="Y892" s="8" t="str">
        <f aca="false">IF(OR(D892="",B892="",C892=""),"",IF(N(C892)&lt;=N(B892),"Check dates",IF(T892="Cancelled","",IF(COUNTIFS($D$5:$D$1004,D892,$B$5:$B$1004,"&lt;"&amp;C892,$C$5:$C$1004,"&gt;"&amp;B892,$T$5:$T$1004,"&lt;&gt;Cancelled")&gt;1,"Double-booked",""))))</f>
        <v/>
      </c>
      <c r="Z892" s="42" t="str">
        <f aca="false">IF(AND(AA892=1,ISNUMBER(C892)),C892+ROW()/100000,"")</f>
        <v/>
      </c>
      <c r="AA892" s="43" t="n">
        <f aca="false">IF(AND(D892&lt;&gt;"",ISNUMBER(B892),ISNUMBER(C892),N(H892)&gt;0,T892&lt;&gt;"Cancelled",J892&lt;&gt;""),1,0)</f>
        <v>0</v>
      </c>
      <c r="AB892" s="44" t="n">
        <f aca="false">IF(AA892=1,J892/H892,0)</f>
        <v>0</v>
      </c>
      <c r="AC892" s="44" t="n">
        <f aca="false">IF(AA892=1,Q892/H892,0)</f>
        <v>0</v>
      </c>
      <c r="AD892" s="44" t="n">
        <f aca="false">IF(AA892=1,R892/H892,0)</f>
        <v>0</v>
      </c>
      <c r="AE892" s="44" t="n">
        <f aca="false">IF(AA892=1,O892/H892,0)</f>
        <v>0</v>
      </c>
      <c r="AF892" s="44" t="n">
        <f aca="false">IF(AA892=1,K892/H892,0)</f>
        <v>0</v>
      </c>
      <c r="AG892" s="45" t="str">
        <f aca="false">IF(AA892=1,D892&amp;"|"&amp;TEXT(B892,"0"),"")</f>
        <v/>
      </c>
      <c r="AH892" s="43" t="n">
        <f aca="false">IF(AA892=1,H892,0)</f>
        <v>0</v>
      </c>
    </row>
    <row r="893" customFormat="false" ht="15" hidden="false" customHeight="false" outlineLevel="0" collapsed="false">
      <c r="A893" s="8" t="str">
        <f aca="false">IF(B893="","","B-"&amp;TEXT(ROW()-4,"0000"))</f>
        <v/>
      </c>
      <c r="B893" s="38"/>
      <c r="C893" s="38"/>
      <c r="D893" s="6"/>
      <c r="E893" s="6"/>
      <c r="F893" s="6"/>
      <c r="G893" s="11"/>
      <c r="H893" s="18" t="str">
        <f aca="false">IF(AND(ISNUMBER(B893),ISNUMBER(C893)),MAX(0,C893-B893),"")</f>
        <v/>
      </c>
      <c r="I893" s="37"/>
      <c r="J893" s="41" t="str">
        <f aca="false">IF(OR(D893="",N(H893)=0),"",IFERROR(IF(I893&lt;&gt;"",H893*I893,ROUND(((H893-(INT((WEEKDAY(B893-6)+H893-1)/7)+INT((WEEKDAY(B893-7)+H893-1)/7)))*INDEX(Properties!$E$5:$E$24,MATCH(D893,Properties!$A$5:$A$24,0))+(INT((WEEKDAY(B893-6)+H893-1)/7)+INT((WEEKDAY(B893-7)+H893-1)/7))*INDEX(Properties!$F$5:$F$24,MATCH(D893,Properties!$A$5:$A$24,0)))*(1-IF(H893&gt;=28,Settings!$B$10,IF(H893&gt;=7,Settings!$B$9,0))),2)),0))</f>
        <v/>
      </c>
      <c r="K893" s="41" t="str">
        <f aca="false">IF(J893="","",IFERROR(N(INDEX(Properties!$G$5:$G$24,MATCH(D893,Properties!$A$5:$A$24,0))),0))</f>
        <v/>
      </c>
      <c r="L893" s="41" t="str">
        <f aca="false">IF(J893="","",IFERROR(MAX(0,N(G893)-INDEX(Properties!$I$5:$I$24,MATCH(D893,Properties!$A$5:$A$24,0)))*N(INDEX(Properties!$J$5:$J$24,MATCH(D893,Properties!$A$5:$A$24,0)))*H893,0))</f>
        <v/>
      </c>
      <c r="M893" s="37"/>
      <c r="N893" s="41" t="str">
        <f aca="false">IF(J893="","",J893+K893+L893+N(M893))</f>
        <v/>
      </c>
      <c r="O893" s="41" t="str">
        <f aca="false">IF(N893="","",IF(P893&lt;&gt;"",N893-P893,ROUND(N893*IFERROR(INDEX(Settings!$E$5:$E$12,MATCH(F893,Settings!$D$5:$D$12,0)),0),2)))</f>
        <v/>
      </c>
      <c r="P893" s="37"/>
      <c r="Q893" s="41" t="str">
        <f aca="false">IF(N893="","",IF(P893&lt;&gt;"",P893,N893-O893))</f>
        <v/>
      </c>
      <c r="R893" s="41" t="str">
        <f aca="false">IF(J893="","",IFERROR(N(INDEX(Properties!$H$5:$H$24,MATCH(D893,Properties!$A$5:$A$24,0))),0))</f>
        <v/>
      </c>
      <c r="S893" s="41" t="str">
        <f aca="false">IF(Q893="","",Q893-R893)</f>
        <v/>
      </c>
      <c r="T893" s="6"/>
      <c r="U893" s="6"/>
      <c r="V893" s="6"/>
      <c r="W893" s="6"/>
      <c r="X893" s="6"/>
      <c r="Y893" s="8" t="str">
        <f aca="false">IF(OR(D893="",B893="",C893=""),"",IF(N(C893)&lt;=N(B893),"Check dates",IF(T893="Cancelled","",IF(COUNTIFS($D$5:$D$1004,D893,$B$5:$B$1004,"&lt;"&amp;C893,$C$5:$C$1004,"&gt;"&amp;B893,$T$5:$T$1004,"&lt;&gt;Cancelled")&gt;1,"Double-booked",""))))</f>
        <v/>
      </c>
      <c r="Z893" s="42" t="str">
        <f aca="false">IF(AND(AA893=1,ISNUMBER(C893)),C893+ROW()/100000,"")</f>
        <v/>
      </c>
      <c r="AA893" s="43" t="n">
        <f aca="false">IF(AND(D893&lt;&gt;"",ISNUMBER(B893),ISNUMBER(C893),N(H893)&gt;0,T893&lt;&gt;"Cancelled",J893&lt;&gt;""),1,0)</f>
        <v>0</v>
      </c>
      <c r="AB893" s="44" t="n">
        <f aca="false">IF(AA893=1,J893/H893,0)</f>
        <v>0</v>
      </c>
      <c r="AC893" s="44" t="n">
        <f aca="false">IF(AA893=1,Q893/H893,0)</f>
        <v>0</v>
      </c>
      <c r="AD893" s="44" t="n">
        <f aca="false">IF(AA893=1,R893/H893,0)</f>
        <v>0</v>
      </c>
      <c r="AE893" s="44" t="n">
        <f aca="false">IF(AA893=1,O893/H893,0)</f>
        <v>0</v>
      </c>
      <c r="AF893" s="44" t="n">
        <f aca="false">IF(AA893=1,K893/H893,0)</f>
        <v>0</v>
      </c>
      <c r="AG893" s="45" t="str">
        <f aca="false">IF(AA893=1,D893&amp;"|"&amp;TEXT(B893,"0"),"")</f>
        <v/>
      </c>
      <c r="AH893" s="43" t="n">
        <f aca="false">IF(AA893=1,H893,0)</f>
        <v>0</v>
      </c>
    </row>
    <row r="894" customFormat="false" ht="15" hidden="false" customHeight="false" outlineLevel="0" collapsed="false">
      <c r="A894" s="23" t="str">
        <f aca="false">IF(B894="","","B-"&amp;TEXT(ROW()-4,"0000"))</f>
        <v/>
      </c>
      <c r="B894" s="38"/>
      <c r="C894" s="38"/>
      <c r="D894" s="6"/>
      <c r="E894" s="6"/>
      <c r="F894" s="6"/>
      <c r="G894" s="11"/>
      <c r="H894" s="24" t="str">
        <f aca="false">IF(AND(ISNUMBER(B894),ISNUMBER(C894)),MAX(0,C894-B894),"")</f>
        <v/>
      </c>
      <c r="I894" s="37"/>
      <c r="J894" s="46" t="str">
        <f aca="false">IF(OR(D894="",N(H894)=0),"",IFERROR(IF(I894&lt;&gt;"",H894*I894,ROUND(((H894-(INT((WEEKDAY(B894-6)+H894-1)/7)+INT((WEEKDAY(B894-7)+H894-1)/7)))*INDEX(Properties!$E$5:$E$24,MATCH(D894,Properties!$A$5:$A$24,0))+(INT((WEEKDAY(B894-6)+H894-1)/7)+INT((WEEKDAY(B894-7)+H894-1)/7))*INDEX(Properties!$F$5:$F$24,MATCH(D894,Properties!$A$5:$A$24,0)))*(1-IF(H894&gt;=28,Settings!$B$10,IF(H894&gt;=7,Settings!$B$9,0))),2)),0))</f>
        <v/>
      </c>
      <c r="K894" s="46" t="str">
        <f aca="false">IF(J894="","",IFERROR(N(INDEX(Properties!$G$5:$G$24,MATCH(D894,Properties!$A$5:$A$24,0))),0))</f>
        <v/>
      </c>
      <c r="L894" s="46" t="str">
        <f aca="false">IF(J894="","",IFERROR(MAX(0,N(G894)-INDEX(Properties!$I$5:$I$24,MATCH(D894,Properties!$A$5:$A$24,0)))*N(INDEX(Properties!$J$5:$J$24,MATCH(D894,Properties!$A$5:$A$24,0)))*H894,0))</f>
        <v/>
      </c>
      <c r="M894" s="37"/>
      <c r="N894" s="46" t="str">
        <f aca="false">IF(J894="","",J894+K894+L894+N(M894))</f>
        <v/>
      </c>
      <c r="O894" s="46" t="str">
        <f aca="false">IF(N894="","",IF(P894&lt;&gt;"",N894-P894,ROUND(N894*IFERROR(INDEX(Settings!$E$5:$E$12,MATCH(F894,Settings!$D$5:$D$12,0)),0),2)))</f>
        <v/>
      </c>
      <c r="P894" s="37"/>
      <c r="Q894" s="46" t="str">
        <f aca="false">IF(N894="","",IF(P894&lt;&gt;"",P894,N894-O894))</f>
        <v/>
      </c>
      <c r="R894" s="46" t="str">
        <f aca="false">IF(J894="","",IFERROR(N(INDEX(Properties!$H$5:$H$24,MATCH(D894,Properties!$A$5:$A$24,0))),0))</f>
        <v/>
      </c>
      <c r="S894" s="46" t="str">
        <f aca="false">IF(Q894="","",Q894-R894)</f>
        <v/>
      </c>
      <c r="T894" s="6"/>
      <c r="U894" s="6"/>
      <c r="V894" s="6"/>
      <c r="W894" s="6"/>
      <c r="X894" s="6"/>
      <c r="Y894" s="8" t="str">
        <f aca="false">IF(OR(D894="",B894="",C894=""),"",IF(N(C894)&lt;=N(B894),"Check dates",IF(T894="Cancelled","",IF(COUNTIFS($D$5:$D$1004,D894,$B$5:$B$1004,"&lt;"&amp;C894,$C$5:$C$1004,"&gt;"&amp;B894,$T$5:$T$1004,"&lt;&gt;Cancelled")&gt;1,"Double-booked",""))))</f>
        <v/>
      </c>
      <c r="Z894" s="42" t="str">
        <f aca="false">IF(AND(AA894=1,ISNUMBER(C894)),C894+ROW()/100000,"")</f>
        <v/>
      </c>
      <c r="AA894" s="43" t="n">
        <f aca="false">IF(AND(D894&lt;&gt;"",ISNUMBER(B894),ISNUMBER(C894),N(H894)&gt;0,T894&lt;&gt;"Cancelled",J894&lt;&gt;""),1,0)</f>
        <v>0</v>
      </c>
      <c r="AB894" s="44" t="n">
        <f aca="false">IF(AA894=1,J894/H894,0)</f>
        <v>0</v>
      </c>
      <c r="AC894" s="44" t="n">
        <f aca="false">IF(AA894=1,Q894/H894,0)</f>
        <v>0</v>
      </c>
      <c r="AD894" s="44" t="n">
        <f aca="false">IF(AA894=1,R894/H894,0)</f>
        <v>0</v>
      </c>
      <c r="AE894" s="44" t="n">
        <f aca="false">IF(AA894=1,O894/H894,0)</f>
        <v>0</v>
      </c>
      <c r="AF894" s="44" t="n">
        <f aca="false">IF(AA894=1,K894/H894,0)</f>
        <v>0</v>
      </c>
      <c r="AG894" s="45" t="str">
        <f aca="false">IF(AA894=1,D894&amp;"|"&amp;TEXT(B894,"0"),"")</f>
        <v/>
      </c>
      <c r="AH894" s="43" t="n">
        <f aca="false">IF(AA894=1,H894,0)</f>
        <v>0</v>
      </c>
    </row>
    <row r="895" customFormat="false" ht="15" hidden="false" customHeight="false" outlineLevel="0" collapsed="false">
      <c r="A895" s="8" t="str">
        <f aca="false">IF(B895="","","B-"&amp;TEXT(ROW()-4,"0000"))</f>
        <v/>
      </c>
      <c r="B895" s="38"/>
      <c r="C895" s="38"/>
      <c r="D895" s="6"/>
      <c r="E895" s="6"/>
      <c r="F895" s="6"/>
      <c r="G895" s="11"/>
      <c r="H895" s="18" t="str">
        <f aca="false">IF(AND(ISNUMBER(B895),ISNUMBER(C895)),MAX(0,C895-B895),"")</f>
        <v/>
      </c>
      <c r="I895" s="37"/>
      <c r="J895" s="41" t="str">
        <f aca="false">IF(OR(D895="",N(H895)=0),"",IFERROR(IF(I895&lt;&gt;"",H895*I895,ROUND(((H895-(INT((WEEKDAY(B895-6)+H895-1)/7)+INT((WEEKDAY(B895-7)+H895-1)/7)))*INDEX(Properties!$E$5:$E$24,MATCH(D895,Properties!$A$5:$A$24,0))+(INT((WEEKDAY(B895-6)+H895-1)/7)+INT((WEEKDAY(B895-7)+H895-1)/7))*INDEX(Properties!$F$5:$F$24,MATCH(D895,Properties!$A$5:$A$24,0)))*(1-IF(H895&gt;=28,Settings!$B$10,IF(H895&gt;=7,Settings!$B$9,0))),2)),0))</f>
        <v/>
      </c>
      <c r="K895" s="41" t="str">
        <f aca="false">IF(J895="","",IFERROR(N(INDEX(Properties!$G$5:$G$24,MATCH(D895,Properties!$A$5:$A$24,0))),0))</f>
        <v/>
      </c>
      <c r="L895" s="41" t="str">
        <f aca="false">IF(J895="","",IFERROR(MAX(0,N(G895)-INDEX(Properties!$I$5:$I$24,MATCH(D895,Properties!$A$5:$A$24,0)))*N(INDEX(Properties!$J$5:$J$24,MATCH(D895,Properties!$A$5:$A$24,0)))*H895,0))</f>
        <v/>
      </c>
      <c r="M895" s="37"/>
      <c r="N895" s="41" t="str">
        <f aca="false">IF(J895="","",J895+K895+L895+N(M895))</f>
        <v/>
      </c>
      <c r="O895" s="41" t="str">
        <f aca="false">IF(N895="","",IF(P895&lt;&gt;"",N895-P895,ROUND(N895*IFERROR(INDEX(Settings!$E$5:$E$12,MATCH(F895,Settings!$D$5:$D$12,0)),0),2)))</f>
        <v/>
      </c>
      <c r="P895" s="37"/>
      <c r="Q895" s="41" t="str">
        <f aca="false">IF(N895="","",IF(P895&lt;&gt;"",P895,N895-O895))</f>
        <v/>
      </c>
      <c r="R895" s="41" t="str">
        <f aca="false">IF(J895="","",IFERROR(N(INDEX(Properties!$H$5:$H$24,MATCH(D895,Properties!$A$5:$A$24,0))),0))</f>
        <v/>
      </c>
      <c r="S895" s="41" t="str">
        <f aca="false">IF(Q895="","",Q895-R895)</f>
        <v/>
      </c>
      <c r="T895" s="6"/>
      <c r="U895" s="6"/>
      <c r="V895" s="6"/>
      <c r="W895" s="6"/>
      <c r="X895" s="6"/>
      <c r="Y895" s="8" t="str">
        <f aca="false">IF(OR(D895="",B895="",C895=""),"",IF(N(C895)&lt;=N(B895),"Check dates",IF(T895="Cancelled","",IF(COUNTIFS($D$5:$D$1004,D895,$B$5:$B$1004,"&lt;"&amp;C895,$C$5:$C$1004,"&gt;"&amp;B895,$T$5:$T$1004,"&lt;&gt;Cancelled")&gt;1,"Double-booked",""))))</f>
        <v/>
      </c>
      <c r="Z895" s="42" t="str">
        <f aca="false">IF(AND(AA895=1,ISNUMBER(C895)),C895+ROW()/100000,"")</f>
        <v/>
      </c>
      <c r="AA895" s="43" t="n">
        <f aca="false">IF(AND(D895&lt;&gt;"",ISNUMBER(B895),ISNUMBER(C895),N(H895)&gt;0,T895&lt;&gt;"Cancelled",J895&lt;&gt;""),1,0)</f>
        <v>0</v>
      </c>
      <c r="AB895" s="44" t="n">
        <f aca="false">IF(AA895=1,J895/H895,0)</f>
        <v>0</v>
      </c>
      <c r="AC895" s="44" t="n">
        <f aca="false">IF(AA895=1,Q895/H895,0)</f>
        <v>0</v>
      </c>
      <c r="AD895" s="44" t="n">
        <f aca="false">IF(AA895=1,R895/H895,0)</f>
        <v>0</v>
      </c>
      <c r="AE895" s="44" t="n">
        <f aca="false">IF(AA895=1,O895/H895,0)</f>
        <v>0</v>
      </c>
      <c r="AF895" s="44" t="n">
        <f aca="false">IF(AA895=1,K895/H895,0)</f>
        <v>0</v>
      </c>
      <c r="AG895" s="45" t="str">
        <f aca="false">IF(AA895=1,D895&amp;"|"&amp;TEXT(B895,"0"),"")</f>
        <v/>
      </c>
      <c r="AH895" s="43" t="n">
        <f aca="false">IF(AA895=1,H895,0)</f>
        <v>0</v>
      </c>
    </row>
    <row r="896" customFormat="false" ht="15" hidden="false" customHeight="false" outlineLevel="0" collapsed="false">
      <c r="A896" s="23" t="str">
        <f aca="false">IF(B896="","","B-"&amp;TEXT(ROW()-4,"0000"))</f>
        <v/>
      </c>
      <c r="B896" s="38"/>
      <c r="C896" s="38"/>
      <c r="D896" s="6"/>
      <c r="E896" s="6"/>
      <c r="F896" s="6"/>
      <c r="G896" s="11"/>
      <c r="H896" s="24" t="str">
        <f aca="false">IF(AND(ISNUMBER(B896),ISNUMBER(C896)),MAX(0,C896-B896),"")</f>
        <v/>
      </c>
      <c r="I896" s="37"/>
      <c r="J896" s="46" t="str">
        <f aca="false">IF(OR(D896="",N(H896)=0),"",IFERROR(IF(I896&lt;&gt;"",H896*I896,ROUND(((H896-(INT((WEEKDAY(B896-6)+H896-1)/7)+INT((WEEKDAY(B896-7)+H896-1)/7)))*INDEX(Properties!$E$5:$E$24,MATCH(D896,Properties!$A$5:$A$24,0))+(INT((WEEKDAY(B896-6)+H896-1)/7)+INT((WEEKDAY(B896-7)+H896-1)/7))*INDEX(Properties!$F$5:$F$24,MATCH(D896,Properties!$A$5:$A$24,0)))*(1-IF(H896&gt;=28,Settings!$B$10,IF(H896&gt;=7,Settings!$B$9,0))),2)),0))</f>
        <v/>
      </c>
      <c r="K896" s="46" t="str">
        <f aca="false">IF(J896="","",IFERROR(N(INDEX(Properties!$G$5:$G$24,MATCH(D896,Properties!$A$5:$A$24,0))),0))</f>
        <v/>
      </c>
      <c r="L896" s="46" t="str">
        <f aca="false">IF(J896="","",IFERROR(MAX(0,N(G896)-INDEX(Properties!$I$5:$I$24,MATCH(D896,Properties!$A$5:$A$24,0)))*N(INDEX(Properties!$J$5:$J$24,MATCH(D896,Properties!$A$5:$A$24,0)))*H896,0))</f>
        <v/>
      </c>
      <c r="M896" s="37"/>
      <c r="N896" s="46" t="str">
        <f aca="false">IF(J896="","",J896+K896+L896+N(M896))</f>
        <v/>
      </c>
      <c r="O896" s="46" t="str">
        <f aca="false">IF(N896="","",IF(P896&lt;&gt;"",N896-P896,ROUND(N896*IFERROR(INDEX(Settings!$E$5:$E$12,MATCH(F896,Settings!$D$5:$D$12,0)),0),2)))</f>
        <v/>
      </c>
      <c r="P896" s="37"/>
      <c r="Q896" s="46" t="str">
        <f aca="false">IF(N896="","",IF(P896&lt;&gt;"",P896,N896-O896))</f>
        <v/>
      </c>
      <c r="R896" s="46" t="str">
        <f aca="false">IF(J896="","",IFERROR(N(INDEX(Properties!$H$5:$H$24,MATCH(D896,Properties!$A$5:$A$24,0))),0))</f>
        <v/>
      </c>
      <c r="S896" s="46" t="str">
        <f aca="false">IF(Q896="","",Q896-R896)</f>
        <v/>
      </c>
      <c r="T896" s="6"/>
      <c r="U896" s="6"/>
      <c r="V896" s="6"/>
      <c r="W896" s="6"/>
      <c r="X896" s="6"/>
      <c r="Y896" s="8" t="str">
        <f aca="false">IF(OR(D896="",B896="",C896=""),"",IF(N(C896)&lt;=N(B896),"Check dates",IF(T896="Cancelled","",IF(COUNTIFS($D$5:$D$1004,D896,$B$5:$B$1004,"&lt;"&amp;C896,$C$5:$C$1004,"&gt;"&amp;B896,$T$5:$T$1004,"&lt;&gt;Cancelled")&gt;1,"Double-booked",""))))</f>
        <v/>
      </c>
      <c r="Z896" s="42" t="str">
        <f aca="false">IF(AND(AA896=1,ISNUMBER(C896)),C896+ROW()/100000,"")</f>
        <v/>
      </c>
      <c r="AA896" s="43" t="n">
        <f aca="false">IF(AND(D896&lt;&gt;"",ISNUMBER(B896),ISNUMBER(C896),N(H896)&gt;0,T896&lt;&gt;"Cancelled",J896&lt;&gt;""),1,0)</f>
        <v>0</v>
      </c>
      <c r="AB896" s="44" t="n">
        <f aca="false">IF(AA896=1,J896/H896,0)</f>
        <v>0</v>
      </c>
      <c r="AC896" s="44" t="n">
        <f aca="false">IF(AA896=1,Q896/H896,0)</f>
        <v>0</v>
      </c>
      <c r="AD896" s="44" t="n">
        <f aca="false">IF(AA896=1,R896/H896,0)</f>
        <v>0</v>
      </c>
      <c r="AE896" s="44" t="n">
        <f aca="false">IF(AA896=1,O896/H896,0)</f>
        <v>0</v>
      </c>
      <c r="AF896" s="44" t="n">
        <f aca="false">IF(AA896=1,K896/H896,0)</f>
        <v>0</v>
      </c>
      <c r="AG896" s="45" t="str">
        <f aca="false">IF(AA896=1,D896&amp;"|"&amp;TEXT(B896,"0"),"")</f>
        <v/>
      </c>
      <c r="AH896" s="43" t="n">
        <f aca="false">IF(AA896=1,H896,0)</f>
        <v>0</v>
      </c>
    </row>
    <row r="897" customFormat="false" ht="15" hidden="false" customHeight="false" outlineLevel="0" collapsed="false">
      <c r="A897" s="8" t="str">
        <f aca="false">IF(B897="","","B-"&amp;TEXT(ROW()-4,"0000"))</f>
        <v/>
      </c>
      <c r="B897" s="38"/>
      <c r="C897" s="38"/>
      <c r="D897" s="6"/>
      <c r="E897" s="6"/>
      <c r="F897" s="6"/>
      <c r="G897" s="11"/>
      <c r="H897" s="18" t="str">
        <f aca="false">IF(AND(ISNUMBER(B897),ISNUMBER(C897)),MAX(0,C897-B897),"")</f>
        <v/>
      </c>
      <c r="I897" s="37"/>
      <c r="J897" s="41" t="str">
        <f aca="false">IF(OR(D897="",N(H897)=0),"",IFERROR(IF(I897&lt;&gt;"",H897*I897,ROUND(((H897-(INT((WEEKDAY(B897-6)+H897-1)/7)+INT((WEEKDAY(B897-7)+H897-1)/7)))*INDEX(Properties!$E$5:$E$24,MATCH(D897,Properties!$A$5:$A$24,0))+(INT((WEEKDAY(B897-6)+H897-1)/7)+INT((WEEKDAY(B897-7)+H897-1)/7))*INDEX(Properties!$F$5:$F$24,MATCH(D897,Properties!$A$5:$A$24,0)))*(1-IF(H897&gt;=28,Settings!$B$10,IF(H897&gt;=7,Settings!$B$9,0))),2)),0))</f>
        <v/>
      </c>
      <c r="K897" s="41" t="str">
        <f aca="false">IF(J897="","",IFERROR(N(INDEX(Properties!$G$5:$G$24,MATCH(D897,Properties!$A$5:$A$24,0))),0))</f>
        <v/>
      </c>
      <c r="L897" s="41" t="str">
        <f aca="false">IF(J897="","",IFERROR(MAX(0,N(G897)-INDEX(Properties!$I$5:$I$24,MATCH(D897,Properties!$A$5:$A$24,0)))*N(INDEX(Properties!$J$5:$J$24,MATCH(D897,Properties!$A$5:$A$24,0)))*H897,0))</f>
        <v/>
      </c>
      <c r="M897" s="37"/>
      <c r="N897" s="41" t="str">
        <f aca="false">IF(J897="","",J897+K897+L897+N(M897))</f>
        <v/>
      </c>
      <c r="O897" s="41" t="str">
        <f aca="false">IF(N897="","",IF(P897&lt;&gt;"",N897-P897,ROUND(N897*IFERROR(INDEX(Settings!$E$5:$E$12,MATCH(F897,Settings!$D$5:$D$12,0)),0),2)))</f>
        <v/>
      </c>
      <c r="P897" s="37"/>
      <c r="Q897" s="41" t="str">
        <f aca="false">IF(N897="","",IF(P897&lt;&gt;"",P897,N897-O897))</f>
        <v/>
      </c>
      <c r="R897" s="41" t="str">
        <f aca="false">IF(J897="","",IFERROR(N(INDEX(Properties!$H$5:$H$24,MATCH(D897,Properties!$A$5:$A$24,0))),0))</f>
        <v/>
      </c>
      <c r="S897" s="41" t="str">
        <f aca="false">IF(Q897="","",Q897-R897)</f>
        <v/>
      </c>
      <c r="T897" s="6"/>
      <c r="U897" s="6"/>
      <c r="V897" s="6"/>
      <c r="W897" s="6"/>
      <c r="X897" s="6"/>
      <c r="Y897" s="8" t="str">
        <f aca="false">IF(OR(D897="",B897="",C897=""),"",IF(N(C897)&lt;=N(B897),"Check dates",IF(T897="Cancelled","",IF(COUNTIFS($D$5:$D$1004,D897,$B$5:$B$1004,"&lt;"&amp;C897,$C$5:$C$1004,"&gt;"&amp;B897,$T$5:$T$1004,"&lt;&gt;Cancelled")&gt;1,"Double-booked",""))))</f>
        <v/>
      </c>
      <c r="Z897" s="42" t="str">
        <f aca="false">IF(AND(AA897=1,ISNUMBER(C897)),C897+ROW()/100000,"")</f>
        <v/>
      </c>
      <c r="AA897" s="43" t="n">
        <f aca="false">IF(AND(D897&lt;&gt;"",ISNUMBER(B897),ISNUMBER(C897),N(H897)&gt;0,T897&lt;&gt;"Cancelled",J897&lt;&gt;""),1,0)</f>
        <v>0</v>
      </c>
      <c r="AB897" s="44" t="n">
        <f aca="false">IF(AA897=1,J897/H897,0)</f>
        <v>0</v>
      </c>
      <c r="AC897" s="44" t="n">
        <f aca="false">IF(AA897=1,Q897/H897,0)</f>
        <v>0</v>
      </c>
      <c r="AD897" s="44" t="n">
        <f aca="false">IF(AA897=1,R897/H897,0)</f>
        <v>0</v>
      </c>
      <c r="AE897" s="44" t="n">
        <f aca="false">IF(AA897=1,O897/H897,0)</f>
        <v>0</v>
      </c>
      <c r="AF897" s="44" t="n">
        <f aca="false">IF(AA897=1,K897/H897,0)</f>
        <v>0</v>
      </c>
      <c r="AG897" s="45" t="str">
        <f aca="false">IF(AA897=1,D897&amp;"|"&amp;TEXT(B897,"0"),"")</f>
        <v/>
      </c>
      <c r="AH897" s="43" t="n">
        <f aca="false">IF(AA897=1,H897,0)</f>
        <v>0</v>
      </c>
    </row>
    <row r="898" customFormat="false" ht="15" hidden="false" customHeight="false" outlineLevel="0" collapsed="false">
      <c r="A898" s="23" t="str">
        <f aca="false">IF(B898="","","B-"&amp;TEXT(ROW()-4,"0000"))</f>
        <v/>
      </c>
      <c r="B898" s="38"/>
      <c r="C898" s="38"/>
      <c r="D898" s="6"/>
      <c r="E898" s="6"/>
      <c r="F898" s="6"/>
      <c r="G898" s="11"/>
      <c r="H898" s="24" t="str">
        <f aca="false">IF(AND(ISNUMBER(B898),ISNUMBER(C898)),MAX(0,C898-B898),"")</f>
        <v/>
      </c>
      <c r="I898" s="37"/>
      <c r="J898" s="46" t="str">
        <f aca="false">IF(OR(D898="",N(H898)=0),"",IFERROR(IF(I898&lt;&gt;"",H898*I898,ROUND(((H898-(INT((WEEKDAY(B898-6)+H898-1)/7)+INT((WEEKDAY(B898-7)+H898-1)/7)))*INDEX(Properties!$E$5:$E$24,MATCH(D898,Properties!$A$5:$A$24,0))+(INT((WEEKDAY(B898-6)+H898-1)/7)+INT((WEEKDAY(B898-7)+H898-1)/7))*INDEX(Properties!$F$5:$F$24,MATCH(D898,Properties!$A$5:$A$24,0)))*(1-IF(H898&gt;=28,Settings!$B$10,IF(H898&gt;=7,Settings!$B$9,0))),2)),0))</f>
        <v/>
      </c>
      <c r="K898" s="46" t="str">
        <f aca="false">IF(J898="","",IFERROR(N(INDEX(Properties!$G$5:$G$24,MATCH(D898,Properties!$A$5:$A$24,0))),0))</f>
        <v/>
      </c>
      <c r="L898" s="46" t="str">
        <f aca="false">IF(J898="","",IFERROR(MAX(0,N(G898)-INDEX(Properties!$I$5:$I$24,MATCH(D898,Properties!$A$5:$A$24,0)))*N(INDEX(Properties!$J$5:$J$24,MATCH(D898,Properties!$A$5:$A$24,0)))*H898,0))</f>
        <v/>
      </c>
      <c r="M898" s="37"/>
      <c r="N898" s="46" t="str">
        <f aca="false">IF(J898="","",J898+K898+L898+N(M898))</f>
        <v/>
      </c>
      <c r="O898" s="46" t="str">
        <f aca="false">IF(N898="","",IF(P898&lt;&gt;"",N898-P898,ROUND(N898*IFERROR(INDEX(Settings!$E$5:$E$12,MATCH(F898,Settings!$D$5:$D$12,0)),0),2)))</f>
        <v/>
      </c>
      <c r="P898" s="37"/>
      <c r="Q898" s="46" t="str">
        <f aca="false">IF(N898="","",IF(P898&lt;&gt;"",P898,N898-O898))</f>
        <v/>
      </c>
      <c r="R898" s="46" t="str">
        <f aca="false">IF(J898="","",IFERROR(N(INDEX(Properties!$H$5:$H$24,MATCH(D898,Properties!$A$5:$A$24,0))),0))</f>
        <v/>
      </c>
      <c r="S898" s="46" t="str">
        <f aca="false">IF(Q898="","",Q898-R898)</f>
        <v/>
      </c>
      <c r="T898" s="6"/>
      <c r="U898" s="6"/>
      <c r="V898" s="6"/>
      <c r="W898" s="6"/>
      <c r="X898" s="6"/>
      <c r="Y898" s="8" t="str">
        <f aca="false">IF(OR(D898="",B898="",C898=""),"",IF(N(C898)&lt;=N(B898),"Check dates",IF(T898="Cancelled","",IF(COUNTIFS($D$5:$D$1004,D898,$B$5:$B$1004,"&lt;"&amp;C898,$C$5:$C$1004,"&gt;"&amp;B898,$T$5:$T$1004,"&lt;&gt;Cancelled")&gt;1,"Double-booked",""))))</f>
        <v/>
      </c>
      <c r="Z898" s="42" t="str">
        <f aca="false">IF(AND(AA898=1,ISNUMBER(C898)),C898+ROW()/100000,"")</f>
        <v/>
      </c>
      <c r="AA898" s="43" t="n">
        <f aca="false">IF(AND(D898&lt;&gt;"",ISNUMBER(B898),ISNUMBER(C898),N(H898)&gt;0,T898&lt;&gt;"Cancelled",J898&lt;&gt;""),1,0)</f>
        <v>0</v>
      </c>
      <c r="AB898" s="44" t="n">
        <f aca="false">IF(AA898=1,J898/H898,0)</f>
        <v>0</v>
      </c>
      <c r="AC898" s="44" t="n">
        <f aca="false">IF(AA898=1,Q898/H898,0)</f>
        <v>0</v>
      </c>
      <c r="AD898" s="44" t="n">
        <f aca="false">IF(AA898=1,R898/H898,0)</f>
        <v>0</v>
      </c>
      <c r="AE898" s="44" t="n">
        <f aca="false">IF(AA898=1,O898/H898,0)</f>
        <v>0</v>
      </c>
      <c r="AF898" s="44" t="n">
        <f aca="false">IF(AA898=1,K898/H898,0)</f>
        <v>0</v>
      </c>
      <c r="AG898" s="45" t="str">
        <f aca="false">IF(AA898=1,D898&amp;"|"&amp;TEXT(B898,"0"),"")</f>
        <v/>
      </c>
      <c r="AH898" s="43" t="n">
        <f aca="false">IF(AA898=1,H898,0)</f>
        <v>0</v>
      </c>
    </row>
    <row r="899" customFormat="false" ht="15" hidden="false" customHeight="false" outlineLevel="0" collapsed="false">
      <c r="A899" s="8" t="str">
        <f aca="false">IF(B899="","","B-"&amp;TEXT(ROW()-4,"0000"))</f>
        <v/>
      </c>
      <c r="B899" s="38"/>
      <c r="C899" s="38"/>
      <c r="D899" s="6"/>
      <c r="E899" s="6"/>
      <c r="F899" s="6"/>
      <c r="G899" s="11"/>
      <c r="H899" s="18" t="str">
        <f aca="false">IF(AND(ISNUMBER(B899),ISNUMBER(C899)),MAX(0,C899-B899),"")</f>
        <v/>
      </c>
      <c r="I899" s="37"/>
      <c r="J899" s="41" t="str">
        <f aca="false">IF(OR(D899="",N(H899)=0),"",IFERROR(IF(I899&lt;&gt;"",H899*I899,ROUND(((H899-(INT((WEEKDAY(B899-6)+H899-1)/7)+INT((WEEKDAY(B899-7)+H899-1)/7)))*INDEX(Properties!$E$5:$E$24,MATCH(D899,Properties!$A$5:$A$24,0))+(INT((WEEKDAY(B899-6)+H899-1)/7)+INT((WEEKDAY(B899-7)+H899-1)/7))*INDEX(Properties!$F$5:$F$24,MATCH(D899,Properties!$A$5:$A$24,0)))*(1-IF(H899&gt;=28,Settings!$B$10,IF(H899&gt;=7,Settings!$B$9,0))),2)),0))</f>
        <v/>
      </c>
      <c r="K899" s="41" t="str">
        <f aca="false">IF(J899="","",IFERROR(N(INDEX(Properties!$G$5:$G$24,MATCH(D899,Properties!$A$5:$A$24,0))),0))</f>
        <v/>
      </c>
      <c r="L899" s="41" t="str">
        <f aca="false">IF(J899="","",IFERROR(MAX(0,N(G899)-INDEX(Properties!$I$5:$I$24,MATCH(D899,Properties!$A$5:$A$24,0)))*N(INDEX(Properties!$J$5:$J$24,MATCH(D899,Properties!$A$5:$A$24,0)))*H899,0))</f>
        <v/>
      </c>
      <c r="M899" s="37"/>
      <c r="N899" s="41" t="str">
        <f aca="false">IF(J899="","",J899+K899+L899+N(M899))</f>
        <v/>
      </c>
      <c r="O899" s="41" t="str">
        <f aca="false">IF(N899="","",IF(P899&lt;&gt;"",N899-P899,ROUND(N899*IFERROR(INDEX(Settings!$E$5:$E$12,MATCH(F899,Settings!$D$5:$D$12,0)),0),2)))</f>
        <v/>
      </c>
      <c r="P899" s="37"/>
      <c r="Q899" s="41" t="str">
        <f aca="false">IF(N899="","",IF(P899&lt;&gt;"",P899,N899-O899))</f>
        <v/>
      </c>
      <c r="R899" s="41" t="str">
        <f aca="false">IF(J899="","",IFERROR(N(INDEX(Properties!$H$5:$H$24,MATCH(D899,Properties!$A$5:$A$24,0))),0))</f>
        <v/>
      </c>
      <c r="S899" s="41" t="str">
        <f aca="false">IF(Q899="","",Q899-R899)</f>
        <v/>
      </c>
      <c r="T899" s="6"/>
      <c r="U899" s="6"/>
      <c r="V899" s="6"/>
      <c r="W899" s="6"/>
      <c r="X899" s="6"/>
      <c r="Y899" s="8" t="str">
        <f aca="false">IF(OR(D899="",B899="",C899=""),"",IF(N(C899)&lt;=N(B899),"Check dates",IF(T899="Cancelled","",IF(COUNTIFS($D$5:$D$1004,D899,$B$5:$B$1004,"&lt;"&amp;C899,$C$5:$C$1004,"&gt;"&amp;B899,$T$5:$T$1004,"&lt;&gt;Cancelled")&gt;1,"Double-booked",""))))</f>
        <v/>
      </c>
      <c r="Z899" s="42" t="str">
        <f aca="false">IF(AND(AA899=1,ISNUMBER(C899)),C899+ROW()/100000,"")</f>
        <v/>
      </c>
      <c r="AA899" s="43" t="n">
        <f aca="false">IF(AND(D899&lt;&gt;"",ISNUMBER(B899),ISNUMBER(C899),N(H899)&gt;0,T899&lt;&gt;"Cancelled",J899&lt;&gt;""),1,0)</f>
        <v>0</v>
      </c>
      <c r="AB899" s="44" t="n">
        <f aca="false">IF(AA899=1,J899/H899,0)</f>
        <v>0</v>
      </c>
      <c r="AC899" s="44" t="n">
        <f aca="false">IF(AA899=1,Q899/H899,0)</f>
        <v>0</v>
      </c>
      <c r="AD899" s="44" t="n">
        <f aca="false">IF(AA899=1,R899/H899,0)</f>
        <v>0</v>
      </c>
      <c r="AE899" s="44" t="n">
        <f aca="false">IF(AA899=1,O899/H899,0)</f>
        <v>0</v>
      </c>
      <c r="AF899" s="44" t="n">
        <f aca="false">IF(AA899=1,K899/H899,0)</f>
        <v>0</v>
      </c>
      <c r="AG899" s="45" t="str">
        <f aca="false">IF(AA899=1,D899&amp;"|"&amp;TEXT(B899,"0"),"")</f>
        <v/>
      </c>
      <c r="AH899" s="43" t="n">
        <f aca="false">IF(AA899=1,H899,0)</f>
        <v>0</v>
      </c>
    </row>
    <row r="900" customFormat="false" ht="15" hidden="false" customHeight="false" outlineLevel="0" collapsed="false">
      <c r="A900" s="23" t="str">
        <f aca="false">IF(B900="","","B-"&amp;TEXT(ROW()-4,"0000"))</f>
        <v/>
      </c>
      <c r="B900" s="38"/>
      <c r="C900" s="38"/>
      <c r="D900" s="6"/>
      <c r="E900" s="6"/>
      <c r="F900" s="6"/>
      <c r="G900" s="11"/>
      <c r="H900" s="24" t="str">
        <f aca="false">IF(AND(ISNUMBER(B900),ISNUMBER(C900)),MAX(0,C900-B900),"")</f>
        <v/>
      </c>
      <c r="I900" s="37"/>
      <c r="J900" s="46" t="str">
        <f aca="false">IF(OR(D900="",N(H900)=0),"",IFERROR(IF(I900&lt;&gt;"",H900*I900,ROUND(((H900-(INT((WEEKDAY(B900-6)+H900-1)/7)+INT((WEEKDAY(B900-7)+H900-1)/7)))*INDEX(Properties!$E$5:$E$24,MATCH(D900,Properties!$A$5:$A$24,0))+(INT((WEEKDAY(B900-6)+H900-1)/7)+INT((WEEKDAY(B900-7)+H900-1)/7))*INDEX(Properties!$F$5:$F$24,MATCH(D900,Properties!$A$5:$A$24,0)))*(1-IF(H900&gt;=28,Settings!$B$10,IF(H900&gt;=7,Settings!$B$9,0))),2)),0))</f>
        <v/>
      </c>
      <c r="K900" s="46" t="str">
        <f aca="false">IF(J900="","",IFERROR(N(INDEX(Properties!$G$5:$G$24,MATCH(D900,Properties!$A$5:$A$24,0))),0))</f>
        <v/>
      </c>
      <c r="L900" s="46" t="str">
        <f aca="false">IF(J900="","",IFERROR(MAX(0,N(G900)-INDEX(Properties!$I$5:$I$24,MATCH(D900,Properties!$A$5:$A$24,0)))*N(INDEX(Properties!$J$5:$J$24,MATCH(D900,Properties!$A$5:$A$24,0)))*H900,0))</f>
        <v/>
      </c>
      <c r="M900" s="37"/>
      <c r="N900" s="46" t="str">
        <f aca="false">IF(J900="","",J900+K900+L900+N(M900))</f>
        <v/>
      </c>
      <c r="O900" s="46" t="str">
        <f aca="false">IF(N900="","",IF(P900&lt;&gt;"",N900-P900,ROUND(N900*IFERROR(INDEX(Settings!$E$5:$E$12,MATCH(F900,Settings!$D$5:$D$12,0)),0),2)))</f>
        <v/>
      </c>
      <c r="P900" s="37"/>
      <c r="Q900" s="46" t="str">
        <f aca="false">IF(N900="","",IF(P900&lt;&gt;"",P900,N900-O900))</f>
        <v/>
      </c>
      <c r="R900" s="46" t="str">
        <f aca="false">IF(J900="","",IFERROR(N(INDEX(Properties!$H$5:$H$24,MATCH(D900,Properties!$A$5:$A$24,0))),0))</f>
        <v/>
      </c>
      <c r="S900" s="46" t="str">
        <f aca="false">IF(Q900="","",Q900-R900)</f>
        <v/>
      </c>
      <c r="T900" s="6"/>
      <c r="U900" s="6"/>
      <c r="V900" s="6"/>
      <c r="W900" s="6"/>
      <c r="X900" s="6"/>
      <c r="Y900" s="8" t="str">
        <f aca="false">IF(OR(D900="",B900="",C900=""),"",IF(N(C900)&lt;=N(B900),"Check dates",IF(T900="Cancelled","",IF(COUNTIFS($D$5:$D$1004,D900,$B$5:$B$1004,"&lt;"&amp;C900,$C$5:$C$1004,"&gt;"&amp;B900,$T$5:$T$1004,"&lt;&gt;Cancelled")&gt;1,"Double-booked",""))))</f>
        <v/>
      </c>
      <c r="Z900" s="42" t="str">
        <f aca="false">IF(AND(AA900=1,ISNUMBER(C900)),C900+ROW()/100000,"")</f>
        <v/>
      </c>
      <c r="AA900" s="43" t="n">
        <f aca="false">IF(AND(D900&lt;&gt;"",ISNUMBER(B900),ISNUMBER(C900),N(H900)&gt;0,T900&lt;&gt;"Cancelled",J900&lt;&gt;""),1,0)</f>
        <v>0</v>
      </c>
      <c r="AB900" s="44" t="n">
        <f aca="false">IF(AA900=1,J900/H900,0)</f>
        <v>0</v>
      </c>
      <c r="AC900" s="44" t="n">
        <f aca="false">IF(AA900=1,Q900/H900,0)</f>
        <v>0</v>
      </c>
      <c r="AD900" s="44" t="n">
        <f aca="false">IF(AA900=1,R900/H900,0)</f>
        <v>0</v>
      </c>
      <c r="AE900" s="44" t="n">
        <f aca="false">IF(AA900=1,O900/H900,0)</f>
        <v>0</v>
      </c>
      <c r="AF900" s="44" t="n">
        <f aca="false">IF(AA900=1,K900/H900,0)</f>
        <v>0</v>
      </c>
      <c r="AG900" s="45" t="str">
        <f aca="false">IF(AA900=1,D900&amp;"|"&amp;TEXT(B900,"0"),"")</f>
        <v/>
      </c>
      <c r="AH900" s="43" t="n">
        <f aca="false">IF(AA900=1,H900,0)</f>
        <v>0</v>
      </c>
    </row>
    <row r="901" customFormat="false" ht="15" hidden="false" customHeight="false" outlineLevel="0" collapsed="false">
      <c r="A901" s="8" t="str">
        <f aca="false">IF(B901="","","B-"&amp;TEXT(ROW()-4,"0000"))</f>
        <v/>
      </c>
      <c r="B901" s="38"/>
      <c r="C901" s="38"/>
      <c r="D901" s="6"/>
      <c r="E901" s="6"/>
      <c r="F901" s="6"/>
      <c r="G901" s="11"/>
      <c r="H901" s="18" t="str">
        <f aca="false">IF(AND(ISNUMBER(B901),ISNUMBER(C901)),MAX(0,C901-B901),"")</f>
        <v/>
      </c>
      <c r="I901" s="37"/>
      <c r="J901" s="41" t="str">
        <f aca="false">IF(OR(D901="",N(H901)=0),"",IFERROR(IF(I901&lt;&gt;"",H901*I901,ROUND(((H901-(INT((WEEKDAY(B901-6)+H901-1)/7)+INT((WEEKDAY(B901-7)+H901-1)/7)))*INDEX(Properties!$E$5:$E$24,MATCH(D901,Properties!$A$5:$A$24,0))+(INT((WEEKDAY(B901-6)+H901-1)/7)+INT((WEEKDAY(B901-7)+H901-1)/7))*INDEX(Properties!$F$5:$F$24,MATCH(D901,Properties!$A$5:$A$24,0)))*(1-IF(H901&gt;=28,Settings!$B$10,IF(H901&gt;=7,Settings!$B$9,0))),2)),0))</f>
        <v/>
      </c>
      <c r="K901" s="41" t="str">
        <f aca="false">IF(J901="","",IFERROR(N(INDEX(Properties!$G$5:$G$24,MATCH(D901,Properties!$A$5:$A$24,0))),0))</f>
        <v/>
      </c>
      <c r="L901" s="41" t="str">
        <f aca="false">IF(J901="","",IFERROR(MAX(0,N(G901)-INDEX(Properties!$I$5:$I$24,MATCH(D901,Properties!$A$5:$A$24,0)))*N(INDEX(Properties!$J$5:$J$24,MATCH(D901,Properties!$A$5:$A$24,0)))*H901,0))</f>
        <v/>
      </c>
      <c r="M901" s="37"/>
      <c r="N901" s="41" t="str">
        <f aca="false">IF(J901="","",J901+K901+L901+N(M901))</f>
        <v/>
      </c>
      <c r="O901" s="41" t="str">
        <f aca="false">IF(N901="","",IF(P901&lt;&gt;"",N901-P901,ROUND(N901*IFERROR(INDEX(Settings!$E$5:$E$12,MATCH(F901,Settings!$D$5:$D$12,0)),0),2)))</f>
        <v/>
      </c>
      <c r="P901" s="37"/>
      <c r="Q901" s="41" t="str">
        <f aca="false">IF(N901="","",IF(P901&lt;&gt;"",P901,N901-O901))</f>
        <v/>
      </c>
      <c r="R901" s="41" t="str">
        <f aca="false">IF(J901="","",IFERROR(N(INDEX(Properties!$H$5:$H$24,MATCH(D901,Properties!$A$5:$A$24,0))),0))</f>
        <v/>
      </c>
      <c r="S901" s="41" t="str">
        <f aca="false">IF(Q901="","",Q901-R901)</f>
        <v/>
      </c>
      <c r="T901" s="6"/>
      <c r="U901" s="6"/>
      <c r="V901" s="6"/>
      <c r="W901" s="6"/>
      <c r="X901" s="6"/>
      <c r="Y901" s="8" t="str">
        <f aca="false">IF(OR(D901="",B901="",C901=""),"",IF(N(C901)&lt;=N(B901),"Check dates",IF(T901="Cancelled","",IF(COUNTIFS($D$5:$D$1004,D901,$B$5:$B$1004,"&lt;"&amp;C901,$C$5:$C$1004,"&gt;"&amp;B901,$T$5:$T$1004,"&lt;&gt;Cancelled")&gt;1,"Double-booked",""))))</f>
        <v/>
      </c>
      <c r="Z901" s="42" t="str">
        <f aca="false">IF(AND(AA901=1,ISNUMBER(C901)),C901+ROW()/100000,"")</f>
        <v/>
      </c>
      <c r="AA901" s="43" t="n">
        <f aca="false">IF(AND(D901&lt;&gt;"",ISNUMBER(B901),ISNUMBER(C901),N(H901)&gt;0,T901&lt;&gt;"Cancelled",J901&lt;&gt;""),1,0)</f>
        <v>0</v>
      </c>
      <c r="AB901" s="44" t="n">
        <f aca="false">IF(AA901=1,J901/H901,0)</f>
        <v>0</v>
      </c>
      <c r="AC901" s="44" t="n">
        <f aca="false">IF(AA901=1,Q901/H901,0)</f>
        <v>0</v>
      </c>
      <c r="AD901" s="44" t="n">
        <f aca="false">IF(AA901=1,R901/H901,0)</f>
        <v>0</v>
      </c>
      <c r="AE901" s="44" t="n">
        <f aca="false">IF(AA901=1,O901/H901,0)</f>
        <v>0</v>
      </c>
      <c r="AF901" s="44" t="n">
        <f aca="false">IF(AA901=1,K901/H901,0)</f>
        <v>0</v>
      </c>
      <c r="AG901" s="45" t="str">
        <f aca="false">IF(AA901=1,D901&amp;"|"&amp;TEXT(B901,"0"),"")</f>
        <v/>
      </c>
      <c r="AH901" s="43" t="n">
        <f aca="false">IF(AA901=1,H901,0)</f>
        <v>0</v>
      </c>
    </row>
    <row r="902" customFormat="false" ht="15" hidden="false" customHeight="false" outlineLevel="0" collapsed="false">
      <c r="A902" s="23" t="str">
        <f aca="false">IF(B902="","","B-"&amp;TEXT(ROW()-4,"0000"))</f>
        <v/>
      </c>
      <c r="B902" s="38"/>
      <c r="C902" s="38"/>
      <c r="D902" s="6"/>
      <c r="E902" s="6"/>
      <c r="F902" s="6"/>
      <c r="G902" s="11"/>
      <c r="H902" s="24" t="str">
        <f aca="false">IF(AND(ISNUMBER(B902),ISNUMBER(C902)),MAX(0,C902-B902),"")</f>
        <v/>
      </c>
      <c r="I902" s="37"/>
      <c r="J902" s="46" t="str">
        <f aca="false">IF(OR(D902="",N(H902)=0),"",IFERROR(IF(I902&lt;&gt;"",H902*I902,ROUND(((H902-(INT((WEEKDAY(B902-6)+H902-1)/7)+INT((WEEKDAY(B902-7)+H902-1)/7)))*INDEX(Properties!$E$5:$E$24,MATCH(D902,Properties!$A$5:$A$24,0))+(INT((WEEKDAY(B902-6)+H902-1)/7)+INT((WEEKDAY(B902-7)+H902-1)/7))*INDEX(Properties!$F$5:$F$24,MATCH(D902,Properties!$A$5:$A$24,0)))*(1-IF(H902&gt;=28,Settings!$B$10,IF(H902&gt;=7,Settings!$B$9,0))),2)),0))</f>
        <v/>
      </c>
      <c r="K902" s="46" t="str">
        <f aca="false">IF(J902="","",IFERROR(N(INDEX(Properties!$G$5:$G$24,MATCH(D902,Properties!$A$5:$A$24,0))),0))</f>
        <v/>
      </c>
      <c r="L902" s="46" t="str">
        <f aca="false">IF(J902="","",IFERROR(MAX(0,N(G902)-INDEX(Properties!$I$5:$I$24,MATCH(D902,Properties!$A$5:$A$24,0)))*N(INDEX(Properties!$J$5:$J$24,MATCH(D902,Properties!$A$5:$A$24,0)))*H902,0))</f>
        <v/>
      </c>
      <c r="M902" s="37"/>
      <c r="N902" s="46" t="str">
        <f aca="false">IF(J902="","",J902+K902+L902+N(M902))</f>
        <v/>
      </c>
      <c r="O902" s="46" t="str">
        <f aca="false">IF(N902="","",IF(P902&lt;&gt;"",N902-P902,ROUND(N902*IFERROR(INDEX(Settings!$E$5:$E$12,MATCH(F902,Settings!$D$5:$D$12,0)),0),2)))</f>
        <v/>
      </c>
      <c r="P902" s="37"/>
      <c r="Q902" s="46" t="str">
        <f aca="false">IF(N902="","",IF(P902&lt;&gt;"",P902,N902-O902))</f>
        <v/>
      </c>
      <c r="R902" s="46" t="str">
        <f aca="false">IF(J902="","",IFERROR(N(INDEX(Properties!$H$5:$H$24,MATCH(D902,Properties!$A$5:$A$24,0))),0))</f>
        <v/>
      </c>
      <c r="S902" s="46" t="str">
        <f aca="false">IF(Q902="","",Q902-R902)</f>
        <v/>
      </c>
      <c r="T902" s="6"/>
      <c r="U902" s="6"/>
      <c r="V902" s="6"/>
      <c r="W902" s="6"/>
      <c r="X902" s="6"/>
      <c r="Y902" s="8" t="str">
        <f aca="false">IF(OR(D902="",B902="",C902=""),"",IF(N(C902)&lt;=N(B902),"Check dates",IF(T902="Cancelled","",IF(COUNTIFS($D$5:$D$1004,D902,$B$5:$B$1004,"&lt;"&amp;C902,$C$5:$C$1004,"&gt;"&amp;B902,$T$5:$T$1004,"&lt;&gt;Cancelled")&gt;1,"Double-booked",""))))</f>
        <v/>
      </c>
      <c r="Z902" s="42" t="str">
        <f aca="false">IF(AND(AA902=1,ISNUMBER(C902)),C902+ROW()/100000,"")</f>
        <v/>
      </c>
      <c r="AA902" s="43" t="n">
        <f aca="false">IF(AND(D902&lt;&gt;"",ISNUMBER(B902),ISNUMBER(C902),N(H902)&gt;0,T902&lt;&gt;"Cancelled",J902&lt;&gt;""),1,0)</f>
        <v>0</v>
      </c>
      <c r="AB902" s="44" t="n">
        <f aca="false">IF(AA902=1,J902/H902,0)</f>
        <v>0</v>
      </c>
      <c r="AC902" s="44" t="n">
        <f aca="false">IF(AA902=1,Q902/H902,0)</f>
        <v>0</v>
      </c>
      <c r="AD902" s="44" t="n">
        <f aca="false">IF(AA902=1,R902/H902,0)</f>
        <v>0</v>
      </c>
      <c r="AE902" s="44" t="n">
        <f aca="false">IF(AA902=1,O902/H902,0)</f>
        <v>0</v>
      </c>
      <c r="AF902" s="44" t="n">
        <f aca="false">IF(AA902=1,K902/H902,0)</f>
        <v>0</v>
      </c>
      <c r="AG902" s="45" t="str">
        <f aca="false">IF(AA902=1,D902&amp;"|"&amp;TEXT(B902,"0"),"")</f>
        <v/>
      </c>
      <c r="AH902" s="43" t="n">
        <f aca="false">IF(AA902=1,H902,0)</f>
        <v>0</v>
      </c>
    </row>
    <row r="903" customFormat="false" ht="15" hidden="false" customHeight="false" outlineLevel="0" collapsed="false">
      <c r="A903" s="8" t="str">
        <f aca="false">IF(B903="","","B-"&amp;TEXT(ROW()-4,"0000"))</f>
        <v/>
      </c>
      <c r="B903" s="38"/>
      <c r="C903" s="38"/>
      <c r="D903" s="6"/>
      <c r="E903" s="6"/>
      <c r="F903" s="6"/>
      <c r="G903" s="11"/>
      <c r="H903" s="18" t="str">
        <f aca="false">IF(AND(ISNUMBER(B903),ISNUMBER(C903)),MAX(0,C903-B903),"")</f>
        <v/>
      </c>
      <c r="I903" s="37"/>
      <c r="J903" s="41" t="str">
        <f aca="false">IF(OR(D903="",N(H903)=0),"",IFERROR(IF(I903&lt;&gt;"",H903*I903,ROUND(((H903-(INT((WEEKDAY(B903-6)+H903-1)/7)+INT((WEEKDAY(B903-7)+H903-1)/7)))*INDEX(Properties!$E$5:$E$24,MATCH(D903,Properties!$A$5:$A$24,0))+(INT((WEEKDAY(B903-6)+H903-1)/7)+INT((WEEKDAY(B903-7)+H903-1)/7))*INDEX(Properties!$F$5:$F$24,MATCH(D903,Properties!$A$5:$A$24,0)))*(1-IF(H903&gt;=28,Settings!$B$10,IF(H903&gt;=7,Settings!$B$9,0))),2)),0))</f>
        <v/>
      </c>
      <c r="K903" s="41" t="str">
        <f aca="false">IF(J903="","",IFERROR(N(INDEX(Properties!$G$5:$G$24,MATCH(D903,Properties!$A$5:$A$24,0))),0))</f>
        <v/>
      </c>
      <c r="L903" s="41" t="str">
        <f aca="false">IF(J903="","",IFERROR(MAX(0,N(G903)-INDEX(Properties!$I$5:$I$24,MATCH(D903,Properties!$A$5:$A$24,0)))*N(INDEX(Properties!$J$5:$J$24,MATCH(D903,Properties!$A$5:$A$24,0)))*H903,0))</f>
        <v/>
      </c>
      <c r="M903" s="37"/>
      <c r="N903" s="41" t="str">
        <f aca="false">IF(J903="","",J903+K903+L903+N(M903))</f>
        <v/>
      </c>
      <c r="O903" s="41" t="str">
        <f aca="false">IF(N903="","",IF(P903&lt;&gt;"",N903-P903,ROUND(N903*IFERROR(INDEX(Settings!$E$5:$E$12,MATCH(F903,Settings!$D$5:$D$12,0)),0),2)))</f>
        <v/>
      </c>
      <c r="P903" s="37"/>
      <c r="Q903" s="41" t="str">
        <f aca="false">IF(N903="","",IF(P903&lt;&gt;"",P903,N903-O903))</f>
        <v/>
      </c>
      <c r="R903" s="41" t="str">
        <f aca="false">IF(J903="","",IFERROR(N(INDEX(Properties!$H$5:$H$24,MATCH(D903,Properties!$A$5:$A$24,0))),0))</f>
        <v/>
      </c>
      <c r="S903" s="41" t="str">
        <f aca="false">IF(Q903="","",Q903-R903)</f>
        <v/>
      </c>
      <c r="T903" s="6"/>
      <c r="U903" s="6"/>
      <c r="V903" s="6"/>
      <c r="W903" s="6"/>
      <c r="X903" s="6"/>
      <c r="Y903" s="8" t="str">
        <f aca="false">IF(OR(D903="",B903="",C903=""),"",IF(N(C903)&lt;=N(B903),"Check dates",IF(T903="Cancelled","",IF(COUNTIFS($D$5:$D$1004,D903,$B$5:$B$1004,"&lt;"&amp;C903,$C$5:$C$1004,"&gt;"&amp;B903,$T$5:$T$1004,"&lt;&gt;Cancelled")&gt;1,"Double-booked",""))))</f>
        <v/>
      </c>
      <c r="Z903" s="42" t="str">
        <f aca="false">IF(AND(AA903=1,ISNUMBER(C903)),C903+ROW()/100000,"")</f>
        <v/>
      </c>
      <c r="AA903" s="43" t="n">
        <f aca="false">IF(AND(D903&lt;&gt;"",ISNUMBER(B903),ISNUMBER(C903),N(H903)&gt;0,T903&lt;&gt;"Cancelled",J903&lt;&gt;""),1,0)</f>
        <v>0</v>
      </c>
      <c r="AB903" s="44" t="n">
        <f aca="false">IF(AA903=1,J903/H903,0)</f>
        <v>0</v>
      </c>
      <c r="AC903" s="44" t="n">
        <f aca="false">IF(AA903=1,Q903/H903,0)</f>
        <v>0</v>
      </c>
      <c r="AD903" s="44" t="n">
        <f aca="false">IF(AA903=1,R903/H903,0)</f>
        <v>0</v>
      </c>
      <c r="AE903" s="44" t="n">
        <f aca="false">IF(AA903=1,O903/H903,0)</f>
        <v>0</v>
      </c>
      <c r="AF903" s="44" t="n">
        <f aca="false">IF(AA903=1,K903/H903,0)</f>
        <v>0</v>
      </c>
      <c r="AG903" s="45" t="str">
        <f aca="false">IF(AA903=1,D903&amp;"|"&amp;TEXT(B903,"0"),"")</f>
        <v/>
      </c>
      <c r="AH903" s="43" t="n">
        <f aca="false">IF(AA903=1,H903,0)</f>
        <v>0</v>
      </c>
    </row>
    <row r="904" customFormat="false" ht="15" hidden="false" customHeight="false" outlineLevel="0" collapsed="false">
      <c r="A904" s="23" t="str">
        <f aca="false">IF(B904="","","B-"&amp;TEXT(ROW()-4,"0000"))</f>
        <v/>
      </c>
      <c r="B904" s="38"/>
      <c r="C904" s="38"/>
      <c r="D904" s="6"/>
      <c r="E904" s="6"/>
      <c r="F904" s="6"/>
      <c r="G904" s="11"/>
      <c r="H904" s="24" t="str">
        <f aca="false">IF(AND(ISNUMBER(B904),ISNUMBER(C904)),MAX(0,C904-B904),"")</f>
        <v/>
      </c>
      <c r="I904" s="37"/>
      <c r="J904" s="46" t="str">
        <f aca="false">IF(OR(D904="",N(H904)=0),"",IFERROR(IF(I904&lt;&gt;"",H904*I904,ROUND(((H904-(INT((WEEKDAY(B904-6)+H904-1)/7)+INT((WEEKDAY(B904-7)+H904-1)/7)))*INDEX(Properties!$E$5:$E$24,MATCH(D904,Properties!$A$5:$A$24,0))+(INT((WEEKDAY(B904-6)+H904-1)/7)+INT((WEEKDAY(B904-7)+H904-1)/7))*INDEX(Properties!$F$5:$F$24,MATCH(D904,Properties!$A$5:$A$24,0)))*(1-IF(H904&gt;=28,Settings!$B$10,IF(H904&gt;=7,Settings!$B$9,0))),2)),0))</f>
        <v/>
      </c>
      <c r="K904" s="46" t="str">
        <f aca="false">IF(J904="","",IFERROR(N(INDEX(Properties!$G$5:$G$24,MATCH(D904,Properties!$A$5:$A$24,0))),0))</f>
        <v/>
      </c>
      <c r="L904" s="46" t="str">
        <f aca="false">IF(J904="","",IFERROR(MAX(0,N(G904)-INDEX(Properties!$I$5:$I$24,MATCH(D904,Properties!$A$5:$A$24,0)))*N(INDEX(Properties!$J$5:$J$24,MATCH(D904,Properties!$A$5:$A$24,0)))*H904,0))</f>
        <v/>
      </c>
      <c r="M904" s="37"/>
      <c r="N904" s="46" t="str">
        <f aca="false">IF(J904="","",J904+K904+L904+N(M904))</f>
        <v/>
      </c>
      <c r="O904" s="46" t="str">
        <f aca="false">IF(N904="","",IF(P904&lt;&gt;"",N904-P904,ROUND(N904*IFERROR(INDEX(Settings!$E$5:$E$12,MATCH(F904,Settings!$D$5:$D$12,0)),0),2)))</f>
        <v/>
      </c>
      <c r="P904" s="37"/>
      <c r="Q904" s="46" t="str">
        <f aca="false">IF(N904="","",IF(P904&lt;&gt;"",P904,N904-O904))</f>
        <v/>
      </c>
      <c r="R904" s="46" t="str">
        <f aca="false">IF(J904="","",IFERROR(N(INDEX(Properties!$H$5:$H$24,MATCH(D904,Properties!$A$5:$A$24,0))),0))</f>
        <v/>
      </c>
      <c r="S904" s="46" t="str">
        <f aca="false">IF(Q904="","",Q904-R904)</f>
        <v/>
      </c>
      <c r="T904" s="6"/>
      <c r="U904" s="6"/>
      <c r="V904" s="6"/>
      <c r="W904" s="6"/>
      <c r="X904" s="6"/>
      <c r="Y904" s="8" t="str">
        <f aca="false">IF(OR(D904="",B904="",C904=""),"",IF(N(C904)&lt;=N(B904),"Check dates",IF(T904="Cancelled","",IF(COUNTIFS($D$5:$D$1004,D904,$B$5:$B$1004,"&lt;"&amp;C904,$C$5:$C$1004,"&gt;"&amp;B904,$T$5:$T$1004,"&lt;&gt;Cancelled")&gt;1,"Double-booked",""))))</f>
        <v/>
      </c>
      <c r="Z904" s="42" t="str">
        <f aca="false">IF(AND(AA904=1,ISNUMBER(C904)),C904+ROW()/100000,"")</f>
        <v/>
      </c>
      <c r="AA904" s="43" t="n">
        <f aca="false">IF(AND(D904&lt;&gt;"",ISNUMBER(B904),ISNUMBER(C904),N(H904)&gt;0,T904&lt;&gt;"Cancelled",J904&lt;&gt;""),1,0)</f>
        <v>0</v>
      </c>
      <c r="AB904" s="44" t="n">
        <f aca="false">IF(AA904=1,J904/H904,0)</f>
        <v>0</v>
      </c>
      <c r="AC904" s="44" t="n">
        <f aca="false">IF(AA904=1,Q904/H904,0)</f>
        <v>0</v>
      </c>
      <c r="AD904" s="44" t="n">
        <f aca="false">IF(AA904=1,R904/H904,0)</f>
        <v>0</v>
      </c>
      <c r="AE904" s="44" t="n">
        <f aca="false">IF(AA904=1,O904/H904,0)</f>
        <v>0</v>
      </c>
      <c r="AF904" s="44" t="n">
        <f aca="false">IF(AA904=1,K904/H904,0)</f>
        <v>0</v>
      </c>
      <c r="AG904" s="45" t="str">
        <f aca="false">IF(AA904=1,D904&amp;"|"&amp;TEXT(B904,"0"),"")</f>
        <v/>
      </c>
      <c r="AH904" s="43" t="n">
        <f aca="false">IF(AA904=1,H904,0)</f>
        <v>0</v>
      </c>
    </row>
    <row r="905" customFormat="false" ht="15" hidden="false" customHeight="false" outlineLevel="0" collapsed="false">
      <c r="A905" s="8" t="str">
        <f aca="false">IF(B905="","","B-"&amp;TEXT(ROW()-4,"0000"))</f>
        <v/>
      </c>
      <c r="B905" s="38"/>
      <c r="C905" s="38"/>
      <c r="D905" s="6"/>
      <c r="E905" s="6"/>
      <c r="F905" s="6"/>
      <c r="G905" s="11"/>
      <c r="H905" s="18" t="str">
        <f aca="false">IF(AND(ISNUMBER(B905),ISNUMBER(C905)),MAX(0,C905-B905),"")</f>
        <v/>
      </c>
      <c r="I905" s="37"/>
      <c r="J905" s="41" t="str">
        <f aca="false">IF(OR(D905="",N(H905)=0),"",IFERROR(IF(I905&lt;&gt;"",H905*I905,ROUND(((H905-(INT((WEEKDAY(B905-6)+H905-1)/7)+INT((WEEKDAY(B905-7)+H905-1)/7)))*INDEX(Properties!$E$5:$E$24,MATCH(D905,Properties!$A$5:$A$24,0))+(INT((WEEKDAY(B905-6)+H905-1)/7)+INT((WEEKDAY(B905-7)+H905-1)/7))*INDEX(Properties!$F$5:$F$24,MATCH(D905,Properties!$A$5:$A$24,0)))*(1-IF(H905&gt;=28,Settings!$B$10,IF(H905&gt;=7,Settings!$B$9,0))),2)),0))</f>
        <v/>
      </c>
      <c r="K905" s="41" t="str">
        <f aca="false">IF(J905="","",IFERROR(N(INDEX(Properties!$G$5:$G$24,MATCH(D905,Properties!$A$5:$A$24,0))),0))</f>
        <v/>
      </c>
      <c r="L905" s="41" t="str">
        <f aca="false">IF(J905="","",IFERROR(MAX(0,N(G905)-INDEX(Properties!$I$5:$I$24,MATCH(D905,Properties!$A$5:$A$24,0)))*N(INDEX(Properties!$J$5:$J$24,MATCH(D905,Properties!$A$5:$A$24,0)))*H905,0))</f>
        <v/>
      </c>
      <c r="M905" s="37"/>
      <c r="N905" s="41" t="str">
        <f aca="false">IF(J905="","",J905+K905+L905+N(M905))</f>
        <v/>
      </c>
      <c r="O905" s="41" t="str">
        <f aca="false">IF(N905="","",IF(P905&lt;&gt;"",N905-P905,ROUND(N905*IFERROR(INDEX(Settings!$E$5:$E$12,MATCH(F905,Settings!$D$5:$D$12,0)),0),2)))</f>
        <v/>
      </c>
      <c r="P905" s="37"/>
      <c r="Q905" s="41" t="str">
        <f aca="false">IF(N905="","",IF(P905&lt;&gt;"",P905,N905-O905))</f>
        <v/>
      </c>
      <c r="R905" s="41" t="str">
        <f aca="false">IF(J905="","",IFERROR(N(INDEX(Properties!$H$5:$H$24,MATCH(D905,Properties!$A$5:$A$24,0))),0))</f>
        <v/>
      </c>
      <c r="S905" s="41" t="str">
        <f aca="false">IF(Q905="","",Q905-R905)</f>
        <v/>
      </c>
      <c r="T905" s="6"/>
      <c r="U905" s="6"/>
      <c r="V905" s="6"/>
      <c r="W905" s="6"/>
      <c r="X905" s="6"/>
      <c r="Y905" s="8" t="str">
        <f aca="false">IF(OR(D905="",B905="",C905=""),"",IF(N(C905)&lt;=N(B905),"Check dates",IF(T905="Cancelled","",IF(COUNTIFS($D$5:$D$1004,D905,$B$5:$B$1004,"&lt;"&amp;C905,$C$5:$C$1004,"&gt;"&amp;B905,$T$5:$T$1004,"&lt;&gt;Cancelled")&gt;1,"Double-booked",""))))</f>
        <v/>
      </c>
      <c r="Z905" s="42" t="str">
        <f aca="false">IF(AND(AA905=1,ISNUMBER(C905)),C905+ROW()/100000,"")</f>
        <v/>
      </c>
      <c r="AA905" s="43" t="n">
        <f aca="false">IF(AND(D905&lt;&gt;"",ISNUMBER(B905),ISNUMBER(C905),N(H905)&gt;0,T905&lt;&gt;"Cancelled",J905&lt;&gt;""),1,0)</f>
        <v>0</v>
      </c>
      <c r="AB905" s="44" t="n">
        <f aca="false">IF(AA905=1,J905/H905,0)</f>
        <v>0</v>
      </c>
      <c r="AC905" s="44" t="n">
        <f aca="false">IF(AA905=1,Q905/H905,0)</f>
        <v>0</v>
      </c>
      <c r="AD905" s="44" t="n">
        <f aca="false">IF(AA905=1,R905/H905,0)</f>
        <v>0</v>
      </c>
      <c r="AE905" s="44" t="n">
        <f aca="false">IF(AA905=1,O905/H905,0)</f>
        <v>0</v>
      </c>
      <c r="AF905" s="44" t="n">
        <f aca="false">IF(AA905=1,K905/H905,0)</f>
        <v>0</v>
      </c>
      <c r="AG905" s="45" t="str">
        <f aca="false">IF(AA905=1,D905&amp;"|"&amp;TEXT(B905,"0"),"")</f>
        <v/>
      </c>
      <c r="AH905" s="43" t="n">
        <f aca="false">IF(AA905=1,H905,0)</f>
        <v>0</v>
      </c>
    </row>
    <row r="906" customFormat="false" ht="15" hidden="false" customHeight="false" outlineLevel="0" collapsed="false">
      <c r="A906" s="23" t="str">
        <f aca="false">IF(B906="","","B-"&amp;TEXT(ROW()-4,"0000"))</f>
        <v/>
      </c>
      <c r="B906" s="38"/>
      <c r="C906" s="38"/>
      <c r="D906" s="6"/>
      <c r="E906" s="6"/>
      <c r="F906" s="6"/>
      <c r="G906" s="11"/>
      <c r="H906" s="24" t="str">
        <f aca="false">IF(AND(ISNUMBER(B906),ISNUMBER(C906)),MAX(0,C906-B906),"")</f>
        <v/>
      </c>
      <c r="I906" s="37"/>
      <c r="J906" s="46" t="str">
        <f aca="false">IF(OR(D906="",N(H906)=0),"",IFERROR(IF(I906&lt;&gt;"",H906*I906,ROUND(((H906-(INT((WEEKDAY(B906-6)+H906-1)/7)+INT((WEEKDAY(B906-7)+H906-1)/7)))*INDEX(Properties!$E$5:$E$24,MATCH(D906,Properties!$A$5:$A$24,0))+(INT((WEEKDAY(B906-6)+H906-1)/7)+INT((WEEKDAY(B906-7)+H906-1)/7))*INDEX(Properties!$F$5:$F$24,MATCH(D906,Properties!$A$5:$A$24,0)))*(1-IF(H906&gt;=28,Settings!$B$10,IF(H906&gt;=7,Settings!$B$9,0))),2)),0))</f>
        <v/>
      </c>
      <c r="K906" s="46" t="str">
        <f aca="false">IF(J906="","",IFERROR(N(INDEX(Properties!$G$5:$G$24,MATCH(D906,Properties!$A$5:$A$24,0))),0))</f>
        <v/>
      </c>
      <c r="L906" s="46" t="str">
        <f aca="false">IF(J906="","",IFERROR(MAX(0,N(G906)-INDEX(Properties!$I$5:$I$24,MATCH(D906,Properties!$A$5:$A$24,0)))*N(INDEX(Properties!$J$5:$J$24,MATCH(D906,Properties!$A$5:$A$24,0)))*H906,0))</f>
        <v/>
      </c>
      <c r="M906" s="37"/>
      <c r="N906" s="46" t="str">
        <f aca="false">IF(J906="","",J906+K906+L906+N(M906))</f>
        <v/>
      </c>
      <c r="O906" s="46" t="str">
        <f aca="false">IF(N906="","",IF(P906&lt;&gt;"",N906-P906,ROUND(N906*IFERROR(INDEX(Settings!$E$5:$E$12,MATCH(F906,Settings!$D$5:$D$12,0)),0),2)))</f>
        <v/>
      </c>
      <c r="P906" s="37"/>
      <c r="Q906" s="46" t="str">
        <f aca="false">IF(N906="","",IF(P906&lt;&gt;"",P906,N906-O906))</f>
        <v/>
      </c>
      <c r="R906" s="46" t="str">
        <f aca="false">IF(J906="","",IFERROR(N(INDEX(Properties!$H$5:$H$24,MATCH(D906,Properties!$A$5:$A$24,0))),0))</f>
        <v/>
      </c>
      <c r="S906" s="46" t="str">
        <f aca="false">IF(Q906="","",Q906-R906)</f>
        <v/>
      </c>
      <c r="T906" s="6"/>
      <c r="U906" s="6"/>
      <c r="V906" s="6"/>
      <c r="W906" s="6"/>
      <c r="X906" s="6"/>
      <c r="Y906" s="8" t="str">
        <f aca="false">IF(OR(D906="",B906="",C906=""),"",IF(N(C906)&lt;=N(B906),"Check dates",IF(T906="Cancelled","",IF(COUNTIFS($D$5:$D$1004,D906,$B$5:$B$1004,"&lt;"&amp;C906,$C$5:$C$1004,"&gt;"&amp;B906,$T$5:$T$1004,"&lt;&gt;Cancelled")&gt;1,"Double-booked",""))))</f>
        <v/>
      </c>
      <c r="Z906" s="42" t="str">
        <f aca="false">IF(AND(AA906=1,ISNUMBER(C906)),C906+ROW()/100000,"")</f>
        <v/>
      </c>
      <c r="AA906" s="43" t="n">
        <f aca="false">IF(AND(D906&lt;&gt;"",ISNUMBER(B906),ISNUMBER(C906),N(H906)&gt;0,T906&lt;&gt;"Cancelled",J906&lt;&gt;""),1,0)</f>
        <v>0</v>
      </c>
      <c r="AB906" s="44" t="n">
        <f aca="false">IF(AA906=1,J906/H906,0)</f>
        <v>0</v>
      </c>
      <c r="AC906" s="44" t="n">
        <f aca="false">IF(AA906=1,Q906/H906,0)</f>
        <v>0</v>
      </c>
      <c r="AD906" s="44" t="n">
        <f aca="false">IF(AA906=1,R906/H906,0)</f>
        <v>0</v>
      </c>
      <c r="AE906" s="44" t="n">
        <f aca="false">IF(AA906=1,O906/H906,0)</f>
        <v>0</v>
      </c>
      <c r="AF906" s="44" t="n">
        <f aca="false">IF(AA906=1,K906/H906,0)</f>
        <v>0</v>
      </c>
      <c r="AG906" s="45" t="str">
        <f aca="false">IF(AA906=1,D906&amp;"|"&amp;TEXT(B906,"0"),"")</f>
        <v/>
      </c>
      <c r="AH906" s="43" t="n">
        <f aca="false">IF(AA906=1,H906,0)</f>
        <v>0</v>
      </c>
    </row>
    <row r="907" customFormat="false" ht="15" hidden="false" customHeight="false" outlineLevel="0" collapsed="false">
      <c r="A907" s="8" t="str">
        <f aca="false">IF(B907="","","B-"&amp;TEXT(ROW()-4,"0000"))</f>
        <v/>
      </c>
      <c r="B907" s="38"/>
      <c r="C907" s="38"/>
      <c r="D907" s="6"/>
      <c r="E907" s="6"/>
      <c r="F907" s="6"/>
      <c r="G907" s="11"/>
      <c r="H907" s="18" t="str">
        <f aca="false">IF(AND(ISNUMBER(B907),ISNUMBER(C907)),MAX(0,C907-B907),"")</f>
        <v/>
      </c>
      <c r="I907" s="37"/>
      <c r="J907" s="41" t="str">
        <f aca="false">IF(OR(D907="",N(H907)=0),"",IFERROR(IF(I907&lt;&gt;"",H907*I907,ROUND(((H907-(INT((WEEKDAY(B907-6)+H907-1)/7)+INT((WEEKDAY(B907-7)+H907-1)/7)))*INDEX(Properties!$E$5:$E$24,MATCH(D907,Properties!$A$5:$A$24,0))+(INT((WEEKDAY(B907-6)+H907-1)/7)+INT((WEEKDAY(B907-7)+H907-1)/7))*INDEX(Properties!$F$5:$F$24,MATCH(D907,Properties!$A$5:$A$24,0)))*(1-IF(H907&gt;=28,Settings!$B$10,IF(H907&gt;=7,Settings!$B$9,0))),2)),0))</f>
        <v/>
      </c>
      <c r="K907" s="41" t="str">
        <f aca="false">IF(J907="","",IFERROR(N(INDEX(Properties!$G$5:$G$24,MATCH(D907,Properties!$A$5:$A$24,0))),0))</f>
        <v/>
      </c>
      <c r="L907" s="41" t="str">
        <f aca="false">IF(J907="","",IFERROR(MAX(0,N(G907)-INDEX(Properties!$I$5:$I$24,MATCH(D907,Properties!$A$5:$A$24,0)))*N(INDEX(Properties!$J$5:$J$24,MATCH(D907,Properties!$A$5:$A$24,0)))*H907,0))</f>
        <v/>
      </c>
      <c r="M907" s="37"/>
      <c r="N907" s="41" t="str">
        <f aca="false">IF(J907="","",J907+K907+L907+N(M907))</f>
        <v/>
      </c>
      <c r="O907" s="41" t="str">
        <f aca="false">IF(N907="","",IF(P907&lt;&gt;"",N907-P907,ROUND(N907*IFERROR(INDEX(Settings!$E$5:$E$12,MATCH(F907,Settings!$D$5:$D$12,0)),0),2)))</f>
        <v/>
      </c>
      <c r="P907" s="37"/>
      <c r="Q907" s="41" t="str">
        <f aca="false">IF(N907="","",IF(P907&lt;&gt;"",P907,N907-O907))</f>
        <v/>
      </c>
      <c r="R907" s="41" t="str">
        <f aca="false">IF(J907="","",IFERROR(N(INDEX(Properties!$H$5:$H$24,MATCH(D907,Properties!$A$5:$A$24,0))),0))</f>
        <v/>
      </c>
      <c r="S907" s="41" t="str">
        <f aca="false">IF(Q907="","",Q907-R907)</f>
        <v/>
      </c>
      <c r="T907" s="6"/>
      <c r="U907" s="6"/>
      <c r="V907" s="6"/>
      <c r="W907" s="6"/>
      <c r="X907" s="6"/>
      <c r="Y907" s="8" t="str">
        <f aca="false">IF(OR(D907="",B907="",C907=""),"",IF(N(C907)&lt;=N(B907),"Check dates",IF(T907="Cancelled","",IF(COUNTIFS($D$5:$D$1004,D907,$B$5:$B$1004,"&lt;"&amp;C907,$C$5:$C$1004,"&gt;"&amp;B907,$T$5:$T$1004,"&lt;&gt;Cancelled")&gt;1,"Double-booked",""))))</f>
        <v/>
      </c>
      <c r="Z907" s="42" t="str">
        <f aca="false">IF(AND(AA907=1,ISNUMBER(C907)),C907+ROW()/100000,"")</f>
        <v/>
      </c>
      <c r="AA907" s="43" t="n">
        <f aca="false">IF(AND(D907&lt;&gt;"",ISNUMBER(B907),ISNUMBER(C907),N(H907)&gt;0,T907&lt;&gt;"Cancelled",J907&lt;&gt;""),1,0)</f>
        <v>0</v>
      </c>
      <c r="AB907" s="44" t="n">
        <f aca="false">IF(AA907=1,J907/H907,0)</f>
        <v>0</v>
      </c>
      <c r="AC907" s="44" t="n">
        <f aca="false">IF(AA907=1,Q907/H907,0)</f>
        <v>0</v>
      </c>
      <c r="AD907" s="44" t="n">
        <f aca="false">IF(AA907=1,R907/H907,0)</f>
        <v>0</v>
      </c>
      <c r="AE907" s="44" t="n">
        <f aca="false">IF(AA907=1,O907/H907,0)</f>
        <v>0</v>
      </c>
      <c r="AF907" s="44" t="n">
        <f aca="false">IF(AA907=1,K907/H907,0)</f>
        <v>0</v>
      </c>
      <c r="AG907" s="45" t="str">
        <f aca="false">IF(AA907=1,D907&amp;"|"&amp;TEXT(B907,"0"),"")</f>
        <v/>
      </c>
      <c r="AH907" s="43" t="n">
        <f aca="false">IF(AA907=1,H907,0)</f>
        <v>0</v>
      </c>
    </row>
    <row r="908" customFormat="false" ht="15" hidden="false" customHeight="false" outlineLevel="0" collapsed="false">
      <c r="A908" s="23" t="str">
        <f aca="false">IF(B908="","","B-"&amp;TEXT(ROW()-4,"0000"))</f>
        <v/>
      </c>
      <c r="B908" s="38"/>
      <c r="C908" s="38"/>
      <c r="D908" s="6"/>
      <c r="E908" s="6"/>
      <c r="F908" s="6"/>
      <c r="G908" s="11"/>
      <c r="H908" s="24" t="str">
        <f aca="false">IF(AND(ISNUMBER(B908),ISNUMBER(C908)),MAX(0,C908-B908),"")</f>
        <v/>
      </c>
      <c r="I908" s="37"/>
      <c r="J908" s="46" t="str">
        <f aca="false">IF(OR(D908="",N(H908)=0),"",IFERROR(IF(I908&lt;&gt;"",H908*I908,ROUND(((H908-(INT((WEEKDAY(B908-6)+H908-1)/7)+INT((WEEKDAY(B908-7)+H908-1)/7)))*INDEX(Properties!$E$5:$E$24,MATCH(D908,Properties!$A$5:$A$24,0))+(INT((WEEKDAY(B908-6)+H908-1)/7)+INT((WEEKDAY(B908-7)+H908-1)/7))*INDEX(Properties!$F$5:$F$24,MATCH(D908,Properties!$A$5:$A$24,0)))*(1-IF(H908&gt;=28,Settings!$B$10,IF(H908&gt;=7,Settings!$B$9,0))),2)),0))</f>
        <v/>
      </c>
      <c r="K908" s="46" t="str">
        <f aca="false">IF(J908="","",IFERROR(N(INDEX(Properties!$G$5:$G$24,MATCH(D908,Properties!$A$5:$A$24,0))),0))</f>
        <v/>
      </c>
      <c r="L908" s="46" t="str">
        <f aca="false">IF(J908="","",IFERROR(MAX(0,N(G908)-INDEX(Properties!$I$5:$I$24,MATCH(D908,Properties!$A$5:$A$24,0)))*N(INDEX(Properties!$J$5:$J$24,MATCH(D908,Properties!$A$5:$A$24,0)))*H908,0))</f>
        <v/>
      </c>
      <c r="M908" s="37"/>
      <c r="N908" s="46" t="str">
        <f aca="false">IF(J908="","",J908+K908+L908+N(M908))</f>
        <v/>
      </c>
      <c r="O908" s="46" t="str">
        <f aca="false">IF(N908="","",IF(P908&lt;&gt;"",N908-P908,ROUND(N908*IFERROR(INDEX(Settings!$E$5:$E$12,MATCH(F908,Settings!$D$5:$D$12,0)),0),2)))</f>
        <v/>
      </c>
      <c r="P908" s="37"/>
      <c r="Q908" s="46" t="str">
        <f aca="false">IF(N908="","",IF(P908&lt;&gt;"",P908,N908-O908))</f>
        <v/>
      </c>
      <c r="R908" s="46" t="str">
        <f aca="false">IF(J908="","",IFERROR(N(INDEX(Properties!$H$5:$H$24,MATCH(D908,Properties!$A$5:$A$24,0))),0))</f>
        <v/>
      </c>
      <c r="S908" s="46" t="str">
        <f aca="false">IF(Q908="","",Q908-R908)</f>
        <v/>
      </c>
      <c r="T908" s="6"/>
      <c r="U908" s="6"/>
      <c r="V908" s="6"/>
      <c r="W908" s="6"/>
      <c r="X908" s="6"/>
      <c r="Y908" s="8" t="str">
        <f aca="false">IF(OR(D908="",B908="",C908=""),"",IF(N(C908)&lt;=N(B908),"Check dates",IF(T908="Cancelled","",IF(COUNTIFS($D$5:$D$1004,D908,$B$5:$B$1004,"&lt;"&amp;C908,$C$5:$C$1004,"&gt;"&amp;B908,$T$5:$T$1004,"&lt;&gt;Cancelled")&gt;1,"Double-booked",""))))</f>
        <v/>
      </c>
      <c r="Z908" s="42" t="str">
        <f aca="false">IF(AND(AA908=1,ISNUMBER(C908)),C908+ROW()/100000,"")</f>
        <v/>
      </c>
      <c r="AA908" s="43" t="n">
        <f aca="false">IF(AND(D908&lt;&gt;"",ISNUMBER(B908),ISNUMBER(C908),N(H908)&gt;0,T908&lt;&gt;"Cancelled",J908&lt;&gt;""),1,0)</f>
        <v>0</v>
      </c>
      <c r="AB908" s="44" t="n">
        <f aca="false">IF(AA908=1,J908/H908,0)</f>
        <v>0</v>
      </c>
      <c r="AC908" s="44" t="n">
        <f aca="false">IF(AA908=1,Q908/H908,0)</f>
        <v>0</v>
      </c>
      <c r="AD908" s="44" t="n">
        <f aca="false">IF(AA908=1,R908/H908,0)</f>
        <v>0</v>
      </c>
      <c r="AE908" s="44" t="n">
        <f aca="false">IF(AA908=1,O908/H908,0)</f>
        <v>0</v>
      </c>
      <c r="AF908" s="44" t="n">
        <f aca="false">IF(AA908=1,K908/H908,0)</f>
        <v>0</v>
      </c>
      <c r="AG908" s="45" t="str">
        <f aca="false">IF(AA908=1,D908&amp;"|"&amp;TEXT(B908,"0"),"")</f>
        <v/>
      </c>
      <c r="AH908" s="43" t="n">
        <f aca="false">IF(AA908=1,H908,0)</f>
        <v>0</v>
      </c>
    </row>
    <row r="909" customFormat="false" ht="15" hidden="false" customHeight="false" outlineLevel="0" collapsed="false">
      <c r="A909" s="8" t="str">
        <f aca="false">IF(B909="","","B-"&amp;TEXT(ROW()-4,"0000"))</f>
        <v/>
      </c>
      <c r="B909" s="38"/>
      <c r="C909" s="38"/>
      <c r="D909" s="6"/>
      <c r="E909" s="6"/>
      <c r="F909" s="6"/>
      <c r="G909" s="11"/>
      <c r="H909" s="18" t="str">
        <f aca="false">IF(AND(ISNUMBER(B909),ISNUMBER(C909)),MAX(0,C909-B909),"")</f>
        <v/>
      </c>
      <c r="I909" s="37"/>
      <c r="J909" s="41" t="str">
        <f aca="false">IF(OR(D909="",N(H909)=0),"",IFERROR(IF(I909&lt;&gt;"",H909*I909,ROUND(((H909-(INT((WEEKDAY(B909-6)+H909-1)/7)+INT((WEEKDAY(B909-7)+H909-1)/7)))*INDEX(Properties!$E$5:$E$24,MATCH(D909,Properties!$A$5:$A$24,0))+(INT((WEEKDAY(B909-6)+H909-1)/7)+INT((WEEKDAY(B909-7)+H909-1)/7))*INDEX(Properties!$F$5:$F$24,MATCH(D909,Properties!$A$5:$A$24,0)))*(1-IF(H909&gt;=28,Settings!$B$10,IF(H909&gt;=7,Settings!$B$9,0))),2)),0))</f>
        <v/>
      </c>
      <c r="K909" s="41" t="str">
        <f aca="false">IF(J909="","",IFERROR(N(INDEX(Properties!$G$5:$G$24,MATCH(D909,Properties!$A$5:$A$24,0))),0))</f>
        <v/>
      </c>
      <c r="L909" s="41" t="str">
        <f aca="false">IF(J909="","",IFERROR(MAX(0,N(G909)-INDEX(Properties!$I$5:$I$24,MATCH(D909,Properties!$A$5:$A$24,0)))*N(INDEX(Properties!$J$5:$J$24,MATCH(D909,Properties!$A$5:$A$24,0)))*H909,0))</f>
        <v/>
      </c>
      <c r="M909" s="37"/>
      <c r="N909" s="41" t="str">
        <f aca="false">IF(J909="","",J909+K909+L909+N(M909))</f>
        <v/>
      </c>
      <c r="O909" s="41" t="str">
        <f aca="false">IF(N909="","",IF(P909&lt;&gt;"",N909-P909,ROUND(N909*IFERROR(INDEX(Settings!$E$5:$E$12,MATCH(F909,Settings!$D$5:$D$12,0)),0),2)))</f>
        <v/>
      </c>
      <c r="P909" s="37"/>
      <c r="Q909" s="41" t="str">
        <f aca="false">IF(N909="","",IF(P909&lt;&gt;"",P909,N909-O909))</f>
        <v/>
      </c>
      <c r="R909" s="41" t="str">
        <f aca="false">IF(J909="","",IFERROR(N(INDEX(Properties!$H$5:$H$24,MATCH(D909,Properties!$A$5:$A$24,0))),0))</f>
        <v/>
      </c>
      <c r="S909" s="41" t="str">
        <f aca="false">IF(Q909="","",Q909-R909)</f>
        <v/>
      </c>
      <c r="T909" s="6"/>
      <c r="U909" s="6"/>
      <c r="V909" s="6"/>
      <c r="W909" s="6"/>
      <c r="X909" s="6"/>
      <c r="Y909" s="8" t="str">
        <f aca="false">IF(OR(D909="",B909="",C909=""),"",IF(N(C909)&lt;=N(B909),"Check dates",IF(T909="Cancelled","",IF(COUNTIFS($D$5:$D$1004,D909,$B$5:$B$1004,"&lt;"&amp;C909,$C$5:$C$1004,"&gt;"&amp;B909,$T$5:$T$1004,"&lt;&gt;Cancelled")&gt;1,"Double-booked",""))))</f>
        <v/>
      </c>
      <c r="Z909" s="42" t="str">
        <f aca="false">IF(AND(AA909=1,ISNUMBER(C909)),C909+ROW()/100000,"")</f>
        <v/>
      </c>
      <c r="AA909" s="43" t="n">
        <f aca="false">IF(AND(D909&lt;&gt;"",ISNUMBER(B909),ISNUMBER(C909),N(H909)&gt;0,T909&lt;&gt;"Cancelled",J909&lt;&gt;""),1,0)</f>
        <v>0</v>
      </c>
      <c r="AB909" s="44" t="n">
        <f aca="false">IF(AA909=1,J909/H909,0)</f>
        <v>0</v>
      </c>
      <c r="AC909" s="44" t="n">
        <f aca="false">IF(AA909=1,Q909/H909,0)</f>
        <v>0</v>
      </c>
      <c r="AD909" s="44" t="n">
        <f aca="false">IF(AA909=1,R909/H909,0)</f>
        <v>0</v>
      </c>
      <c r="AE909" s="44" t="n">
        <f aca="false">IF(AA909=1,O909/H909,0)</f>
        <v>0</v>
      </c>
      <c r="AF909" s="44" t="n">
        <f aca="false">IF(AA909=1,K909/H909,0)</f>
        <v>0</v>
      </c>
      <c r="AG909" s="45" t="str">
        <f aca="false">IF(AA909=1,D909&amp;"|"&amp;TEXT(B909,"0"),"")</f>
        <v/>
      </c>
      <c r="AH909" s="43" t="n">
        <f aca="false">IF(AA909=1,H909,0)</f>
        <v>0</v>
      </c>
    </row>
    <row r="910" customFormat="false" ht="15" hidden="false" customHeight="false" outlineLevel="0" collapsed="false">
      <c r="A910" s="23" t="str">
        <f aca="false">IF(B910="","","B-"&amp;TEXT(ROW()-4,"0000"))</f>
        <v/>
      </c>
      <c r="B910" s="38"/>
      <c r="C910" s="38"/>
      <c r="D910" s="6"/>
      <c r="E910" s="6"/>
      <c r="F910" s="6"/>
      <c r="G910" s="11"/>
      <c r="H910" s="24" t="str">
        <f aca="false">IF(AND(ISNUMBER(B910),ISNUMBER(C910)),MAX(0,C910-B910),"")</f>
        <v/>
      </c>
      <c r="I910" s="37"/>
      <c r="J910" s="46" t="str">
        <f aca="false">IF(OR(D910="",N(H910)=0),"",IFERROR(IF(I910&lt;&gt;"",H910*I910,ROUND(((H910-(INT((WEEKDAY(B910-6)+H910-1)/7)+INT((WEEKDAY(B910-7)+H910-1)/7)))*INDEX(Properties!$E$5:$E$24,MATCH(D910,Properties!$A$5:$A$24,0))+(INT((WEEKDAY(B910-6)+H910-1)/7)+INT((WEEKDAY(B910-7)+H910-1)/7))*INDEX(Properties!$F$5:$F$24,MATCH(D910,Properties!$A$5:$A$24,0)))*(1-IF(H910&gt;=28,Settings!$B$10,IF(H910&gt;=7,Settings!$B$9,0))),2)),0))</f>
        <v/>
      </c>
      <c r="K910" s="46" t="str">
        <f aca="false">IF(J910="","",IFERROR(N(INDEX(Properties!$G$5:$G$24,MATCH(D910,Properties!$A$5:$A$24,0))),0))</f>
        <v/>
      </c>
      <c r="L910" s="46" t="str">
        <f aca="false">IF(J910="","",IFERROR(MAX(0,N(G910)-INDEX(Properties!$I$5:$I$24,MATCH(D910,Properties!$A$5:$A$24,0)))*N(INDEX(Properties!$J$5:$J$24,MATCH(D910,Properties!$A$5:$A$24,0)))*H910,0))</f>
        <v/>
      </c>
      <c r="M910" s="37"/>
      <c r="N910" s="46" t="str">
        <f aca="false">IF(J910="","",J910+K910+L910+N(M910))</f>
        <v/>
      </c>
      <c r="O910" s="46" t="str">
        <f aca="false">IF(N910="","",IF(P910&lt;&gt;"",N910-P910,ROUND(N910*IFERROR(INDEX(Settings!$E$5:$E$12,MATCH(F910,Settings!$D$5:$D$12,0)),0),2)))</f>
        <v/>
      </c>
      <c r="P910" s="37"/>
      <c r="Q910" s="46" t="str">
        <f aca="false">IF(N910="","",IF(P910&lt;&gt;"",P910,N910-O910))</f>
        <v/>
      </c>
      <c r="R910" s="46" t="str">
        <f aca="false">IF(J910="","",IFERROR(N(INDEX(Properties!$H$5:$H$24,MATCH(D910,Properties!$A$5:$A$24,0))),0))</f>
        <v/>
      </c>
      <c r="S910" s="46" t="str">
        <f aca="false">IF(Q910="","",Q910-R910)</f>
        <v/>
      </c>
      <c r="T910" s="6"/>
      <c r="U910" s="6"/>
      <c r="V910" s="6"/>
      <c r="W910" s="6"/>
      <c r="X910" s="6"/>
      <c r="Y910" s="8" t="str">
        <f aca="false">IF(OR(D910="",B910="",C910=""),"",IF(N(C910)&lt;=N(B910),"Check dates",IF(T910="Cancelled","",IF(COUNTIFS($D$5:$D$1004,D910,$B$5:$B$1004,"&lt;"&amp;C910,$C$5:$C$1004,"&gt;"&amp;B910,$T$5:$T$1004,"&lt;&gt;Cancelled")&gt;1,"Double-booked",""))))</f>
        <v/>
      </c>
      <c r="Z910" s="42" t="str">
        <f aca="false">IF(AND(AA910=1,ISNUMBER(C910)),C910+ROW()/100000,"")</f>
        <v/>
      </c>
      <c r="AA910" s="43" t="n">
        <f aca="false">IF(AND(D910&lt;&gt;"",ISNUMBER(B910),ISNUMBER(C910),N(H910)&gt;0,T910&lt;&gt;"Cancelled",J910&lt;&gt;""),1,0)</f>
        <v>0</v>
      </c>
      <c r="AB910" s="44" t="n">
        <f aca="false">IF(AA910=1,J910/H910,0)</f>
        <v>0</v>
      </c>
      <c r="AC910" s="44" t="n">
        <f aca="false">IF(AA910=1,Q910/H910,0)</f>
        <v>0</v>
      </c>
      <c r="AD910" s="44" t="n">
        <f aca="false">IF(AA910=1,R910/H910,0)</f>
        <v>0</v>
      </c>
      <c r="AE910" s="44" t="n">
        <f aca="false">IF(AA910=1,O910/H910,0)</f>
        <v>0</v>
      </c>
      <c r="AF910" s="44" t="n">
        <f aca="false">IF(AA910=1,K910/H910,0)</f>
        <v>0</v>
      </c>
      <c r="AG910" s="45" t="str">
        <f aca="false">IF(AA910=1,D910&amp;"|"&amp;TEXT(B910,"0"),"")</f>
        <v/>
      </c>
      <c r="AH910" s="43" t="n">
        <f aca="false">IF(AA910=1,H910,0)</f>
        <v>0</v>
      </c>
    </row>
    <row r="911" customFormat="false" ht="15" hidden="false" customHeight="false" outlineLevel="0" collapsed="false">
      <c r="A911" s="8" t="str">
        <f aca="false">IF(B911="","","B-"&amp;TEXT(ROW()-4,"0000"))</f>
        <v/>
      </c>
      <c r="B911" s="38"/>
      <c r="C911" s="38"/>
      <c r="D911" s="6"/>
      <c r="E911" s="6"/>
      <c r="F911" s="6"/>
      <c r="G911" s="11"/>
      <c r="H911" s="18" t="str">
        <f aca="false">IF(AND(ISNUMBER(B911),ISNUMBER(C911)),MAX(0,C911-B911),"")</f>
        <v/>
      </c>
      <c r="I911" s="37"/>
      <c r="J911" s="41" t="str">
        <f aca="false">IF(OR(D911="",N(H911)=0),"",IFERROR(IF(I911&lt;&gt;"",H911*I911,ROUND(((H911-(INT((WEEKDAY(B911-6)+H911-1)/7)+INT((WEEKDAY(B911-7)+H911-1)/7)))*INDEX(Properties!$E$5:$E$24,MATCH(D911,Properties!$A$5:$A$24,0))+(INT((WEEKDAY(B911-6)+H911-1)/7)+INT((WEEKDAY(B911-7)+H911-1)/7))*INDEX(Properties!$F$5:$F$24,MATCH(D911,Properties!$A$5:$A$24,0)))*(1-IF(H911&gt;=28,Settings!$B$10,IF(H911&gt;=7,Settings!$B$9,0))),2)),0))</f>
        <v/>
      </c>
      <c r="K911" s="41" t="str">
        <f aca="false">IF(J911="","",IFERROR(N(INDEX(Properties!$G$5:$G$24,MATCH(D911,Properties!$A$5:$A$24,0))),0))</f>
        <v/>
      </c>
      <c r="L911" s="41" t="str">
        <f aca="false">IF(J911="","",IFERROR(MAX(0,N(G911)-INDEX(Properties!$I$5:$I$24,MATCH(D911,Properties!$A$5:$A$24,0)))*N(INDEX(Properties!$J$5:$J$24,MATCH(D911,Properties!$A$5:$A$24,0)))*H911,0))</f>
        <v/>
      </c>
      <c r="M911" s="37"/>
      <c r="N911" s="41" t="str">
        <f aca="false">IF(J911="","",J911+K911+L911+N(M911))</f>
        <v/>
      </c>
      <c r="O911" s="41" t="str">
        <f aca="false">IF(N911="","",IF(P911&lt;&gt;"",N911-P911,ROUND(N911*IFERROR(INDEX(Settings!$E$5:$E$12,MATCH(F911,Settings!$D$5:$D$12,0)),0),2)))</f>
        <v/>
      </c>
      <c r="P911" s="37"/>
      <c r="Q911" s="41" t="str">
        <f aca="false">IF(N911="","",IF(P911&lt;&gt;"",P911,N911-O911))</f>
        <v/>
      </c>
      <c r="R911" s="41" t="str">
        <f aca="false">IF(J911="","",IFERROR(N(INDEX(Properties!$H$5:$H$24,MATCH(D911,Properties!$A$5:$A$24,0))),0))</f>
        <v/>
      </c>
      <c r="S911" s="41" t="str">
        <f aca="false">IF(Q911="","",Q911-R911)</f>
        <v/>
      </c>
      <c r="T911" s="6"/>
      <c r="U911" s="6"/>
      <c r="V911" s="6"/>
      <c r="W911" s="6"/>
      <c r="X911" s="6"/>
      <c r="Y911" s="8" t="str">
        <f aca="false">IF(OR(D911="",B911="",C911=""),"",IF(N(C911)&lt;=N(B911),"Check dates",IF(T911="Cancelled","",IF(COUNTIFS($D$5:$D$1004,D911,$B$5:$B$1004,"&lt;"&amp;C911,$C$5:$C$1004,"&gt;"&amp;B911,$T$5:$T$1004,"&lt;&gt;Cancelled")&gt;1,"Double-booked",""))))</f>
        <v/>
      </c>
      <c r="Z911" s="42" t="str">
        <f aca="false">IF(AND(AA911=1,ISNUMBER(C911)),C911+ROW()/100000,"")</f>
        <v/>
      </c>
      <c r="AA911" s="43" t="n">
        <f aca="false">IF(AND(D911&lt;&gt;"",ISNUMBER(B911),ISNUMBER(C911),N(H911)&gt;0,T911&lt;&gt;"Cancelled",J911&lt;&gt;""),1,0)</f>
        <v>0</v>
      </c>
      <c r="AB911" s="44" t="n">
        <f aca="false">IF(AA911=1,J911/H911,0)</f>
        <v>0</v>
      </c>
      <c r="AC911" s="44" t="n">
        <f aca="false">IF(AA911=1,Q911/H911,0)</f>
        <v>0</v>
      </c>
      <c r="AD911" s="44" t="n">
        <f aca="false">IF(AA911=1,R911/H911,0)</f>
        <v>0</v>
      </c>
      <c r="AE911" s="44" t="n">
        <f aca="false">IF(AA911=1,O911/H911,0)</f>
        <v>0</v>
      </c>
      <c r="AF911" s="44" t="n">
        <f aca="false">IF(AA911=1,K911/H911,0)</f>
        <v>0</v>
      </c>
      <c r="AG911" s="45" t="str">
        <f aca="false">IF(AA911=1,D911&amp;"|"&amp;TEXT(B911,"0"),"")</f>
        <v/>
      </c>
      <c r="AH911" s="43" t="n">
        <f aca="false">IF(AA911=1,H911,0)</f>
        <v>0</v>
      </c>
    </row>
    <row r="912" customFormat="false" ht="15" hidden="false" customHeight="false" outlineLevel="0" collapsed="false">
      <c r="A912" s="23" t="str">
        <f aca="false">IF(B912="","","B-"&amp;TEXT(ROW()-4,"0000"))</f>
        <v/>
      </c>
      <c r="B912" s="38"/>
      <c r="C912" s="38"/>
      <c r="D912" s="6"/>
      <c r="E912" s="6"/>
      <c r="F912" s="6"/>
      <c r="G912" s="11"/>
      <c r="H912" s="24" t="str">
        <f aca="false">IF(AND(ISNUMBER(B912),ISNUMBER(C912)),MAX(0,C912-B912),"")</f>
        <v/>
      </c>
      <c r="I912" s="37"/>
      <c r="J912" s="46" t="str">
        <f aca="false">IF(OR(D912="",N(H912)=0),"",IFERROR(IF(I912&lt;&gt;"",H912*I912,ROUND(((H912-(INT((WEEKDAY(B912-6)+H912-1)/7)+INT((WEEKDAY(B912-7)+H912-1)/7)))*INDEX(Properties!$E$5:$E$24,MATCH(D912,Properties!$A$5:$A$24,0))+(INT((WEEKDAY(B912-6)+H912-1)/7)+INT((WEEKDAY(B912-7)+H912-1)/7))*INDEX(Properties!$F$5:$F$24,MATCH(D912,Properties!$A$5:$A$24,0)))*(1-IF(H912&gt;=28,Settings!$B$10,IF(H912&gt;=7,Settings!$B$9,0))),2)),0))</f>
        <v/>
      </c>
      <c r="K912" s="46" t="str">
        <f aca="false">IF(J912="","",IFERROR(N(INDEX(Properties!$G$5:$G$24,MATCH(D912,Properties!$A$5:$A$24,0))),0))</f>
        <v/>
      </c>
      <c r="L912" s="46" t="str">
        <f aca="false">IF(J912="","",IFERROR(MAX(0,N(G912)-INDEX(Properties!$I$5:$I$24,MATCH(D912,Properties!$A$5:$A$24,0)))*N(INDEX(Properties!$J$5:$J$24,MATCH(D912,Properties!$A$5:$A$24,0)))*H912,0))</f>
        <v/>
      </c>
      <c r="M912" s="37"/>
      <c r="N912" s="46" t="str">
        <f aca="false">IF(J912="","",J912+K912+L912+N(M912))</f>
        <v/>
      </c>
      <c r="O912" s="46" t="str">
        <f aca="false">IF(N912="","",IF(P912&lt;&gt;"",N912-P912,ROUND(N912*IFERROR(INDEX(Settings!$E$5:$E$12,MATCH(F912,Settings!$D$5:$D$12,0)),0),2)))</f>
        <v/>
      </c>
      <c r="P912" s="37"/>
      <c r="Q912" s="46" t="str">
        <f aca="false">IF(N912="","",IF(P912&lt;&gt;"",P912,N912-O912))</f>
        <v/>
      </c>
      <c r="R912" s="46" t="str">
        <f aca="false">IF(J912="","",IFERROR(N(INDEX(Properties!$H$5:$H$24,MATCH(D912,Properties!$A$5:$A$24,0))),0))</f>
        <v/>
      </c>
      <c r="S912" s="46" t="str">
        <f aca="false">IF(Q912="","",Q912-R912)</f>
        <v/>
      </c>
      <c r="T912" s="6"/>
      <c r="U912" s="6"/>
      <c r="V912" s="6"/>
      <c r="W912" s="6"/>
      <c r="X912" s="6"/>
      <c r="Y912" s="8" t="str">
        <f aca="false">IF(OR(D912="",B912="",C912=""),"",IF(N(C912)&lt;=N(B912),"Check dates",IF(T912="Cancelled","",IF(COUNTIFS($D$5:$D$1004,D912,$B$5:$B$1004,"&lt;"&amp;C912,$C$5:$C$1004,"&gt;"&amp;B912,$T$5:$T$1004,"&lt;&gt;Cancelled")&gt;1,"Double-booked",""))))</f>
        <v/>
      </c>
      <c r="Z912" s="42" t="str">
        <f aca="false">IF(AND(AA912=1,ISNUMBER(C912)),C912+ROW()/100000,"")</f>
        <v/>
      </c>
      <c r="AA912" s="43" t="n">
        <f aca="false">IF(AND(D912&lt;&gt;"",ISNUMBER(B912),ISNUMBER(C912),N(H912)&gt;0,T912&lt;&gt;"Cancelled",J912&lt;&gt;""),1,0)</f>
        <v>0</v>
      </c>
      <c r="AB912" s="44" t="n">
        <f aca="false">IF(AA912=1,J912/H912,0)</f>
        <v>0</v>
      </c>
      <c r="AC912" s="44" t="n">
        <f aca="false">IF(AA912=1,Q912/H912,0)</f>
        <v>0</v>
      </c>
      <c r="AD912" s="44" t="n">
        <f aca="false">IF(AA912=1,R912/H912,0)</f>
        <v>0</v>
      </c>
      <c r="AE912" s="44" t="n">
        <f aca="false">IF(AA912=1,O912/H912,0)</f>
        <v>0</v>
      </c>
      <c r="AF912" s="44" t="n">
        <f aca="false">IF(AA912=1,K912/H912,0)</f>
        <v>0</v>
      </c>
      <c r="AG912" s="45" t="str">
        <f aca="false">IF(AA912=1,D912&amp;"|"&amp;TEXT(B912,"0"),"")</f>
        <v/>
      </c>
      <c r="AH912" s="43" t="n">
        <f aca="false">IF(AA912=1,H912,0)</f>
        <v>0</v>
      </c>
    </row>
    <row r="913" customFormat="false" ht="15" hidden="false" customHeight="false" outlineLevel="0" collapsed="false">
      <c r="A913" s="8" t="str">
        <f aca="false">IF(B913="","","B-"&amp;TEXT(ROW()-4,"0000"))</f>
        <v/>
      </c>
      <c r="B913" s="38"/>
      <c r="C913" s="38"/>
      <c r="D913" s="6"/>
      <c r="E913" s="6"/>
      <c r="F913" s="6"/>
      <c r="G913" s="11"/>
      <c r="H913" s="18" t="str">
        <f aca="false">IF(AND(ISNUMBER(B913),ISNUMBER(C913)),MAX(0,C913-B913),"")</f>
        <v/>
      </c>
      <c r="I913" s="37"/>
      <c r="J913" s="41" t="str">
        <f aca="false">IF(OR(D913="",N(H913)=0),"",IFERROR(IF(I913&lt;&gt;"",H913*I913,ROUND(((H913-(INT((WEEKDAY(B913-6)+H913-1)/7)+INT((WEEKDAY(B913-7)+H913-1)/7)))*INDEX(Properties!$E$5:$E$24,MATCH(D913,Properties!$A$5:$A$24,0))+(INT((WEEKDAY(B913-6)+H913-1)/7)+INT((WEEKDAY(B913-7)+H913-1)/7))*INDEX(Properties!$F$5:$F$24,MATCH(D913,Properties!$A$5:$A$24,0)))*(1-IF(H913&gt;=28,Settings!$B$10,IF(H913&gt;=7,Settings!$B$9,0))),2)),0))</f>
        <v/>
      </c>
      <c r="K913" s="41" t="str">
        <f aca="false">IF(J913="","",IFERROR(N(INDEX(Properties!$G$5:$G$24,MATCH(D913,Properties!$A$5:$A$24,0))),0))</f>
        <v/>
      </c>
      <c r="L913" s="41" t="str">
        <f aca="false">IF(J913="","",IFERROR(MAX(0,N(G913)-INDEX(Properties!$I$5:$I$24,MATCH(D913,Properties!$A$5:$A$24,0)))*N(INDEX(Properties!$J$5:$J$24,MATCH(D913,Properties!$A$5:$A$24,0)))*H913,0))</f>
        <v/>
      </c>
      <c r="M913" s="37"/>
      <c r="N913" s="41" t="str">
        <f aca="false">IF(J913="","",J913+K913+L913+N(M913))</f>
        <v/>
      </c>
      <c r="O913" s="41" t="str">
        <f aca="false">IF(N913="","",IF(P913&lt;&gt;"",N913-P913,ROUND(N913*IFERROR(INDEX(Settings!$E$5:$E$12,MATCH(F913,Settings!$D$5:$D$12,0)),0),2)))</f>
        <v/>
      </c>
      <c r="P913" s="37"/>
      <c r="Q913" s="41" t="str">
        <f aca="false">IF(N913="","",IF(P913&lt;&gt;"",P913,N913-O913))</f>
        <v/>
      </c>
      <c r="R913" s="41" t="str">
        <f aca="false">IF(J913="","",IFERROR(N(INDEX(Properties!$H$5:$H$24,MATCH(D913,Properties!$A$5:$A$24,0))),0))</f>
        <v/>
      </c>
      <c r="S913" s="41" t="str">
        <f aca="false">IF(Q913="","",Q913-R913)</f>
        <v/>
      </c>
      <c r="T913" s="6"/>
      <c r="U913" s="6"/>
      <c r="V913" s="6"/>
      <c r="W913" s="6"/>
      <c r="X913" s="6"/>
      <c r="Y913" s="8" t="str">
        <f aca="false">IF(OR(D913="",B913="",C913=""),"",IF(N(C913)&lt;=N(B913),"Check dates",IF(T913="Cancelled","",IF(COUNTIFS($D$5:$D$1004,D913,$B$5:$B$1004,"&lt;"&amp;C913,$C$5:$C$1004,"&gt;"&amp;B913,$T$5:$T$1004,"&lt;&gt;Cancelled")&gt;1,"Double-booked",""))))</f>
        <v/>
      </c>
      <c r="Z913" s="42" t="str">
        <f aca="false">IF(AND(AA913=1,ISNUMBER(C913)),C913+ROW()/100000,"")</f>
        <v/>
      </c>
      <c r="AA913" s="43" t="n">
        <f aca="false">IF(AND(D913&lt;&gt;"",ISNUMBER(B913),ISNUMBER(C913),N(H913)&gt;0,T913&lt;&gt;"Cancelled",J913&lt;&gt;""),1,0)</f>
        <v>0</v>
      </c>
      <c r="AB913" s="44" t="n">
        <f aca="false">IF(AA913=1,J913/H913,0)</f>
        <v>0</v>
      </c>
      <c r="AC913" s="44" t="n">
        <f aca="false">IF(AA913=1,Q913/H913,0)</f>
        <v>0</v>
      </c>
      <c r="AD913" s="44" t="n">
        <f aca="false">IF(AA913=1,R913/H913,0)</f>
        <v>0</v>
      </c>
      <c r="AE913" s="44" t="n">
        <f aca="false">IF(AA913=1,O913/H913,0)</f>
        <v>0</v>
      </c>
      <c r="AF913" s="44" t="n">
        <f aca="false">IF(AA913=1,K913/H913,0)</f>
        <v>0</v>
      </c>
      <c r="AG913" s="45" t="str">
        <f aca="false">IF(AA913=1,D913&amp;"|"&amp;TEXT(B913,"0"),"")</f>
        <v/>
      </c>
      <c r="AH913" s="43" t="n">
        <f aca="false">IF(AA913=1,H913,0)</f>
        <v>0</v>
      </c>
    </row>
    <row r="914" customFormat="false" ht="15" hidden="false" customHeight="false" outlineLevel="0" collapsed="false">
      <c r="A914" s="23" t="str">
        <f aca="false">IF(B914="","","B-"&amp;TEXT(ROW()-4,"0000"))</f>
        <v/>
      </c>
      <c r="B914" s="38"/>
      <c r="C914" s="38"/>
      <c r="D914" s="6"/>
      <c r="E914" s="6"/>
      <c r="F914" s="6"/>
      <c r="G914" s="11"/>
      <c r="H914" s="24" t="str">
        <f aca="false">IF(AND(ISNUMBER(B914),ISNUMBER(C914)),MAX(0,C914-B914),"")</f>
        <v/>
      </c>
      <c r="I914" s="37"/>
      <c r="J914" s="46" t="str">
        <f aca="false">IF(OR(D914="",N(H914)=0),"",IFERROR(IF(I914&lt;&gt;"",H914*I914,ROUND(((H914-(INT((WEEKDAY(B914-6)+H914-1)/7)+INT((WEEKDAY(B914-7)+H914-1)/7)))*INDEX(Properties!$E$5:$E$24,MATCH(D914,Properties!$A$5:$A$24,0))+(INT((WEEKDAY(B914-6)+H914-1)/7)+INT((WEEKDAY(B914-7)+H914-1)/7))*INDEX(Properties!$F$5:$F$24,MATCH(D914,Properties!$A$5:$A$24,0)))*(1-IF(H914&gt;=28,Settings!$B$10,IF(H914&gt;=7,Settings!$B$9,0))),2)),0))</f>
        <v/>
      </c>
      <c r="K914" s="46" t="str">
        <f aca="false">IF(J914="","",IFERROR(N(INDEX(Properties!$G$5:$G$24,MATCH(D914,Properties!$A$5:$A$24,0))),0))</f>
        <v/>
      </c>
      <c r="L914" s="46" t="str">
        <f aca="false">IF(J914="","",IFERROR(MAX(0,N(G914)-INDEX(Properties!$I$5:$I$24,MATCH(D914,Properties!$A$5:$A$24,0)))*N(INDEX(Properties!$J$5:$J$24,MATCH(D914,Properties!$A$5:$A$24,0)))*H914,0))</f>
        <v/>
      </c>
      <c r="M914" s="37"/>
      <c r="N914" s="46" t="str">
        <f aca="false">IF(J914="","",J914+K914+L914+N(M914))</f>
        <v/>
      </c>
      <c r="O914" s="46" t="str">
        <f aca="false">IF(N914="","",IF(P914&lt;&gt;"",N914-P914,ROUND(N914*IFERROR(INDEX(Settings!$E$5:$E$12,MATCH(F914,Settings!$D$5:$D$12,0)),0),2)))</f>
        <v/>
      </c>
      <c r="P914" s="37"/>
      <c r="Q914" s="46" t="str">
        <f aca="false">IF(N914="","",IF(P914&lt;&gt;"",P914,N914-O914))</f>
        <v/>
      </c>
      <c r="R914" s="46" t="str">
        <f aca="false">IF(J914="","",IFERROR(N(INDEX(Properties!$H$5:$H$24,MATCH(D914,Properties!$A$5:$A$24,0))),0))</f>
        <v/>
      </c>
      <c r="S914" s="46" t="str">
        <f aca="false">IF(Q914="","",Q914-R914)</f>
        <v/>
      </c>
      <c r="T914" s="6"/>
      <c r="U914" s="6"/>
      <c r="V914" s="6"/>
      <c r="W914" s="6"/>
      <c r="X914" s="6"/>
      <c r="Y914" s="8" t="str">
        <f aca="false">IF(OR(D914="",B914="",C914=""),"",IF(N(C914)&lt;=N(B914),"Check dates",IF(T914="Cancelled","",IF(COUNTIFS($D$5:$D$1004,D914,$B$5:$B$1004,"&lt;"&amp;C914,$C$5:$C$1004,"&gt;"&amp;B914,$T$5:$T$1004,"&lt;&gt;Cancelled")&gt;1,"Double-booked",""))))</f>
        <v/>
      </c>
      <c r="Z914" s="42" t="str">
        <f aca="false">IF(AND(AA914=1,ISNUMBER(C914)),C914+ROW()/100000,"")</f>
        <v/>
      </c>
      <c r="AA914" s="43" t="n">
        <f aca="false">IF(AND(D914&lt;&gt;"",ISNUMBER(B914),ISNUMBER(C914),N(H914)&gt;0,T914&lt;&gt;"Cancelled",J914&lt;&gt;""),1,0)</f>
        <v>0</v>
      </c>
      <c r="AB914" s="44" t="n">
        <f aca="false">IF(AA914=1,J914/H914,0)</f>
        <v>0</v>
      </c>
      <c r="AC914" s="44" t="n">
        <f aca="false">IF(AA914=1,Q914/H914,0)</f>
        <v>0</v>
      </c>
      <c r="AD914" s="44" t="n">
        <f aca="false">IF(AA914=1,R914/H914,0)</f>
        <v>0</v>
      </c>
      <c r="AE914" s="44" t="n">
        <f aca="false">IF(AA914=1,O914/H914,0)</f>
        <v>0</v>
      </c>
      <c r="AF914" s="44" t="n">
        <f aca="false">IF(AA914=1,K914/H914,0)</f>
        <v>0</v>
      </c>
      <c r="AG914" s="45" t="str">
        <f aca="false">IF(AA914=1,D914&amp;"|"&amp;TEXT(B914,"0"),"")</f>
        <v/>
      </c>
      <c r="AH914" s="43" t="n">
        <f aca="false">IF(AA914=1,H914,0)</f>
        <v>0</v>
      </c>
    </row>
    <row r="915" customFormat="false" ht="15" hidden="false" customHeight="false" outlineLevel="0" collapsed="false">
      <c r="A915" s="8" t="str">
        <f aca="false">IF(B915="","","B-"&amp;TEXT(ROW()-4,"0000"))</f>
        <v/>
      </c>
      <c r="B915" s="38"/>
      <c r="C915" s="38"/>
      <c r="D915" s="6"/>
      <c r="E915" s="6"/>
      <c r="F915" s="6"/>
      <c r="G915" s="11"/>
      <c r="H915" s="18" t="str">
        <f aca="false">IF(AND(ISNUMBER(B915),ISNUMBER(C915)),MAX(0,C915-B915),"")</f>
        <v/>
      </c>
      <c r="I915" s="37"/>
      <c r="J915" s="41" t="str">
        <f aca="false">IF(OR(D915="",N(H915)=0),"",IFERROR(IF(I915&lt;&gt;"",H915*I915,ROUND(((H915-(INT((WEEKDAY(B915-6)+H915-1)/7)+INT((WEEKDAY(B915-7)+H915-1)/7)))*INDEX(Properties!$E$5:$E$24,MATCH(D915,Properties!$A$5:$A$24,0))+(INT((WEEKDAY(B915-6)+H915-1)/7)+INT((WEEKDAY(B915-7)+H915-1)/7))*INDEX(Properties!$F$5:$F$24,MATCH(D915,Properties!$A$5:$A$24,0)))*(1-IF(H915&gt;=28,Settings!$B$10,IF(H915&gt;=7,Settings!$B$9,0))),2)),0))</f>
        <v/>
      </c>
      <c r="K915" s="41" t="str">
        <f aca="false">IF(J915="","",IFERROR(N(INDEX(Properties!$G$5:$G$24,MATCH(D915,Properties!$A$5:$A$24,0))),0))</f>
        <v/>
      </c>
      <c r="L915" s="41" t="str">
        <f aca="false">IF(J915="","",IFERROR(MAX(0,N(G915)-INDEX(Properties!$I$5:$I$24,MATCH(D915,Properties!$A$5:$A$24,0)))*N(INDEX(Properties!$J$5:$J$24,MATCH(D915,Properties!$A$5:$A$24,0)))*H915,0))</f>
        <v/>
      </c>
      <c r="M915" s="37"/>
      <c r="N915" s="41" t="str">
        <f aca="false">IF(J915="","",J915+K915+L915+N(M915))</f>
        <v/>
      </c>
      <c r="O915" s="41" t="str">
        <f aca="false">IF(N915="","",IF(P915&lt;&gt;"",N915-P915,ROUND(N915*IFERROR(INDEX(Settings!$E$5:$E$12,MATCH(F915,Settings!$D$5:$D$12,0)),0),2)))</f>
        <v/>
      </c>
      <c r="P915" s="37"/>
      <c r="Q915" s="41" t="str">
        <f aca="false">IF(N915="","",IF(P915&lt;&gt;"",P915,N915-O915))</f>
        <v/>
      </c>
      <c r="R915" s="41" t="str">
        <f aca="false">IF(J915="","",IFERROR(N(INDEX(Properties!$H$5:$H$24,MATCH(D915,Properties!$A$5:$A$24,0))),0))</f>
        <v/>
      </c>
      <c r="S915" s="41" t="str">
        <f aca="false">IF(Q915="","",Q915-R915)</f>
        <v/>
      </c>
      <c r="T915" s="6"/>
      <c r="U915" s="6"/>
      <c r="V915" s="6"/>
      <c r="W915" s="6"/>
      <c r="X915" s="6"/>
      <c r="Y915" s="8" t="str">
        <f aca="false">IF(OR(D915="",B915="",C915=""),"",IF(N(C915)&lt;=N(B915),"Check dates",IF(T915="Cancelled","",IF(COUNTIFS($D$5:$D$1004,D915,$B$5:$B$1004,"&lt;"&amp;C915,$C$5:$C$1004,"&gt;"&amp;B915,$T$5:$T$1004,"&lt;&gt;Cancelled")&gt;1,"Double-booked",""))))</f>
        <v/>
      </c>
      <c r="Z915" s="42" t="str">
        <f aca="false">IF(AND(AA915=1,ISNUMBER(C915)),C915+ROW()/100000,"")</f>
        <v/>
      </c>
      <c r="AA915" s="43" t="n">
        <f aca="false">IF(AND(D915&lt;&gt;"",ISNUMBER(B915),ISNUMBER(C915),N(H915)&gt;0,T915&lt;&gt;"Cancelled",J915&lt;&gt;""),1,0)</f>
        <v>0</v>
      </c>
      <c r="AB915" s="44" t="n">
        <f aca="false">IF(AA915=1,J915/H915,0)</f>
        <v>0</v>
      </c>
      <c r="AC915" s="44" t="n">
        <f aca="false">IF(AA915=1,Q915/H915,0)</f>
        <v>0</v>
      </c>
      <c r="AD915" s="44" t="n">
        <f aca="false">IF(AA915=1,R915/H915,0)</f>
        <v>0</v>
      </c>
      <c r="AE915" s="44" t="n">
        <f aca="false">IF(AA915=1,O915/H915,0)</f>
        <v>0</v>
      </c>
      <c r="AF915" s="44" t="n">
        <f aca="false">IF(AA915=1,K915/H915,0)</f>
        <v>0</v>
      </c>
      <c r="AG915" s="45" t="str">
        <f aca="false">IF(AA915=1,D915&amp;"|"&amp;TEXT(B915,"0"),"")</f>
        <v/>
      </c>
      <c r="AH915" s="43" t="n">
        <f aca="false">IF(AA915=1,H915,0)</f>
        <v>0</v>
      </c>
    </row>
    <row r="916" customFormat="false" ht="15" hidden="false" customHeight="false" outlineLevel="0" collapsed="false">
      <c r="A916" s="23" t="str">
        <f aca="false">IF(B916="","","B-"&amp;TEXT(ROW()-4,"0000"))</f>
        <v/>
      </c>
      <c r="B916" s="38"/>
      <c r="C916" s="38"/>
      <c r="D916" s="6"/>
      <c r="E916" s="6"/>
      <c r="F916" s="6"/>
      <c r="G916" s="11"/>
      <c r="H916" s="24" t="str">
        <f aca="false">IF(AND(ISNUMBER(B916),ISNUMBER(C916)),MAX(0,C916-B916),"")</f>
        <v/>
      </c>
      <c r="I916" s="37"/>
      <c r="J916" s="46" t="str">
        <f aca="false">IF(OR(D916="",N(H916)=0),"",IFERROR(IF(I916&lt;&gt;"",H916*I916,ROUND(((H916-(INT((WEEKDAY(B916-6)+H916-1)/7)+INT((WEEKDAY(B916-7)+H916-1)/7)))*INDEX(Properties!$E$5:$E$24,MATCH(D916,Properties!$A$5:$A$24,0))+(INT((WEEKDAY(B916-6)+H916-1)/7)+INT((WEEKDAY(B916-7)+H916-1)/7))*INDEX(Properties!$F$5:$F$24,MATCH(D916,Properties!$A$5:$A$24,0)))*(1-IF(H916&gt;=28,Settings!$B$10,IF(H916&gt;=7,Settings!$B$9,0))),2)),0))</f>
        <v/>
      </c>
      <c r="K916" s="46" t="str">
        <f aca="false">IF(J916="","",IFERROR(N(INDEX(Properties!$G$5:$G$24,MATCH(D916,Properties!$A$5:$A$24,0))),0))</f>
        <v/>
      </c>
      <c r="L916" s="46" t="str">
        <f aca="false">IF(J916="","",IFERROR(MAX(0,N(G916)-INDEX(Properties!$I$5:$I$24,MATCH(D916,Properties!$A$5:$A$24,0)))*N(INDEX(Properties!$J$5:$J$24,MATCH(D916,Properties!$A$5:$A$24,0)))*H916,0))</f>
        <v/>
      </c>
      <c r="M916" s="37"/>
      <c r="N916" s="46" t="str">
        <f aca="false">IF(J916="","",J916+K916+L916+N(M916))</f>
        <v/>
      </c>
      <c r="O916" s="46" t="str">
        <f aca="false">IF(N916="","",IF(P916&lt;&gt;"",N916-P916,ROUND(N916*IFERROR(INDEX(Settings!$E$5:$E$12,MATCH(F916,Settings!$D$5:$D$12,0)),0),2)))</f>
        <v/>
      </c>
      <c r="P916" s="37"/>
      <c r="Q916" s="46" t="str">
        <f aca="false">IF(N916="","",IF(P916&lt;&gt;"",P916,N916-O916))</f>
        <v/>
      </c>
      <c r="R916" s="46" t="str">
        <f aca="false">IF(J916="","",IFERROR(N(INDEX(Properties!$H$5:$H$24,MATCH(D916,Properties!$A$5:$A$24,0))),0))</f>
        <v/>
      </c>
      <c r="S916" s="46" t="str">
        <f aca="false">IF(Q916="","",Q916-R916)</f>
        <v/>
      </c>
      <c r="T916" s="6"/>
      <c r="U916" s="6"/>
      <c r="V916" s="6"/>
      <c r="W916" s="6"/>
      <c r="X916" s="6"/>
      <c r="Y916" s="8" t="str">
        <f aca="false">IF(OR(D916="",B916="",C916=""),"",IF(N(C916)&lt;=N(B916),"Check dates",IF(T916="Cancelled","",IF(COUNTIFS($D$5:$D$1004,D916,$B$5:$B$1004,"&lt;"&amp;C916,$C$5:$C$1004,"&gt;"&amp;B916,$T$5:$T$1004,"&lt;&gt;Cancelled")&gt;1,"Double-booked",""))))</f>
        <v/>
      </c>
      <c r="Z916" s="42" t="str">
        <f aca="false">IF(AND(AA916=1,ISNUMBER(C916)),C916+ROW()/100000,"")</f>
        <v/>
      </c>
      <c r="AA916" s="43" t="n">
        <f aca="false">IF(AND(D916&lt;&gt;"",ISNUMBER(B916),ISNUMBER(C916),N(H916)&gt;0,T916&lt;&gt;"Cancelled",J916&lt;&gt;""),1,0)</f>
        <v>0</v>
      </c>
      <c r="AB916" s="44" t="n">
        <f aca="false">IF(AA916=1,J916/H916,0)</f>
        <v>0</v>
      </c>
      <c r="AC916" s="44" t="n">
        <f aca="false">IF(AA916=1,Q916/H916,0)</f>
        <v>0</v>
      </c>
      <c r="AD916" s="44" t="n">
        <f aca="false">IF(AA916=1,R916/H916,0)</f>
        <v>0</v>
      </c>
      <c r="AE916" s="44" t="n">
        <f aca="false">IF(AA916=1,O916/H916,0)</f>
        <v>0</v>
      </c>
      <c r="AF916" s="44" t="n">
        <f aca="false">IF(AA916=1,K916/H916,0)</f>
        <v>0</v>
      </c>
      <c r="AG916" s="45" t="str">
        <f aca="false">IF(AA916=1,D916&amp;"|"&amp;TEXT(B916,"0"),"")</f>
        <v/>
      </c>
      <c r="AH916" s="43" t="n">
        <f aca="false">IF(AA916=1,H916,0)</f>
        <v>0</v>
      </c>
    </row>
    <row r="917" customFormat="false" ht="15" hidden="false" customHeight="false" outlineLevel="0" collapsed="false">
      <c r="A917" s="8" t="str">
        <f aca="false">IF(B917="","","B-"&amp;TEXT(ROW()-4,"0000"))</f>
        <v/>
      </c>
      <c r="B917" s="38"/>
      <c r="C917" s="38"/>
      <c r="D917" s="6"/>
      <c r="E917" s="6"/>
      <c r="F917" s="6"/>
      <c r="G917" s="11"/>
      <c r="H917" s="18" t="str">
        <f aca="false">IF(AND(ISNUMBER(B917),ISNUMBER(C917)),MAX(0,C917-B917),"")</f>
        <v/>
      </c>
      <c r="I917" s="37"/>
      <c r="J917" s="41" t="str">
        <f aca="false">IF(OR(D917="",N(H917)=0),"",IFERROR(IF(I917&lt;&gt;"",H917*I917,ROUND(((H917-(INT((WEEKDAY(B917-6)+H917-1)/7)+INT((WEEKDAY(B917-7)+H917-1)/7)))*INDEX(Properties!$E$5:$E$24,MATCH(D917,Properties!$A$5:$A$24,0))+(INT((WEEKDAY(B917-6)+H917-1)/7)+INT((WEEKDAY(B917-7)+H917-1)/7))*INDEX(Properties!$F$5:$F$24,MATCH(D917,Properties!$A$5:$A$24,0)))*(1-IF(H917&gt;=28,Settings!$B$10,IF(H917&gt;=7,Settings!$B$9,0))),2)),0))</f>
        <v/>
      </c>
      <c r="K917" s="41" t="str">
        <f aca="false">IF(J917="","",IFERROR(N(INDEX(Properties!$G$5:$G$24,MATCH(D917,Properties!$A$5:$A$24,0))),0))</f>
        <v/>
      </c>
      <c r="L917" s="41" t="str">
        <f aca="false">IF(J917="","",IFERROR(MAX(0,N(G917)-INDEX(Properties!$I$5:$I$24,MATCH(D917,Properties!$A$5:$A$24,0)))*N(INDEX(Properties!$J$5:$J$24,MATCH(D917,Properties!$A$5:$A$24,0)))*H917,0))</f>
        <v/>
      </c>
      <c r="M917" s="37"/>
      <c r="N917" s="41" t="str">
        <f aca="false">IF(J917="","",J917+K917+L917+N(M917))</f>
        <v/>
      </c>
      <c r="O917" s="41" t="str">
        <f aca="false">IF(N917="","",IF(P917&lt;&gt;"",N917-P917,ROUND(N917*IFERROR(INDEX(Settings!$E$5:$E$12,MATCH(F917,Settings!$D$5:$D$12,0)),0),2)))</f>
        <v/>
      </c>
      <c r="P917" s="37"/>
      <c r="Q917" s="41" t="str">
        <f aca="false">IF(N917="","",IF(P917&lt;&gt;"",P917,N917-O917))</f>
        <v/>
      </c>
      <c r="R917" s="41" t="str">
        <f aca="false">IF(J917="","",IFERROR(N(INDEX(Properties!$H$5:$H$24,MATCH(D917,Properties!$A$5:$A$24,0))),0))</f>
        <v/>
      </c>
      <c r="S917" s="41" t="str">
        <f aca="false">IF(Q917="","",Q917-R917)</f>
        <v/>
      </c>
      <c r="T917" s="6"/>
      <c r="U917" s="6"/>
      <c r="V917" s="6"/>
      <c r="W917" s="6"/>
      <c r="X917" s="6"/>
      <c r="Y917" s="8" t="str">
        <f aca="false">IF(OR(D917="",B917="",C917=""),"",IF(N(C917)&lt;=N(B917),"Check dates",IF(T917="Cancelled","",IF(COUNTIFS($D$5:$D$1004,D917,$B$5:$B$1004,"&lt;"&amp;C917,$C$5:$C$1004,"&gt;"&amp;B917,$T$5:$T$1004,"&lt;&gt;Cancelled")&gt;1,"Double-booked",""))))</f>
        <v/>
      </c>
      <c r="Z917" s="42" t="str">
        <f aca="false">IF(AND(AA917=1,ISNUMBER(C917)),C917+ROW()/100000,"")</f>
        <v/>
      </c>
      <c r="AA917" s="43" t="n">
        <f aca="false">IF(AND(D917&lt;&gt;"",ISNUMBER(B917),ISNUMBER(C917),N(H917)&gt;0,T917&lt;&gt;"Cancelled",J917&lt;&gt;""),1,0)</f>
        <v>0</v>
      </c>
      <c r="AB917" s="44" t="n">
        <f aca="false">IF(AA917=1,J917/H917,0)</f>
        <v>0</v>
      </c>
      <c r="AC917" s="44" t="n">
        <f aca="false">IF(AA917=1,Q917/H917,0)</f>
        <v>0</v>
      </c>
      <c r="AD917" s="44" t="n">
        <f aca="false">IF(AA917=1,R917/H917,0)</f>
        <v>0</v>
      </c>
      <c r="AE917" s="44" t="n">
        <f aca="false">IF(AA917=1,O917/H917,0)</f>
        <v>0</v>
      </c>
      <c r="AF917" s="44" t="n">
        <f aca="false">IF(AA917=1,K917/H917,0)</f>
        <v>0</v>
      </c>
      <c r="AG917" s="45" t="str">
        <f aca="false">IF(AA917=1,D917&amp;"|"&amp;TEXT(B917,"0"),"")</f>
        <v/>
      </c>
      <c r="AH917" s="43" t="n">
        <f aca="false">IF(AA917=1,H917,0)</f>
        <v>0</v>
      </c>
    </row>
    <row r="918" customFormat="false" ht="15" hidden="false" customHeight="false" outlineLevel="0" collapsed="false">
      <c r="A918" s="23" t="str">
        <f aca="false">IF(B918="","","B-"&amp;TEXT(ROW()-4,"0000"))</f>
        <v/>
      </c>
      <c r="B918" s="38"/>
      <c r="C918" s="38"/>
      <c r="D918" s="6"/>
      <c r="E918" s="6"/>
      <c r="F918" s="6"/>
      <c r="G918" s="11"/>
      <c r="H918" s="24" t="str">
        <f aca="false">IF(AND(ISNUMBER(B918),ISNUMBER(C918)),MAX(0,C918-B918),"")</f>
        <v/>
      </c>
      <c r="I918" s="37"/>
      <c r="J918" s="46" t="str">
        <f aca="false">IF(OR(D918="",N(H918)=0),"",IFERROR(IF(I918&lt;&gt;"",H918*I918,ROUND(((H918-(INT((WEEKDAY(B918-6)+H918-1)/7)+INT((WEEKDAY(B918-7)+H918-1)/7)))*INDEX(Properties!$E$5:$E$24,MATCH(D918,Properties!$A$5:$A$24,0))+(INT((WEEKDAY(B918-6)+H918-1)/7)+INT((WEEKDAY(B918-7)+H918-1)/7))*INDEX(Properties!$F$5:$F$24,MATCH(D918,Properties!$A$5:$A$24,0)))*(1-IF(H918&gt;=28,Settings!$B$10,IF(H918&gt;=7,Settings!$B$9,0))),2)),0))</f>
        <v/>
      </c>
      <c r="K918" s="46" t="str">
        <f aca="false">IF(J918="","",IFERROR(N(INDEX(Properties!$G$5:$G$24,MATCH(D918,Properties!$A$5:$A$24,0))),0))</f>
        <v/>
      </c>
      <c r="L918" s="46" t="str">
        <f aca="false">IF(J918="","",IFERROR(MAX(0,N(G918)-INDEX(Properties!$I$5:$I$24,MATCH(D918,Properties!$A$5:$A$24,0)))*N(INDEX(Properties!$J$5:$J$24,MATCH(D918,Properties!$A$5:$A$24,0)))*H918,0))</f>
        <v/>
      </c>
      <c r="M918" s="37"/>
      <c r="N918" s="46" t="str">
        <f aca="false">IF(J918="","",J918+K918+L918+N(M918))</f>
        <v/>
      </c>
      <c r="O918" s="46" t="str">
        <f aca="false">IF(N918="","",IF(P918&lt;&gt;"",N918-P918,ROUND(N918*IFERROR(INDEX(Settings!$E$5:$E$12,MATCH(F918,Settings!$D$5:$D$12,0)),0),2)))</f>
        <v/>
      </c>
      <c r="P918" s="37"/>
      <c r="Q918" s="46" t="str">
        <f aca="false">IF(N918="","",IF(P918&lt;&gt;"",P918,N918-O918))</f>
        <v/>
      </c>
      <c r="R918" s="46" t="str">
        <f aca="false">IF(J918="","",IFERROR(N(INDEX(Properties!$H$5:$H$24,MATCH(D918,Properties!$A$5:$A$24,0))),0))</f>
        <v/>
      </c>
      <c r="S918" s="46" t="str">
        <f aca="false">IF(Q918="","",Q918-R918)</f>
        <v/>
      </c>
      <c r="T918" s="6"/>
      <c r="U918" s="6"/>
      <c r="V918" s="6"/>
      <c r="W918" s="6"/>
      <c r="X918" s="6"/>
      <c r="Y918" s="8" t="str">
        <f aca="false">IF(OR(D918="",B918="",C918=""),"",IF(N(C918)&lt;=N(B918),"Check dates",IF(T918="Cancelled","",IF(COUNTIFS($D$5:$D$1004,D918,$B$5:$B$1004,"&lt;"&amp;C918,$C$5:$C$1004,"&gt;"&amp;B918,$T$5:$T$1004,"&lt;&gt;Cancelled")&gt;1,"Double-booked",""))))</f>
        <v/>
      </c>
      <c r="Z918" s="42" t="str">
        <f aca="false">IF(AND(AA918=1,ISNUMBER(C918)),C918+ROW()/100000,"")</f>
        <v/>
      </c>
      <c r="AA918" s="43" t="n">
        <f aca="false">IF(AND(D918&lt;&gt;"",ISNUMBER(B918),ISNUMBER(C918),N(H918)&gt;0,T918&lt;&gt;"Cancelled",J918&lt;&gt;""),1,0)</f>
        <v>0</v>
      </c>
      <c r="AB918" s="44" t="n">
        <f aca="false">IF(AA918=1,J918/H918,0)</f>
        <v>0</v>
      </c>
      <c r="AC918" s="44" t="n">
        <f aca="false">IF(AA918=1,Q918/H918,0)</f>
        <v>0</v>
      </c>
      <c r="AD918" s="44" t="n">
        <f aca="false">IF(AA918=1,R918/H918,0)</f>
        <v>0</v>
      </c>
      <c r="AE918" s="44" t="n">
        <f aca="false">IF(AA918=1,O918/H918,0)</f>
        <v>0</v>
      </c>
      <c r="AF918" s="44" t="n">
        <f aca="false">IF(AA918=1,K918/H918,0)</f>
        <v>0</v>
      </c>
      <c r="AG918" s="45" t="str">
        <f aca="false">IF(AA918=1,D918&amp;"|"&amp;TEXT(B918,"0"),"")</f>
        <v/>
      </c>
      <c r="AH918" s="43" t="n">
        <f aca="false">IF(AA918=1,H918,0)</f>
        <v>0</v>
      </c>
    </row>
    <row r="919" customFormat="false" ht="15" hidden="false" customHeight="false" outlineLevel="0" collapsed="false">
      <c r="A919" s="8" t="str">
        <f aca="false">IF(B919="","","B-"&amp;TEXT(ROW()-4,"0000"))</f>
        <v/>
      </c>
      <c r="B919" s="38"/>
      <c r="C919" s="38"/>
      <c r="D919" s="6"/>
      <c r="E919" s="6"/>
      <c r="F919" s="6"/>
      <c r="G919" s="11"/>
      <c r="H919" s="18" t="str">
        <f aca="false">IF(AND(ISNUMBER(B919),ISNUMBER(C919)),MAX(0,C919-B919),"")</f>
        <v/>
      </c>
      <c r="I919" s="37"/>
      <c r="J919" s="41" t="str">
        <f aca="false">IF(OR(D919="",N(H919)=0),"",IFERROR(IF(I919&lt;&gt;"",H919*I919,ROUND(((H919-(INT((WEEKDAY(B919-6)+H919-1)/7)+INT((WEEKDAY(B919-7)+H919-1)/7)))*INDEX(Properties!$E$5:$E$24,MATCH(D919,Properties!$A$5:$A$24,0))+(INT((WEEKDAY(B919-6)+H919-1)/7)+INT((WEEKDAY(B919-7)+H919-1)/7))*INDEX(Properties!$F$5:$F$24,MATCH(D919,Properties!$A$5:$A$24,0)))*(1-IF(H919&gt;=28,Settings!$B$10,IF(H919&gt;=7,Settings!$B$9,0))),2)),0))</f>
        <v/>
      </c>
      <c r="K919" s="41" t="str">
        <f aca="false">IF(J919="","",IFERROR(N(INDEX(Properties!$G$5:$G$24,MATCH(D919,Properties!$A$5:$A$24,0))),0))</f>
        <v/>
      </c>
      <c r="L919" s="41" t="str">
        <f aca="false">IF(J919="","",IFERROR(MAX(0,N(G919)-INDEX(Properties!$I$5:$I$24,MATCH(D919,Properties!$A$5:$A$24,0)))*N(INDEX(Properties!$J$5:$J$24,MATCH(D919,Properties!$A$5:$A$24,0)))*H919,0))</f>
        <v/>
      </c>
      <c r="M919" s="37"/>
      <c r="N919" s="41" t="str">
        <f aca="false">IF(J919="","",J919+K919+L919+N(M919))</f>
        <v/>
      </c>
      <c r="O919" s="41" t="str">
        <f aca="false">IF(N919="","",IF(P919&lt;&gt;"",N919-P919,ROUND(N919*IFERROR(INDEX(Settings!$E$5:$E$12,MATCH(F919,Settings!$D$5:$D$12,0)),0),2)))</f>
        <v/>
      </c>
      <c r="P919" s="37"/>
      <c r="Q919" s="41" t="str">
        <f aca="false">IF(N919="","",IF(P919&lt;&gt;"",P919,N919-O919))</f>
        <v/>
      </c>
      <c r="R919" s="41" t="str">
        <f aca="false">IF(J919="","",IFERROR(N(INDEX(Properties!$H$5:$H$24,MATCH(D919,Properties!$A$5:$A$24,0))),0))</f>
        <v/>
      </c>
      <c r="S919" s="41" t="str">
        <f aca="false">IF(Q919="","",Q919-R919)</f>
        <v/>
      </c>
      <c r="T919" s="6"/>
      <c r="U919" s="6"/>
      <c r="V919" s="6"/>
      <c r="W919" s="6"/>
      <c r="X919" s="6"/>
      <c r="Y919" s="8" t="str">
        <f aca="false">IF(OR(D919="",B919="",C919=""),"",IF(N(C919)&lt;=N(B919),"Check dates",IF(T919="Cancelled","",IF(COUNTIFS($D$5:$D$1004,D919,$B$5:$B$1004,"&lt;"&amp;C919,$C$5:$C$1004,"&gt;"&amp;B919,$T$5:$T$1004,"&lt;&gt;Cancelled")&gt;1,"Double-booked",""))))</f>
        <v/>
      </c>
      <c r="Z919" s="42" t="str">
        <f aca="false">IF(AND(AA919=1,ISNUMBER(C919)),C919+ROW()/100000,"")</f>
        <v/>
      </c>
      <c r="AA919" s="43" t="n">
        <f aca="false">IF(AND(D919&lt;&gt;"",ISNUMBER(B919),ISNUMBER(C919),N(H919)&gt;0,T919&lt;&gt;"Cancelled",J919&lt;&gt;""),1,0)</f>
        <v>0</v>
      </c>
      <c r="AB919" s="44" t="n">
        <f aca="false">IF(AA919=1,J919/H919,0)</f>
        <v>0</v>
      </c>
      <c r="AC919" s="44" t="n">
        <f aca="false">IF(AA919=1,Q919/H919,0)</f>
        <v>0</v>
      </c>
      <c r="AD919" s="44" t="n">
        <f aca="false">IF(AA919=1,R919/H919,0)</f>
        <v>0</v>
      </c>
      <c r="AE919" s="44" t="n">
        <f aca="false">IF(AA919=1,O919/H919,0)</f>
        <v>0</v>
      </c>
      <c r="AF919" s="44" t="n">
        <f aca="false">IF(AA919=1,K919/H919,0)</f>
        <v>0</v>
      </c>
      <c r="AG919" s="45" t="str">
        <f aca="false">IF(AA919=1,D919&amp;"|"&amp;TEXT(B919,"0"),"")</f>
        <v/>
      </c>
      <c r="AH919" s="43" t="n">
        <f aca="false">IF(AA919=1,H919,0)</f>
        <v>0</v>
      </c>
    </row>
    <row r="920" customFormat="false" ht="15" hidden="false" customHeight="false" outlineLevel="0" collapsed="false">
      <c r="A920" s="23" t="str">
        <f aca="false">IF(B920="","","B-"&amp;TEXT(ROW()-4,"0000"))</f>
        <v/>
      </c>
      <c r="B920" s="38"/>
      <c r="C920" s="38"/>
      <c r="D920" s="6"/>
      <c r="E920" s="6"/>
      <c r="F920" s="6"/>
      <c r="G920" s="11"/>
      <c r="H920" s="24" t="str">
        <f aca="false">IF(AND(ISNUMBER(B920),ISNUMBER(C920)),MAX(0,C920-B920),"")</f>
        <v/>
      </c>
      <c r="I920" s="37"/>
      <c r="J920" s="46" t="str">
        <f aca="false">IF(OR(D920="",N(H920)=0),"",IFERROR(IF(I920&lt;&gt;"",H920*I920,ROUND(((H920-(INT((WEEKDAY(B920-6)+H920-1)/7)+INT((WEEKDAY(B920-7)+H920-1)/7)))*INDEX(Properties!$E$5:$E$24,MATCH(D920,Properties!$A$5:$A$24,0))+(INT((WEEKDAY(B920-6)+H920-1)/7)+INT((WEEKDAY(B920-7)+H920-1)/7))*INDEX(Properties!$F$5:$F$24,MATCH(D920,Properties!$A$5:$A$24,0)))*(1-IF(H920&gt;=28,Settings!$B$10,IF(H920&gt;=7,Settings!$B$9,0))),2)),0))</f>
        <v/>
      </c>
      <c r="K920" s="46" t="str">
        <f aca="false">IF(J920="","",IFERROR(N(INDEX(Properties!$G$5:$G$24,MATCH(D920,Properties!$A$5:$A$24,0))),0))</f>
        <v/>
      </c>
      <c r="L920" s="46" t="str">
        <f aca="false">IF(J920="","",IFERROR(MAX(0,N(G920)-INDEX(Properties!$I$5:$I$24,MATCH(D920,Properties!$A$5:$A$24,0)))*N(INDEX(Properties!$J$5:$J$24,MATCH(D920,Properties!$A$5:$A$24,0)))*H920,0))</f>
        <v/>
      </c>
      <c r="M920" s="37"/>
      <c r="N920" s="46" t="str">
        <f aca="false">IF(J920="","",J920+K920+L920+N(M920))</f>
        <v/>
      </c>
      <c r="O920" s="46" t="str">
        <f aca="false">IF(N920="","",IF(P920&lt;&gt;"",N920-P920,ROUND(N920*IFERROR(INDEX(Settings!$E$5:$E$12,MATCH(F920,Settings!$D$5:$D$12,0)),0),2)))</f>
        <v/>
      </c>
      <c r="P920" s="37"/>
      <c r="Q920" s="46" t="str">
        <f aca="false">IF(N920="","",IF(P920&lt;&gt;"",P920,N920-O920))</f>
        <v/>
      </c>
      <c r="R920" s="46" t="str">
        <f aca="false">IF(J920="","",IFERROR(N(INDEX(Properties!$H$5:$H$24,MATCH(D920,Properties!$A$5:$A$24,0))),0))</f>
        <v/>
      </c>
      <c r="S920" s="46" t="str">
        <f aca="false">IF(Q920="","",Q920-R920)</f>
        <v/>
      </c>
      <c r="T920" s="6"/>
      <c r="U920" s="6"/>
      <c r="V920" s="6"/>
      <c r="W920" s="6"/>
      <c r="X920" s="6"/>
      <c r="Y920" s="8" t="str">
        <f aca="false">IF(OR(D920="",B920="",C920=""),"",IF(N(C920)&lt;=N(B920),"Check dates",IF(T920="Cancelled","",IF(COUNTIFS($D$5:$D$1004,D920,$B$5:$B$1004,"&lt;"&amp;C920,$C$5:$C$1004,"&gt;"&amp;B920,$T$5:$T$1004,"&lt;&gt;Cancelled")&gt;1,"Double-booked",""))))</f>
        <v/>
      </c>
      <c r="Z920" s="42" t="str">
        <f aca="false">IF(AND(AA920=1,ISNUMBER(C920)),C920+ROW()/100000,"")</f>
        <v/>
      </c>
      <c r="AA920" s="43" t="n">
        <f aca="false">IF(AND(D920&lt;&gt;"",ISNUMBER(B920),ISNUMBER(C920),N(H920)&gt;0,T920&lt;&gt;"Cancelled",J920&lt;&gt;""),1,0)</f>
        <v>0</v>
      </c>
      <c r="AB920" s="44" t="n">
        <f aca="false">IF(AA920=1,J920/H920,0)</f>
        <v>0</v>
      </c>
      <c r="AC920" s="44" t="n">
        <f aca="false">IF(AA920=1,Q920/H920,0)</f>
        <v>0</v>
      </c>
      <c r="AD920" s="44" t="n">
        <f aca="false">IF(AA920=1,R920/H920,0)</f>
        <v>0</v>
      </c>
      <c r="AE920" s="44" t="n">
        <f aca="false">IF(AA920=1,O920/H920,0)</f>
        <v>0</v>
      </c>
      <c r="AF920" s="44" t="n">
        <f aca="false">IF(AA920=1,K920/H920,0)</f>
        <v>0</v>
      </c>
      <c r="AG920" s="45" t="str">
        <f aca="false">IF(AA920=1,D920&amp;"|"&amp;TEXT(B920,"0"),"")</f>
        <v/>
      </c>
      <c r="AH920" s="43" t="n">
        <f aca="false">IF(AA920=1,H920,0)</f>
        <v>0</v>
      </c>
    </row>
    <row r="921" customFormat="false" ht="15" hidden="false" customHeight="false" outlineLevel="0" collapsed="false">
      <c r="A921" s="8" t="str">
        <f aca="false">IF(B921="","","B-"&amp;TEXT(ROW()-4,"0000"))</f>
        <v/>
      </c>
      <c r="B921" s="38"/>
      <c r="C921" s="38"/>
      <c r="D921" s="6"/>
      <c r="E921" s="6"/>
      <c r="F921" s="6"/>
      <c r="G921" s="11"/>
      <c r="H921" s="18" t="str">
        <f aca="false">IF(AND(ISNUMBER(B921),ISNUMBER(C921)),MAX(0,C921-B921),"")</f>
        <v/>
      </c>
      <c r="I921" s="37"/>
      <c r="J921" s="41" t="str">
        <f aca="false">IF(OR(D921="",N(H921)=0),"",IFERROR(IF(I921&lt;&gt;"",H921*I921,ROUND(((H921-(INT((WEEKDAY(B921-6)+H921-1)/7)+INT((WEEKDAY(B921-7)+H921-1)/7)))*INDEX(Properties!$E$5:$E$24,MATCH(D921,Properties!$A$5:$A$24,0))+(INT((WEEKDAY(B921-6)+H921-1)/7)+INT((WEEKDAY(B921-7)+H921-1)/7))*INDEX(Properties!$F$5:$F$24,MATCH(D921,Properties!$A$5:$A$24,0)))*(1-IF(H921&gt;=28,Settings!$B$10,IF(H921&gt;=7,Settings!$B$9,0))),2)),0))</f>
        <v/>
      </c>
      <c r="K921" s="41" t="str">
        <f aca="false">IF(J921="","",IFERROR(N(INDEX(Properties!$G$5:$G$24,MATCH(D921,Properties!$A$5:$A$24,0))),0))</f>
        <v/>
      </c>
      <c r="L921" s="41" t="str">
        <f aca="false">IF(J921="","",IFERROR(MAX(0,N(G921)-INDEX(Properties!$I$5:$I$24,MATCH(D921,Properties!$A$5:$A$24,0)))*N(INDEX(Properties!$J$5:$J$24,MATCH(D921,Properties!$A$5:$A$24,0)))*H921,0))</f>
        <v/>
      </c>
      <c r="M921" s="37"/>
      <c r="N921" s="41" t="str">
        <f aca="false">IF(J921="","",J921+K921+L921+N(M921))</f>
        <v/>
      </c>
      <c r="O921" s="41" t="str">
        <f aca="false">IF(N921="","",IF(P921&lt;&gt;"",N921-P921,ROUND(N921*IFERROR(INDEX(Settings!$E$5:$E$12,MATCH(F921,Settings!$D$5:$D$12,0)),0),2)))</f>
        <v/>
      </c>
      <c r="P921" s="37"/>
      <c r="Q921" s="41" t="str">
        <f aca="false">IF(N921="","",IF(P921&lt;&gt;"",P921,N921-O921))</f>
        <v/>
      </c>
      <c r="R921" s="41" t="str">
        <f aca="false">IF(J921="","",IFERROR(N(INDEX(Properties!$H$5:$H$24,MATCH(D921,Properties!$A$5:$A$24,0))),0))</f>
        <v/>
      </c>
      <c r="S921" s="41" t="str">
        <f aca="false">IF(Q921="","",Q921-R921)</f>
        <v/>
      </c>
      <c r="T921" s="6"/>
      <c r="U921" s="6"/>
      <c r="V921" s="6"/>
      <c r="W921" s="6"/>
      <c r="X921" s="6"/>
      <c r="Y921" s="8" t="str">
        <f aca="false">IF(OR(D921="",B921="",C921=""),"",IF(N(C921)&lt;=N(B921),"Check dates",IF(T921="Cancelled","",IF(COUNTIFS($D$5:$D$1004,D921,$B$5:$B$1004,"&lt;"&amp;C921,$C$5:$C$1004,"&gt;"&amp;B921,$T$5:$T$1004,"&lt;&gt;Cancelled")&gt;1,"Double-booked",""))))</f>
        <v/>
      </c>
      <c r="Z921" s="42" t="str">
        <f aca="false">IF(AND(AA921=1,ISNUMBER(C921)),C921+ROW()/100000,"")</f>
        <v/>
      </c>
      <c r="AA921" s="43" t="n">
        <f aca="false">IF(AND(D921&lt;&gt;"",ISNUMBER(B921),ISNUMBER(C921),N(H921)&gt;0,T921&lt;&gt;"Cancelled",J921&lt;&gt;""),1,0)</f>
        <v>0</v>
      </c>
      <c r="AB921" s="44" t="n">
        <f aca="false">IF(AA921=1,J921/H921,0)</f>
        <v>0</v>
      </c>
      <c r="AC921" s="44" t="n">
        <f aca="false">IF(AA921=1,Q921/H921,0)</f>
        <v>0</v>
      </c>
      <c r="AD921" s="44" t="n">
        <f aca="false">IF(AA921=1,R921/H921,0)</f>
        <v>0</v>
      </c>
      <c r="AE921" s="44" t="n">
        <f aca="false">IF(AA921=1,O921/H921,0)</f>
        <v>0</v>
      </c>
      <c r="AF921" s="44" t="n">
        <f aca="false">IF(AA921=1,K921/H921,0)</f>
        <v>0</v>
      </c>
      <c r="AG921" s="45" t="str">
        <f aca="false">IF(AA921=1,D921&amp;"|"&amp;TEXT(B921,"0"),"")</f>
        <v/>
      </c>
      <c r="AH921" s="43" t="n">
        <f aca="false">IF(AA921=1,H921,0)</f>
        <v>0</v>
      </c>
    </row>
    <row r="922" customFormat="false" ht="15" hidden="false" customHeight="false" outlineLevel="0" collapsed="false">
      <c r="A922" s="23" t="str">
        <f aca="false">IF(B922="","","B-"&amp;TEXT(ROW()-4,"0000"))</f>
        <v/>
      </c>
      <c r="B922" s="38"/>
      <c r="C922" s="38"/>
      <c r="D922" s="6"/>
      <c r="E922" s="6"/>
      <c r="F922" s="6"/>
      <c r="G922" s="11"/>
      <c r="H922" s="24" t="str">
        <f aca="false">IF(AND(ISNUMBER(B922),ISNUMBER(C922)),MAX(0,C922-B922),"")</f>
        <v/>
      </c>
      <c r="I922" s="37"/>
      <c r="J922" s="46" t="str">
        <f aca="false">IF(OR(D922="",N(H922)=0),"",IFERROR(IF(I922&lt;&gt;"",H922*I922,ROUND(((H922-(INT((WEEKDAY(B922-6)+H922-1)/7)+INT((WEEKDAY(B922-7)+H922-1)/7)))*INDEX(Properties!$E$5:$E$24,MATCH(D922,Properties!$A$5:$A$24,0))+(INT((WEEKDAY(B922-6)+H922-1)/7)+INT((WEEKDAY(B922-7)+H922-1)/7))*INDEX(Properties!$F$5:$F$24,MATCH(D922,Properties!$A$5:$A$24,0)))*(1-IF(H922&gt;=28,Settings!$B$10,IF(H922&gt;=7,Settings!$B$9,0))),2)),0))</f>
        <v/>
      </c>
      <c r="K922" s="46" t="str">
        <f aca="false">IF(J922="","",IFERROR(N(INDEX(Properties!$G$5:$G$24,MATCH(D922,Properties!$A$5:$A$24,0))),0))</f>
        <v/>
      </c>
      <c r="L922" s="46" t="str">
        <f aca="false">IF(J922="","",IFERROR(MAX(0,N(G922)-INDEX(Properties!$I$5:$I$24,MATCH(D922,Properties!$A$5:$A$24,0)))*N(INDEX(Properties!$J$5:$J$24,MATCH(D922,Properties!$A$5:$A$24,0)))*H922,0))</f>
        <v/>
      </c>
      <c r="M922" s="37"/>
      <c r="N922" s="46" t="str">
        <f aca="false">IF(J922="","",J922+K922+L922+N(M922))</f>
        <v/>
      </c>
      <c r="O922" s="46" t="str">
        <f aca="false">IF(N922="","",IF(P922&lt;&gt;"",N922-P922,ROUND(N922*IFERROR(INDEX(Settings!$E$5:$E$12,MATCH(F922,Settings!$D$5:$D$12,0)),0),2)))</f>
        <v/>
      </c>
      <c r="P922" s="37"/>
      <c r="Q922" s="46" t="str">
        <f aca="false">IF(N922="","",IF(P922&lt;&gt;"",P922,N922-O922))</f>
        <v/>
      </c>
      <c r="R922" s="46" t="str">
        <f aca="false">IF(J922="","",IFERROR(N(INDEX(Properties!$H$5:$H$24,MATCH(D922,Properties!$A$5:$A$24,0))),0))</f>
        <v/>
      </c>
      <c r="S922" s="46" t="str">
        <f aca="false">IF(Q922="","",Q922-R922)</f>
        <v/>
      </c>
      <c r="T922" s="6"/>
      <c r="U922" s="6"/>
      <c r="V922" s="6"/>
      <c r="W922" s="6"/>
      <c r="X922" s="6"/>
      <c r="Y922" s="8" t="str">
        <f aca="false">IF(OR(D922="",B922="",C922=""),"",IF(N(C922)&lt;=N(B922),"Check dates",IF(T922="Cancelled","",IF(COUNTIFS($D$5:$D$1004,D922,$B$5:$B$1004,"&lt;"&amp;C922,$C$5:$C$1004,"&gt;"&amp;B922,$T$5:$T$1004,"&lt;&gt;Cancelled")&gt;1,"Double-booked",""))))</f>
        <v/>
      </c>
      <c r="Z922" s="42" t="str">
        <f aca="false">IF(AND(AA922=1,ISNUMBER(C922)),C922+ROW()/100000,"")</f>
        <v/>
      </c>
      <c r="AA922" s="43" t="n">
        <f aca="false">IF(AND(D922&lt;&gt;"",ISNUMBER(B922),ISNUMBER(C922),N(H922)&gt;0,T922&lt;&gt;"Cancelled",J922&lt;&gt;""),1,0)</f>
        <v>0</v>
      </c>
      <c r="AB922" s="44" t="n">
        <f aca="false">IF(AA922=1,J922/H922,0)</f>
        <v>0</v>
      </c>
      <c r="AC922" s="44" t="n">
        <f aca="false">IF(AA922=1,Q922/H922,0)</f>
        <v>0</v>
      </c>
      <c r="AD922" s="44" t="n">
        <f aca="false">IF(AA922=1,R922/H922,0)</f>
        <v>0</v>
      </c>
      <c r="AE922" s="44" t="n">
        <f aca="false">IF(AA922=1,O922/H922,0)</f>
        <v>0</v>
      </c>
      <c r="AF922" s="44" t="n">
        <f aca="false">IF(AA922=1,K922/H922,0)</f>
        <v>0</v>
      </c>
      <c r="AG922" s="45" t="str">
        <f aca="false">IF(AA922=1,D922&amp;"|"&amp;TEXT(B922,"0"),"")</f>
        <v/>
      </c>
      <c r="AH922" s="43" t="n">
        <f aca="false">IF(AA922=1,H922,0)</f>
        <v>0</v>
      </c>
    </row>
    <row r="923" customFormat="false" ht="15" hidden="false" customHeight="false" outlineLevel="0" collapsed="false">
      <c r="A923" s="8" t="str">
        <f aca="false">IF(B923="","","B-"&amp;TEXT(ROW()-4,"0000"))</f>
        <v/>
      </c>
      <c r="B923" s="38"/>
      <c r="C923" s="38"/>
      <c r="D923" s="6"/>
      <c r="E923" s="6"/>
      <c r="F923" s="6"/>
      <c r="G923" s="11"/>
      <c r="H923" s="18" t="str">
        <f aca="false">IF(AND(ISNUMBER(B923),ISNUMBER(C923)),MAX(0,C923-B923),"")</f>
        <v/>
      </c>
      <c r="I923" s="37"/>
      <c r="J923" s="41" t="str">
        <f aca="false">IF(OR(D923="",N(H923)=0),"",IFERROR(IF(I923&lt;&gt;"",H923*I923,ROUND(((H923-(INT((WEEKDAY(B923-6)+H923-1)/7)+INT((WEEKDAY(B923-7)+H923-1)/7)))*INDEX(Properties!$E$5:$E$24,MATCH(D923,Properties!$A$5:$A$24,0))+(INT((WEEKDAY(B923-6)+H923-1)/7)+INT((WEEKDAY(B923-7)+H923-1)/7))*INDEX(Properties!$F$5:$F$24,MATCH(D923,Properties!$A$5:$A$24,0)))*(1-IF(H923&gt;=28,Settings!$B$10,IF(H923&gt;=7,Settings!$B$9,0))),2)),0))</f>
        <v/>
      </c>
      <c r="K923" s="41" t="str">
        <f aca="false">IF(J923="","",IFERROR(N(INDEX(Properties!$G$5:$G$24,MATCH(D923,Properties!$A$5:$A$24,0))),0))</f>
        <v/>
      </c>
      <c r="L923" s="41" t="str">
        <f aca="false">IF(J923="","",IFERROR(MAX(0,N(G923)-INDEX(Properties!$I$5:$I$24,MATCH(D923,Properties!$A$5:$A$24,0)))*N(INDEX(Properties!$J$5:$J$24,MATCH(D923,Properties!$A$5:$A$24,0)))*H923,0))</f>
        <v/>
      </c>
      <c r="M923" s="37"/>
      <c r="N923" s="41" t="str">
        <f aca="false">IF(J923="","",J923+K923+L923+N(M923))</f>
        <v/>
      </c>
      <c r="O923" s="41" t="str">
        <f aca="false">IF(N923="","",IF(P923&lt;&gt;"",N923-P923,ROUND(N923*IFERROR(INDEX(Settings!$E$5:$E$12,MATCH(F923,Settings!$D$5:$D$12,0)),0),2)))</f>
        <v/>
      </c>
      <c r="P923" s="37"/>
      <c r="Q923" s="41" t="str">
        <f aca="false">IF(N923="","",IF(P923&lt;&gt;"",P923,N923-O923))</f>
        <v/>
      </c>
      <c r="R923" s="41" t="str">
        <f aca="false">IF(J923="","",IFERROR(N(INDEX(Properties!$H$5:$H$24,MATCH(D923,Properties!$A$5:$A$24,0))),0))</f>
        <v/>
      </c>
      <c r="S923" s="41" t="str">
        <f aca="false">IF(Q923="","",Q923-R923)</f>
        <v/>
      </c>
      <c r="T923" s="6"/>
      <c r="U923" s="6"/>
      <c r="V923" s="6"/>
      <c r="W923" s="6"/>
      <c r="X923" s="6"/>
      <c r="Y923" s="8" t="str">
        <f aca="false">IF(OR(D923="",B923="",C923=""),"",IF(N(C923)&lt;=N(B923),"Check dates",IF(T923="Cancelled","",IF(COUNTIFS($D$5:$D$1004,D923,$B$5:$B$1004,"&lt;"&amp;C923,$C$5:$C$1004,"&gt;"&amp;B923,$T$5:$T$1004,"&lt;&gt;Cancelled")&gt;1,"Double-booked",""))))</f>
        <v/>
      </c>
      <c r="Z923" s="42" t="str">
        <f aca="false">IF(AND(AA923=1,ISNUMBER(C923)),C923+ROW()/100000,"")</f>
        <v/>
      </c>
      <c r="AA923" s="43" t="n">
        <f aca="false">IF(AND(D923&lt;&gt;"",ISNUMBER(B923),ISNUMBER(C923),N(H923)&gt;0,T923&lt;&gt;"Cancelled",J923&lt;&gt;""),1,0)</f>
        <v>0</v>
      </c>
      <c r="AB923" s="44" t="n">
        <f aca="false">IF(AA923=1,J923/H923,0)</f>
        <v>0</v>
      </c>
      <c r="AC923" s="44" t="n">
        <f aca="false">IF(AA923=1,Q923/H923,0)</f>
        <v>0</v>
      </c>
      <c r="AD923" s="44" t="n">
        <f aca="false">IF(AA923=1,R923/H923,0)</f>
        <v>0</v>
      </c>
      <c r="AE923" s="44" t="n">
        <f aca="false">IF(AA923=1,O923/H923,0)</f>
        <v>0</v>
      </c>
      <c r="AF923" s="44" t="n">
        <f aca="false">IF(AA923=1,K923/H923,0)</f>
        <v>0</v>
      </c>
      <c r="AG923" s="45" t="str">
        <f aca="false">IF(AA923=1,D923&amp;"|"&amp;TEXT(B923,"0"),"")</f>
        <v/>
      </c>
      <c r="AH923" s="43" t="n">
        <f aca="false">IF(AA923=1,H923,0)</f>
        <v>0</v>
      </c>
    </row>
    <row r="924" customFormat="false" ht="15" hidden="false" customHeight="false" outlineLevel="0" collapsed="false">
      <c r="A924" s="23" t="str">
        <f aca="false">IF(B924="","","B-"&amp;TEXT(ROW()-4,"0000"))</f>
        <v/>
      </c>
      <c r="B924" s="38"/>
      <c r="C924" s="38"/>
      <c r="D924" s="6"/>
      <c r="E924" s="6"/>
      <c r="F924" s="6"/>
      <c r="G924" s="11"/>
      <c r="H924" s="24" t="str">
        <f aca="false">IF(AND(ISNUMBER(B924),ISNUMBER(C924)),MAX(0,C924-B924),"")</f>
        <v/>
      </c>
      <c r="I924" s="37"/>
      <c r="J924" s="46" t="str">
        <f aca="false">IF(OR(D924="",N(H924)=0),"",IFERROR(IF(I924&lt;&gt;"",H924*I924,ROUND(((H924-(INT((WEEKDAY(B924-6)+H924-1)/7)+INT((WEEKDAY(B924-7)+H924-1)/7)))*INDEX(Properties!$E$5:$E$24,MATCH(D924,Properties!$A$5:$A$24,0))+(INT((WEEKDAY(B924-6)+H924-1)/7)+INT((WEEKDAY(B924-7)+H924-1)/7))*INDEX(Properties!$F$5:$F$24,MATCH(D924,Properties!$A$5:$A$24,0)))*(1-IF(H924&gt;=28,Settings!$B$10,IF(H924&gt;=7,Settings!$B$9,0))),2)),0))</f>
        <v/>
      </c>
      <c r="K924" s="46" t="str">
        <f aca="false">IF(J924="","",IFERROR(N(INDEX(Properties!$G$5:$G$24,MATCH(D924,Properties!$A$5:$A$24,0))),0))</f>
        <v/>
      </c>
      <c r="L924" s="46" t="str">
        <f aca="false">IF(J924="","",IFERROR(MAX(0,N(G924)-INDEX(Properties!$I$5:$I$24,MATCH(D924,Properties!$A$5:$A$24,0)))*N(INDEX(Properties!$J$5:$J$24,MATCH(D924,Properties!$A$5:$A$24,0)))*H924,0))</f>
        <v/>
      </c>
      <c r="M924" s="37"/>
      <c r="N924" s="46" t="str">
        <f aca="false">IF(J924="","",J924+K924+L924+N(M924))</f>
        <v/>
      </c>
      <c r="O924" s="46" t="str">
        <f aca="false">IF(N924="","",IF(P924&lt;&gt;"",N924-P924,ROUND(N924*IFERROR(INDEX(Settings!$E$5:$E$12,MATCH(F924,Settings!$D$5:$D$12,0)),0),2)))</f>
        <v/>
      </c>
      <c r="P924" s="37"/>
      <c r="Q924" s="46" t="str">
        <f aca="false">IF(N924="","",IF(P924&lt;&gt;"",P924,N924-O924))</f>
        <v/>
      </c>
      <c r="R924" s="46" t="str">
        <f aca="false">IF(J924="","",IFERROR(N(INDEX(Properties!$H$5:$H$24,MATCH(D924,Properties!$A$5:$A$24,0))),0))</f>
        <v/>
      </c>
      <c r="S924" s="46" t="str">
        <f aca="false">IF(Q924="","",Q924-R924)</f>
        <v/>
      </c>
      <c r="T924" s="6"/>
      <c r="U924" s="6"/>
      <c r="V924" s="6"/>
      <c r="W924" s="6"/>
      <c r="X924" s="6"/>
      <c r="Y924" s="8" t="str">
        <f aca="false">IF(OR(D924="",B924="",C924=""),"",IF(N(C924)&lt;=N(B924),"Check dates",IF(T924="Cancelled","",IF(COUNTIFS($D$5:$D$1004,D924,$B$5:$B$1004,"&lt;"&amp;C924,$C$5:$C$1004,"&gt;"&amp;B924,$T$5:$T$1004,"&lt;&gt;Cancelled")&gt;1,"Double-booked",""))))</f>
        <v/>
      </c>
      <c r="Z924" s="42" t="str">
        <f aca="false">IF(AND(AA924=1,ISNUMBER(C924)),C924+ROW()/100000,"")</f>
        <v/>
      </c>
      <c r="AA924" s="43" t="n">
        <f aca="false">IF(AND(D924&lt;&gt;"",ISNUMBER(B924),ISNUMBER(C924),N(H924)&gt;0,T924&lt;&gt;"Cancelled",J924&lt;&gt;""),1,0)</f>
        <v>0</v>
      </c>
      <c r="AB924" s="44" t="n">
        <f aca="false">IF(AA924=1,J924/H924,0)</f>
        <v>0</v>
      </c>
      <c r="AC924" s="44" t="n">
        <f aca="false">IF(AA924=1,Q924/H924,0)</f>
        <v>0</v>
      </c>
      <c r="AD924" s="44" t="n">
        <f aca="false">IF(AA924=1,R924/H924,0)</f>
        <v>0</v>
      </c>
      <c r="AE924" s="44" t="n">
        <f aca="false">IF(AA924=1,O924/H924,0)</f>
        <v>0</v>
      </c>
      <c r="AF924" s="44" t="n">
        <f aca="false">IF(AA924=1,K924/H924,0)</f>
        <v>0</v>
      </c>
      <c r="AG924" s="45" t="str">
        <f aca="false">IF(AA924=1,D924&amp;"|"&amp;TEXT(B924,"0"),"")</f>
        <v/>
      </c>
      <c r="AH924" s="43" t="n">
        <f aca="false">IF(AA924=1,H924,0)</f>
        <v>0</v>
      </c>
    </row>
    <row r="925" customFormat="false" ht="15" hidden="false" customHeight="false" outlineLevel="0" collapsed="false">
      <c r="A925" s="8" t="str">
        <f aca="false">IF(B925="","","B-"&amp;TEXT(ROW()-4,"0000"))</f>
        <v/>
      </c>
      <c r="B925" s="38"/>
      <c r="C925" s="38"/>
      <c r="D925" s="6"/>
      <c r="E925" s="6"/>
      <c r="F925" s="6"/>
      <c r="G925" s="11"/>
      <c r="H925" s="18" t="str">
        <f aca="false">IF(AND(ISNUMBER(B925),ISNUMBER(C925)),MAX(0,C925-B925),"")</f>
        <v/>
      </c>
      <c r="I925" s="37"/>
      <c r="J925" s="41" t="str">
        <f aca="false">IF(OR(D925="",N(H925)=0),"",IFERROR(IF(I925&lt;&gt;"",H925*I925,ROUND(((H925-(INT((WEEKDAY(B925-6)+H925-1)/7)+INT((WEEKDAY(B925-7)+H925-1)/7)))*INDEX(Properties!$E$5:$E$24,MATCH(D925,Properties!$A$5:$A$24,0))+(INT((WEEKDAY(B925-6)+H925-1)/7)+INT((WEEKDAY(B925-7)+H925-1)/7))*INDEX(Properties!$F$5:$F$24,MATCH(D925,Properties!$A$5:$A$24,0)))*(1-IF(H925&gt;=28,Settings!$B$10,IF(H925&gt;=7,Settings!$B$9,0))),2)),0))</f>
        <v/>
      </c>
      <c r="K925" s="41" t="str">
        <f aca="false">IF(J925="","",IFERROR(N(INDEX(Properties!$G$5:$G$24,MATCH(D925,Properties!$A$5:$A$24,0))),0))</f>
        <v/>
      </c>
      <c r="L925" s="41" t="str">
        <f aca="false">IF(J925="","",IFERROR(MAX(0,N(G925)-INDEX(Properties!$I$5:$I$24,MATCH(D925,Properties!$A$5:$A$24,0)))*N(INDEX(Properties!$J$5:$J$24,MATCH(D925,Properties!$A$5:$A$24,0)))*H925,0))</f>
        <v/>
      </c>
      <c r="M925" s="37"/>
      <c r="N925" s="41" t="str">
        <f aca="false">IF(J925="","",J925+K925+L925+N(M925))</f>
        <v/>
      </c>
      <c r="O925" s="41" t="str">
        <f aca="false">IF(N925="","",IF(P925&lt;&gt;"",N925-P925,ROUND(N925*IFERROR(INDEX(Settings!$E$5:$E$12,MATCH(F925,Settings!$D$5:$D$12,0)),0),2)))</f>
        <v/>
      </c>
      <c r="P925" s="37"/>
      <c r="Q925" s="41" t="str">
        <f aca="false">IF(N925="","",IF(P925&lt;&gt;"",P925,N925-O925))</f>
        <v/>
      </c>
      <c r="R925" s="41" t="str">
        <f aca="false">IF(J925="","",IFERROR(N(INDEX(Properties!$H$5:$H$24,MATCH(D925,Properties!$A$5:$A$24,0))),0))</f>
        <v/>
      </c>
      <c r="S925" s="41" t="str">
        <f aca="false">IF(Q925="","",Q925-R925)</f>
        <v/>
      </c>
      <c r="T925" s="6"/>
      <c r="U925" s="6"/>
      <c r="V925" s="6"/>
      <c r="W925" s="6"/>
      <c r="X925" s="6"/>
      <c r="Y925" s="8" t="str">
        <f aca="false">IF(OR(D925="",B925="",C925=""),"",IF(N(C925)&lt;=N(B925),"Check dates",IF(T925="Cancelled","",IF(COUNTIFS($D$5:$D$1004,D925,$B$5:$B$1004,"&lt;"&amp;C925,$C$5:$C$1004,"&gt;"&amp;B925,$T$5:$T$1004,"&lt;&gt;Cancelled")&gt;1,"Double-booked",""))))</f>
        <v/>
      </c>
      <c r="Z925" s="42" t="str">
        <f aca="false">IF(AND(AA925=1,ISNUMBER(C925)),C925+ROW()/100000,"")</f>
        <v/>
      </c>
      <c r="AA925" s="43" t="n">
        <f aca="false">IF(AND(D925&lt;&gt;"",ISNUMBER(B925),ISNUMBER(C925),N(H925)&gt;0,T925&lt;&gt;"Cancelled",J925&lt;&gt;""),1,0)</f>
        <v>0</v>
      </c>
      <c r="AB925" s="44" t="n">
        <f aca="false">IF(AA925=1,J925/H925,0)</f>
        <v>0</v>
      </c>
      <c r="AC925" s="44" t="n">
        <f aca="false">IF(AA925=1,Q925/H925,0)</f>
        <v>0</v>
      </c>
      <c r="AD925" s="44" t="n">
        <f aca="false">IF(AA925=1,R925/H925,0)</f>
        <v>0</v>
      </c>
      <c r="AE925" s="44" t="n">
        <f aca="false">IF(AA925=1,O925/H925,0)</f>
        <v>0</v>
      </c>
      <c r="AF925" s="44" t="n">
        <f aca="false">IF(AA925=1,K925/H925,0)</f>
        <v>0</v>
      </c>
      <c r="AG925" s="45" t="str">
        <f aca="false">IF(AA925=1,D925&amp;"|"&amp;TEXT(B925,"0"),"")</f>
        <v/>
      </c>
      <c r="AH925" s="43" t="n">
        <f aca="false">IF(AA925=1,H925,0)</f>
        <v>0</v>
      </c>
    </row>
    <row r="926" customFormat="false" ht="15" hidden="false" customHeight="false" outlineLevel="0" collapsed="false">
      <c r="A926" s="23" t="str">
        <f aca="false">IF(B926="","","B-"&amp;TEXT(ROW()-4,"0000"))</f>
        <v/>
      </c>
      <c r="B926" s="38"/>
      <c r="C926" s="38"/>
      <c r="D926" s="6"/>
      <c r="E926" s="6"/>
      <c r="F926" s="6"/>
      <c r="G926" s="11"/>
      <c r="H926" s="24" t="str">
        <f aca="false">IF(AND(ISNUMBER(B926),ISNUMBER(C926)),MAX(0,C926-B926),"")</f>
        <v/>
      </c>
      <c r="I926" s="37"/>
      <c r="J926" s="46" t="str">
        <f aca="false">IF(OR(D926="",N(H926)=0),"",IFERROR(IF(I926&lt;&gt;"",H926*I926,ROUND(((H926-(INT((WEEKDAY(B926-6)+H926-1)/7)+INT((WEEKDAY(B926-7)+H926-1)/7)))*INDEX(Properties!$E$5:$E$24,MATCH(D926,Properties!$A$5:$A$24,0))+(INT((WEEKDAY(B926-6)+H926-1)/7)+INT((WEEKDAY(B926-7)+H926-1)/7))*INDEX(Properties!$F$5:$F$24,MATCH(D926,Properties!$A$5:$A$24,0)))*(1-IF(H926&gt;=28,Settings!$B$10,IF(H926&gt;=7,Settings!$B$9,0))),2)),0))</f>
        <v/>
      </c>
      <c r="K926" s="46" t="str">
        <f aca="false">IF(J926="","",IFERROR(N(INDEX(Properties!$G$5:$G$24,MATCH(D926,Properties!$A$5:$A$24,0))),0))</f>
        <v/>
      </c>
      <c r="L926" s="46" t="str">
        <f aca="false">IF(J926="","",IFERROR(MAX(0,N(G926)-INDEX(Properties!$I$5:$I$24,MATCH(D926,Properties!$A$5:$A$24,0)))*N(INDEX(Properties!$J$5:$J$24,MATCH(D926,Properties!$A$5:$A$24,0)))*H926,0))</f>
        <v/>
      </c>
      <c r="M926" s="37"/>
      <c r="N926" s="46" t="str">
        <f aca="false">IF(J926="","",J926+K926+L926+N(M926))</f>
        <v/>
      </c>
      <c r="O926" s="46" t="str">
        <f aca="false">IF(N926="","",IF(P926&lt;&gt;"",N926-P926,ROUND(N926*IFERROR(INDEX(Settings!$E$5:$E$12,MATCH(F926,Settings!$D$5:$D$12,0)),0),2)))</f>
        <v/>
      </c>
      <c r="P926" s="37"/>
      <c r="Q926" s="46" t="str">
        <f aca="false">IF(N926="","",IF(P926&lt;&gt;"",P926,N926-O926))</f>
        <v/>
      </c>
      <c r="R926" s="46" t="str">
        <f aca="false">IF(J926="","",IFERROR(N(INDEX(Properties!$H$5:$H$24,MATCH(D926,Properties!$A$5:$A$24,0))),0))</f>
        <v/>
      </c>
      <c r="S926" s="46" t="str">
        <f aca="false">IF(Q926="","",Q926-R926)</f>
        <v/>
      </c>
      <c r="T926" s="6"/>
      <c r="U926" s="6"/>
      <c r="V926" s="6"/>
      <c r="W926" s="6"/>
      <c r="X926" s="6"/>
      <c r="Y926" s="8" t="str">
        <f aca="false">IF(OR(D926="",B926="",C926=""),"",IF(N(C926)&lt;=N(B926),"Check dates",IF(T926="Cancelled","",IF(COUNTIFS($D$5:$D$1004,D926,$B$5:$B$1004,"&lt;"&amp;C926,$C$5:$C$1004,"&gt;"&amp;B926,$T$5:$T$1004,"&lt;&gt;Cancelled")&gt;1,"Double-booked",""))))</f>
        <v/>
      </c>
      <c r="Z926" s="42" t="str">
        <f aca="false">IF(AND(AA926=1,ISNUMBER(C926)),C926+ROW()/100000,"")</f>
        <v/>
      </c>
      <c r="AA926" s="43" t="n">
        <f aca="false">IF(AND(D926&lt;&gt;"",ISNUMBER(B926),ISNUMBER(C926),N(H926)&gt;0,T926&lt;&gt;"Cancelled",J926&lt;&gt;""),1,0)</f>
        <v>0</v>
      </c>
      <c r="AB926" s="44" t="n">
        <f aca="false">IF(AA926=1,J926/H926,0)</f>
        <v>0</v>
      </c>
      <c r="AC926" s="44" t="n">
        <f aca="false">IF(AA926=1,Q926/H926,0)</f>
        <v>0</v>
      </c>
      <c r="AD926" s="44" t="n">
        <f aca="false">IF(AA926=1,R926/H926,0)</f>
        <v>0</v>
      </c>
      <c r="AE926" s="44" t="n">
        <f aca="false">IF(AA926=1,O926/H926,0)</f>
        <v>0</v>
      </c>
      <c r="AF926" s="44" t="n">
        <f aca="false">IF(AA926=1,K926/H926,0)</f>
        <v>0</v>
      </c>
      <c r="AG926" s="45" t="str">
        <f aca="false">IF(AA926=1,D926&amp;"|"&amp;TEXT(B926,"0"),"")</f>
        <v/>
      </c>
      <c r="AH926" s="43" t="n">
        <f aca="false">IF(AA926=1,H926,0)</f>
        <v>0</v>
      </c>
    </row>
    <row r="927" customFormat="false" ht="15" hidden="false" customHeight="false" outlineLevel="0" collapsed="false">
      <c r="A927" s="8" t="str">
        <f aca="false">IF(B927="","","B-"&amp;TEXT(ROW()-4,"0000"))</f>
        <v/>
      </c>
      <c r="B927" s="38"/>
      <c r="C927" s="38"/>
      <c r="D927" s="6"/>
      <c r="E927" s="6"/>
      <c r="F927" s="6"/>
      <c r="G927" s="11"/>
      <c r="H927" s="18" t="str">
        <f aca="false">IF(AND(ISNUMBER(B927),ISNUMBER(C927)),MAX(0,C927-B927),"")</f>
        <v/>
      </c>
      <c r="I927" s="37"/>
      <c r="J927" s="41" t="str">
        <f aca="false">IF(OR(D927="",N(H927)=0),"",IFERROR(IF(I927&lt;&gt;"",H927*I927,ROUND(((H927-(INT((WEEKDAY(B927-6)+H927-1)/7)+INT((WEEKDAY(B927-7)+H927-1)/7)))*INDEX(Properties!$E$5:$E$24,MATCH(D927,Properties!$A$5:$A$24,0))+(INT((WEEKDAY(B927-6)+H927-1)/7)+INT((WEEKDAY(B927-7)+H927-1)/7))*INDEX(Properties!$F$5:$F$24,MATCH(D927,Properties!$A$5:$A$24,0)))*(1-IF(H927&gt;=28,Settings!$B$10,IF(H927&gt;=7,Settings!$B$9,0))),2)),0))</f>
        <v/>
      </c>
      <c r="K927" s="41" t="str">
        <f aca="false">IF(J927="","",IFERROR(N(INDEX(Properties!$G$5:$G$24,MATCH(D927,Properties!$A$5:$A$24,0))),0))</f>
        <v/>
      </c>
      <c r="L927" s="41" t="str">
        <f aca="false">IF(J927="","",IFERROR(MAX(0,N(G927)-INDEX(Properties!$I$5:$I$24,MATCH(D927,Properties!$A$5:$A$24,0)))*N(INDEX(Properties!$J$5:$J$24,MATCH(D927,Properties!$A$5:$A$24,0)))*H927,0))</f>
        <v/>
      </c>
      <c r="M927" s="37"/>
      <c r="N927" s="41" t="str">
        <f aca="false">IF(J927="","",J927+K927+L927+N(M927))</f>
        <v/>
      </c>
      <c r="O927" s="41" t="str">
        <f aca="false">IF(N927="","",IF(P927&lt;&gt;"",N927-P927,ROUND(N927*IFERROR(INDEX(Settings!$E$5:$E$12,MATCH(F927,Settings!$D$5:$D$12,0)),0),2)))</f>
        <v/>
      </c>
      <c r="P927" s="37"/>
      <c r="Q927" s="41" t="str">
        <f aca="false">IF(N927="","",IF(P927&lt;&gt;"",P927,N927-O927))</f>
        <v/>
      </c>
      <c r="R927" s="41" t="str">
        <f aca="false">IF(J927="","",IFERROR(N(INDEX(Properties!$H$5:$H$24,MATCH(D927,Properties!$A$5:$A$24,0))),0))</f>
        <v/>
      </c>
      <c r="S927" s="41" t="str">
        <f aca="false">IF(Q927="","",Q927-R927)</f>
        <v/>
      </c>
      <c r="T927" s="6"/>
      <c r="U927" s="6"/>
      <c r="V927" s="6"/>
      <c r="W927" s="6"/>
      <c r="X927" s="6"/>
      <c r="Y927" s="8" t="str">
        <f aca="false">IF(OR(D927="",B927="",C927=""),"",IF(N(C927)&lt;=N(B927),"Check dates",IF(T927="Cancelled","",IF(COUNTIFS($D$5:$D$1004,D927,$B$5:$B$1004,"&lt;"&amp;C927,$C$5:$C$1004,"&gt;"&amp;B927,$T$5:$T$1004,"&lt;&gt;Cancelled")&gt;1,"Double-booked",""))))</f>
        <v/>
      </c>
      <c r="Z927" s="42" t="str">
        <f aca="false">IF(AND(AA927=1,ISNUMBER(C927)),C927+ROW()/100000,"")</f>
        <v/>
      </c>
      <c r="AA927" s="43" t="n">
        <f aca="false">IF(AND(D927&lt;&gt;"",ISNUMBER(B927),ISNUMBER(C927),N(H927)&gt;0,T927&lt;&gt;"Cancelled",J927&lt;&gt;""),1,0)</f>
        <v>0</v>
      </c>
      <c r="AB927" s="44" t="n">
        <f aca="false">IF(AA927=1,J927/H927,0)</f>
        <v>0</v>
      </c>
      <c r="AC927" s="44" t="n">
        <f aca="false">IF(AA927=1,Q927/H927,0)</f>
        <v>0</v>
      </c>
      <c r="AD927" s="44" t="n">
        <f aca="false">IF(AA927=1,R927/H927,0)</f>
        <v>0</v>
      </c>
      <c r="AE927" s="44" t="n">
        <f aca="false">IF(AA927=1,O927/H927,0)</f>
        <v>0</v>
      </c>
      <c r="AF927" s="44" t="n">
        <f aca="false">IF(AA927=1,K927/H927,0)</f>
        <v>0</v>
      </c>
      <c r="AG927" s="45" t="str">
        <f aca="false">IF(AA927=1,D927&amp;"|"&amp;TEXT(B927,"0"),"")</f>
        <v/>
      </c>
      <c r="AH927" s="43" t="n">
        <f aca="false">IF(AA927=1,H927,0)</f>
        <v>0</v>
      </c>
    </row>
    <row r="928" customFormat="false" ht="15" hidden="false" customHeight="false" outlineLevel="0" collapsed="false">
      <c r="A928" s="23" t="str">
        <f aca="false">IF(B928="","","B-"&amp;TEXT(ROW()-4,"0000"))</f>
        <v/>
      </c>
      <c r="B928" s="38"/>
      <c r="C928" s="38"/>
      <c r="D928" s="6"/>
      <c r="E928" s="6"/>
      <c r="F928" s="6"/>
      <c r="G928" s="11"/>
      <c r="H928" s="24" t="str">
        <f aca="false">IF(AND(ISNUMBER(B928),ISNUMBER(C928)),MAX(0,C928-B928),"")</f>
        <v/>
      </c>
      <c r="I928" s="37"/>
      <c r="J928" s="46" t="str">
        <f aca="false">IF(OR(D928="",N(H928)=0),"",IFERROR(IF(I928&lt;&gt;"",H928*I928,ROUND(((H928-(INT((WEEKDAY(B928-6)+H928-1)/7)+INT((WEEKDAY(B928-7)+H928-1)/7)))*INDEX(Properties!$E$5:$E$24,MATCH(D928,Properties!$A$5:$A$24,0))+(INT((WEEKDAY(B928-6)+H928-1)/7)+INT((WEEKDAY(B928-7)+H928-1)/7))*INDEX(Properties!$F$5:$F$24,MATCH(D928,Properties!$A$5:$A$24,0)))*(1-IF(H928&gt;=28,Settings!$B$10,IF(H928&gt;=7,Settings!$B$9,0))),2)),0))</f>
        <v/>
      </c>
      <c r="K928" s="46" t="str">
        <f aca="false">IF(J928="","",IFERROR(N(INDEX(Properties!$G$5:$G$24,MATCH(D928,Properties!$A$5:$A$24,0))),0))</f>
        <v/>
      </c>
      <c r="L928" s="46" t="str">
        <f aca="false">IF(J928="","",IFERROR(MAX(0,N(G928)-INDEX(Properties!$I$5:$I$24,MATCH(D928,Properties!$A$5:$A$24,0)))*N(INDEX(Properties!$J$5:$J$24,MATCH(D928,Properties!$A$5:$A$24,0)))*H928,0))</f>
        <v/>
      </c>
      <c r="M928" s="37"/>
      <c r="N928" s="46" t="str">
        <f aca="false">IF(J928="","",J928+K928+L928+N(M928))</f>
        <v/>
      </c>
      <c r="O928" s="46" t="str">
        <f aca="false">IF(N928="","",IF(P928&lt;&gt;"",N928-P928,ROUND(N928*IFERROR(INDEX(Settings!$E$5:$E$12,MATCH(F928,Settings!$D$5:$D$12,0)),0),2)))</f>
        <v/>
      </c>
      <c r="P928" s="37"/>
      <c r="Q928" s="46" t="str">
        <f aca="false">IF(N928="","",IF(P928&lt;&gt;"",P928,N928-O928))</f>
        <v/>
      </c>
      <c r="R928" s="46" t="str">
        <f aca="false">IF(J928="","",IFERROR(N(INDEX(Properties!$H$5:$H$24,MATCH(D928,Properties!$A$5:$A$24,0))),0))</f>
        <v/>
      </c>
      <c r="S928" s="46" t="str">
        <f aca="false">IF(Q928="","",Q928-R928)</f>
        <v/>
      </c>
      <c r="T928" s="6"/>
      <c r="U928" s="6"/>
      <c r="V928" s="6"/>
      <c r="W928" s="6"/>
      <c r="X928" s="6"/>
      <c r="Y928" s="8" t="str">
        <f aca="false">IF(OR(D928="",B928="",C928=""),"",IF(N(C928)&lt;=N(B928),"Check dates",IF(T928="Cancelled","",IF(COUNTIFS($D$5:$D$1004,D928,$B$5:$B$1004,"&lt;"&amp;C928,$C$5:$C$1004,"&gt;"&amp;B928,$T$5:$T$1004,"&lt;&gt;Cancelled")&gt;1,"Double-booked",""))))</f>
        <v/>
      </c>
      <c r="Z928" s="42" t="str">
        <f aca="false">IF(AND(AA928=1,ISNUMBER(C928)),C928+ROW()/100000,"")</f>
        <v/>
      </c>
      <c r="AA928" s="43" t="n">
        <f aca="false">IF(AND(D928&lt;&gt;"",ISNUMBER(B928),ISNUMBER(C928),N(H928)&gt;0,T928&lt;&gt;"Cancelled",J928&lt;&gt;""),1,0)</f>
        <v>0</v>
      </c>
      <c r="AB928" s="44" t="n">
        <f aca="false">IF(AA928=1,J928/H928,0)</f>
        <v>0</v>
      </c>
      <c r="AC928" s="44" t="n">
        <f aca="false">IF(AA928=1,Q928/H928,0)</f>
        <v>0</v>
      </c>
      <c r="AD928" s="44" t="n">
        <f aca="false">IF(AA928=1,R928/H928,0)</f>
        <v>0</v>
      </c>
      <c r="AE928" s="44" t="n">
        <f aca="false">IF(AA928=1,O928/H928,0)</f>
        <v>0</v>
      </c>
      <c r="AF928" s="44" t="n">
        <f aca="false">IF(AA928=1,K928/H928,0)</f>
        <v>0</v>
      </c>
      <c r="AG928" s="45" t="str">
        <f aca="false">IF(AA928=1,D928&amp;"|"&amp;TEXT(B928,"0"),"")</f>
        <v/>
      </c>
      <c r="AH928" s="43" t="n">
        <f aca="false">IF(AA928=1,H928,0)</f>
        <v>0</v>
      </c>
    </row>
    <row r="929" customFormat="false" ht="15" hidden="false" customHeight="false" outlineLevel="0" collapsed="false">
      <c r="A929" s="8" t="str">
        <f aca="false">IF(B929="","","B-"&amp;TEXT(ROW()-4,"0000"))</f>
        <v/>
      </c>
      <c r="B929" s="38"/>
      <c r="C929" s="38"/>
      <c r="D929" s="6"/>
      <c r="E929" s="6"/>
      <c r="F929" s="6"/>
      <c r="G929" s="11"/>
      <c r="H929" s="18" t="str">
        <f aca="false">IF(AND(ISNUMBER(B929),ISNUMBER(C929)),MAX(0,C929-B929),"")</f>
        <v/>
      </c>
      <c r="I929" s="37"/>
      <c r="J929" s="41" t="str">
        <f aca="false">IF(OR(D929="",N(H929)=0),"",IFERROR(IF(I929&lt;&gt;"",H929*I929,ROUND(((H929-(INT((WEEKDAY(B929-6)+H929-1)/7)+INT((WEEKDAY(B929-7)+H929-1)/7)))*INDEX(Properties!$E$5:$E$24,MATCH(D929,Properties!$A$5:$A$24,0))+(INT((WEEKDAY(B929-6)+H929-1)/7)+INT((WEEKDAY(B929-7)+H929-1)/7))*INDEX(Properties!$F$5:$F$24,MATCH(D929,Properties!$A$5:$A$24,0)))*(1-IF(H929&gt;=28,Settings!$B$10,IF(H929&gt;=7,Settings!$B$9,0))),2)),0))</f>
        <v/>
      </c>
      <c r="K929" s="41" t="str">
        <f aca="false">IF(J929="","",IFERROR(N(INDEX(Properties!$G$5:$G$24,MATCH(D929,Properties!$A$5:$A$24,0))),0))</f>
        <v/>
      </c>
      <c r="L929" s="41" t="str">
        <f aca="false">IF(J929="","",IFERROR(MAX(0,N(G929)-INDEX(Properties!$I$5:$I$24,MATCH(D929,Properties!$A$5:$A$24,0)))*N(INDEX(Properties!$J$5:$J$24,MATCH(D929,Properties!$A$5:$A$24,0)))*H929,0))</f>
        <v/>
      </c>
      <c r="M929" s="37"/>
      <c r="N929" s="41" t="str">
        <f aca="false">IF(J929="","",J929+K929+L929+N(M929))</f>
        <v/>
      </c>
      <c r="O929" s="41" t="str">
        <f aca="false">IF(N929="","",IF(P929&lt;&gt;"",N929-P929,ROUND(N929*IFERROR(INDEX(Settings!$E$5:$E$12,MATCH(F929,Settings!$D$5:$D$12,0)),0),2)))</f>
        <v/>
      </c>
      <c r="P929" s="37"/>
      <c r="Q929" s="41" t="str">
        <f aca="false">IF(N929="","",IF(P929&lt;&gt;"",P929,N929-O929))</f>
        <v/>
      </c>
      <c r="R929" s="41" t="str">
        <f aca="false">IF(J929="","",IFERROR(N(INDEX(Properties!$H$5:$H$24,MATCH(D929,Properties!$A$5:$A$24,0))),0))</f>
        <v/>
      </c>
      <c r="S929" s="41" t="str">
        <f aca="false">IF(Q929="","",Q929-R929)</f>
        <v/>
      </c>
      <c r="T929" s="6"/>
      <c r="U929" s="6"/>
      <c r="V929" s="6"/>
      <c r="W929" s="6"/>
      <c r="X929" s="6"/>
      <c r="Y929" s="8" t="str">
        <f aca="false">IF(OR(D929="",B929="",C929=""),"",IF(N(C929)&lt;=N(B929),"Check dates",IF(T929="Cancelled","",IF(COUNTIFS($D$5:$D$1004,D929,$B$5:$B$1004,"&lt;"&amp;C929,$C$5:$C$1004,"&gt;"&amp;B929,$T$5:$T$1004,"&lt;&gt;Cancelled")&gt;1,"Double-booked",""))))</f>
        <v/>
      </c>
      <c r="Z929" s="42" t="str">
        <f aca="false">IF(AND(AA929=1,ISNUMBER(C929)),C929+ROW()/100000,"")</f>
        <v/>
      </c>
      <c r="AA929" s="43" t="n">
        <f aca="false">IF(AND(D929&lt;&gt;"",ISNUMBER(B929),ISNUMBER(C929),N(H929)&gt;0,T929&lt;&gt;"Cancelled",J929&lt;&gt;""),1,0)</f>
        <v>0</v>
      </c>
      <c r="AB929" s="44" t="n">
        <f aca="false">IF(AA929=1,J929/H929,0)</f>
        <v>0</v>
      </c>
      <c r="AC929" s="44" t="n">
        <f aca="false">IF(AA929=1,Q929/H929,0)</f>
        <v>0</v>
      </c>
      <c r="AD929" s="44" t="n">
        <f aca="false">IF(AA929=1,R929/H929,0)</f>
        <v>0</v>
      </c>
      <c r="AE929" s="44" t="n">
        <f aca="false">IF(AA929=1,O929/H929,0)</f>
        <v>0</v>
      </c>
      <c r="AF929" s="44" t="n">
        <f aca="false">IF(AA929=1,K929/H929,0)</f>
        <v>0</v>
      </c>
      <c r="AG929" s="45" t="str">
        <f aca="false">IF(AA929=1,D929&amp;"|"&amp;TEXT(B929,"0"),"")</f>
        <v/>
      </c>
      <c r="AH929" s="43" t="n">
        <f aca="false">IF(AA929=1,H929,0)</f>
        <v>0</v>
      </c>
    </row>
    <row r="930" customFormat="false" ht="15" hidden="false" customHeight="false" outlineLevel="0" collapsed="false">
      <c r="A930" s="23" t="str">
        <f aca="false">IF(B930="","","B-"&amp;TEXT(ROW()-4,"0000"))</f>
        <v/>
      </c>
      <c r="B930" s="38"/>
      <c r="C930" s="38"/>
      <c r="D930" s="6"/>
      <c r="E930" s="6"/>
      <c r="F930" s="6"/>
      <c r="G930" s="11"/>
      <c r="H930" s="24" t="str">
        <f aca="false">IF(AND(ISNUMBER(B930),ISNUMBER(C930)),MAX(0,C930-B930),"")</f>
        <v/>
      </c>
      <c r="I930" s="37"/>
      <c r="J930" s="46" t="str">
        <f aca="false">IF(OR(D930="",N(H930)=0),"",IFERROR(IF(I930&lt;&gt;"",H930*I930,ROUND(((H930-(INT((WEEKDAY(B930-6)+H930-1)/7)+INT((WEEKDAY(B930-7)+H930-1)/7)))*INDEX(Properties!$E$5:$E$24,MATCH(D930,Properties!$A$5:$A$24,0))+(INT((WEEKDAY(B930-6)+H930-1)/7)+INT((WEEKDAY(B930-7)+H930-1)/7))*INDEX(Properties!$F$5:$F$24,MATCH(D930,Properties!$A$5:$A$24,0)))*(1-IF(H930&gt;=28,Settings!$B$10,IF(H930&gt;=7,Settings!$B$9,0))),2)),0))</f>
        <v/>
      </c>
      <c r="K930" s="46" t="str">
        <f aca="false">IF(J930="","",IFERROR(N(INDEX(Properties!$G$5:$G$24,MATCH(D930,Properties!$A$5:$A$24,0))),0))</f>
        <v/>
      </c>
      <c r="L930" s="46" t="str">
        <f aca="false">IF(J930="","",IFERROR(MAX(0,N(G930)-INDEX(Properties!$I$5:$I$24,MATCH(D930,Properties!$A$5:$A$24,0)))*N(INDEX(Properties!$J$5:$J$24,MATCH(D930,Properties!$A$5:$A$24,0)))*H930,0))</f>
        <v/>
      </c>
      <c r="M930" s="37"/>
      <c r="N930" s="46" t="str">
        <f aca="false">IF(J930="","",J930+K930+L930+N(M930))</f>
        <v/>
      </c>
      <c r="O930" s="46" t="str">
        <f aca="false">IF(N930="","",IF(P930&lt;&gt;"",N930-P930,ROUND(N930*IFERROR(INDEX(Settings!$E$5:$E$12,MATCH(F930,Settings!$D$5:$D$12,0)),0),2)))</f>
        <v/>
      </c>
      <c r="P930" s="37"/>
      <c r="Q930" s="46" t="str">
        <f aca="false">IF(N930="","",IF(P930&lt;&gt;"",P930,N930-O930))</f>
        <v/>
      </c>
      <c r="R930" s="46" t="str">
        <f aca="false">IF(J930="","",IFERROR(N(INDEX(Properties!$H$5:$H$24,MATCH(D930,Properties!$A$5:$A$24,0))),0))</f>
        <v/>
      </c>
      <c r="S930" s="46" t="str">
        <f aca="false">IF(Q930="","",Q930-R930)</f>
        <v/>
      </c>
      <c r="T930" s="6"/>
      <c r="U930" s="6"/>
      <c r="V930" s="6"/>
      <c r="W930" s="6"/>
      <c r="X930" s="6"/>
      <c r="Y930" s="8" t="str">
        <f aca="false">IF(OR(D930="",B930="",C930=""),"",IF(N(C930)&lt;=N(B930),"Check dates",IF(T930="Cancelled","",IF(COUNTIFS($D$5:$D$1004,D930,$B$5:$B$1004,"&lt;"&amp;C930,$C$5:$C$1004,"&gt;"&amp;B930,$T$5:$T$1004,"&lt;&gt;Cancelled")&gt;1,"Double-booked",""))))</f>
        <v/>
      </c>
      <c r="Z930" s="42" t="str">
        <f aca="false">IF(AND(AA930=1,ISNUMBER(C930)),C930+ROW()/100000,"")</f>
        <v/>
      </c>
      <c r="AA930" s="43" t="n">
        <f aca="false">IF(AND(D930&lt;&gt;"",ISNUMBER(B930),ISNUMBER(C930),N(H930)&gt;0,T930&lt;&gt;"Cancelled",J930&lt;&gt;""),1,0)</f>
        <v>0</v>
      </c>
      <c r="AB930" s="44" t="n">
        <f aca="false">IF(AA930=1,J930/H930,0)</f>
        <v>0</v>
      </c>
      <c r="AC930" s="44" t="n">
        <f aca="false">IF(AA930=1,Q930/H930,0)</f>
        <v>0</v>
      </c>
      <c r="AD930" s="44" t="n">
        <f aca="false">IF(AA930=1,R930/H930,0)</f>
        <v>0</v>
      </c>
      <c r="AE930" s="44" t="n">
        <f aca="false">IF(AA930=1,O930/H930,0)</f>
        <v>0</v>
      </c>
      <c r="AF930" s="44" t="n">
        <f aca="false">IF(AA930=1,K930/H930,0)</f>
        <v>0</v>
      </c>
      <c r="AG930" s="45" t="str">
        <f aca="false">IF(AA930=1,D930&amp;"|"&amp;TEXT(B930,"0"),"")</f>
        <v/>
      </c>
      <c r="AH930" s="43" t="n">
        <f aca="false">IF(AA930=1,H930,0)</f>
        <v>0</v>
      </c>
    </row>
    <row r="931" customFormat="false" ht="15" hidden="false" customHeight="false" outlineLevel="0" collapsed="false">
      <c r="A931" s="8" t="str">
        <f aca="false">IF(B931="","","B-"&amp;TEXT(ROW()-4,"0000"))</f>
        <v/>
      </c>
      <c r="B931" s="38"/>
      <c r="C931" s="38"/>
      <c r="D931" s="6"/>
      <c r="E931" s="6"/>
      <c r="F931" s="6"/>
      <c r="G931" s="11"/>
      <c r="H931" s="18" t="str">
        <f aca="false">IF(AND(ISNUMBER(B931),ISNUMBER(C931)),MAX(0,C931-B931),"")</f>
        <v/>
      </c>
      <c r="I931" s="37"/>
      <c r="J931" s="41" t="str">
        <f aca="false">IF(OR(D931="",N(H931)=0),"",IFERROR(IF(I931&lt;&gt;"",H931*I931,ROUND(((H931-(INT((WEEKDAY(B931-6)+H931-1)/7)+INT((WEEKDAY(B931-7)+H931-1)/7)))*INDEX(Properties!$E$5:$E$24,MATCH(D931,Properties!$A$5:$A$24,0))+(INT((WEEKDAY(B931-6)+H931-1)/7)+INT((WEEKDAY(B931-7)+H931-1)/7))*INDEX(Properties!$F$5:$F$24,MATCH(D931,Properties!$A$5:$A$24,0)))*(1-IF(H931&gt;=28,Settings!$B$10,IF(H931&gt;=7,Settings!$B$9,0))),2)),0))</f>
        <v/>
      </c>
      <c r="K931" s="41" t="str">
        <f aca="false">IF(J931="","",IFERROR(N(INDEX(Properties!$G$5:$G$24,MATCH(D931,Properties!$A$5:$A$24,0))),0))</f>
        <v/>
      </c>
      <c r="L931" s="41" t="str">
        <f aca="false">IF(J931="","",IFERROR(MAX(0,N(G931)-INDEX(Properties!$I$5:$I$24,MATCH(D931,Properties!$A$5:$A$24,0)))*N(INDEX(Properties!$J$5:$J$24,MATCH(D931,Properties!$A$5:$A$24,0)))*H931,0))</f>
        <v/>
      </c>
      <c r="M931" s="37"/>
      <c r="N931" s="41" t="str">
        <f aca="false">IF(J931="","",J931+K931+L931+N(M931))</f>
        <v/>
      </c>
      <c r="O931" s="41" t="str">
        <f aca="false">IF(N931="","",IF(P931&lt;&gt;"",N931-P931,ROUND(N931*IFERROR(INDEX(Settings!$E$5:$E$12,MATCH(F931,Settings!$D$5:$D$12,0)),0),2)))</f>
        <v/>
      </c>
      <c r="P931" s="37"/>
      <c r="Q931" s="41" t="str">
        <f aca="false">IF(N931="","",IF(P931&lt;&gt;"",P931,N931-O931))</f>
        <v/>
      </c>
      <c r="R931" s="41" t="str">
        <f aca="false">IF(J931="","",IFERROR(N(INDEX(Properties!$H$5:$H$24,MATCH(D931,Properties!$A$5:$A$24,0))),0))</f>
        <v/>
      </c>
      <c r="S931" s="41" t="str">
        <f aca="false">IF(Q931="","",Q931-R931)</f>
        <v/>
      </c>
      <c r="T931" s="6"/>
      <c r="U931" s="6"/>
      <c r="V931" s="6"/>
      <c r="W931" s="6"/>
      <c r="X931" s="6"/>
      <c r="Y931" s="8" t="str">
        <f aca="false">IF(OR(D931="",B931="",C931=""),"",IF(N(C931)&lt;=N(B931),"Check dates",IF(T931="Cancelled","",IF(COUNTIFS($D$5:$D$1004,D931,$B$5:$B$1004,"&lt;"&amp;C931,$C$5:$C$1004,"&gt;"&amp;B931,$T$5:$T$1004,"&lt;&gt;Cancelled")&gt;1,"Double-booked",""))))</f>
        <v/>
      </c>
      <c r="Z931" s="42" t="str">
        <f aca="false">IF(AND(AA931=1,ISNUMBER(C931)),C931+ROW()/100000,"")</f>
        <v/>
      </c>
      <c r="AA931" s="43" t="n">
        <f aca="false">IF(AND(D931&lt;&gt;"",ISNUMBER(B931),ISNUMBER(C931),N(H931)&gt;0,T931&lt;&gt;"Cancelled",J931&lt;&gt;""),1,0)</f>
        <v>0</v>
      </c>
      <c r="AB931" s="44" t="n">
        <f aca="false">IF(AA931=1,J931/H931,0)</f>
        <v>0</v>
      </c>
      <c r="AC931" s="44" t="n">
        <f aca="false">IF(AA931=1,Q931/H931,0)</f>
        <v>0</v>
      </c>
      <c r="AD931" s="44" t="n">
        <f aca="false">IF(AA931=1,R931/H931,0)</f>
        <v>0</v>
      </c>
      <c r="AE931" s="44" t="n">
        <f aca="false">IF(AA931=1,O931/H931,0)</f>
        <v>0</v>
      </c>
      <c r="AF931" s="44" t="n">
        <f aca="false">IF(AA931=1,K931/H931,0)</f>
        <v>0</v>
      </c>
      <c r="AG931" s="45" t="str">
        <f aca="false">IF(AA931=1,D931&amp;"|"&amp;TEXT(B931,"0"),"")</f>
        <v/>
      </c>
      <c r="AH931" s="43" t="n">
        <f aca="false">IF(AA931=1,H931,0)</f>
        <v>0</v>
      </c>
    </row>
    <row r="932" customFormat="false" ht="15" hidden="false" customHeight="false" outlineLevel="0" collapsed="false">
      <c r="A932" s="23" t="str">
        <f aca="false">IF(B932="","","B-"&amp;TEXT(ROW()-4,"0000"))</f>
        <v/>
      </c>
      <c r="B932" s="38"/>
      <c r="C932" s="38"/>
      <c r="D932" s="6"/>
      <c r="E932" s="6"/>
      <c r="F932" s="6"/>
      <c r="G932" s="11"/>
      <c r="H932" s="24" t="str">
        <f aca="false">IF(AND(ISNUMBER(B932),ISNUMBER(C932)),MAX(0,C932-B932),"")</f>
        <v/>
      </c>
      <c r="I932" s="37"/>
      <c r="J932" s="46" t="str">
        <f aca="false">IF(OR(D932="",N(H932)=0),"",IFERROR(IF(I932&lt;&gt;"",H932*I932,ROUND(((H932-(INT((WEEKDAY(B932-6)+H932-1)/7)+INT((WEEKDAY(B932-7)+H932-1)/7)))*INDEX(Properties!$E$5:$E$24,MATCH(D932,Properties!$A$5:$A$24,0))+(INT((WEEKDAY(B932-6)+H932-1)/7)+INT((WEEKDAY(B932-7)+H932-1)/7))*INDEX(Properties!$F$5:$F$24,MATCH(D932,Properties!$A$5:$A$24,0)))*(1-IF(H932&gt;=28,Settings!$B$10,IF(H932&gt;=7,Settings!$B$9,0))),2)),0))</f>
        <v/>
      </c>
      <c r="K932" s="46" t="str">
        <f aca="false">IF(J932="","",IFERROR(N(INDEX(Properties!$G$5:$G$24,MATCH(D932,Properties!$A$5:$A$24,0))),0))</f>
        <v/>
      </c>
      <c r="L932" s="46" t="str">
        <f aca="false">IF(J932="","",IFERROR(MAX(0,N(G932)-INDEX(Properties!$I$5:$I$24,MATCH(D932,Properties!$A$5:$A$24,0)))*N(INDEX(Properties!$J$5:$J$24,MATCH(D932,Properties!$A$5:$A$24,0)))*H932,0))</f>
        <v/>
      </c>
      <c r="M932" s="37"/>
      <c r="N932" s="46" t="str">
        <f aca="false">IF(J932="","",J932+K932+L932+N(M932))</f>
        <v/>
      </c>
      <c r="O932" s="46" t="str">
        <f aca="false">IF(N932="","",IF(P932&lt;&gt;"",N932-P932,ROUND(N932*IFERROR(INDEX(Settings!$E$5:$E$12,MATCH(F932,Settings!$D$5:$D$12,0)),0),2)))</f>
        <v/>
      </c>
      <c r="P932" s="37"/>
      <c r="Q932" s="46" t="str">
        <f aca="false">IF(N932="","",IF(P932&lt;&gt;"",P932,N932-O932))</f>
        <v/>
      </c>
      <c r="R932" s="46" t="str">
        <f aca="false">IF(J932="","",IFERROR(N(INDEX(Properties!$H$5:$H$24,MATCH(D932,Properties!$A$5:$A$24,0))),0))</f>
        <v/>
      </c>
      <c r="S932" s="46" t="str">
        <f aca="false">IF(Q932="","",Q932-R932)</f>
        <v/>
      </c>
      <c r="T932" s="6"/>
      <c r="U932" s="6"/>
      <c r="V932" s="6"/>
      <c r="W932" s="6"/>
      <c r="X932" s="6"/>
      <c r="Y932" s="8" t="str">
        <f aca="false">IF(OR(D932="",B932="",C932=""),"",IF(N(C932)&lt;=N(B932),"Check dates",IF(T932="Cancelled","",IF(COUNTIFS($D$5:$D$1004,D932,$B$5:$B$1004,"&lt;"&amp;C932,$C$5:$C$1004,"&gt;"&amp;B932,$T$5:$T$1004,"&lt;&gt;Cancelled")&gt;1,"Double-booked",""))))</f>
        <v/>
      </c>
      <c r="Z932" s="42" t="str">
        <f aca="false">IF(AND(AA932=1,ISNUMBER(C932)),C932+ROW()/100000,"")</f>
        <v/>
      </c>
      <c r="AA932" s="43" t="n">
        <f aca="false">IF(AND(D932&lt;&gt;"",ISNUMBER(B932),ISNUMBER(C932),N(H932)&gt;0,T932&lt;&gt;"Cancelled",J932&lt;&gt;""),1,0)</f>
        <v>0</v>
      </c>
      <c r="AB932" s="44" t="n">
        <f aca="false">IF(AA932=1,J932/H932,0)</f>
        <v>0</v>
      </c>
      <c r="AC932" s="44" t="n">
        <f aca="false">IF(AA932=1,Q932/H932,0)</f>
        <v>0</v>
      </c>
      <c r="AD932" s="44" t="n">
        <f aca="false">IF(AA932=1,R932/H932,0)</f>
        <v>0</v>
      </c>
      <c r="AE932" s="44" t="n">
        <f aca="false">IF(AA932=1,O932/H932,0)</f>
        <v>0</v>
      </c>
      <c r="AF932" s="44" t="n">
        <f aca="false">IF(AA932=1,K932/H932,0)</f>
        <v>0</v>
      </c>
      <c r="AG932" s="45" t="str">
        <f aca="false">IF(AA932=1,D932&amp;"|"&amp;TEXT(B932,"0"),"")</f>
        <v/>
      </c>
      <c r="AH932" s="43" t="n">
        <f aca="false">IF(AA932=1,H932,0)</f>
        <v>0</v>
      </c>
    </row>
    <row r="933" customFormat="false" ht="15" hidden="false" customHeight="false" outlineLevel="0" collapsed="false">
      <c r="A933" s="8" t="str">
        <f aca="false">IF(B933="","","B-"&amp;TEXT(ROW()-4,"0000"))</f>
        <v/>
      </c>
      <c r="B933" s="38"/>
      <c r="C933" s="38"/>
      <c r="D933" s="6"/>
      <c r="E933" s="6"/>
      <c r="F933" s="6"/>
      <c r="G933" s="11"/>
      <c r="H933" s="18" t="str">
        <f aca="false">IF(AND(ISNUMBER(B933),ISNUMBER(C933)),MAX(0,C933-B933),"")</f>
        <v/>
      </c>
      <c r="I933" s="37"/>
      <c r="J933" s="41" t="str">
        <f aca="false">IF(OR(D933="",N(H933)=0),"",IFERROR(IF(I933&lt;&gt;"",H933*I933,ROUND(((H933-(INT((WEEKDAY(B933-6)+H933-1)/7)+INT((WEEKDAY(B933-7)+H933-1)/7)))*INDEX(Properties!$E$5:$E$24,MATCH(D933,Properties!$A$5:$A$24,0))+(INT((WEEKDAY(B933-6)+H933-1)/7)+INT((WEEKDAY(B933-7)+H933-1)/7))*INDEX(Properties!$F$5:$F$24,MATCH(D933,Properties!$A$5:$A$24,0)))*(1-IF(H933&gt;=28,Settings!$B$10,IF(H933&gt;=7,Settings!$B$9,0))),2)),0))</f>
        <v/>
      </c>
      <c r="K933" s="41" t="str">
        <f aca="false">IF(J933="","",IFERROR(N(INDEX(Properties!$G$5:$G$24,MATCH(D933,Properties!$A$5:$A$24,0))),0))</f>
        <v/>
      </c>
      <c r="L933" s="41" t="str">
        <f aca="false">IF(J933="","",IFERROR(MAX(0,N(G933)-INDEX(Properties!$I$5:$I$24,MATCH(D933,Properties!$A$5:$A$24,0)))*N(INDEX(Properties!$J$5:$J$24,MATCH(D933,Properties!$A$5:$A$24,0)))*H933,0))</f>
        <v/>
      </c>
      <c r="M933" s="37"/>
      <c r="N933" s="41" t="str">
        <f aca="false">IF(J933="","",J933+K933+L933+N(M933))</f>
        <v/>
      </c>
      <c r="O933" s="41" t="str">
        <f aca="false">IF(N933="","",IF(P933&lt;&gt;"",N933-P933,ROUND(N933*IFERROR(INDEX(Settings!$E$5:$E$12,MATCH(F933,Settings!$D$5:$D$12,0)),0),2)))</f>
        <v/>
      </c>
      <c r="P933" s="37"/>
      <c r="Q933" s="41" t="str">
        <f aca="false">IF(N933="","",IF(P933&lt;&gt;"",P933,N933-O933))</f>
        <v/>
      </c>
      <c r="R933" s="41" t="str">
        <f aca="false">IF(J933="","",IFERROR(N(INDEX(Properties!$H$5:$H$24,MATCH(D933,Properties!$A$5:$A$24,0))),0))</f>
        <v/>
      </c>
      <c r="S933" s="41" t="str">
        <f aca="false">IF(Q933="","",Q933-R933)</f>
        <v/>
      </c>
      <c r="T933" s="6"/>
      <c r="U933" s="6"/>
      <c r="V933" s="6"/>
      <c r="W933" s="6"/>
      <c r="X933" s="6"/>
      <c r="Y933" s="8" t="str">
        <f aca="false">IF(OR(D933="",B933="",C933=""),"",IF(N(C933)&lt;=N(B933),"Check dates",IF(T933="Cancelled","",IF(COUNTIFS($D$5:$D$1004,D933,$B$5:$B$1004,"&lt;"&amp;C933,$C$5:$C$1004,"&gt;"&amp;B933,$T$5:$T$1004,"&lt;&gt;Cancelled")&gt;1,"Double-booked",""))))</f>
        <v/>
      </c>
      <c r="Z933" s="42" t="str">
        <f aca="false">IF(AND(AA933=1,ISNUMBER(C933)),C933+ROW()/100000,"")</f>
        <v/>
      </c>
      <c r="AA933" s="43" t="n">
        <f aca="false">IF(AND(D933&lt;&gt;"",ISNUMBER(B933),ISNUMBER(C933),N(H933)&gt;0,T933&lt;&gt;"Cancelled",J933&lt;&gt;""),1,0)</f>
        <v>0</v>
      </c>
      <c r="AB933" s="44" t="n">
        <f aca="false">IF(AA933=1,J933/H933,0)</f>
        <v>0</v>
      </c>
      <c r="AC933" s="44" t="n">
        <f aca="false">IF(AA933=1,Q933/H933,0)</f>
        <v>0</v>
      </c>
      <c r="AD933" s="44" t="n">
        <f aca="false">IF(AA933=1,R933/H933,0)</f>
        <v>0</v>
      </c>
      <c r="AE933" s="44" t="n">
        <f aca="false">IF(AA933=1,O933/H933,0)</f>
        <v>0</v>
      </c>
      <c r="AF933" s="44" t="n">
        <f aca="false">IF(AA933=1,K933/H933,0)</f>
        <v>0</v>
      </c>
      <c r="AG933" s="45" t="str">
        <f aca="false">IF(AA933=1,D933&amp;"|"&amp;TEXT(B933,"0"),"")</f>
        <v/>
      </c>
      <c r="AH933" s="43" t="n">
        <f aca="false">IF(AA933=1,H933,0)</f>
        <v>0</v>
      </c>
    </row>
    <row r="934" customFormat="false" ht="15" hidden="false" customHeight="false" outlineLevel="0" collapsed="false">
      <c r="A934" s="23" t="str">
        <f aca="false">IF(B934="","","B-"&amp;TEXT(ROW()-4,"0000"))</f>
        <v/>
      </c>
      <c r="B934" s="38"/>
      <c r="C934" s="38"/>
      <c r="D934" s="6"/>
      <c r="E934" s="6"/>
      <c r="F934" s="6"/>
      <c r="G934" s="11"/>
      <c r="H934" s="24" t="str">
        <f aca="false">IF(AND(ISNUMBER(B934),ISNUMBER(C934)),MAX(0,C934-B934),"")</f>
        <v/>
      </c>
      <c r="I934" s="37"/>
      <c r="J934" s="46" t="str">
        <f aca="false">IF(OR(D934="",N(H934)=0),"",IFERROR(IF(I934&lt;&gt;"",H934*I934,ROUND(((H934-(INT((WEEKDAY(B934-6)+H934-1)/7)+INT((WEEKDAY(B934-7)+H934-1)/7)))*INDEX(Properties!$E$5:$E$24,MATCH(D934,Properties!$A$5:$A$24,0))+(INT((WEEKDAY(B934-6)+H934-1)/7)+INT((WEEKDAY(B934-7)+H934-1)/7))*INDEX(Properties!$F$5:$F$24,MATCH(D934,Properties!$A$5:$A$24,0)))*(1-IF(H934&gt;=28,Settings!$B$10,IF(H934&gt;=7,Settings!$B$9,0))),2)),0))</f>
        <v/>
      </c>
      <c r="K934" s="46" t="str">
        <f aca="false">IF(J934="","",IFERROR(N(INDEX(Properties!$G$5:$G$24,MATCH(D934,Properties!$A$5:$A$24,0))),0))</f>
        <v/>
      </c>
      <c r="L934" s="46" t="str">
        <f aca="false">IF(J934="","",IFERROR(MAX(0,N(G934)-INDEX(Properties!$I$5:$I$24,MATCH(D934,Properties!$A$5:$A$24,0)))*N(INDEX(Properties!$J$5:$J$24,MATCH(D934,Properties!$A$5:$A$24,0)))*H934,0))</f>
        <v/>
      </c>
      <c r="M934" s="37"/>
      <c r="N934" s="46" t="str">
        <f aca="false">IF(J934="","",J934+K934+L934+N(M934))</f>
        <v/>
      </c>
      <c r="O934" s="46" t="str">
        <f aca="false">IF(N934="","",IF(P934&lt;&gt;"",N934-P934,ROUND(N934*IFERROR(INDEX(Settings!$E$5:$E$12,MATCH(F934,Settings!$D$5:$D$12,0)),0),2)))</f>
        <v/>
      </c>
      <c r="P934" s="37"/>
      <c r="Q934" s="46" t="str">
        <f aca="false">IF(N934="","",IF(P934&lt;&gt;"",P934,N934-O934))</f>
        <v/>
      </c>
      <c r="R934" s="46" t="str">
        <f aca="false">IF(J934="","",IFERROR(N(INDEX(Properties!$H$5:$H$24,MATCH(D934,Properties!$A$5:$A$24,0))),0))</f>
        <v/>
      </c>
      <c r="S934" s="46" t="str">
        <f aca="false">IF(Q934="","",Q934-R934)</f>
        <v/>
      </c>
      <c r="T934" s="6"/>
      <c r="U934" s="6"/>
      <c r="V934" s="6"/>
      <c r="W934" s="6"/>
      <c r="X934" s="6"/>
      <c r="Y934" s="8" t="str">
        <f aca="false">IF(OR(D934="",B934="",C934=""),"",IF(N(C934)&lt;=N(B934),"Check dates",IF(T934="Cancelled","",IF(COUNTIFS($D$5:$D$1004,D934,$B$5:$B$1004,"&lt;"&amp;C934,$C$5:$C$1004,"&gt;"&amp;B934,$T$5:$T$1004,"&lt;&gt;Cancelled")&gt;1,"Double-booked",""))))</f>
        <v/>
      </c>
      <c r="Z934" s="42" t="str">
        <f aca="false">IF(AND(AA934=1,ISNUMBER(C934)),C934+ROW()/100000,"")</f>
        <v/>
      </c>
      <c r="AA934" s="43" t="n">
        <f aca="false">IF(AND(D934&lt;&gt;"",ISNUMBER(B934),ISNUMBER(C934),N(H934)&gt;0,T934&lt;&gt;"Cancelled",J934&lt;&gt;""),1,0)</f>
        <v>0</v>
      </c>
      <c r="AB934" s="44" t="n">
        <f aca="false">IF(AA934=1,J934/H934,0)</f>
        <v>0</v>
      </c>
      <c r="AC934" s="44" t="n">
        <f aca="false">IF(AA934=1,Q934/H934,0)</f>
        <v>0</v>
      </c>
      <c r="AD934" s="44" t="n">
        <f aca="false">IF(AA934=1,R934/H934,0)</f>
        <v>0</v>
      </c>
      <c r="AE934" s="44" t="n">
        <f aca="false">IF(AA934=1,O934/H934,0)</f>
        <v>0</v>
      </c>
      <c r="AF934" s="44" t="n">
        <f aca="false">IF(AA934=1,K934/H934,0)</f>
        <v>0</v>
      </c>
      <c r="AG934" s="45" t="str">
        <f aca="false">IF(AA934=1,D934&amp;"|"&amp;TEXT(B934,"0"),"")</f>
        <v/>
      </c>
      <c r="AH934" s="43" t="n">
        <f aca="false">IF(AA934=1,H934,0)</f>
        <v>0</v>
      </c>
    </row>
    <row r="935" customFormat="false" ht="15" hidden="false" customHeight="false" outlineLevel="0" collapsed="false">
      <c r="A935" s="8" t="str">
        <f aca="false">IF(B935="","","B-"&amp;TEXT(ROW()-4,"0000"))</f>
        <v/>
      </c>
      <c r="B935" s="38"/>
      <c r="C935" s="38"/>
      <c r="D935" s="6"/>
      <c r="E935" s="6"/>
      <c r="F935" s="6"/>
      <c r="G935" s="11"/>
      <c r="H935" s="18" t="str">
        <f aca="false">IF(AND(ISNUMBER(B935),ISNUMBER(C935)),MAX(0,C935-B935),"")</f>
        <v/>
      </c>
      <c r="I935" s="37"/>
      <c r="J935" s="41" t="str">
        <f aca="false">IF(OR(D935="",N(H935)=0),"",IFERROR(IF(I935&lt;&gt;"",H935*I935,ROUND(((H935-(INT((WEEKDAY(B935-6)+H935-1)/7)+INT((WEEKDAY(B935-7)+H935-1)/7)))*INDEX(Properties!$E$5:$E$24,MATCH(D935,Properties!$A$5:$A$24,0))+(INT((WEEKDAY(B935-6)+H935-1)/7)+INT((WEEKDAY(B935-7)+H935-1)/7))*INDEX(Properties!$F$5:$F$24,MATCH(D935,Properties!$A$5:$A$24,0)))*(1-IF(H935&gt;=28,Settings!$B$10,IF(H935&gt;=7,Settings!$B$9,0))),2)),0))</f>
        <v/>
      </c>
      <c r="K935" s="41" t="str">
        <f aca="false">IF(J935="","",IFERROR(N(INDEX(Properties!$G$5:$G$24,MATCH(D935,Properties!$A$5:$A$24,0))),0))</f>
        <v/>
      </c>
      <c r="L935" s="41" t="str">
        <f aca="false">IF(J935="","",IFERROR(MAX(0,N(G935)-INDEX(Properties!$I$5:$I$24,MATCH(D935,Properties!$A$5:$A$24,0)))*N(INDEX(Properties!$J$5:$J$24,MATCH(D935,Properties!$A$5:$A$24,0)))*H935,0))</f>
        <v/>
      </c>
      <c r="M935" s="37"/>
      <c r="N935" s="41" t="str">
        <f aca="false">IF(J935="","",J935+K935+L935+N(M935))</f>
        <v/>
      </c>
      <c r="O935" s="41" t="str">
        <f aca="false">IF(N935="","",IF(P935&lt;&gt;"",N935-P935,ROUND(N935*IFERROR(INDEX(Settings!$E$5:$E$12,MATCH(F935,Settings!$D$5:$D$12,0)),0),2)))</f>
        <v/>
      </c>
      <c r="P935" s="37"/>
      <c r="Q935" s="41" t="str">
        <f aca="false">IF(N935="","",IF(P935&lt;&gt;"",P935,N935-O935))</f>
        <v/>
      </c>
      <c r="R935" s="41" t="str">
        <f aca="false">IF(J935="","",IFERROR(N(INDEX(Properties!$H$5:$H$24,MATCH(D935,Properties!$A$5:$A$24,0))),0))</f>
        <v/>
      </c>
      <c r="S935" s="41" t="str">
        <f aca="false">IF(Q935="","",Q935-R935)</f>
        <v/>
      </c>
      <c r="T935" s="6"/>
      <c r="U935" s="6"/>
      <c r="V935" s="6"/>
      <c r="W935" s="6"/>
      <c r="X935" s="6"/>
      <c r="Y935" s="8" t="str">
        <f aca="false">IF(OR(D935="",B935="",C935=""),"",IF(N(C935)&lt;=N(B935),"Check dates",IF(T935="Cancelled","",IF(COUNTIFS($D$5:$D$1004,D935,$B$5:$B$1004,"&lt;"&amp;C935,$C$5:$C$1004,"&gt;"&amp;B935,$T$5:$T$1004,"&lt;&gt;Cancelled")&gt;1,"Double-booked",""))))</f>
        <v/>
      </c>
      <c r="Z935" s="42" t="str">
        <f aca="false">IF(AND(AA935=1,ISNUMBER(C935)),C935+ROW()/100000,"")</f>
        <v/>
      </c>
      <c r="AA935" s="43" t="n">
        <f aca="false">IF(AND(D935&lt;&gt;"",ISNUMBER(B935),ISNUMBER(C935),N(H935)&gt;0,T935&lt;&gt;"Cancelled",J935&lt;&gt;""),1,0)</f>
        <v>0</v>
      </c>
      <c r="AB935" s="44" t="n">
        <f aca="false">IF(AA935=1,J935/H935,0)</f>
        <v>0</v>
      </c>
      <c r="AC935" s="44" t="n">
        <f aca="false">IF(AA935=1,Q935/H935,0)</f>
        <v>0</v>
      </c>
      <c r="AD935" s="44" t="n">
        <f aca="false">IF(AA935=1,R935/H935,0)</f>
        <v>0</v>
      </c>
      <c r="AE935" s="44" t="n">
        <f aca="false">IF(AA935=1,O935/H935,0)</f>
        <v>0</v>
      </c>
      <c r="AF935" s="44" t="n">
        <f aca="false">IF(AA935=1,K935/H935,0)</f>
        <v>0</v>
      </c>
      <c r="AG935" s="45" t="str">
        <f aca="false">IF(AA935=1,D935&amp;"|"&amp;TEXT(B935,"0"),"")</f>
        <v/>
      </c>
      <c r="AH935" s="43" t="n">
        <f aca="false">IF(AA935=1,H935,0)</f>
        <v>0</v>
      </c>
    </row>
    <row r="936" customFormat="false" ht="15" hidden="false" customHeight="false" outlineLevel="0" collapsed="false">
      <c r="A936" s="23" t="str">
        <f aca="false">IF(B936="","","B-"&amp;TEXT(ROW()-4,"0000"))</f>
        <v/>
      </c>
      <c r="B936" s="38"/>
      <c r="C936" s="38"/>
      <c r="D936" s="6"/>
      <c r="E936" s="6"/>
      <c r="F936" s="6"/>
      <c r="G936" s="11"/>
      <c r="H936" s="24" t="str">
        <f aca="false">IF(AND(ISNUMBER(B936),ISNUMBER(C936)),MAX(0,C936-B936),"")</f>
        <v/>
      </c>
      <c r="I936" s="37"/>
      <c r="J936" s="46" t="str">
        <f aca="false">IF(OR(D936="",N(H936)=0),"",IFERROR(IF(I936&lt;&gt;"",H936*I936,ROUND(((H936-(INT((WEEKDAY(B936-6)+H936-1)/7)+INT((WEEKDAY(B936-7)+H936-1)/7)))*INDEX(Properties!$E$5:$E$24,MATCH(D936,Properties!$A$5:$A$24,0))+(INT((WEEKDAY(B936-6)+H936-1)/7)+INT((WEEKDAY(B936-7)+H936-1)/7))*INDEX(Properties!$F$5:$F$24,MATCH(D936,Properties!$A$5:$A$24,0)))*(1-IF(H936&gt;=28,Settings!$B$10,IF(H936&gt;=7,Settings!$B$9,0))),2)),0))</f>
        <v/>
      </c>
      <c r="K936" s="46" t="str">
        <f aca="false">IF(J936="","",IFERROR(N(INDEX(Properties!$G$5:$G$24,MATCH(D936,Properties!$A$5:$A$24,0))),0))</f>
        <v/>
      </c>
      <c r="L936" s="46" t="str">
        <f aca="false">IF(J936="","",IFERROR(MAX(0,N(G936)-INDEX(Properties!$I$5:$I$24,MATCH(D936,Properties!$A$5:$A$24,0)))*N(INDEX(Properties!$J$5:$J$24,MATCH(D936,Properties!$A$5:$A$24,0)))*H936,0))</f>
        <v/>
      </c>
      <c r="M936" s="37"/>
      <c r="N936" s="46" t="str">
        <f aca="false">IF(J936="","",J936+K936+L936+N(M936))</f>
        <v/>
      </c>
      <c r="O936" s="46" t="str">
        <f aca="false">IF(N936="","",IF(P936&lt;&gt;"",N936-P936,ROUND(N936*IFERROR(INDEX(Settings!$E$5:$E$12,MATCH(F936,Settings!$D$5:$D$12,0)),0),2)))</f>
        <v/>
      </c>
      <c r="P936" s="37"/>
      <c r="Q936" s="46" t="str">
        <f aca="false">IF(N936="","",IF(P936&lt;&gt;"",P936,N936-O936))</f>
        <v/>
      </c>
      <c r="R936" s="46" t="str">
        <f aca="false">IF(J936="","",IFERROR(N(INDEX(Properties!$H$5:$H$24,MATCH(D936,Properties!$A$5:$A$24,0))),0))</f>
        <v/>
      </c>
      <c r="S936" s="46" t="str">
        <f aca="false">IF(Q936="","",Q936-R936)</f>
        <v/>
      </c>
      <c r="T936" s="6"/>
      <c r="U936" s="6"/>
      <c r="V936" s="6"/>
      <c r="W936" s="6"/>
      <c r="X936" s="6"/>
      <c r="Y936" s="8" t="str">
        <f aca="false">IF(OR(D936="",B936="",C936=""),"",IF(N(C936)&lt;=N(B936),"Check dates",IF(T936="Cancelled","",IF(COUNTIFS($D$5:$D$1004,D936,$B$5:$B$1004,"&lt;"&amp;C936,$C$5:$C$1004,"&gt;"&amp;B936,$T$5:$T$1004,"&lt;&gt;Cancelled")&gt;1,"Double-booked",""))))</f>
        <v/>
      </c>
      <c r="Z936" s="42" t="str">
        <f aca="false">IF(AND(AA936=1,ISNUMBER(C936)),C936+ROW()/100000,"")</f>
        <v/>
      </c>
      <c r="AA936" s="43" t="n">
        <f aca="false">IF(AND(D936&lt;&gt;"",ISNUMBER(B936),ISNUMBER(C936),N(H936)&gt;0,T936&lt;&gt;"Cancelled",J936&lt;&gt;""),1,0)</f>
        <v>0</v>
      </c>
      <c r="AB936" s="44" t="n">
        <f aca="false">IF(AA936=1,J936/H936,0)</f>
        <v>0</v>
      </c>
      <c r="AC936" s="44" t="n">
        <f aca="false">IF(AA936=1,Q936/H936,0)</f>
        <v>0</v>
      </c>
      <c r="AD936" s="44" t="n">
        <f aca="false">IF(AA936=1,R936/H936,0)</f>
        <v>0</v>
      </c>
      <c r="AE936" s="44" t="n">
        <f aca="false">IF(AA936=1,O936/H936,0)</f>
        <v>0</v>
      </c>
      <c r="AF936" s="44" t="n">
        <f aca="false">IF(AA936=1,K936/H936,0)</f>
        <v>0</v>
      </c>
      <c r="AG936" s="45" t="str">
        <f aca="false">IF(AA936=1,D936&amp;"|"&amp;TEXT(B936,"0"),"")</f>
        <v/>
      </c>
      <c r="AH936" s="43" t="n">
        <f aca="false">IF(AA936=1,H936,0)</f>
        <v>0</v>
      </c>
    </row>
    <row r="937" customFormat="false" ht="15" hidden="false" customHeight="false" outlineLevel="0" collapsed="false">
      <c r="A937" s="8" t="str">
        <f aca="false">IF(B937="","","B-"&amp;TEXT(ROW()-4,"0000"))</f>
        <v/>
      </c>
      <c r="B937" s="38"/>
      <c r="C937" s="38"/>
      <c r="D937" s="6"/>
      <c r="E937" s="6"/>
      <c r="F937" s="6"/>
      <c r="G937" s="11"/>
      <c r="H937" s="18" t="str">
        <f aca="false">IF(AND(ISNUMBER(B937),ISNUMBER(C937)),MAX(0,C937-B937),"")</f>
        <v/>
      </c>
      <c r="I937" s="37"/>
      <c r="J937" s="41" t="str">
        <f aca="false">IF(OR(D937="",N(H937)=0),"",IFERROR(IF(I937&lt;&gt;"",H937*I937,ROUND(((H937-(INT((WEEKDAY(B937-6)+H937-1)/7)+INT((WEEKDAY(B937-7)+H937-1)/7)))*INDEX(Properties!$E$5:$E$24,MATCH(D937,Properties!$A$5:$A$24,0))+(INT((WEEKDAY(B937-6)+H937-1)/7)+INT((WEEKDAY(B937-7)+H937-1)/7))*INDEX(Properties!$F$5:$F$24,MATCH(D937,Properties!$A$5:$A$24,0)))*(1-IF(H937&gt;=28,Settings!$B$10,IF(H937&gt;=7,Settings!$B$9,0))),2)),0))</f>
        <v/>
      </c>
      <c r="K937" s="41" t="str">
        <f aca="false">IF(J937="","",IFERROR(N(INDEX(Properties!$G$5:$G$24,MATCH(D937,Properties!$A$5:$A$24,0))),0))</f>
        <v/>
      </c>
      <c r="L937" s="41" t="str">
        <f aca="false">IF(J937="","",IFERROR(MAX(0,N(G937)-INDEX(Properties!$I$5:$I$24,MATCH(D937,Properties!$A$5:$A$24,0)))*N(INDEX(Properties!$J$5:$J$24,MATCH(D937,Properties!$A$5:$A$24,0)))*H937,0))</f>
        <v/>
      </c>
      <c r="M937" s="37"/>
      <c r="N937" s="41" t="str">
        <f aca="false">IF(J937="","",J937+K937+L937+N(M937))</f>
        <v/>
      </c>
      <c r="O937" s="41" t="str">
        <f aca="false">IF(N937="","",IF(P937&lt;&gt;"",N937-P937,ROUND(N937*IFERROR(INDEX(Settings!$E$5:$E$12,MATCH(F937,Settings!$D$5:$D$12,0)),0),2)))</f>
        <v/>
      </c>
      <c r="P937" s="37"/>
      <c r="Q937" s="41" t="str">
        <f aca="false">IF(N937="","",IF(P937&lt;&gt;"",P937,N937-O937))</f>
        <v/>
      </c>
      <c r="R937" s="41" t="str">
        <f aca="false">IF(J937="","",IFERROR(N(INDEX(Properties!$H$5:$H$24,MATCH(D937,Properties!$A$5:$A$24,0))),0))</f>
        <v/>
      </c>
      <c r="S937" s="41" t="str">
        <f aca="false">IF(Q937="","",Q937-R937)</f>
        <v/>
      </c>
      <c r="T937" s="6"/>
      <c r="U937" s="6"/>
      <c r="V937" s="6"/>
      <c r="W937" s="6"/>
      <c r="X937" s="6"/>
      <c r="Y937" s="8" t="str">
        <f aca="false">IF(OR(D937="",B937="",C937=""),"",IF(N(C937)&lt;=N(B937),"Check dates",IF(T937="Cancelled","",IF(COUNTIFS($D$5:$D$1004,D937,$B$5:$B$1004,"&lt;"&amp;C937,$C$5:$C$1004,"&gt;"&amp;B937,$T$5:$T$1004,"&lt;&gt;Cancelled")&gt;1,"Double-booked",""))))</f>
        <v/>
      </c>
      <c r="Z937" s="42" t="str">
        <f aca="false">IF(AND(AA937=1,ISNUMBER(C937)),C937+ROW()/100000,"")</f>
        <v/>
      </c>
      <c r="AA937" s="43" t="n">
        <f aca="false">IF(AND(D937&lt;&gt;"",ISNUMBER(B937),ISNUMBER(C937),N(H937)&gt;0,T937&lt;&gt;"Cancelled",J937&lt;&gt;""),1,0)</f>
        <v>0</v>
      </c>
      <c r="AB937" s="44" t="n">
        <f aca="false">IF(AA937=1,J937/H937,0)</f>
        <v>0</v>
      </c>
      <c r="AC937" s="44" t="n">
        <f aca="false">IF(AA937=1,Q937/H937,0)</f>
        <v>0</v>
      </c>
      <c r="AD937" s="44" t="n">
        <f aca="false">IF(AA937=1,R937/H937,0)</f>
        <v>0</v>
      </c>
      <c r="AE937" s="44" t="n">
        <f aca="false">IF(AA937=1,O937/H937,0)</f>
        <v>0</v>
      </c>
      <c r="AF937" s="44" t="n">
        <f aca="false">IF(AA937=1,K937/H937,0)</f>
        <v>0</v>
      </c>
      <c r="AG937" s="45" t="str">
        <f aca="false">IF(AA937=1,D937&amp;"|"&amp;TEXT(B937,"0"),"")</f>
        <v/>
      </c>
      <c r="AH937" s="43" t="n">
        <f aca="false">IF(AA937=1,H937,0)</f>
        <v>0</v>
      </c>
    </row>
    <row r="938" customFormat="false" ht="15" hidden="false" customHeight="false" outlineLevel="0" collapsed="false">
      <c r="A938" s="23" t="str">
        <f aca="false">IF(B938="","","B-"&amp;TEXT(ROW()-4,"0000"))</f>
        <v/>
      </c>
      <c r="B938" s="38"/>
      <c r="C938" s="38"/>
      <c r="D938" s="6"/>
      <c r="E938" s="6"/>
      <c r="F938" s="6"/>
      <c r="G938" s="11"/>
      <c r="H938" s="24" t="str">
        <f aca="false">IF(AND(ISNUMBER(B938),ISNUMBER(C938)),MAX(0,C938-B938),"")</f>
        <v/>
      </c>
      <c r="I938" s="37"/>
      <c r="J938" s="46" t="str">
        <f aca="false">IF(OR(D938="",N(H938)=0),"",IFERROR(IF(I938&lt;&gt;"",H938*I938,ROUND(((H938-(INT((WEEKDAY(B938-6)+H938-1)/7)+INT((WEEKDAY(B938-7)+H938-1)/7)))*INDEX(Properties!$E$5:$E$24,MATCH(D938,Properties!$A$5:$A$24,0))+(INT((WEEKDAY(B938-6)+H938-1)/7)+INT((WEEKDAY(B938-7)+H938-1)/7))*INDEX(Properties!$F$5:$F$24,MATCH(D938,Properties!$A$5:$A$24,0)))*(1-IF(H938&gt;=28,Settings!$B$10,IF(H938&gt;=7,Settings!$B$9,0))),2)),0))</f>
        <v/>
      </c>
      <c r="K938" s="46" t="str">
        <f aca="false">IF(J938="","",IFERROR(N(INDEX(Properties!$G$5:$G$24,MATCH(D938,Properties!$A$5:$A$24,0))),0))</f>
        <v/>
      </c>
      <c r="L938" s="46" t="str">
        <f aca="false">IF(J938="","",IFERROR(MAX(0,N(G938)-INDEX(Properties!$I$5:$I$24,MATCH(D938,Properties!$A$5:$A$24,0)))*N(INDEX(Properties!$J$5:$J$24,MATCH(D938,Properties!$A$5:$A$24,0)))*H938,0))</f>
        <v/>
      </c>
      <c r="M938" s="37"/>
      <c r="N938" s="46" t="str">
        <f aca="false">IF(J938="","",J938+K938+L938+N(M938))</f>
        <v/>
      </c>
      <c r="O938" s="46" t="str">
        <f aca="false">IF(N938="","",IF(P938&lt;&gt;"",N938-P938,ROUND(N938*IFERROR(INDEX(Settings!$E$5:$E$12,MATCH(F938,Settings!$D$5:$D$12,0)),0),2)))</f>
        <v/>
      </c>
      <c r="P938" s="37"/>
      <c r="Q938" s="46" t="str">
        <f aca="false">IF(N938="","",IF(P938&lt;&gt;"",P938,N938-O938))</f>
        <v/>
      </c>
      <c r="R938" s="46" t="str">
        <f aca="false">IF(J938="","",IFERROR(N(INDEX(Properties!$H$5:$H$24,MATCH(D938,Properties!$A$5:$A$24,0))),0))</f>
        <v/>
      </c>
      <c r="S938" s="46" t="str">
        <f aca="false">IF(Q938="","",Q938-R938)</f>
        <v/>
      </c>
      <c r="T938" s="6"/>
      <c r="U938" s="6"/>
      <c r="V938" s="6"/>
      <c r="W938" s="6"/>
      <c r="X938" s="6"/>
      <c r="Y938" s="8" t="str">
        <f aca="false">IF(OR(D938="",B938="",C938=""),"",IF(N(C938)&lt;=N(B938),"Check dates",IF(T938="Cancelled","",IF(COUNTIFS($D$5:$D$1004,D938,$B$5:$B$1004,"&lt;"&amp;C938,$C$5:$C$1004,"&gt;"&amp;B938,$T$5:$T$1004,"&lt;&gt;Cancelled")&gt;1,"Double-booked",""))))</f>
        <v/>
      </c>
      <c r="Z938" s="42" t="str">
        <f aca="false">IF(AND(AA938=1,ISNUMBER(C938)),C938+ROW()/100000,"")</f>
        <v/>
      </c>
      <c r="AA938" s="43" t="n">
        <f aca="false">IF(AND(D938&lt;&gt;"",ISNUMBER(B938),ISNUMBER(C938),N(H938)&gt;0,T938&lt;&gt;"Cancelled",J938&lt;&gt;""),1,0)</f>
        <v>0</v>
      </c>
      <c r="AB938" s="44" t="n">
        <f aca="false">IF(AA938=1,J938/H938,0)</f>
        <v>0</v>
      </c>
      <c r="AC938" s="44" t="n">
        <f aca="false">IF(AA938=1,Q938/H938,0)</f>
        <v>0</v>
      </c>
      <c r="AD938" s="44" t="n">
        <f aca="false">IF(AA938=1,R938/H938,0)</f>
        <v>0</v>
      </c>
      <c r="AE938" s="44" t="n">
        <f aca="false">IF(AA938=1,O938/H938,0)</f>
        <v>0</v>
      </c>
      <c r="AF938" s="44" t="n">
        <f aca="false">IF(AA938=1,K938/H938,0)</f>
        <v>0</v>
      </c>
      <c r="AG938" s="45" t="str">
        <f aca="false">IF(AA938=1,D938&amp;"|"&amp;TEXT(B938,"0"),"")</f>
        <v/>
      </c>
      <c r="AH938" s="43" t="n">
        <f aca="false">IF(AA938=1,H938,0)</f>
        <v>0</v>
      </c>
    </row>
    <row r="939" customFormat="false" ht="15" hidden="false" customHeight="false" outlineLevel="0" collapsed="false">
      <c r="A939" s="8" t="str">
        <f aca="false">IF(B939="","","B-"&amp;TEXT(ROW()-4,"0000"))</f>
        <v/>
      </c>
      <c r="B939" s="38"/>
      <c r="C939" s="38"/>
      <c r="D939" s="6"/>
      <c r="E939" s="6"/>
      <c r="F939" s="6"/>
      <c r="G939" s="11"/>
      <c r="H939" s="18" t="str">
        <f aca="false">IF(AND(ISNUMBER(B939),ISNUMBER(C939)),MAX(0,C939-B939),"")</f>
        <v/>
      </c>
      <c r="I939" s="37"/>
      <c r="J939" s="41" t="str">
        <f aca="false">IF(OR(D939="",N(H939)=0),"",IFERROR(IF(I939&lt;&gt;"",H939*I939,ROUND(((H939-(INT((WEEKDAY(B939-6)+H939-1)/7)+INT((WEEKDAY(B939-7)+H939-1)/7)))*INDEX(Properties!$E$5:$E$24,MATCH(D939,Properties!$A$5:$A$24,0))+(INT((WEEKDAY(B939-6)+H939-1)/7)+INT((WEEKDAY(B939-7)+H939-1)/7))*INDEX(Properties!$F$5:$F$24,MATCH(D939,Properties!$A$5:$A$24,0)))*(1-IF(H939&gt;=28,Settings!$B$10,IF(H939&gt;=7,Settings!$B$9,0))),2)),0))</f>
        <v/>
      </c>
      <c r="K939" s="41" t="str">
        <f aca="false">IF(J939="","",IFERROR(N(INDEX(Properties!$G$5:$G$24,MATCH(D939,Properties!$A$5:$A$24,0))),0))</f>
        <v/>
      </c>
      <c r="L939" s="41" t="str">
        <f aca="false">IF(J939="","",IFERROR(MAX(0,N(G939)-INDEX(Properties!$I$5:$I$24,MATCH(D939,Properties!$A$5:$A$24,0)))*N(INDEX(Properties!$J$5:$J$24,MATCH(D939,Properties!$A$5:$A$24,0)))*H939,0))</f>
        <v/>
      </c>
      <c r="M939" s="37"/>
      <c r="N939" s="41" t="str">
        <f aca="false">IF(J939="","",J939+K939+L939+N(M939))</f>
        <v/>
      </c>
      <c r="O939" s="41" t="str">
        <f aca="false">IF(N939="","",IF(P939&lt;&gt;"",N939-P939,ROUND(N939*IFERROR(INDEX(Settings!$E$5:$E$12,MATCH(F939,Settings!$D$5:$D$12,0)),0),2)))</f>
        <v/>
      </c>
      <c r="P939" s="37"/>
      <c r="Q939" s="41" t="str">
        <f aca="false">IF(N939="","",IF(P939&lt;&gt;"",P939,N939-O939))</f>
        <v/>
      </c>
      <c r="R939" s="41" t="str">
        <f aca="false">IF(J939="","",IFERROR(N(INDEX(Properties!$H$5:$H$24,MATCH(D939,Properties!$A$5:$A$24,0))),0))</f>
        <v/>
      </c>
      <c r="S939" s="41" t="str">
        <f aca="false">IF(Q939="","",Q939-R939)</f>
        <v/>
      </c>
      <c r="T939" s="6"/>
      <c r="U939" s="6"/>
      <c r="V939" s="6"/>
      <c r="W939" s="6"/>
      <c r="X939" s="6"/>
      <c r="Y939" s="8" t="str">
        <f aca="false">IF(OR(D939="",B939="",C939=""),"",IF(N(C939)&lt;=N(B939),"Check dates",IF(T939="Cancelled","",IF(COUNTIFS($D$5:$D$1004,D939,$B$5:$B$1004,"&lt;"&amp;C939,$C$5:$C$1004,"&gt;"&amp;B939,$T$5:$T$1004,"&lt;&gt;Cancelled")&gt;1,"Double-booked",""))))</f>
        <v/>
      </c>
      <c r="Z939" s="42" t="str">
        <f aca="false">IF(AND(AA939=1,ISNUMBER(C939)),C939+ROW()/100000,"")</f>
        <v/>
      </c>
      <c r="AA939" s="43" t="n">
        <f aca="false">IF(AND(D939&lt;&gt;"",ISNUMBER(B939),ISNUMBER(C939),N(H939)&gt;0,T939&lt;&gt;"Cancelled",J939&lt;&gt;""),1,0)</f>
        <v>0</v>
      </c>
      <c r="AB939" s="44" t="n">
        <f aca="false">IF(AA939=1,J939/H939,0)</f>
        <v>0</v>
      </c>
      <c r="AC939" s="44" t="n">
        <f aca="false">IF(AA939=1,Q939/H939,0)</f>
        <v>0</v>
      </c>
      <c r="AD939" s="44" t="n">
        <f aca="false">IF(AA939=1,R939/H939,0)</f>
        <v>0</v>
      </c>
      <c r="AE939" s="44" t="n">
        <f aca="false">IF(AA939=1,O939/H939,0)</f>
        <v>0</v>
      </c>
      <c r="AF939" s="44" t="n">
        <f aca="false">IF(AA939=1,K939/H939,0)</f>
        <v>0</v>
      </c>
      <c r="AG939" s="45" t="str">
        <f aca="false">IF(AA939=1,D939&amp;"|"&amp;TEXT(B939,"0"),"")</f>
        <v/>
      </c>
      <c r="AH939" s="43" t="n">
        <f aca="false">IF(AA939=1,H939,0)</f>
        <v>0</v>
      </c>
    </row>
    <row r="940" customFormat="false" ht="15" hidden="false" customHeight="false" outlineLevel="0" collapsed="false">
      <c r="A940" s="23" t="str">
        <f aca="false">IF(B940="","","B-"&amp;TEXT(ROW()-4,"0000"))</f>
        <v/>
      </c>
      <c r="B940" s="38"/>
      <c r="C940" s="38"/>
      <c r="D940" s="6"/>
      <c r="E940" s="6"/>
      <c r="F940" s="6"/>
      <c r="G940" s="11"/>
      <c r="H940" s="24" t="str">
        <f aca="false">IF(AND(ISNUMBER(B940),ISNUMBER(C940)),MAX(0,C940-B940),"")</f>
        <v/>
      </c>
      <c r="I940" s="37"/>
      <c r="J940" s="46" t="str">
        <f aca="false">IF(OR(D940="",N(H940)=0),"",IFERROR(IF(I940&lt;&gt;"",H940*I940,ROUND(((H940-(INT((WEEKDAY(B940-6)+H940-1)/7)+INT((WEEKDAY(B940-7)+H940-1)/7)))*INDEX(Properties!$E$5:$E$24,MATCH(D940,Properties!$A$5:$A$24,0))+(INT((WEEKDAY(B940-6)+H940-1)/7)+INT((WEEKDAY(B940-7)+H940-1)/7))*INDEX(Properties!$F$5:$F$24,MATCH(D940,Properties!$A$5:$A$24,0)))*(1-IF(H940&gt;=28,Settings!$B$10,IF(H940&gt;=7,Settings!$B$9,0))),2)),0))</f>
        <v/>
      </c>
      <c r="K940" s="46" t="str">
        <f aca="false">IF(J940="","",IFERROR(N(INDEX(Properties!$G$5:$G$24,MATCH(D940,Properties!$A$5:$A$24,0))),0))</f>
        <v/>
      </c>
      <c r="L940" s="46" t="str">
        <f aca="false">IF(J940="","",IFERROR(MAX(0,N(G940)-INDEX(Properties!$I$5:$I$24,MATCH(D940,Properties!$A$5:$A$24,0)))*N(INDEX(Properties!$J$5:$J$24,MATCH(D940,Properties!$A$5:$A$24,0)))*H940,0))</f>
        <v/>
      </c>
      <c r="M940" s="37"/>
      <c r="N940" s="46" t="str">
        <f aca="false">IF(J940="","",J940+K940+L940+N(M940))</f>
        <v/>
      </c>
      <c r="O940" s="46" t="str">
        <f aca="false">IF(N940="","",IF(P940&lt;&gt;"",N940-P940,ROUND(N940*IFERROR(INDEX(Settings!$E$5:$E$12,MATCH(F940,Settings!$D$5:$D$12,0)),0),2)))</f>
        <v/>
      </c>
      <c r="P940" s="37"/>
      <c r="Q940" s="46" t="str">
        <f aca="false">IF(N940="","",IF(P940&lt;&gt;"",P940,N940-O940))</f>
        <v/>
      </c>
      <c r="R940" s="46" t="str">
        <f aca="false">IF(J940="","",IFERROR(N(INDEX(Properties!$H$5:$H$24,MATCH(D940,Properties!$A$5:$A$24,0))),0))</f>
        <v/>
      </c>
      <c r="S940" s="46" t="str">
        <f aca="false">IF(Q940="","",Q940-R940)</f>
        <v/>
      </c>
      <c r="T940" s="6"/>
      <c r="U940" s="6"/>
      <c r="V940" s="6"/>
      <c r="W940" s="6"/>
      <c r="X940" s="6"/>
      <c r="Y940" s="8" t="str">
        <f aca="false">IF(OR(D940="",B940="",C940=""),"",IF(N(C940)&lt;=N(B940),"Check dates",IF(T940="Cancelled","",IF(COUNTIFS($D$5:$D$1004,D940,$B$5:$B$1004,"&lt;"&amp;C940,$C$5:$C$1004,"&gt;"&amp;B940,$T$5:$T$1004,"&lt;&gt;Cancelled")&gt;1,"Double-booked",""))))</f>
        <v/>
      </c>
      <c r="Z940" s="42" t="str">
        <f aca="false">IF(AND(AA940=1,ISNUMBER(C940)),C940+ROW()/100000,"")</f>
        <v/>
      </c>
      <c r="AA940" s="43" t="n">
        <f aca="false">IF(AND(D940&lt;&gt;"",ISNUMBER(B940),ISNUMBER(C940),N(H940)&gt;0,T940&lt;&gt;"Cancelled",J940&lt;&gt;""),1,0)</f>
        <v>0</v>
      </c>
      <c r="AB940" s="44" t="n">
        <f aca="false">IF(AA940=1,J940/H940,0)</f>
        <v>0</v>
      </c>
      <c r="AC940" s="44" t="n">
        <f aca="false">IF(AA940=1,Q940/H940,0)</f>
        <v>0</v>
      </c>
      <c r="AD940" s="44" t="n">
        <f aca="false">IF(AA940=1,R940/H940,0)</f>
        <v>0</v>
      </c>
      <c r="AE940" s="44" t="n">
        <f aca="false">IF(AA940=1,O940/H940,0)</f>
        <v>0</v>
      </c>
      <c r="AF940" s="44" t="n">
        <f aca="false">IF(AA940=1,K940/H940,0)</f>
        <v>0</v>
      </c>
      <c r="AG940" s="45" t="str">
        <f aca="false">IF(AA940=1,D940&amp;"|"&amp;TEXT(B940,"0"),"")</f>
        <v/>
      </c>
      <c r="AH940" s="43" t="n">
        <f aca="false">IF(AA940=1,H940,0)</f>
        <v>0</v>
      </c>
    </row>
    <row r="941" customFormat="false" ht="15" hidden="false" customHeight="false" outlineLevel="0" collapsed="false">
      <c r="A941" s="8" t="str">
        <f aca="false">IF(B941="","","B-"&amp;TEXT(ROW()-4,"0000"))</f>
        <v/>
      </c>
      <c r="B941" s="38"/>
      <c r="C941" s="38"/>
      <c r="D941" s="6"/>
      <c r="E941" s="6"/>
      <c r="F941" s="6"/>
      <c r="G941" s="11"/>
      <c r="H941" s="18" t="str">
        <f aca="false">IF(AND(ISNUMBER(B941),ISNUMBER(C941)),MAX(0,C941-B941),"")</f>
        <v/>
      </c>
      <c r="I941" s="37"/>
      <c r="J941" s="41" t="str">
        <f aca="false">IF(OR(D941="",N(H941)=0),"",IFERROR(IF(I941&lt;&gt;"",H941*I941,ROUND(((H941-(INT((WEEKDAY(B941-6)+H941-1)/7)+INT((WEEKDAY(B941-7)+H941-1)/7)))*INDEX(Properties!$E$5:$E$24,MATCH(D941,Properties!$A$5:$A$24,0))+(INT((WEEKDAY(B941-6)+H941-1)/7)+INT((WEEKDAY(B941-7)+H941-1)/7))*INDEX(Properties!$F$5:$F$24,MATCH(D941,Properties!$A$5:$A$24,0)))*(1-IF(H941&gt;=28,Settings!$B$10,IF(H941&gt;=7,Settings!$B$9,0))),2)),0))</f>
        <v/>
      </c>
      <c r="K941" s="41" t="str">
        <f aca="false">IF(J941="","",IFERROR(N(INDEX(Properties!$G$5:$G$24,MATCH(D941,Properties!$A$5:$A$24,0))),0))</f>
        <v/>
      </c>
      <c r="L941" s="41" t="str">
        <f aca="false">IF(J941="","",IFERROR(MAX(0,N(G941)-INDEX(Properties!$I$5:$I$24,MATCH(D941,Properties!$A$5:$A$24,0)))*N(INDEX(Properties!$J$5:$J$24,MATCH(D941,Properties!$A$5:$A$24,0)))*H941,0))</f>
        <v/>
      </c>
      <c r="M941" s="37"/>
      <c r="N941" s="41" t="str">
        <f aca="false">IF(J941="","",J941+K941+L941+N(M941))</f>
        <v/>
      </c>
      <c r="O941" s="41" t="str">
        <f aca="false">IF(N941="","",IF(P941&lt;&gt;"",N941-P941,ROUND(N941*IFERROR(INDEX(Settings!$E$5:$E$12,MATCH(F941,Settings!$D$5:$D$12,0)),0),2)))</f>
        <v/>
      </c>
      <c r="P941" s="37"/>
      <c r="Q941" s="41" t="str">
        <f aca="false">IF(N941="","",IF(P941&lt;&gt;"",P941,N941-O941))</f>
        <v/>
      </c>
      <c r="R941" s="41" t="str">
        <f aca="false">IF(J941="","",IFERROR(N(INDEX(Properties!$H$5:$H$24,MATCH(D941,Properties!$A$5:$A$24,0))),0))</f>
        <v/>
      </c>
      <c r="S941" s="41" t="str">
        <f aca="false">IF(Q941="","",Q941-R941)</f>
        <v/>
      </c>
      <c r="T941" s="6"/>
      <c r="U941" s="6"/>
      <c r="V941" s="6"/>
      <c r="W941" s="6"/>
      <c r="X941" s="6"/>
      <c r="Y941" s="8" t="str">
        <f aca="false">IF(OR(D941="",B941="",C941=""),"",IF(N(C941)&lt;=N(B941),"Check dates",IF(T941="Cancelled","",IF(COUNTIFS($D$5:$D$1004,D941,$B$5:$B$1004,"&lt;"&amp;C941,$C$5:$C$1004,"&gt;"&amp;B941,$T$5:$T$1004,"&lt;&gt;Cancelled")&gt;1,"Double-booked",""))))</f>
        <v/>
      </c>
      <c r="Z941" s="42" t="str">
        <f aca="false">IF(AND(AA941=1,ISNUMBER(C941)),C941+ROW()/100000,"")</f>
        <v/>
      </c>
      <c r="AA941" s="43" t="n">
        <f aca="false">IF(AND(D941&lt;&gt;"",ISNUMBER(B941),ISNUMBER(C941),N(H941)&gt;0,T941&lt;&gt;"Cancelled",J941&lt;&gt;""),1,0)</f>
        <v>0</v>
      </c>
      <c r="AB941" s="44" t="n">
        <f aca="false">IF(AA941=1,J941/H941,0)</f>
        <v>0</v>
      </c>
      <c r="AC941" s="44" t="n">
        <f aca="false">IF(AA941=1,Q941/H941,0)</f>
        <v>0</v>
      </c>
      <c r="AD941" s="44" t="n">
        <f aca="false">IF(AA941=1,R941/H941,0)</f>
        <v>0</v>
      </c>
      <c r="AE941" s="44" t="n">
        <f aca="false">IF(AA941=1,O941/H941,0)</f>
        <v>0</v>
      </c>
      <c r="AF941" s="44" t="n">
        <f aca="false">IF(AA941=1,K941/H941,0)</f>
        <v>0</v>
      </c>
      <c r="AG941" s="45" t="str">
        <f aca="false">IF(AA941=1,D941&amp;"|"&amp;TEXT(B941,"0"),"")</f>
        <v/>
      </c>
      <c r="AH941" s="43" t="n">
        <f aca="false">IF(AA941=1,H941,0)</f>
        <v>0</v>
      </c>
    </row>
    <row r="942" customFormat="false" ht="15" hidden="false" customHeight="false" outlineLevel="0" collapsed="false">
      <c r="A942" s="23" t="str">
        <f aca="false">IF(B942="","","B-"&amp;TEXT(ROW()-4,"0000"))</f>
        <v/>
      </c>
      <c r="B942" s="38"/>
      <c r="C942" s="38"/>
      <c r="D942" s="6"/>
      <c r="E942" s="6"/>
      <c r="F942" s="6"/>
      <c r="G942" s="11"/>
      <c r="H942" s="24" t="str">
        <f aca="false">IF(AND(ISNUMBER(B942),ISNUMBER(C942)),MAX(0,C942-B942),"")</f>
        <v/>
      </c>
      <c r="I942" s="37"/>
      <c r="J942" s="46" t="str">
        <f aca="false">IF(OR(D942="",N(H942)=0),"",IFERROR(IF(I942&lt;&gt;"",H942*I942,ROUND(((H942-(INT((WEEKDAY(B942-6)+H942-1)/7)+INT((WEEKDAY(B942-7)+H942-1)/7)))*INDEX(Properties!$E$5:$E$24,MATCH(D942,Properties!$A$5:$A$24,0))+(INT((WEEKDAY(B942-6)+H942-1)/7)+INT((WEEKDAY(B942-7)+H942-1)/7))*INDEX(Properties!$F$5:$F$24,MATCH(D942,Properties!$A$5:$A$24,0)))*(1-IF(H942&gt;=28,Settings!$B$10,IF(H942&gt;=7,Settings!$B$9,0))),2)),0))</f>
        <v/>
      </c>
      <c r="K942" s="46" t="str">
        <f aca="false">IF(J942="","",IFERROR(N(INDEX(Properties!$G$5:$G$24,MATCH(D942,Properties!$A$5:$A$24,0))),0))</f>
        <v/>
      </c>
      <c r="L942" s="46" t="str">
        <f aca="false">IF(J942="","",IFERROR(MAX(0,N(G942)-INDEX(Properties!$I$5:$I$24,MATCH(D942,Properties!$A$5:$A$24,0)))*N(INDEX(Properties!$J$5:$J$24,MATCH(D942,Properties!$A$5:$A$24,0)))*H942,0))</f>
        <v/>
      </c>
      <c r="M942" s="37"/>
      <c r="N942" s="46" t="str">
        <f aca="false">IF(J942="","",J942+K942+L942+N(M942))</f>
        <v/>
      </c>
      <c r="O942" s="46" t="str">
        <f aca="false">IF(N942="","",IF(P942&lt;&gt;"",N942-P942,ROUND(N942*IFERROR(INDEX(Settings!$E$5:$E$12,MATCH(F942,Settings!$D$5:$D$12,0)),0),2)))</f>
        <v/>
      </c>
      <c r="P942" s="37"/>
      <c r="Q942" s="46" t="str">
        <f aca="false">IF(N942="","",IF(P942&lt;&gt;"",P942,N942-O942))</f>
        <v/>
      </c>
      <c r="R942" s="46" t="str">
        <f aca="false">IF(J942="","",IFERROR(N(INDEX(Properties!$H$5:$H$24,MATCH(D942,Properties!$A$5:$A$24,0))),0))</f>
        <v/>
      </c>
      <c r="S942" s="46" t="str">
        <f aca="false">IF(Q942="","",Q942-R942)</f>
        <v/>
      </c>
      <c r="T942" s="6"/>
      <c r="U942" s="6"/>
      <c r="V942" s="6"/>
      <c r="W942" s="6"/>
      <c r="X942" s="6"/>
      <c r="Y942" s="8" t="str">
        <f aca="false">IF(OR(D942="",B942="",C942=""),"",IF(N(C942)&lt;=N(B942),"Check dates",IF(T942="Cancelled","",IF(COUNTIFS($D$5:$D$1004,D942,$B$5:$B$1004,"&lt;"&amp;C942,$C$5:$C$1004,"&gt;"&amp;B942,$T$5:$T$1004,"&lt;&gt;Cancelled")&gt;1,"Double-booked",""))))</f>
        <v/>
      </c>
      <c r="Z942" s="42" t="str">
        <f aca="false">IF(AND(AA942=1,ISNUMBER(C942)),C942+ROW()/100000,"")</f>
        <v/>
      </c>
      <c r="AA942" s="43" t="n">
        <f aca="false">IF(AND(D942&lt;&gt;"",ISNUMBER(B942),ISNUMBER(C942),N(H942)&gt;0,T942&lt;&gt;"Cancelled",J942&lt;&gt;""),1,0)</f>
        <v>0</v>
      </c>
      <c r="AB942" s="44" t="n">
        <f aca="false">IF(AA942=1,J942/H942,0)</f>
        <v>0</v>
      </c>
      <c r="AC942" s="44" t="n">
        <f aca="false">IF(AA942=1,Q942/H942,0)</f>
        <v>0</v>
      </c>
      <c r="AD942" s="44" t="n">
        <f aca="false">IF(AA942=1,R942/H942,0)</f>
        <v>0</v>
      </c>
      <c r="AE942" s="44" t="n">
        <f aca="false">IF(AA942=1,O942/H942,0)</f>
        <v>0</v>
      </c>
      <c r="AF942" s="44" t="n">
        <f aca="false">IF(AA942=1,K942/H942,0)</f>
        <v>0</v>
      </c>
      <c r="AG942" s="45" t="str">
        <f aca="false">IF(AA942=1,D942&amp;"|"&amp;TEXT(B942,"0"),"")</f>
        <v/>
      </c>
      <c r="AH942" s="43" t="n">
        <f aca="false">IF(AA942=1,H942,0)</f>
        <v>0</v>
      </c>
    </row>
    <row r="943" customFormat="false" ht="15" hidden="false" customHeight="false" outlineLevel="0" collapsed="false">
      <c r="A943" s="8" t="str">
        <f aca="false">IF(B943="","","B-"&amp;TEXT(ROW()-4,"0000"))</f>
        <v/>
      </c>
      <c r="B943" s="38"/>
      <c r="C943" s="38"/>
      <c r="D943" s="6"/>
      <c r="E943" s="6"/>
      <c r="F943" s="6"/>
      <c r="G943" s="11"/>
      <c r="H943" s="18" t="str">
        <f aca="false">IF(AND(ISNUMBER(B943),ISNUMBER(C943)),MAX(0,C943-B943),"")</f>
        <v/>
      </c>
      <c r="I943" s="37"/>
      <c r="J943" s="41" t="str">
        <f aca="false">IF(OR(D943="",N(H943)=0),"",IFERROR(IF(I943&lt;&gt;"",H943*I943,ROUND(((H943-(INT((WEEKDAY(B943-6)+H943-1)/7)+INT((WEEKDAY(B943-7)+H943-1)/7)))*INDEX(Properties!$E$5:$E$24,MATCH(D943,Properties!$A$5:$A$24,0))+(INT((WEEKDAY(B943-6)+H943-1)/7)+INT((WEEKDAY(B943-7)+H943-1)/7))*INDEX(Properties!$F$5:$F$24,MATCH(D943,Properties!$A$5:$A$24,0)))*(1-IF(H943&gt;=28,Settings!$B$10,IF(H943&gt;=7,Settings!$B$9,0))),2)),0))</f>
        <v/>
      </c>
      <c r="K943" s="41" t="str">
        <f aca="false">IF(J943="","",IFERROR(N(INDEX(Properties!$G$5:$G$24,MATCH(D943,Properties!$A$5:$A$24,0))),0))</f>
        <v/>
      </c>
      <c r="L943" s="41" t="str">
        <f aca="false">IF(J943="","",IFERROR(MAX(0,N(G943)-INDEX(Properties!$I$5:$I$24,MATCH(D943,Properties!$A$5:$A$24,0)))*N(INDEX(Properties!$J$5:$J$24,MATCH(D943,Properties!$A$5:$A$24,0)))*H943,0))</f>
        <v/>
      </c>
      <c r="M943" s="37"/>
      <c r="N943" s="41" t="str">
        <f aca="false">IF(J943="","",J943+K943+L943+N(M943))</f>
        <v/>
      </c>
      <c r="O943" s="41" t="str">
        <f aca="false">IF(N943="","",IF(P943&lt;&gt;"",N943-P943,ROUND(N943*IFERROR(INDEX(Settings!$E$5:$E$12,MATCH(F943,Settings!$D$5:$D$12,0)),0),2)))</f>
        <v/>
      </c>
      <c r="P943" s="37"/>
      <c r="Q943" s="41" t="str">
        <f aca="false">IF(N943="","",IF(P943&lt;&gt;"",P943,N943-O943))</f>
        <v/>
      </c>
      <c r="R943" s="41" t="str">
        <f aca="false">IF(J943="","",IFERROR(N(INDEX(Properties!$H$5:$H$24,MATCH(D943,Properties!$A$5:$A$24,0))),0))</f>
        <v/>
      </c>
      <c r="S943" s="41" t="str">
        <f aca="false">IF(Q943="","",Q943-R943)</f>
        <v/>
      </c>
      <c r="T943" s="6"/>
      <c r="U943" s="6"/>
      <c r="V943" s="6"/>
      <c r="W943" s="6"/>
      <c r="X943" s="6"/>
      <c r="Y943" s="8" t="str">
        <f aca="false">IF(OR(D943="",B943="",C943=""),"",IF(N(C943)&lt;=N(B943),"Check dates",IF(T943="Cancelled","",IF(COUNTIFS($D$5:$D$1004,D943,$B$5:$B$1004,"&lt;"&amp;C943,$C$5:$C$1004,"&gt;"&amp;B943,$T$5:$T$1004,"&lt;&gt;Cancelled")&gt;1,"Double-booked",""))))</f>
        <v/>
      </c>
      <c r="Z943" s="42" t="str">
        <f aca="false">IF(AND(AA943=1,ISNUMBER(C943)),C943+ROW()/100000,"")</f>
        <v/>
      </c>
      <c r="AA943" s="43" t="n">
        <f aca="false">IF(AND(D943&lt;&gt;"",ISNUMBER(B943),ISNUMBER(C943),N(H943)&gt;0,T943&lt;&gt;"Cancelled",J943&lt;&gt;""),1,0)</f>
        <v>0</v>
      </c>
      <c r="AB943" s="44" t="n">
        <f aca="false">IF(AA943=1,J943/H943,0)</f>
        <v>0</v>
      </c>
      <c r="AC943" s="44" t="n">
        <f aca="false">IF(AA943=1,Q943/H943,0)</f>
        <v>0</v>
      </c>
      <c r="AD943" s="44" t="n">
        <f aca="false">IF(AA943=1,R943/H943,0)</f>
        <v>0</v>
      </c>
      <c r="AE943" s="44" t="n">
        <f aca="false">IF(AA943=1,O943/H943,0)</f>
        <v>0</v>
      </c>
      <c r="AF943" s="44" t="n">
        <f aca="false">IF(AA943=1,K943/H943,0)</f>
        <v>0</v>
      </c>
      <c r="AG943" s="45" t="str">
        <f aca="false">IF(AA943=1,D943&amp;"|"&amp;TEXT(B943,"0"),"")</f>
        <v/>
      </c>
      <c r="AH943" s="43" t="n">
        <f aca="false">IF(AA943=1,H943,0)</f>
        <v>0</v>
      </c>
    </row>
    <row r="944" customFormat="false" ht="15" hidden="false" customHeight="false" outlineLevel="0" collapsed="false">
      <c r="A944" s="23" t="str">
        <f aca="false">IF(B944="","","B-"&amp;TEXT(ROW()-4,"0000"))</f>
        <v/>
      </c>
      <c r="B944" s="38"/>
      <c r="C944" s="38"/>
      <c r="D944" s="6"/>
      <c r="E944" s="6"/>
      <c r="F944" s="6"/>
      <c r="G944" s="11"/>
      <c r="H944" s="24" t="str">
        <f aca="false">IF(AND(ISNUMBER(B944),ISNUMBER(C944)),MAX(0,C944-B944),"")</f>
        <v/>
      </c>
      <c r="I944" s="37"/>
      <c r="J944" s="46" t="str">
        <f aca="false">IF(OR(D944="",N(H944)=0),"",IFERROR(IF(I944&lt;&gt;"",H944*I944,ROUND(((H944-(INT((WEEKDAY(B944-6)+H944-1)/7)+INT((WEEKDAY(B944-7)+H944-1)/7)))*INDEX(Properties!$E$5:$E$24,MATCH(D944,Properties!$A$5:$A$24,0))+(INT((WEEKDAY(B944-6)+H944-1)/7)+INT((WEEKDAY(B944-7)+H944-1)/7))*INDEX(Properties!$F$5:$F$24,MATCH(D944,Properties!$A$5:$A$24,0)))*(1-IF(H944&gt;=28,Settings!$B$10,IF(H944&gt;=7,Settings!$B$9,0))),2)),0))</f>
        <v/>
      </c>
      <c r="K944" s="46" t="str">
        <f aca="false">IF(J944="","",IFERROR(N(INDEX(Properties!$G$5:$G$24,MATCH(D944,Properties!$A$5:$A$24,0))),0))</f>
        <v/>
      </c>
      <c r="L944" s="46" t="str">
        <f aca="false">IF(J944="","",IFERROR(MAX(0,N(G944)-INDEX(Properties!$I$5:$I$24,MATCH(D944,Properties!$A$5:$A$24,0)))*N(INDEX(Properties!$J$5:$J$24,MATCH(D944,Properties!$A$5:$A$24,0)))*H944,0))</f>
        <v/>
      </c>
      <c r="M944" s="37"/>
      <c r="N944" s="46" t="str">
        <f aca="false">IF(J944="","",J944+K944+L944+N(M944))</f>
        <v/>
      </c>
      <c r="O944" s="46" t="str">
        <f aca="false">IF(N944="","",IF(P944&lt;&gt;"",N944-P944,ROUND(N944*IFERROR(INDEX(Settings!$E$5:$E$12,MATCH(F944,Settings!$D$5:$D$12,0)),0),2)))</f>
        <v/>
      </c>
      <c r="P944" s="37"/>
      <c r="Q944" s="46" t="str">
        <f aca="false">IF(N944="","",IF(P944&lt;&gt;"",P944,N944-O944))</f>
        <v/>
      </c>
      <c r="R944" s="46" t="str">
        <f aca="false">IF(J944="","",IFERROR(N(INDEX(Properties!$H$5:$H$24,MATCH(D944,Properties!$A$5:$A$24,0))),0))</f>
        <v/>
      </c>
      <c r="S944" s="46" t="str">
        <f aca="false">IF(Q944="","",Q944-R944)</f>
        <v/>
      </c>
      <c r="T944" s="6"/>
      <c r="U944" s="6"/>
      <c r="V944" s="6"/>
      <c r="W944" s="6"/>
      <c r="X944" s="6"/>
      <c r="Y944" s="8" t="str">
        <f aca="false">IF(OR(D944="",B944="",C944=""),"",IF(N(C944)&lt;=N(B944),"Check dates",IF(T944="Cancelled","",IF(COUNTIFS($D$5:$D$1004,D944,$B$5:$B$1004,"&lt;"&amp;C944,$C$5:$C$1004,"&gt;"&amp;B944,$T$5:$T$1004,"&lt;&gt;Cancelled")&gt;1,"Double-booked",""))))</f>
        <v/>
      </c>
      <c r="Z944" s="42" t="str">
        <f aca="false">IF(AND(AA944=1,ISNUMBER(C944)),C944+ROW()/100000,"")</f>
        <v/>
      </c>
      <c r="AA944" s="43" t="n">
        <f aca="false">IF(AND(D944&lt;&gt;"",ISNUMBER(B944),ISNUMBER(C944),N(H944)&gt;0,T944&lt;&gt;"Cancelled",J944&lt;&gt;""),1,0)</f>
        <v>0</v>
      </c>
      <c r="AB944" s="44" t="n">
        <f aca="false">IF(AA944=1,J944/H944,0)</f>
        <v>0</v>
      </c>
      <c r="AC944" s="44" t="n">
        <f aca="false">IF(AA944=1,Q944/H944,0)</f>
        <v>0</v>
      </c>
      <c r="AD944" s="44" t="n">
        <f aca="false">IF(AA944=1,R944/H944,0)</f>
        <v>0</v>
      </c>
      <c r="AE944" s="44" t="n">
        <f aca="false">IF(AA944=1,O944/H944,0)</f>
        <v>0</v>
      </c>
      <c r="AF944" s="44" t="n">
        <f aca="false">IF(AA944=1,K944/H944,0)</f>
        <v>0</v>
      </c>
      <c r="AG944" s="45" t="str">
        <f aca="false">IF(AA944=1,D944&amp;"|"&amp;TEXT(B944,"0"),"")</f>
        <v/>
      </c>
      <c r="AH944" s="43" t="n">
        <f aca="false">IF(AA944=1,H944,0)</f>
        <v>0</v>
      </c>
    </row>
    <row r="945" customFormat="false" ht="15" hidden="false" customHeight="false" outlineLevel="0" collapsed="false">
      <c r="A945" s="8" t="str">
        <f aca="false">IF(B945="","","B-"&amp;TEXT(ROW()-4,"0000"))</f>
        <v/>
      </c>
      <c r="B945" s="38"/>
      <c r="C945" s="38"/>
      <c r="D945" s="6"/>
      <c r="E945" s="6"/>
      <c r="F945" s="6"/>
      <c r="G945" s="11"/>
      <c r="H945" s="18" t="str">
        <f aca="false">IF(AND(ISNUMBER(B945),ISNUMBER(C945)),MAX(0,C945-B945),"")</f>
        <v/>
      </c>
      <c r="I945" s="37"/>
      <c r="J945" s="41" t="str">
        <f aca="false">IF(OR(D945="",N(H945)=0),"",IFERROR(IF(I945&lt;&gt;"",H945*I945,ROUND(((H945-(INT((WEEKDAY(B945-6)+H945-1)/7)+INT((WEEKDAY(B945-7)+H945-1)/7)))*INDEX(Properties!$E$5:$E$24,MATCH(D945,Properties!$A$5:$A$24,0))+(INT((WEEKDAY(B945-6)+H945-1)/7)+INT((WEEKDAY(B945-7)+H945-1)/7))*INDEX(Properties!$F$5:$F$24,MATCH(D945,Properties!$A$5:$A$24,0)))*(1-IF(H945&gt;=28,Settings!$B$10,IF(H945&gt;=7,Settings!$B$9,0))),2)),0))</f>
        <v/>
      </c>
      <c r="K945" s="41" t="str">
        <f aca="false">IF(J945="","",IFERROR(N(INDEX(Properties!$G$5:$G$24,MATCH(D945,Properties!$A$5:$A$24,0))),0))</f>
        <v/>
      </c>
      <c r="L945" s="41" t="str">
        <f aca="false">IF(J945="","",IFERROR(MAX(0,N(G945)-INDEX(Properties!$I$5:$I$24,MATCH(D945,Properties!$A$5:$A$24,0)))*N(INDEX(Properties!$J$5:$J$24,MATCH(D945,Properties!$A$5:$A$24,0)))*H945,0))</f>
        <v/>
      </c>
      <c r="M945" s="37"/>
      <c r="N945" s="41" t="str">
        <f aca="false">IF(J945="","",J945+K945+L945+N(M945))</f>
        <v/>
      </c>
      <c r="O945" s="41" t="str">
        <f aca="false">IF(N945="","",IF(P945&lt;&gt;"",N945-P945,ROUND(N945*IFERROR(INDEX(Settings!$E$5:$E$12,MATCH(F945,Settings!$D$5:$D$12,0)),0),2)))</f>
        <v/>
      </c>
      <c r="P945" s="37"/>
      <c r="Q945" s="41" t="str">
        <f aca="false">IF(N945="","",IF(P945&lt;&gt;"",P945,N945-O945))</f>
        <v/>
      </c>
      <c r="R945" s="41" t="str">
        <f aca="false">IF(J945="","",IFERROR(N(INDEX(Properties!$H$5:$H$24,MATCH(D945,Properties!$A$5:$A$24,0))),0))</f>
        <v/>
      </c>
      <c r="S945" s="41" t="str">
        <f aca="false">IF(Q945="","",Q945-R945)</f>
        <v/>
      </c>
      <c r="T945" s="6"/>
      <c r="U945" s="6"/>
      <c r="V945" s="6"/>
      <c r="W945" s="6"/>
      <c r="X945" s="6"/>
      <c r="Y945" s="8" t="str">
        <f aca="false">IF(OR(D945="",B945="",C945=""),"",IF(N(C945)&lt;=N(B945),"Check dates",IF(T945="Cancelled","",IF(COUNTIFS($D$5:$D$1004,D945,$B$5:$B$1004,"&lt;"&amp;C945,$C$5:$C$1004,"&gt;"&amp;B945,$T$5:$T$1004,"&lt;&gt;Cancelled")&gt;1,"Double-booked",""))))</f>
        <v/>
      </c>
      <c r="Z945" s="42" t="str">
        <f aca="false">IF(AND(AA945=1,ISNUMBER(C945)),C945+ROW()/100000,"")</f>
        <v/>
      </c>
      <c r="AA945" s="43" t="n">
        <f aca="false">IF(AND(D945&lt;&gt;"",ISNUMBER(B945),ISNUMBER(C945),N(H945)&gt;0,T945&lt;&gt;"Cancelled",J945&lt;&gt;""),1,0)</f>
        <v>0</v>
      </c>
      <c r="AB945" s="44" t="n">
        <f aca="false">IF(AA945=1,J945/H945,0)</f>
        <v>0</v>
      </c>
      <c r="AC945" s="44" t="n">
        <f aca="false">IF(AA945=1,Q945/H945,0)</f>
        <v>0</v>
      </c>
      <c r="AD945" s="44" t="n">
        <f aca="false">IF(AA945=1,R945/H945,0)</f>
        <v>0</v>
      </c>
      <c r="AE945" s="44" t="n">
        <f aca="false">IF(AA945=1,O945/H945,0)</f>
        <v>0</v>
      </c>
      <c r="AF945" s="44" t="n">
        <f aca="false">IF(AA945=1,K945/H945,0)</f>
        <v>0</v>
      </c>
      <c r="AG945" s="45" t="str">
        <f aca="false">IF(AA945=1,D945&amp;"|"&amp;TEXT(B945,"0"),"")</f>
        <v/>
      </c>
      <c r="AH945" s="43" t="n">
        <f aca="false">IF(AA945=1,H945,0)</f>
        <v>0</v>
      </c>
    </row>
    <row r="946" customFormat="false" ht="15" hidden="false" customHeight="false" outlineLevel="0" collapsed="false">
      <c r="A946" s="23" t="str">
        <f aca="false">IF(B946="","","B-"&amp;TEXT(ROW()-4,"0000"))</f>
        <v/>
      </c>
      <c r="B946" s="38"/>
      <c r="C946" s="38"/>
      <c r="D946" s="6"/>
      <c r="E946" s="6"/>
      <c r="F946" s="6"/>
      <c r="G946" s="11"/>
      <c r="H946" s="24" t="str">
        <f aca="false">IF(AND(ISNUMBER(B946),ISNUMBER(C946)),MAX(0,C946-B946),"")</f>
        <v/>
      </c>
      <c r="I946" s="37"/>
      <c r="J946" s="46" t="str">
        <f aca="false">IF(OR(D946="",N(H946)=0),"",IFERROR(IF(I946&lt;&gt;"",H946*I946,ROUND(((H946-(INT((WEEKDAY(B946-6)+H946-1)/7)+INT((WEEKDAY(B946-7)+H946-1)/7)))*INDEX(Properties!$E$5:$E$24,MATCH(D946,Properties!$A$5:$A$24,0))+(INT((WEEKDAY(B946-6)+H946-1)/7)+INT((WEEKDAY(B946-7)+H946-1)/7))*INDEX(Properties!$F$5:$F$24,MATCH(D946,Properties!$A$5:$A$24,0)))*(1-IF(H946&gt;=28,Settings!$B$10,IF(H946&gt;=7,Settings!$B$9,0))),2)),0))</f>
        <v/>
      </c>
      <c r="K946" s="46" t="str">
        <f aca="false">IF(J946="","",IFERROR(N(INDEX(Properties!$G$5:$G$24,MATCH(D946,Properties!$A$5:$A$24,0))),0))</f>
        <v/>
      </c>
      <c r="L946" s="46" t="str">
        <f aca="false">IF(J946="","",IFERROR(MAX(0,N(G946)-INDEX(Properties!$I$5:$I$24,MATCH(D946,Properties!$A$5:$A$24,0)))*N(INDEX(Properties!$J$5:$J$24,MATCH(D946,Properties!$A$5:$A$24,0)))*H946,0))</f>
        <v/>
      </c>
      <c r="M946" s="37"/>
      <c r="N946" s="46" t="str">
        <f aca="false">IF(J946="","",J946+K946+L946+N(M946))</f>
        <v/>
      </c>
      <c r="O946" s="46" t="str">
        <f aca="false">IF(N946="","",IF(P946&lt;&gt;"",N946-P946,ROUND(N946*IFERROR(INDEX(Settings!$E$5:$E$12,MATCH(F946,Settings!$D$5:$D$12,0)),0),2)))</f>
        <v/>
      </c>
      <c r="P946" s="37"/>
      <c r="Q946" s="46" t="str">
        <f aca="false">IF(N946="","",IF(P946&lt;&gt;"",P946,N946-O946))</f>
        <v/>
      </c>
      <c r="R946" s="46" t="str">
        <f aca="false">IF(J946="","",IFERROR(N(INDEX(Properties!$H$5:$H$24,MATCH(D946,Properties!$A$5:$A$24,0))),0))</f>
        <v/>
      </c>
      <c r="S946" s="46" t="str">
        <f aca="false">IF(Q946="","",Q946-R946)</f>
        <v/>
      </c>
      <c r="T946" s="6"/>
      <c r="U946" s="6"/>
      <c r="V946" s="6"/>
      <c r="W946" s="6"/>
      <c r="X946" s="6"/>
      <c r="Y946" s="8" t="str">
        <f aca="false">IF(OR(D946="",B946="",C946=""),"",IF(N(C946)&lt;=N(B946),"Check dates",IF(T946="Cancelled","",IF(COUNTIFS($D$5:$D$1004,D946,$B$5:$B$1004,"&lt;"&amp;C946,$C$5:$C$1004,"&gt;"&amp;B946,$T$5:$T$1004,"&lt;&gt;Cancelled")&gt;1,"Double-booked",""))))</f>
        <v/>
      </c>
      <c r="Z946" s="42" t="str">
        <f aca="false">IF(AND(AA946=1,ISNUMBER(C946)),C946+ROW()/100000,"")</f>
        <v/>
      </c>
      <c r="AA946" s="43" t="n">
        <f aca="false">IF(AND(D946&lt;&gt;"",ISNUMBER(B946),ISNUMBER(C946),N(H946)&gt;0,T946&lt;&gt;"Cancelled",J946&lt;&gt;""),1,0)</f>
        <v>0</v>
      </c>
      <c r="AB946" s="44" t="n">
        <f aca="false">IF(AA946=1,J946/H946,0)</f>
        <v>0</v>
      </c>
      <c r="AC946" s="44" t="n">
        <f aca="false">IF(AA946=1,Q946/H946,0)</f>
        <v>0</v>
      </c>
      <c r="AD946" s="44" t="n">
        <f aca="false">IF(AA946=1,R946/H946,0)</f>
        <v>0</v>
      </c>
      <c r="AE946" s="44" t="n">
        <f aca="false">IF(AA946=1,O946/H946,0)</f>
        <v>0</v>
      </c>
      <c r="AF946" s="44" t="n">
        <f aca="false">IF(AA946=1,K946/H946,0)</f>
        <v>0</v>
      </c>
      <c r="AG946" s="45" t="str">
        <f aca="false">IF(AA946=1,D946&amp;"|"&amp;TEXT(B946,"0"),"")</f>
        <v/>
      </c>
      <c r="AH946" s="43" t="n">
        <f aca="false">IF(AA946=1,H946,0)</f>
        <v>0</v>
      </c>
    </row>
    <row r="947" customFormat="false" ht="15" hidden="false" customHeight="false" outlineLevel="0" collapsed="false">
      <c r="A947" s="8" t="str">
        <f aca="false">IF(B947="","","B-"&amp;TEXT(ROW()-4,"0000"))</f>
        <v/>
      </c>
      <c r="B947" s="38"/>
      <c r="C947" s="38"/>
      <c r="D947" s="6"/>
      <c r="E947" s="6"/>
      <c r="F947" s="6"/>
      <c r="G947" s="11"/>
      <c r="H947" s="18" t="str">
        <f aca="false">IF(AND(ISNUMBER(B947),ISNUMBER(C947)),MAX(0,C947-B947),"")</f>
        <v/>
      </c>
      <c r="I947" s="37"/>
      <c r="J947" s="41" t="str">
        <f aca="false">IF(OR(D947="",N(H947)=0),"",IFERROR(IF(I947&lt;&gt;"",H947*I947,ROUND(((H947-(INT((WEEKDAY(B947-6)+H947-1)/7)+INT((WEEKDAY(B947-7)+H947-1)/7)))*INDEX(Properties!$E$5:$E$24,MATCH(D947,Properties!$A$5:$A$24,0))+(INT((WEEKDAY(B947-6)+H947-1)/7)+INT((WEEKDAY(B947-7)+H947-1)/7))*INDEX(Properties!$F$5:$F$24,MATCH(D947,Properties!$A$5:$A$24,0)))*(1-IF(H947&gt;=28,Settings!$B$10,IF(H947&gt;=7,Settings!$B$9,0))),2)),0))</f>
        <v/>
      </c>
      <c r="K947" s="41" t="str">
        <f aca="false">IF(J947="","",IFERROR(N(INDEX(Properties!$G$5:$G$24,MATCH(D947,Properties!$A$5:$A$24,0))),0))</f>
        <v/>
      </c>
      <c r="L947" s="41" t="str">
        <f aca="false">IF(J947="","",IFERROR(MAX(0,N(G947)-INDEX(Properties!$I$5:$I$24,MATCH(D947,Properties!$A$5:$A$24,0)))*N(INDEX(Properties!$J$5:$J$24,MATCH(D947,Properties!$A$5:$A$24,0)))*H947,0))</f>
        <v/>
      </c>
      <c r="M947" s="37"/>
      <c r="N947" s="41" t="str">
        <f aca="false">IF(J947="","",J947+K947+L947+N(M947))</f>
        <v/>
      </c>
      <c r="O947" s="41" t="str">
        <f aca="false">IF(N947="","",IF(P947&lt;&gt;"",N947-P947,ROUND(N947*IFERROR(INDEX(Settings!$E$5:$E$12,MATCH(F947,Settings!$D$5:$D$12,0)),0),2)))</f>
        <v/>
      </c>
      <c r="P947" s="37"/>
      <c r="Q947" s="41" t="str">
        <f aca="false">IF(N947="","",IF(P947&lt;&gt;"",P947,N947-O947))</f>
        <v/>
      </c>
      <c r="R947" s="41" t="str">
        <f aca="false">IF(J947="","",IFERROR(N(INDEX(Properties!$H$5:$H$24,MATCH(D947,Properties!$A$5:$A$24,0))),0))</f>
        <v/>
      </c>
      <c r="S947" s="41" t="str">
        <f aca="false">IF(Q947="","",Q947-R947)</f>
        <v/>
      </c>
      <c r="T947" s="6"/>
      <c r="U947" s="6"/>
      <c r="V947" s="6"/>
      <c r="W947" s="6"/>
      <c r="X947" s="6"/>
      <c r="Y947" s="8" t="str">
        <f aca="false">IF(OR(D947="",B947="",C947=""),"",IF(N(C947)&lt;=N(B947),"Check dates",IF(T947="Cancelled","",IF(COUNTIFS($D$5:$D$1004,D947,$B$5:$B$1004,"&lt;"&amp;C947,$C$5:$C$1004,"&gt;"&amp;B947,$T$5:$T$1004,"&lt;&gt;Cancelled")&gt;1,"Double-booked",""))))</f>
        <v/>
      </c>
      <c r="Z947" s="42" t="str">
        <f aca="false">IF(AND(AA947=1,ISNUMBER(C947)),C947+ROW()/100000,"")</f>
        <v/>
      </c>
      <c r="AA947" s="43" t="n">
        <f aca="false">IF(AND(D947&lt;&gt;"",ISNUMBER(B947),ISNUMBER(C947),N(H947)&gt;0,T947&lt;&gt;"Cancelled",J947&lt;&gt;""),1,0)</f>
        <v>0</v>
      </c>
      <c r="AB947" s="44" t="n">
        <f aca="false">IF(AA947=1,J947/H947,0)</f>
        <v>0</v>
      </c>
      <c r="AC947" s="44" t="n">
        <f aca="false">IF(AA947=1,Q947/H947,0)</f>
        <v>0</v>
      </c>
      <c r="AD947" s="44" t="n">
        <f aca="false">IF(AA947=1,R947/H947,0)</f>
        <v>0</v>
      </c>
      <c r="AE947" s="44" t="n">
        <f aca="false">IF(AA947=1,O947/H947,0)</f>
        <v>0</v>
      </c>
      <c r="AF947" s="44" t="n">
        <f aca="false">IF(AA947=1,K947/H947,0)</f>
        <v>0</v>
      </c>
      <c r="AG947" s="45" t="str">
        <f aca="false">IF(AA947=1,D947&amp;"|"&amp;TEXT(B947,"0"),"")</f>
        <v/>
      </c>
      <c r="AH947" s="43" t="n">
        <f aca="false">IF(AA947=1,H947,0)</f>
        <v>0</v>
      </c>
    </row>
    <row r="948" customFormat="false" ht="15" hidden="false" customHeight="false" outlineLevel="0" collapsed="false">
      <c r="A948" s="23" t="str">
        <f aca="false">IF(B948="","","B-"&amp;TEXT(ROW()-4,"0000"))</f>
        <v/>
      </c>
      <c r="B948" s="38"/>
      <c r="C948" s="38"/>
      <c r="D948" s="6"/>
      <c r="E948" s="6"/>
      <c r="F948" s="6"/>
      <c r="G948" s="11"/>
      <c r="H948" s="24" t="str">
        <f aca="false">IF(AND(ISNUMBER(B948),ISNUMBER(C948)),MAX(0,C948-B948),"")</f>
        <v/>
      </c>
      <c r="I948" s="37"/>
      <c r="J948" s="46" t="str">
        <f aca="false">IF(OR(D948="",N(H948)=0),"",IFERROR(IF(I948&lt;&gt;"",H948*I948,ROUND(((H948-(INT((WEEKDAY(B948-6)+H948-1)/7)+INT((WEEKDAY(B948-7)+H948-1)/7)))*INDEX(Properties!$E$5:$E$24,MATCH(D948,Properties!$A$5:$A$24,0))+(INT((WEEKDAY(B948-6)+H948-1)/7)+INT((WEEKDAY(B948-7)+H948-1)/7))*INDEX(Properties!$F$5:$F$24,MATCH(D948,Properties!$A$5:$A$24,0)))*(1-IF(H948&gt;=28,Settings!$B$10,IF(H948&gt;=7,Settings!$B$9,0))),2)),0))</f>
        <v/>
      </c>
      <c r="K948" s="46" t="str">
        <f aca="false">IF(J948="","",IFERROR(N(INDEX(Properties!$G$5:$G$24,MATCH(D948,Properties!$A$5:$A$24,0))),0))</f>
        <v/>
      </c>
      <c r="L948" s="46" t="str">
        <f aca="false">IF(J948="","",IFERROR(MAX(0,N(G948)-INDEX(Properties!$I$5:$I$24,MATCH(D948,Properties!$A$5:$A$24,0)))*N(INDEX(Properties!$J$5:$J$24,MATCH(D948,Properties!$A$5:$A$24,0)))*H948,0))</f>
        <v/>
      </c>
      <c r="M948" s="37"/>
      <c r="N948" s="46" t="str">
        <f aca="false">IF(J948="","",J948+K948+L948+N(M948))</f>
        <v/>
      </c>
      <c r="O948" s="46" t="str">
        <f aca="false">IF(N948="","",IF(P948&lt;&gt;"",N948-P948,ROUND(N948*IFERROR(INDEX(Settings!$E$5:$E$12,MATCH(F948,Settings!$D$5:$D$12,0)),0),2)))</f>
        <v/>
      </c>
      <c r="P948" s="37"/>
      <c r="Q948" s="46" t="str">
        <f aca="false">IF(N948="","",IF(P948&lt;&gt;"",P948,N948-O948))</f>
        <v/>
      </c>
      <c r="R948" s="46" t="str">
        <f aca="false">IF(J948="","",IFERROR(N(INDEX(Properties!$H$5:$H$24,MATCH(D948,Properties!$A$5:$A$24,0))),0))</f>
        <v/>
      </c>
      <c r="S948" s="46" t="str">
        <f aca="false">IF(Q948="","",Q948-R948)</f>
        <v/>
      </c>
      <c r="T948" s="6"/>
      <c r="U948" s="6"/>
      <c r="V948" s="6"/>
      <c r="W948" s="6"/>
      <c r="X948" s="6"/>
      <c r="Y948" s="8" t="str">
        <f aca="false">IF(OR(D948="",B948="",C948=""),"",IF(N(C948)&lt;=N(B948),"Check dates",IF(T948="Cancelled","",IF(COUNTIFS($D$5:$D$1004,D948,$B$5:$B$1004,"&lt;"&amp;C948,$C$5:$C$1004,"&gt;"&amp;B948,$T$5:$T$1004,"&lt;&gt;Cancelled")&gt;1,"Double-booked",""))))</f>
        <v/>
      </c>
      <c r="Z948" s="42" t="str">
        <f aca="false">IF(AND(AA948=1,ISNUMBER(C948)),C948+ROW()/100000,"")</f>
        <v/>
      </c>
      <c r="AA948" s="43" t="n">
        <f aca="false">IF(AND(D948&lt;&gt;"",ISNUMBER(B948),ISNUMBER(C948),N(H948)&gt;0,T948&lt;&gt;"Cancelled",J948&lt;&gt;""),1,0)</f>
        <v>0</v>
      </c>
      <c r="AB948" s="44" t="n">
        <f aca="false">IF(AA948=1,J948/H948,0)</f>
        <v>0</v>
      </c>
      <c r="AC948" s="44" t="n">
        <f aca="false">IF(AA948=1,Q948/H948,0)</f>
        <v>0</v>
      </c>
      <c r="AD948" s="44" t="n">
        <f aca="false">IF(AA948=1,R948/H948,0)</f>
        <v>0</v>
      </c>
      <c r="AE948" s="44" t="n">
        <f aca="false">IF(AA948=1,O948/H948,0)</f>
        <v>0</v>
      </c>
      <c r="AF948" s="44" t="n">
        <f aca="false">IF(AA948=1,K948/H948,0)</f>
        <v>0</v>
      </c>
      <c r="AG948" s="45" t="str">
        <f aca="false">IF(AA948=1,D948&amp;"|"&amp;TEXT(B948,"0"),"")</f>
        <v/>
      </c>
      <c r="AH948" s="43" t="n">
        <f aca="false">IF(AA948=1,H948,0)</f>
        <v>0</v>
      </c>
    </row>
    <row r="949" customFormat="false" ht="15" hidden="false" customHeight="false" outlineLevel="0" collapsed="false">
      <c r="A949" s="8" t="str">
        <f aca="false">IF(B949="","","B-"&amp;TEXT(ROW()-4,"0000"))</f>
        <v/>
      </c>
      <c r="B949" s="38"/>
      <c r="C949" s="38"/>
      <c r="D949" s="6"/>
      <c r="E949" s="6"/>
      <c r="F949" s="6"/>
      <c r="G949" s="11"/>
      <c r="H949" s="18" t="str">
        <f aca="false">IF(AND(ISNUMBER(B949),ISNUMBER(C949)),MAX(0,C949-B949),"")</f>
        <v/>
      </c>
      <c r="I949" s="37"/>
      <c r="J949" s="41" t="str">
        <f aca="false">IF(OR(D949="",N(H949)=0),"",IFERROR(IF(I949&lt;&gt;"",H949*I949,ROUND(((H949-(INT((WEEKDAY(B949-6)+H949-1)/7)+INT((WEEKDAY(B949-7)+H949-1)/7)))*INDEX(Properties!$E$5:$E$24,MATCH(D949,Properties!$A$5:$A$24,0))+(INT((WEEKDAY(B949-6)+H949-1)/7)+INT((WEEKDAY(B949-7)+H949-1)/7))*INDEX(Properties!$F$5:$F$24,MATCH(D949,Properties!$A$5:$A$24,0)))*(1-IF(H949&gt;=28,Settings!$B$10,IF(H949&gt;=7,Settings!$B$9,0))),2)),0))</f>
        <v/>
      </c>
      <c r="K949" s="41" t="str">
        <f aca="false">IF(J949="","",IFERROR(N(INDEX(Properties!$G$5:$G$24,MATCH(D949,Properties!$A$5:$A$24,0))),0))</f>
        <v/>
      </c>
      <c r="L949" s="41" t="str">
        <f aca="false">IF(J949="","",IFERROR(MAX(0,N(G949)-INDEX(Properties!$I$5:$I$24,MATCH(D949,Properties!$A$5:$A$24,0)))*N(INDEX(Properties!$J$5:$J$24,MATCH(D949,Properties!$A$5:$A$24,0)))*H949,0))</f>
        <v/>
      </c>
      <c r="M949" s="37"/>
      <c r="N949" s="41" t="str">
        <f aca="false">IF(J949="","",J949+K949+L949+N(M949))</f>
        <v/>
      </c>
      <c r="O949" s="41" t="str">
        <f aca="false">IF(N949="","",IF(P949&lt;&gt;"",N949-P949,ROUND(N949*IFERROR(INDEX(Settings!$E$5:$E$12,MATCH(F949,Settings!$D$5:$D$12,0)),0),2)))</f>
        <v/>
      </c>
      <c r="P949" s="37"/>
      <c r="Q949" s="41" t="str">
        <f aca="false">IF(N949="","",IF(P949&lt;&gt;"",P949,N949-O949))</f>
        <v/>
      </c>
      <c r="R949" s="41" t="str">
        <f aca="false">IF(J949="","",IFERROR(N(INDEX(Properties!$H$5:$H$24,MATCH(D949,Properties!$A$5:$A$24,0))),0))</f>
        <v/>
      </c>
      <c r="S949" s="41" t="str">
        <f aca="false">IF(Q949="","",Q949-R949)</f>
        <v/>
      </c>
      <c r="T949" s="6"/>
      <c r="U949" s="6"/>
      <c r="V949" s="6"/>
      <c r="W949" s="6"/>
      <c r="X949" s="6"/>
      <c r="Y949" s="8" t="str">
        <f aca="false">IF(OR(D949="",B949="",C949=""),"",IF(N(C949)&lt;=N(B949),"Check dates",IF(T949="Cancelled","",IF(COUNTIFS($D$5:$D$1004,D949,$B$5:$B$1004,"&lt;"&amp;C949,$C$5:$C$1004,"&gt;"&amp;B949,$T$5:$T$1004,"&lt;&gt;Cancelled")&gt;1,"Double-booked",""))))</f>
        <v/>
      </c>
      <c r="Z949" s="42" t="str">
        <f aca="false">IF(AND(AA949=1,ISNUMBER(C949)),C949+ROW()/100000,"")</f>
        <v/>
      </c>
      <c r="AA949" s="43" t="n">
        <f aca="false">IF(AND(D949&lt;&gt;"",ISNUMBER(B949),ISNUMBER(C949),N(H949)&gt;0,T949&lt;&gt;"Cancelled",J949&lt;&gt;""),1,0)</f>
        <v>0</v>
      </c>
      <c r="AB949" s="44" t="n">
        <f aca="false">IF(AA949=1,J949/H949,0)</f>
        <v>0</v>
      </c>
      <c r="AC949" s="44" t="n">
        <f aca="false">IF(AA949=1,Q949/H949,0)</f>
        <v>0</v>
      </c>
      <c r="AD949" s="44" t="n">
        <f aca="false">IF(AA949=1,R949/H949,0)</f>
        <v>0</v>
      </c>
      <c r="AE949" s="44" t="n">
        <f aca="false">IF(AA949=1,O949/H949,0)</f>
        <v>0</v>
      </c>
      <c r="AF949" s="44" t="n">
        <f aca="false">IF(AA949=1,K949/H949,0)</f>
        <v>0</v>
      </c>
      <c r="AG949" s="45" t="str">
        <f aca="false">IF(AA949=1,D949&amp;"|"&amp;TEXT(B949,"0"),"")</f>
        <v/>
      </c>
      <c r="AH949" s="43" t="n">
        <f aca="false">IF(AA949=1,H949,0)</f>
        <v>0</v>
      </c>
    </row>
    <row r="950" customFormat="false" ht="15" hidden="false" customHeight="false" outlineLevel="0" collapsed="false">
      <c r="A950" s="23" t="str">
        <f aca="false">IF(B950="","","B-"&amp;TEXT(ROW()-4,"0000"))</f>
        <v/>
      </c>
      <c r="B950" s="38"/>
      <c r="C950" s="38"/>
      <c r="D950" s="6"/>
      <c r="E950" s="6"/>
      <c r="F950" s="6"/>
      <c r="G950" s="11"/>
      <c r="H950" s="24" t="str">
        <f aca="false">IF(AND(ISNUMBER(B950),ISNUMBER(C950)),MAX(0,C950-B950),"")</f>
        <v/>
      </c>
      <c r="I950" s="37"/>
      <c r="J950" s="46" t="str">
        <f aca="false">IF(OR(D950="",N(H950)=0),"",IFERROR(IF(I950&lt;&gt;"",H950*I950,ROUND(((H950-(INT((WEEKDAY(B950-6)+H950-1)/7)+INT((WEEKDAY(B950-7)+H950-1)/7)))*INDEX(Properties!$E$5:$E$24,MATCH(D950,Properties!$A$5:$A$24,0))+(INT((WEEKDAY(B950-6)+H950-1)/7)+INT((WEEKDAY(B950-7)+H950-1)/7))*INDEX(Properties!$F$5:$F$24,MATCH(D950,Properties!$A$5:$A$24,0)))*(1-IF(H950&gt;=28,Settings!$B$10,IF(H950&gt;=7,Settings!$B$9,0))),2)),0))</f>
        <v/>
      </c>
      <c r="K950" s="46" t="str">
        <f aca="false">IF(J950="","",IFERROR(N(INDEX(Properties!$G$5:$G$24,MATCH(D950,Properties!$A$5:$A$24,0))),0))</f>
        <v/>
      </c>
      <c r="L950" s="46" t="str">
        <f aca="false">IF(J950="","",IFERROR(MAX(0,N(G950)-INDEX(Properties!$I$5:$I$24,MATCH(D950,Properties!$A$5:$A$24,0)))*N(INDEX(Properties!$J$5:$J$24,MATCH(D950,Properties!$A$5:$A$24,0)))*H950,0))</f>
        <v/>
      </c>
      <c r="M950" s="37"/>
      <c r="N950" s="46" t="str">
        <f aca="false">IF(J950="","",J950+K950+L950+N(M950))</f>
        <v/>
      </c>
      <c r="O950" s="46" t="str">
        <f aca="false">IF(N950="","",IF(P950&lt;&gt;"",N950-P950,ROUND(N950*IFERROR(INDEX(Settings!$E$5:$E$12,MATCH(F950,Settings!$D$5:$D$12,0)),0),2)))</f>
        <v/>
      </c>
      <c r="P950" s="37"/>
      <c r="Q950" s="46" t="str">
        <f aca="false">IF(N950="","",IF(P950&lt;&gt;"",P950,N950-O950))</f>
        <v/>
      </c>
      <c r="R950" s="46" t="str">
        <f aca="false">IF(J950="","",IFERROR(N(INDEX(Properties!$H$5:$H$24,MATCH(D950,Properties!$A$5:$A$24,0))),0))</f>
        <v/>
      </c>
      <c r="S950" s="46" t="str">
        <f aca="false">IF(Q950="","",Q950-R950)</f>
        <v/>
      </c>
      <c r="T950" s="6"/>
      <c r="U950" s="6"/>
      <c r="V950" s="6"/>
      <c r="W950" s="6"/>
      <c r="X950" s="6"/>
      <c r="Y950" s="8" t="str">
        <f aca="false">IF(OR(D950="",B950="",C950=""),"",IF(N(C950)&lt;=N(B950),"Check dates",IF(T950="Cancelled","",IF(COUNTIFS($D$5:$D$1004,D950,$B$5:$B$1004,"&lt;"&amp;C950,$C$5:$C$1004,"&gt;"&amp;B950,$T$5:$T$1004,"&lt;&gt;Cancelled")&gt;1,"Double-booked",""))))</f>
        <v/>
      </c>
      <c r="Z950" s="42" t="str">
        <f aca="false">IF(AND(AA950=1,ISNUMBER(C950)),C950+ROW()/100000,"")</f>
        <v/>
      </c>
      <c r="AA950" s="43" t="n">
        <f aca="false">IF(AND(D950&lt;&gt;"",ISNUMBER(B950),ISNUMBER(C950),N(H950)&gt;0,T950&lt;&gt;"Cancelled",J950&lt;&gt;""),1,0)</f>
        <v>0</v>
      </c>
      <c r="AB950" s="44" t="n">
        <f aca="false">IF(AA950=1,J950/H950,0)</f>
        <v>0</v>
      </c>
      <c r="AC950" s="44" t="n">
        <f aca="false">IF(AA950=1,Q950/H950,0)</f>
        <v>0</v>
      </c>
      <c r="AD950" s="44" t="n">
        <f aca="false">IF(AA950=1,R950/H950,0)</f>
        <v>0</v>
      </c>
      <c r="AE950" s="44" t="n">
        <f aca="false">IF(AA950=1,O950/H950,0)</f>
        <v>0</v>
      </c>
      <c r="AF950" s="44" t="n">
        <f aca="false">IF(AA950=1,K950/H950,0)</f>
        <v>0</v>
      </c>
      <c r="AG950" s="45" t="str">
        <f aca="false">IF(AA950=1,D950&amp;"|"&amp;TEXT(B950,"0"),"")</f>
        <v/>
      </c>
      <c r="AH950" s="43" t="n">
        <f aca="false">IF(AA950=1,H950,0)</f>
        <v>0</v>
      </c>
    </row>
    <row r="951" customFormat="false" ht="15" hidden="false" customHeight="false" outlineLevel="0" collapsed="false">
      <c r="A951" s="8" t="str">
        <f aca="false">IF(B951="","","B-"&amp;TEXT(ROW()-4,"0000"))</f>
        <v/>
      </c>
      <c r="B951" s="38"/>
      <c r="C951" s="38"/>
      <c r="D951" s="6"/>
      <c r="E951" s="6"/>
      <c r="F951" s="6"/>
      <c r="G951" s="11"/>
      <c r="H951" s="18" t="str">
        <f aca="false">IF(AND(ISNUMBER(B951),ISNUMBER(C951)),MAX(0,C951-B951),"")</f>
        <v/>
      </c>
      <c r="I951" s="37"/>
      <c r="J951" s="41" t="str">
        <f aca="false">IF(OR(D951="",N(H951)=0),"",IFERROR(IF(I951&lt;&gt;"",H951*I951,ROUND(((H951-(INT((WEEKDAY(B951-6)+H951-1)/7)+INT((WEEKDAY(B951-7)+H951-1)/7)))*INDEX(Properties!$E$5:$E$24,MATCH(D951,Properties!$A$5:$A$24,0))+(INT((WEEKDAY(B951-6)+H951-1)/7)+INT((WEEKDAY(B951-7)+H951-1)/7))*INDEX(Properties!$F$5:$F$24,MATCH(D951,Properties!$A$5:$A$24,0)))*(1-IF(H951&gt;=28,Settings!$B$10,IF(H951&gt;=7,Settings!$B$9,0))),2)),0))</f>
        <v/>
      </c>
      <c r="K951" s="41" t="str">
        <f aca="false">IF(J951="","",IFERROR(N(INDEX(Properties!$G$5:$G$24,MATCH(D951,Properties!$A$5:$A$24,0))),0))</f>
        <v/>
      </c>
      <c r="L951" s="41" t="str">
        <f aca="false">IF(J951="","",IFERROR(MAX(0,N(G951)-INDEX(Properties!$I$5:$I$24,MATCH(D951,Properties!$A$5:$A$24,0)))*N(INDEX(Properties!$J$5:$J$24,MATCH(D951,Properties!$A$5:$A$24,0)))*H951,0))</f>
        <v/>
      </c>
      <c r="M951" s="37"/>
      <c r="N951" s="41" t="str">
        <f aca="false">IF(J951="","",J951+K951+L951+N(M951))</f>
        <v/>
      </c>
      <c r="O951" s="41" t="str">
        <f aca="false">IF(N951="","",IF(P951&lt;&gt;"",N951-P951,ROUND(N951*IFERROR(INDEX(Settings!$E$5:$E$12,MATCH(F951,Settings!$D$5:$D$12,0)),0),2)))</f>
        <v/>
      </c>
      <c r="P951" s="37"/>
      <c r="Q951" s="41" t="str">
        <f aca="false">IF(N951="","",IF(P951&lt;&gt;"",P951,N951-O951))</f>
        <v/>
      </c>
      <c r="R951" s="41" t="str">
        <f aca="false">IF(J951="","",IFERROR(N(INDEX(Properties!$H$5:$H$24,MATCH(D951,Properties!$A$5:$A$24,0))),0))</f>
        <v/>
      </c>
      <c r="S951" s="41" t="str">
        <f aca="false">IF(Q951="","",Q951-R951)</f>
        <v/>
      </c>
      <c r="T951" s="6"/>
      <c r="U951" s="6"/>
      <c r="V951" s="6"/>
      <c r="W951" s="6"/>
      <c r="X951" s="6"/>
      <c r="Y951" s="8" t="str">
        <f aca="false">IF(OR(D951="",B951="",C951=""),"",IF(N(C951)&lt;=N(B951),"Check dates",IF(T951="Cancelled","",IF(COUNTIFS($D$5:$D$1004,D951,$B$5:$B$1004,"&lt;"&amp;C951,$C$5:$C$1004,"&gt;"&amp;B951,$T$5:$T$1004,"&lt;&gt;Cancelled")&gt;1,"Double-booked",""))))</f>
        <v/>
      </c>
      <c r="Z951" s="42" t="str">
        <f aca="false">IF(AND(AA951=1,ISNUMBER(C951)),C951+ROW()/100000,"")</f>
        <v/>
      </c>
      <c r="AA951" s="43" t="n">
        <f aca="false">IF(AND(D951&lt;&gt;"",ISNUMBER(B951),ISNUMBER(C951),N(H951)&gt;0,T951&lt;&gt;"Cancelled",J951&lt;&gt;""),1,0)</f>
        <v>0</v>
      </c>
      <c r="AB951" s="44" t="n">
        <f aca="false">IF(AA951=1,J951/H951,0)</f>
        <v>0</v>
      </c>
      <c r="AC951" s="44" t="n">
        <f aca="false">IF(AA951=1,Q951/H951,0)</f>
        <v>0</v>
      </c>
      <c r="AD951" s="44" t="n">
        <f aca="false">IF(AA951=1,R951/H951,0)</f>
        <v>0</v>
      </c>
      <c r="AE951" s="44" t="n">
        <f aca="false">IF(AA951=1,O951/H951,0)</f>
        <v>0</v>
      </c>
      <c r="AF951" s="44" t="n">
        <f aca="false">IF(AA951=1,K951/H951,0)</f>
        <v>0</v>
      </c>
      <c r="AG951" s="45" t="str">
        <f aca="false">IF(AA951=1,D951&amp;"|"&amp;TEXT(B951,"0"),"")</f>
        <v/>
      </c>
      <c r="AH951" s="43" t="n">
        <f aca="false">IF(AA951=1,H951,0)</f>
        <v>0</v>
      </c>
    </row>
    <row r="952" customFormat="false" ht="15" hidden="false" customHeight="false" outlineLevel="0" collapsed="false">
      <c r="A952" s="23" t="str">
        <f aca="false">IF(B952="","","B-"&amp;TEXT(ROW()-4,"0000"))</f>
        <v/>
      </c>
      <c r="B952" s="38"/>
      <c r="C952" s="38"/>
      <c r="D952" s="6"/>
      <c r="E952" s="6"/>
      <c r="F952" s="6"/>
      <c r="G952" s="11"/>
      <c r="H952" s="24" t="str">
        <f aca="false">IF(AND(ISNUMBER(B952),ISNUMBER(C952)),MAX(0,C952-B952),"")</f>
        <v/>
      </c>
      <c r="I952" s="37"/>
      <c r="J952" s="46" t="str">
        <f aca="false">IF(OR(D952="",N(H952)=0),"",IFERROR(IF(I952&lt;&gt;"",H952*I952,ROUND(((H952-(INT((WEEKDAY(B952-6)+H952-1)/7)+INT((WEEKDAY(B952-7)+H952-1)/7)))*INDEX(Properties!$E$5:$E$24,MATCH(D952,Properties!$A$5:$A$24,0))+(INT((WEEKDAY(B952-6)+H952-1)/7)+INT((WEEKDAY(B952-7)+H952-1)/7))*INDEX(Properties!$F$5:$F$24,MATCH(D952,Properties!$A$5:$A$24,0)))*(1-IF(H952&gt;=28,Settings!$B$10,IF(H952&gt;=7,Settings!$B$9,0))),2)),0))</f>
        <v/>
      </c>
      <c r="K952" s="46" t="str">
        <f aca="false">IF(J952="","",IFERROR(N(INDEX(Properties!$G$5:$G$24,MATCH(D952,Properties!$A$5:$A$24,0))),0))</f>
        <v/>
      </c>
      <c r="L952" s="46" t="str">
        <f aca="false">IF(J952="","",IFERROR(MAX(0,N(G952)-INDEX(Properties!$I$5:$I$24,MATCH(D952,Properties!$A$5:$A$24,0)))*N(INDEX(Properties!$J$5:$J$24,MATCH(D952,Properties!$A$5:$A$24,0)))*H952,0))</f>
        <v/>
      </c>
      <c r="M952" s="37"/>
      <c r="N952" s="46" t="str">
        <f aca="false">IF(J952="","",J952+K952+L952+N(M952))</f>
        <v/>
      </c>
      <c r="O952" s="46" t="str">
        <f aca="false">IF(N952="","",IF(P952&lt;&gt;"",N952-P952,ROUND(N952*IFERROR(INDEX(Settings!$E$5:$E$12,MATCH(F952,Settings!$D$5:$D$12,0)),0),2)))</f>
        <v/>
      </c>
      <c r="P952" s="37"/>
      <c r="Q952" s="46" t="str">
        <f aca="false">IF(N952="","",IF(P952&lt;&gt;"",P952,N952-O952))</f>
        <v/>
      </c>
      <c r="R952" s="46" t="str">
        <f aca="false">IF(J952="","",IFERROR(N(INDEX(Properties!$H$5:$H$24,MATCH(D952,Properties!$A$5:$A$24,0))),0))</f>
        <v/>
      </c>
      <c r="S952" s="46" t="str">
        <f aca="false">IF(Q952="","",Q952-R952)</f>
        <v/>
      </c>
      <c r="T952" s="6"/>
      <c r="U952" s="6"/>
      <c r="V952" s="6"/>
      <c r="W952" s="6"/>
      <c r="X952" s="6"/>
      <c r="Y952" s="8" t="str">
        <f aca="false">IF(OR(D952="",B952="",C952=""),"",IF(N(C952)&lt;=N(B952),"Check dates",IF(T952="Cancelled","",IF(COUNTIFS($D$5:$D$1004,D952,$B$5:$B$1004,"&lt;"&amp;C952,$C$5:$C$1004,"&gt;"&amp;B952,$T$5:$T$1004,"&lt;&gt;Cancelled")&gt;1,"Double-booked",""))))</f>
        <v/>
      </c>
      <c r="Z952" s="42" t="str">
        <f aca="false">IF(AND(AA952=1,ISNUMBER(C952)),C952+ROW()/100000,"")</f>
        <v/>
      </c>
      <c r="AA952" s="43" t="n">
        <f aca="false">IF(AND(D952&lt;&gt;"",ISNUMBER(B952),ISNUMBER(C952),N(H952)&gt;0,T952&lt;&gt;"Cancelled",J952&lt;&gt;""),1,0)</f>
        <v>0</v>
      </c>
      <c r="AB952" s="44" t="n">
        <f aca="false">IF(AA952=1,J952/H952,0)</f>
        <v>0</v>
      </c>
      <c r="AC952" s="44" t="n">
        <f aca="false">IF(AA952=1,Q952/H952,0)</f>
        <v>0</v>
      </c>
      <c r="AD952" s="44" t="n">
        <f aca="false">IF(AA952=1,R952/H952,0)</f>
        <v>0</v>
      </c>
      <c r="AE952" s="44" t="n">
        <f aca="false">IF(AA952=1,O952/H952,0)</f>
        <v>0</v>
      </c>
      <c r="AF952" s="44" t="n">
        <f aca="false">IF(AA952=1,K952/H952,0)</f>
        <v>0</v>
      </c>
      <c r="AG952" s="45" t="str">
        <f aca="false">IF(AA952=1,D952&amp;"|"&amp;TEXT(B952,"0"),"")</f>
        <v/>
      </c>
      <c r="AH952" s="43" t="n">
        <f aca="false">IF(AA952=1,H952,0)</f>
        <v>0</v>
      </c>
    </row>
    <row r="953" customFormat="false" ht="15" hidden="false" customHeight="false" outlineLevel="0" collapsed="false">
      <c r="A953" s="8" t="str">
        <f aca="false">IF(B953="","","B-"&amp;TEXT(ROW()-4,"0000"))</f>
        <v/>
      </c>
      <c r="B953" s="38"/>
      <c r="C953" s="38"/>
      <c r="D953" s="6"/>
      <c r="E953" s="6"/>
      <c r="F953" s="6"/>
      <c r="G953" s="11"/>
      <c r="H953" s="18" t="str">
        <f aca="false">IF(AND(ISNUMBER(B953),ISNUMBER(C953)),MAX(0,C953-B953),"")</f>
        <v/>
      </c>
      <c r="I953" s="37"/>
      <c r="J953" s="41" t="str">
        <f aca="false">IF(OR(D953="",N(H953)=0),"",IFERROR(IF(I953&lt;&gt;"",H953*I953,ROUND(((H953-(INT((WEEKDAY(B953-6)+H953-1)/7)+INT((WEEKDAY(B953-7)+H953-1)/7)))*INDEX(Properties!$E$5:$E$24,MATCH(D953,Properties!$A$5:$A$24,0))+(INT((WEEKDAY(B953-6)+H953-1)/7)+INT((WEEKDAY(B953-7)+H953-1)/7))*INDEX(Properties!$F$5:$F$24,MATCH(D953,Properties!$A$5:$A$24,0)))*(1-IF(H953&gt;=28,Settings!$B$10,IF(H953&gt;=7,Settings!$B$9,0))),2)),0))</f>
        <v/>
      </c>
      <c r="K953" s="41" t="str">
        <f aca="false">IF(J953="","",IFERROR(N(INDEX(Properties!$G$5:$G$24,MATCH(D953,Properties!$A$5:$A$24,0))),0))</f>
        <v/>
      </c>
      <c r="L953" s="41" t="str">
        <f aca="false">IF(J953="","",IFERROR(MAX(0,N(G953)-INDEX(Properties!$I$5:$I$24,MATCH(D953,Properties!$A$5:$A$24,0)))*N(INDEX(Properties!$J$5:$J$24,MATCH(D953,Properties!$A$5:$A$24,0)))*H953,0))</f>
        <v/>
      </c>
      <c r="M953" s="37"/>
      <c r="N953" s="41" t="str">
        <f aca="false">IF(J953="","",J953+K953+L953+N(M953))</f>
        <v/>
      </c>
      <c r="O953" s="41" t="str">
        <f aca="false">IF(N953="","",IF(P953&lt;&gt;"",N953-P953,ROUND(N953*IFERROR(INDEX(Settings!$E$5:$E$12,MATCH(F953,Settings!$D$5:$D$12,0)),0),2)))</f>
        <v/>
      </c>
      <c r="P953" s="37"/>
      <c r="Q953" s="41" t="str">
        <f aca="false">IF(N953="","",IF(P953&lt;&gt;"",P953,N953-O953))</f>
        <v/>
      </c>
      <c r="R953" s="41" t="str">
        <f aca="false">IF(J953="","",IFERROR(N(INDEX(Properties!$H$5:$H$24,MATCH(D953,Properties!$A$5:$A$24,0))),0))</f>
        <v/>
      </c>
      <c r="S953" s="41" t="str">
        <f aca="false">IF(Q953="","",Q953-R953)</f>
        <v/>
      </c>
      <c r="T953" s="6"/>
      <c r="U953" s="6"/>
      <c r="V953" s="6"/>
      <c r="W953" s="6"/>
      <c r="X953" s="6"/>
      <c r="Y953" s="8" t="str">
        <f aca="false">IF(OR(D953="",B953="",C953=""),"",IF(N(C953)&lt;=N(B953),"Check dates",IF(T953="Cancelled","",IF(COUNTIFS($D$5:$D$1004,D953,$B$5:$B$1004,"&lt;"&amp;C953,$C$5:$C$1004,"&gt;"&amp;B953,$T$5:$T$1004,"&lt;&gt;Cancelled")&gt;1,"Double-booked",""))))</f>
        <v/>
      </c>
      <c r="Z953" s="42" t="str">
        <f aca="false">IF(AND(AA953=1,ISNUMBER(C953)),C953+ROW()/100000,"")</f>
        <v/>
      </c>
      <c r="AA953" s="43" t="n">
        <f aca="false">IF(AND(D953&lt;&gt;"",ISNUMBER(B953),ISNUMBER(C953),N(H953)&gt;0,T953&lt;&gt;"Cancelled",J953&lt;&gt;""),1,0)</f>
        <v>0</v>
      </c>
      <c r="AB953" s="44" t="n">
        <f aca="false">IF(AA953=1,J953/H953,0)</f>
        <v>0</v>
      </c>
      <c r="AC953" s="44" t="n">
        <f aca="false">IF(AA953=1,Q953/H953,0)</f>
        <v>0</v>
      </c>
      <c r="AD953" s="44" t="n">
        <f aca="false">IF(AA953=1,R953/H953,0)</f>
        <v>0</v>
      </c>
      <c r="AE953" s="44" t="n">
        <f aca="false">IF(AA953=1,O953/H953,0)</f>
        <v>0</v>
      </c>
      <c r="AF953" s="44" t="n">
        <f aca="false">IF(AA953=1,K953/H953,0)</f>
        <v>0</v>
      </c>
      <c r="AG953" s="45" t="str">
        <f aca="false">IF(AA953=1,D953&amp;"|"&amp;TEXT(B953,"0"),"")</f>
        <v/>
      </c>
      <c r="AH953" s="43" t="n">
        <f aca="false">IF(AA953=1,H953,0)</f>
        <v>0</v>
      </c>
    </row>
    <row r="954" customFormat="false" ht="15" hidden="false" customHeight="false" outlineLevel="0" collapsed="false">
      <c r="A954" s="23" t="str">
        <f aca="false">IF(B954="","","B-"&amp;TEXT(ROW()-4,"0000"))</f>
        <v/>
      </c>
      <c r="B954" s="38"/>
      <c r="C954" s="38"/>
      <c r="D954" s="6"/>
      <c r="E954" s="6"/>
      <c r="F954" s="6"/>
      <c r="G954" s="11"/>
      <c r="H954" s="24" t="str">
        <f aca="false">IF(AND(ISNUMBER(B954),ISNUMBER(C954)),MAX(0,C954-B954),"")</f>
        <v/>
      </c>
      <c r="I954" s="37"/>
      <c r="J954" s="46" t="str">
        <f aca="false">IF(OR(D954="",N(H954)=0),"",IFERROR(IF(I954&lt;&gt;"",H954*I954,ROUND(((H954-(INT((WEEKDAY(B954-6)+H954-1)/7)+INT((WEEKDAY(B954-7)+H954-1)/7)))*INDEX(Properties!$E$5:$E$24,MATCH(D954,Properties!$A$5:$A$24,0))+(INT((WEEKDAY(B954-6)+H954-1)/7)+INT((WEEKDAY(B954-7)+H954-1)/7))*INDEX(Properties!$F$5:$F$24,MATCH(D954,Properties!$A$5:$A$24,0)))*(1-IF(H954&gt;=28,Settings!$B$10,IF(H954&gt;=7,Settings!$B$9,0))),2)),0))</f>
        <v/>
      </c>
      <c r="K954" s="46" t="str">
        <f aca="false">IF(J954="","",IFERROR(N(INDEX(Properties!$G$5:$G$24,MATCH(D954,Properties!$A$5:$A$24,0))),0))</f>
        <v/>
      </c>
      <c r="L954" s="46" t="str">
        <f aca="false">IF(J954="","",IFERROR(MAX(0,N(G954)-INDEX(Properties!$I$5:$I$24,MATCH(D954,Properties!$A$5:$A$24,0)))*N(INDEX(Properties!$J$5:$J$24,MATCH(D954,Properties!$A$5:$A$24,0)))*H954,0))</f>
        <v/>
      </c>
      <c r="M954" s="37"/>
      <c r="N954" s="46" t="str">
        <f aca="false">IF(J954="","",J954+K954+L954+N(M954))</f>
        <v/>
      </c>
      <c r="O954" s="46" t="str">
        <f aca="false">IF(N954="","",IF(P954&lt;&gt;"",N954-P954,ROUND(N954*IFERROR(INDEX(Settings!$E$5:$E$12,MATCH(F954,Settings!$D$5:$D$12,0)),0),2)))</f>
        <v/>
      </c>
      <c r="P954" s="37"/>
      <c r="Q954" s="46" t="str">
        <f aca="false">IF(N954="","",IF(P954&lt;&gt;"",P954,N954-O954))</f>
        <v/>
      </c>
      <c r="R954" s="46" t="str">
        <f aca="false">IF(J954="","",IFERROR(N(INDEX(Properties!$H$5:$H$24,MATCH(D954,Properties!$A$5:$A$24,0))),0))</f>
        <v/>
      </c>
      <c r="S954" s="46" t="str">
        <f aca="false">IF(Q954="","",Q954-R954)</f>
        <v/>
      </c>
      <c r="T954" s="6"/>
      <c r="U954" s="6"/>
      <c r="V954" s="6"/>
      <c r="W954" s="6"/>
      <c r="X954" s="6"/>
      <c r="Y954" s="8" t="str">
        <f aca="false">IF(OR(D954="",B954="",C954=""),"",IF(N(C954)&lt;=N(B954),"Check dates",IF(T954="Cancelled","",IF(COUNTIFS($D$5:$D$1004,D954,$B$5:$B$1004,"&lt;"&amp;C954,$C$5:$C$1004,"&gt;"&amp;B954,$T$5:$T$1004,"&lt;&gt;Cancelled")&gt;1,"Double-booked",""))))</f>
        <v/>
      </c>
      <c r="Z954" s="42" t="str">
        <f aca="false">IF(AND(AA954=1,ISNUMBER(C954)),C954+ROW()/100000,"")</f>
        <v/>
      </c>
      <c r="AA954" s="43" t="n">
        <f aca="false">IF(AND(D954&lt;&gt;"",ISNUMBER(B954),ISNUMBER(C954),N(H954)&gt;0,T954&lt;&gt;"Cancelled",J954&lt;&gt;""),1,0)</f>
        <v>0</v>
      </c>
      <c r="AB954" s="44" t="n">
        <f aca="false">IF(AA954=1,J954/H954,0)</f>
        <v>0</v>
      </c>
      <c r="AC954" s="44" t="n">
        <f aca="false">IF(AA954=1,Q954/H954,0)</f>
        <v>0</v>
      </c>
      <c r="AD954" s="44" t="n">
        <f aca="false">IF(AA954=1,R954/H954,0)</f>
        <v>0</v>
      </c>
      <c r="AE954" s="44" t="n">
        <f aca="false">IF(AA954=1,O954/H954,0)</f>
        <v>0</v>
      </c>
      <c r="AF954" s="44" t="n">
        <f aca="false">IF(AA954=1,K954/H954,0)</f>
        <v>0</v>
      </c>
      <c r="AG954" s="45" t="str">
        <f aca="false">IF(AA954=1,D954&amp;"|"&amp;TEXT(B954,"0"),"")</f>
        <v/>
      </c>
      <c r="AH954" s="43" t="n">
        <f aca="false">IF(AA954=1,H954,0)</f>
        <v>0</v>
      </c>
    </row>
    <row r="955" customFormat="false" ht="15" hidden="false" customHeight="false" outlineLevel="0" collapsed="false">
      <c r="A955" s="8" t="str">
        <f aca="false">IF(B955="","","B-"&amp;TEXT(ROW()-4,"0000"))</f>
        <v/>
      </c>
      <c r="B955" s="38"/>
      <c r="C955" s="38"/>
      <c r="D955" s="6"/>
      <c r="E955" s="6"/>
      <c r="F955" s="6"/>
      <c r="G955" s="11"/>
      <c r="H955" s="18" t="str">
        <f aca="false">IF(AND(ISNUMBER(B955),ISNUMBER(C955)),MAX(0,C955-B955),"")</f>
        <v/>
      </c>
      <c r="I955" s="37"/>
      <c r="J955" s="41" t="str">
        <f aca="false">IF(OR(D955="",N(H955)=0),"",IFERROR(IF(I955&lt;&gt;"",H955*I955,ROUND(((H955-(INT((WEEKDAY(B955-6)+H955-1)/7)+INT((WEEKDAY(B955-7)+H955-1)/7)))*INDEX(Properties!$E$5:$E$24,MATCH(D955,Properties!$A$5:$A$24,0))+(INT((WEEKDAY(B955-6)+H955-1)/7)+INT((WEEKDAY(B955-7)+H955-1)/7))*INDEX(Properties!$F$5:$F$24,MATCH(D955,Properties!$A$5:$A$24,0)))*(1-IF(H955&gt;=28,Settings!$B$10,IF(H955&gt;=7,Settings!$B$9,0))),2)),0))</f>
        <v/>
      </c>
      <c r="K955" s="41" t="str">
        <f aca="false">IF(J955="","",IFERROR(N(INDEX(Properties!$G$5:$G$24,MATCH(D955,Properties!$A$5:$A$24,0))),0))</f>
        <v/>
      </c>
      <c r="L955" s="41" t="str">
        <f aca="false">IF(J955="","",IFERROR(MAX(0,N(G955)-INDEX(Properties!$I$5:$I$24,MATCH(D955,Properties!$A$5:$A$24,0)))*N(INDEX(Properties!$J$5:$J$24,MATCH(D955,Properties!$A$5:$A$24,0)))*H955,0))</f>
        <v/>
      </c>
      <c r="M955" s="37"/>
      <c r="N955" s="41" t="str">
        <f aca="false">IF(J955="","",J955+K955+L955+N(M955))</f>
        <v/>
      </c>
      <c r="O955" s="41" t="str">
        <f aca="false">IF(N955="","",IF(P955&lt;&gt;"",N955-P955,ROUND(N955*IFERROR(INDEX(Settings!$E$5:$E$12,MATCH(F955,Settings!$D$5:$D$12,0)),0),2)))</f>
        <v/>
      </c>
      <c r="P955" s="37"/>
      <c r="Q955" s="41" t="str">
        <f aca="false">IF(N955="","",IF(P955&lt;&gt;"",P955,N955-O955))</f>
        <v/>
      </c>
      <c r="R955" s="41" t="str">
        <f aca="false">IF(J955="","",IFERROR(N(INDEX(Properties!$H$5:$H$24,MATCH(D955,Properties!$A$5:$A$24,0))),0))</f>
        <v/>
      </c>
      <c r="S955" s="41" t="str">
        <f aca="false">IF(Q955="","",Q955-R955)</f>
        <v/>
      </c>
      <c r="T955" s="6"/>
      <c r="U955" s="6"/>
      <c r="V955" s="6"/>
      <c r="W955" s="6"/>
      <c r="X955" s="6"/>
      <c r="Y955" s="8" t="str">
        <f aca="false">IF(OR(D955="",B955="",C955=""),"",IF(N(C955)&lt;=N(B955),"Check dates",IF(T955="Cancelled","",IF(COUNTIFS($D$5:$D$1004,D955,$B$5:$B$1004,"&lt;"&amp;C955,$C$5:$C$1004,"&gt;"&amp;B955,$T$5:$T$1004,"&lt;&gt;Cancelled")&gt;1,"Double-booked",""))))</f>
        <v/>
      </c>
      <c r="Z955" s="42" t="str">
        <f aca="false">IF(AND(AA955=1,ISNUMBER(C955)),C955+ROW()/100000,"")</f>
        <v/>
      </c>
      <c r="AA955" s="43" t="n">
        <f aca="false">IF(AND(D955&lt;&gt;"",ISNUMBER(B955),ISNUMBER(C955),N(H955)&gt;0,T955&lt;&gt;"Cancelled",J955&lt;&gt;""),1,0)</f>
        <v>0</v>
      </c>
      <c r="AB955" s="44" t="n">
        <f aca="false">IF(AA955=1,J955/H955,0)</f>
        <v>0</v>
      </c>
      <c r="AC955" s="44" t="n">
        <f aca="false">IF(AA955=1,Q955/H955,0)</f>
        <v>0</v>
      </c>
      <c r="AD955" s="44" t="n">
        <f aca="false">IF(AA955=1,R955/H955,0)</f>
        <v>0</v>
      </c>
      <c r="AE955" s="44" t="n">
        <f aca="false">IF(AA955=1,O955/H955,0)</f>
        <v>0</v>
      </c>
      <c r="AF955" s="44" t="n">
        <f aca="false">IF(AA955=1,K955/H955,0)</f>
        <v>0</v>
      </c>
      <c r="AG955" s="45" t="str">
        <f aca="false">IF(AA955=1,D955&amp;"|"&amp;TEXT(B955,"0"),"")</f>
        <v/>
      </c>
      <c r="AH955" s="43" t="n">
        <f aca="false">IF(AA955=1,H955,0)</f>
        <v>0</v>
      </c>
    </row>
    <row r="956" customFormat="false" ht="15" hidden="false" customHeight="false" outlineLevel="0" collapsed="false">
      <c r="A956" s="23" t="str">
        <f aca="false">IF(B956="","","B-"&amp;TEXT(ROW()-4,"0000"))</f>
        <v/>
      </c>
      <c r="B956" s="38"/>
      <c r="C956" s="38"/>
      <c r="D956" s="6"/>
      <c r="E956" s="6"/>
      <c r="F956" s="6"/>
      <c r="G956" s="11"/>
      <c r="H956" s="24" t="str">
        <f aca="false">IF(AND(ISNUMBER(B956),ISNUMBER(C956)),MAX(0,C956-B956),"")</f>
        <v/>
      </c>
      <c r="I956" s="37"/>
      <c r="J956" s="46" t="str">
        <f aca="false">IF(OR(D956="",N(H956)=0),"",IFERROR(IF(I956&lt;&gt;"",H956*I956,ROUND(((H956-(INT((WEEKDAY(B956-6)+H956-1)/7)+INT((WEEKDAY(B956-7)+H956-1)/7)))*INDEX(Properties!$E$5:$E$24,MATCH(D956,Properties!$A$5:$A$24,0))+(INT((WEEKDAY(B956-6)+H956-1)/7)+INT((WEEKDAY(B956-7)+H956-1)/7))*INDEX(Properties!$F$5:$F$24,MATCH(D956,Properties!$A$5:$A$24,0)))*(1-IF(H956&gt;=28,Settings!$B$10,IF(H956&gt;=7,Settings!$B$9,0))),2)),0))</f>
        <v/>
      </c>
      <c r="K956" s="46" t="str">
        <f aca="false">IF(J956="","",IFERROR(N(INDEX(Properties!$G$5:$G$24,MATCH(D956,Properties!$A$5:$A$24,0))),0))</f>
        <v/>
      </c>
      <c r="L956" s="46" t="str">
        <f aca="false">IF(J956="","",IFERROR(MAX(0,N(G956)-INDEX(Properties!$I$5:$I$24,MATCH(D956,Properties!$A$5:$A$24,0)))*N(INDEX(Properties!$J$5:$J$24,MATCH(D956,Properties!$A$5:$A$24,0)))*H956,0))</f>
        <v/>
      </c>
      <c r="M956" s="37"/>
      <c r="N956" s="46" t="str">
        <f aca="false">IF(J956="","",J956+K956+L956+N(M956))</f>
        <v/>
      </c>
      <c r="O956" s="46" t="str">
        <f aca="false">IF(N956="","",IF(P956&lt;&gt;"",N956-P956,ROUND(N956*IFERROR(INDEX(Settings!$E$5:$E$12,MATCH(F956,Settings!$D$5:$D$12,0)),0),2)))</f>
        <v/>
      </c>
      <c r="P956" s="37"/>
      <c r="Q956" s="46" t="str">
        <f aca="false">IF(N956="","",IF(P956&lt;&gt;"",P956,N956-O956))</f>
        <v/>
      </c>
      <c r="R956" s="46" t="str">
        <f aca="false">IF(J956="","",IFERROR(N(INDEX(Properties!$H$5:$H$24,MATCH(D956,Properties!$A$5:$A$24,0))),0))</f>
        <v/>
      </c>
      <c r="S956" s="46" t="str">
        <f aca="false">IF(Q956="","",Q956-R956)</f>
        <v/>
      </c>
      <c r="T956" s="6"/>
      <c r="U956" s="6"/>
      <c r="V956" s="6"/>
      <c r="W956" s="6"/>
      <c r="X956" s="6"/>
      <c r="Y956" s="8" t="str">
        <f aca="false">IF(OR(D956="",B956="",C956=""),"",IF(N(C956)&lt;=N(B956),"Check dates",IF(T956="Cancelled","",IF(COUNTIFS($D$5:$D$1004,D956,$B$5:$B$1004,"&lt;"&amp;C956,$C$5:$C$1004,"&gt;"&amp;B956,$T$5:$T$1004,"&lt;&gt;Cancelled")&gt;1,"Double-booked",""))))</f>
        <v/>
      </c>
      <c r="Z956" s="42" t="str">
        <f aca="false">IF(AND(AA956=1,ISNUMBER(C956)),C956+ROW()/100000,"")</f>
        <v/>
      </c>
      <c r="AA956" s="43" t="n">
        <f aca="false">IF(AND(D956&lt;&gt;"",ISNUMBER(B956),ISNUMBER(C956),N(H956)&gt;0,T956&lt;&gt;"Cancelled",J956&lt;&gt;""),1,0)</f>
        <v>0</v>
      </c>
      <c r="AB956" s="44" t="n">
        <f aca="false">IF(AA956=1,J956/H956,0)</f>
        <v>0</v>
      </c>
      <c r="AC956" s="44" t="n">
        <f aca="false">IF(AA956=1,Q956/H956,0)</f>
        <v>0</v>
      </c>
      <c r="AD956" s="44" t="n">
        <f aca="false">IF(AA956=1,R956/H956,0)</f>
        <v>0</v>
      </c>
      <c r="AE956" s="44" t="n">
        <f aca="false">IF(AA956=1,O956/H956,0)</f>
        <v>0</v>
      </c>
      <c r="AF956" s="44" t="n">
        <f aca="false">IF(AA956=1,K956/H956,0)</f>
        <v>0</v>
      </c>
      <c r="AG956" s="45" t="str">
        <f aca="false">IF(AA956=1,D956&amp;"|"&amp;TEXT(B956,"0"),"")</f>
        <v/>
      </c>
      <c r="AH956" s="43" t="n">
        <f aca="false">IF(AA956=1,H956,0)</f>
        <v>0</v>
      </c>
    </row>
    <row r="957" customFormat="false" ht="15" hidden="false" customHeight="false" outlineLevel="0" collapsed="false">
      <c r="A957" s="8" t="str">
        <f aca="false">IF(B957="","","B-"&amp;TEXT(ROW()-4,"0000"))</f>
        <v/>
      </c>
      <c r="B957" s="38"/>
      <c r="C957" s="38"/>
      <c r="D957" s="6"/>
      <c r="E957" s="6"/>
      <c r="F957" s="6"/>
      <c r="G957" s="11"/>
      <c r="H957" s="18" t="str">
        <f aca="false">IF(AND(ISNUMBER(B957),ISNUMBER(C957)),MAX(0,C957-B957),"")</f>
        <v/>
      </c>
      <c r="I957" s="37"/>
      <c r="J957" s="41" t="str">
        <f aca="false">IF(OR(D957="",N(H957)=0),"",IFERROR(IF(I957&lt;&gt;"",H957*I957,ROUND(((H957-(INT((WEEKDAY(B957-6)+H957-1)/7)+INT((WEEKDAY(B957-7)+H957-1)/7)))*INDEX(Properties!$E$5:$E$24,MATCH(D957,Properties!$A$5:$A$24,0))+(INT((WEEKDAY(B957-6)+H957-1)/7)+INT((WEEKDAY(B957-7)+H957-1)/7))*INDEX(Properties!$F$5:$F$24,MATCH(D957,Properties!$A$5:$A$24,0)))*(1-IF(H957&gt;=28,Settings!$B$10,IF(H957&gt;=7,Settings!$B$9,0))),2)),0))</f>
        <v/>
      </c>
      <c r="K957" s="41" t="str">
        <f aca="false">IF(J957="","",IFERROR(N(INDEX(Properties!$G$5:$G$24,MATCH(D957,Properties!$A$5:$A$24,0))),0))</f>
        <v/>
      </c>
      <c r="L957" s="41" t="str">
        <f aca="false">IF(J957="","",IFERROR(MAX(0,N(G957)-INDEX(Properties!$I$5:$I$24,MATCH(D957,Properties!$A$5:$A$24,0)))*N(INDEX(Properties!$J$5:$J$24,MATCH(D957,Properties!$A$5:$A$24,0)))*H957,0))</f>
        <v/>
      </c>
      <c r="M957" s="37"/>
      <c r="N957" s="41" t="str">
        <f aca="false">IF(J957="","",J957+K957+L957+N(M957))</f>
        <v/>
      </c>
      <c r="O957" s="41" t="str">
        <f aca="false">IF(N957="","",IF(P957&lt;&gt;"",N957-P957,ROUND(N957*IFERROR(INDEX(Settings!$E$5:$E$12,MATCH(F957,Settings!$D$5:$D$12,0)),0),2)))</f>
        <v/>
      </c>
      <c r="P957" s="37"/>
      <c r="Q957" s="41" t="str">
        <f aca="false">IF(N957="","",IF(P957&lt;&gt;"",P957,N957-O957))</f>
        <v/>
      </c>
      <c r="R957" s="41" t="str">
        <f aca="false">IF(J957="","",IFERROR(N(INDEX(Properties!$H$5:$H$24,MATCH(D957,Properties!$A$5:$A$24,0))),0))</f>
        <v/>
      </c>
      <c r="S957" s="41" t="str">
        <f aca="false">IF(Q957="","",Q957-R957)</f>
        <v/>
      </c>
      <c r="T957" s="6"/>
      <c r="U957" s="6"/>
      <c r="V957" s="6"/>
      <c r="W957" s="6"/>
      <c r="X957" s="6"/>
      <c r="Y957" s="8" t="str">
        <f aca="false">IF(OR(D957="",B957="",C957=""),"",IF(N(C957)&lt;=N(B957),"Check dates",IF(T957="Cancelled","",IF(COUNTIFS($D$5:$D$1004,D957,$B$5:$B$1004,"&lt;"&amp;C957,$C$5:$C$1004,"&gt;"&amp;B957,$T$5:$T$1004,"&lt;&gt;Cancelled")&gt;1,"Double-booked",""))))</f>
        <v/>
      </c>
      <c r="Z957" s="42" t="str">
        <f aca="false">IF(AND(AA957=1,ISNUMBER(C957)),C957+ROW()/100000,"")</f>
        <v/>
      </c>
      <c r="AA957" s="43" t="n">
        <f aca="false">IF(AND(D957&lt;&gt;"",ISNUMBER(B957),ISNUMBER(C957),N(H957)&gt;0,T957&lt;&gt;"Cancelled",J957&lt;&gt;""),1,0)</f>
        <v>0</v>
      </c>
      <c r="AB957" s="44" t="n">
        <f aca="false">IF(AA957=1,J957/H957,0)</f>
        <v>0</v>
      </c>
      <c r="AC957" s="44" t="n">
        <f aca="false">IF(AA957=1,Q957/H957,0)</f>
        <v>0</v>
      </c>
      <c r="AD957" s="44" t="n">
        <f aca="false">IF(AA957=1,R957/H957,0)</f>
        <v>0</v>
      </c>
      <c r="AE957" s="44" t="n">
        <f aca="false">IF(AA957=1,O957/H957,0)</f>
        <v>0</v>
      </c>
      <c r="AF957" s="44" t="n">
        <f aca="false">IF(AA957=1,K957/H957,0)</f>
        <v>0</v>
      </c>
      <c r="AG957" s="45" t="str">
        <f aca="false">IF(AA957=1,D957&amp;"|"&amp;TEXT(B957,"0"),"")</f>
        <v/>
      </c>
      <c r="AH957" s="43" t="n">
        <f aca="false">IF(AA957=1,H957,0)</f>
        <v>0</v>
      </c>
    </row>
    <row r="958" customFormat="false" ht="15" hidden="false" customHeight="false" outlineLevel="0" collapsed="false">
      <c r="A958" s="23" t="str">
        <f aca="false">IF(B958="","","B-"&amp;TEXT(ROW()-4,"0000"))</f>
        <v/>
      </c>
      <c r="B958" s="38"/>
      <c r="C958" s="38"/>
      <c r="D958" s="6"/>
      <c r="E958" s="6"/>
      <c r="F958" s="6"/>
      <c r="G958" s="11"/>
      <c r="H958" s="24" t="str">
        <f aca="false">IF(AND(ISNUMBER(B958),ISNUMBER(C958)),MAX(0,C958-B958),"")</f>
        <v/>
      </c>
      <c r="I958" s="37"/>
      <c r="J958" s="46" t="str">
        <f aca="false">IF(OR(D958="",N(H958)=0),"",IFERROR(IF(I958&lt;&gt;"",H958*I958,ROUND(((H958-(INT((WEEKDAY(B958-6)+H958-1)/7)+INT((WEEKDAY(B958-7)+H958-1)/7)))*INDEX(Properties!$E$5:$E$24,MATCH(D958,Properties!$A$5:$A$24,0))+(INT((WEEKDAY(B958-6)+H958-1)/7)+INT((WEEKDAY(B958-7)+H958-1)/7))*INDEX(Properties!$F$5:$F$24,MATCH(D958,Properties!$A$5:$A$24,0)))*(1-IF(H958&gt;=28,Settings!$B$10,IF(H958&gt;=7,Settings!$B$9,0))),2)),0))</f>
        <v/>
      </c>
      <c r="K958" s="46" t="str">
        <f aca="false">IF(J958="","",IFERROR(N(INDEX(Properties!$G$5:$G$24,MATCH(D958,Properties!$A$5:$A$24,0))),0))</f>
        <v/>
      </c>
      <c r="L958" s="46" t="str">
        <f aca="false">IF(J958="","",IFERROR(MAX(0,N(G958)-INDEX(Properties!$I$5:$I$24,MATCH(D958,Properties!$A$5:$A$24,0)))*N(INDEX(Properties!$J$5:$J$24,MATCH(D958,Properties!$A$5:$A$24,0)))*H958,0))</f>
        <v/>
      </c>
      <c r="M958" s="37"/>
      <c r="N958" s="46" t="str">
        <f aca="false">IF(J958="","",J958+K958+L958+N(M958))</f>
        <v/>
      </c>
      <c r="O958" s="46" t="str">
        <f aca="false">IF(N958="","",IF(P958&lt;&gt;"",N958-P958,ROUND(N958*IFERROR(INDEX(Settings!$E$5:$E$12,MATCH(F958,Settings!$D$5:$D$12,0)),0),2)))</f>
        <v/>
      </c>
      <c r="P958" s="37"/>
      <c r="Q958" s="46" t="str">
        <f aca="false">IF(N958="","",IF(P958&lt;&gt;"",P958,N958-O958))</f>
        <v/>
      </c>
      <c r="R958" s="46" t="str">
        <f aca="false">IF(J958="","",IFERROR(N(INDEX(Properties!$H$5:$H$24,MATCH(D958,Properties!$A$5:$A$24,0))),0))</f>
        <v/>
      </c>
      <c r="S958" s="46" t="str">
        <f aca="false">IF(Q958="","",Q958-R958)</f>
        <v/>
      </c>
      <c r="T958" s="6"/>
      <c r="U958" s="6"/>
      <c r="V958" s="6"/>
      <c r="W958" s="6"/>
      <c r="X958" s="6"/>
      <c r="Y958" s="8" t="str">
        <f aca="false">IF(OR(D958="",B958="",C958=""),"",IF(N(C958)&lt;=N(B958),"Check dates",IF(T958="Cancelled","",IF(COUNTIFS($D$5:$D$1004,D958,$B$5:$B$1004,"&lt;"&amp;C958,$C$5:$C$1004,"&gt;"&amp;B958,$T$5:$T$1004,"&lt;&gt;Cancelled")&gt;1,"Double-booked",""))))</f>
        <v/>
      </c>
      <c r="Z958" s="42" t="str">
        <f aca="false">IF(AND(AA958=1,ISNUMBER(C958)),C958+ROW()/100000,"")</f>
        <v/>
      </c>
      <c r="AA958" s="43" t="n">
        <f aca="false">IF(AND(D958&lt;&gt;"",ISNUMBER(B958),ISNUMBER(C958),N(H958)&gt;0,T958&lt;&gt;"Cancelled",J958&lt;&gt;""),1,0)</f>
        <v>0</v>
      </c>
      <c r="AB958" s="44" t="n">
        <f aca="false">IF(AA958=1,J958/H958,0)</f>
        <v>0</v>
      </c>
      <c r="AC958" s="44" t="n">
        <f aca="false">IF(AA958=1,Q958/H958,0)</f>
        <v>0</v>
      </c>
      <c r="AD958" s="44" t="n">
        <f aca="false">IF(AA958=1,R958/H958,0)</f>
        <v>0</v>
      </c>
      <c r="AE958" s="44" t="n">
        <f aca="false">IF(AA958=1,O958/H958,0)</f>
        <v>0</v>
      </c>
      <c r="AF958" s="44" t="n">
        <f aca="false">IF(AA958=1,K958/H958,0)</f>
        <v>0</v>
      </c>
      <c r="AG958" s="45" t="str">
        <f aca="false">IF(AA958=1,D958&amp;"|"&amp;TEXT(B958,"0"),"")</f>
        <v/>
      </c>
      <c r="AH958" s="43" t="n">
        <f aca="false">IF(AA958=1,H958,0)</f>
        <v>0</v>
      </c>
    </row>
    <row r="959" customFormat="false" ht="15" hidden="false" customHeight="false" outlineLevel="0" collapsed="false">
      <c r="A959" s="8" t="str">
        <f aca="false">IF(B959="","","B-"&amp;TEXT(ROW()-4,"0000"))</f>
        <v/>
      </c>
      <c r="B959" s="38"/>
      <c r="C959" s="38"/>
      <c r="D959" s="6"/>
      <c r="E959" s="6"/>
      <c r="F959" s="6"/>
      <c r="G959" s="11"/>
      <c r="H959" s="18" t="str">
        <f aca="false">IF(AND(ISNUMBER(B959),ISNUMBER(C959)),MAX(0,C959-B959),"")</f>
        <v/>
      </c>
      <c r="I959" s="37"/>
      <c r="J959" s="41" t="str">
        <f aca="false">IF(OR(D959="",N(H959)=0),"",IFERROR(IF(I959&lt;&gt;"",H959*I959,ROUND(((H959-(INT((WEEKDAY(B959-6)+H959-1)/7)+INT((WEEKDAY(B959-7)+H959-1)/7)))*INDEX(Properties!$E$5:$E$24,MATCH(D959,Properties!$A$5:$A$24,0))+(INT((WEEKDAY(B959-6)+H959-1)/7)+INT((WEEKDAY(B959-7)+H959-1)/7))*INDEX(Properties!$F$5:$F$24,MATCH(D959,Properties!$A$5:$A$24,0)))*(1-IF(H959&gt;=28,Settings!$B$10,IF(H959&gt;=7,Settings!$B$9,0))),2)),0))</f>
        <v/>
      </c>
      <c r="K959" s="41" t="str">
        <f aca="false">IF(J959="","",IFERROR(N(INDEX(Properties!$G$5:$G$24,MATCH(D959,Properties!$A$5:$A$24,0))),0))</f>
        <v/>
      </c>
      <c r="L959" s="41" t="str">
        <f aca="false">IF(J959="","",IFERROR(MAX(0,N(G959)-INDEX(Properties!$I$5:$I$24,MATCH(D959,Properties!$A$5:$A$24,0)))*N(INDEX(Properties!$J$5:$J$24,MATCH(D959,Properties!$A$5:$A$24,0)))*H959,0))</f>
        <v/>
      </c>
      <c r="M959" s="37"/>
      <c r="N959" s="41" t="str">
        <f aca="false">IF(J959="","",J959+K959+L959+N(M959))</f>
        <v/>
      </c>
      <c r="O959" s="41" t="str">
        <f aca="false">IF(N959="","",IF(P959&lt;&gt;"",N959-P959,ROUND(N959*IFERROR(INDEX(Settings!$E$5:$E$12,MATCH(F959,Settings!$D$5:$D$12,0)),0),2)))</f>
        <v/>
      </c>
      <c r="P959" s="37"/>
      <c r="Q959" s="41" t="str">
        <f aca="false">IF(N959="","",IF(P959&lt;&gt;"",P959,N959-O959))</f>
        <v/>
      </c>
      <c r="R959" s="41" t="str">
        <f aca="false">IF(J959="","",IFERROR(N(INDEX(Properties!$H$5:$H$24,MATCH(D959,Properties!$A$5:$A$24,0))),0))</f>
        <v/>
      </c>
      <c r="S959" s="41" t="str">
        <f aca="false">IF(Q959="","",Q959-R959)</f>
        <v/>
      </c>
      <c r="T959" s="6"/>
      <c r="U959" s="6"/>
      <c r="V959" s="6"/>
      <c r="W959" s="6"/>
      <c r="X959" s="6"/>
      <c r="Y959" s="8" t="str">
        <f aca="false">IF(OR(D959="",B959="",C959=""),"",IF(N(C959)&lt;=N(B959),"Check dates",IF(T959="Cancelled","",IF(COUNTIFS($D$5:$D$1004,D959,$B$5:$B$1004,"&lt;"&amp;C959,$C$5:$C$1004,"&gt;"&amp;B959,$T$5:$T$1004,"&lt;&gt;Cancelled")&gt;1,"Double-booked",""))))</f>
        <v/>
      </c>
      <c r="Z959" s="42" t="str">
        <f aca="false">IF(AND(AA959=1,ISNUMBER(C959)),C959+ROW()/100000,"")</f>
        <v/>
      </c>
      <c r="AA959" s="43" t="n">
        <f aca="false">IF(AND(D959&lt;&gt;"",ISNUMBER(B959),ISNUMBER(C959),N(H959)&gt;0,T959&lt;&gt;"Cancelled",J959&lt;&gt;""),1,0)</f>
        <v>0</v>
      </c>
      <c r="AB959" s="44" t="n">
        <f aca="false">IF(AA959=1,J959/H959,0)</f>
        <v>0</v>
      </c>
      <c r="AC959" s="44" t="n">
        <f aca="false">IF(AA959=1,Q959/H959,0)</f>
        <v>0</v>
      </c>
      <c r="AD959" s="44" t="n">
        <f aca="false">IF(AA959=1,R959/H959,0)</f>
        <v>0</v>
      </c>
      <c r="AE959" s="44" t="n">
        <f aca="false">IF(AA959=1,O959/H959,0)</f>
        <v>0</v>
      </c>
      <c r="AF959" s="44" t="n">
        <f aca="false">IF(AA959=1,K959/H959,0)</f>
        <v>0</v>
      </c>
      <c r="AG959" s="45" t="str">
        <f aca="false">IF(AA959=1,D959&amp;"|"&amp;TEXT(B959,"0"),"")</f>
        <v/>
      </c>
      <c r="AH959" s="43" t="n">
        <f aca="false">IF(AA959=1,H959,0)</f>
        <v>0</v>
      </c>
    </row>
    <row r="960" customFormat="false" ht="15" hidden="false" customHeight="false" outlineLevel="0" collapsed="false">
      <c r="A960" s="23" t="str">
        <f aca="false">IF(B960="","","B-"&amp;TEXT(ROW()-4,"0000"))</f>
        <v/>
      </c>
      <c r="B960" s="38"/>
      <c r="C960" s="38"/>
      <c r="D960" s="6"/>
      <c r="E960" s="6"/>
      <c r="F960" s="6"/>
      <c r="G960" s="11"/>
      <c r="H960" s="24" t="str">
        <f aca="false">IF(AND(ISNUMBER(B960),ISNUMBER(C960)),MAX(0,C960-B960),"")</f>
        <v/>
      </c>
      <c r="I960" s="37"/>
      <c r="J960" s="46" t="str">
        <f aca="false">IF(OR(D960="",N(H960)=0),"",IFERROR(IF(I960&lt;&gt;"",H960*I960,ROUND(((H960-(INT((WEEKDAY(B960-6)+H960-1)/7)+INT((WEEKDAY(B960-7)+H960-1)/7)))*INDEX(Properties!$E$5:$E$24,MATCH(D960,Properties!$A$5:$A$24,0))+(INT((WEEKDAY(B960-6)+H960-1)/7)+INT((WEEKDAY(B960-7)+H960-1)/7))*INDEX(Properties!$F$5:$F$24,MATCH(D960,Properties!$A$5:$A$24,0)))*(1-IF(H960&gt;=28,Settings!$B$10,IF(H960&gt;=7,Settings!$B$9,0))),2)),0))</f>
        <v/>
      </c>
      <c r="K960" s="46" t="str">
        <f aca="false">IF(J960="","",IFERROR(N(INDEX(Properties!$G$5:$G$24,MATCH(D960,Properties!$A$5:$A$24,0))),0))</f>
        <v/>
      </c>
      <c r="L960" s="46" t="str">
        <f aca="false">IF(J960="","",IFERROR(MAX(0,N(G960)-INDEX(Properties!$I$5:$I$24,MATCH(D960,Properties!$A$5:$A$24,0)))*N(INDEX(Properties!$J$5:$J$24,MATCH(D960,Properties!$A$5:$A$24,0)))*H960,0))</f>
        <v/>
      </c>
      <c r="M960" s="37"/>
      <c r="N960" s="46" t="str">
        <f aca="false">IF(J960="","",J960+K960+L960+N(M960))</f>
        <v/>
      </c>
      <c r="O960" s="46" t="str">
        <f aca="false">IF(N960="","",IF(P960&lt;&gt;"",N960-P960,ROUND(N960*IFERROR(INDEX(Settings!$E$5:$E$12,MATCH(F960,Settings!$D$5:$D$12,0)),0),2)))</f>
        <v/>
      </c>
      <c r="P960" s="37"/>
      <c r="Q960" s="46" t="str">
        <f aca="false">IF(N960="","",IF(P960&lt;&gt;"",P960,N960-O960))</f>
        <v/>
      </c>
      <c r="R960" s="46" t="str">
        <f aca="false">IF(J960="","",IFERROR(N(INDEX(Properties!$H$5:$H$24,MATCH(D960,Properties!$A$5:$A$24,0))),0))</f>
        <v/>
      </c>
      <c r="S960" s="46" t="str">
        <f aca="false">IF(Q960="","",Q960-R960)</f>
        <v/>
      </c>
      <c r="T960" s="6"/>
      <c r="U960" s="6"/>
      <c r="V960" s="6"/>
      <c r="W960" s="6"/>
      <c r="X960" s="6"/>
      <c r="Y960" s="8" t="str">
        <f aca="false">IF(OR(D960="",B960="",C960=""),"",IF(N(C960)&lt;=N(B960),"Check dates",IF(T960="Cancelled","",IF(COUNTIFS($D$5:$D$1004,D960,$B$5:$B$1004,"&lt;"&amp;C960,$C$5:$C$1004,"&gt;"&amp;B960,$T$5:$T$1004,"&lt;&gt;Cancelled")&gt;1,"Double-booked",""))))</f>
        <v/>
      </c>
      <c r="Z960" s="42" t="str">
        <f aca="false">IF(AND(AA960=1,ISNUMBER(C960)),C960+ROW()/100000,"")</f>
        <v/>
      </c>
      <c r="AA960" s="43" t="n">
        <f aca="false">IF(AND(D960&lt;&gt;"",ISNUMBER(B960),ISNUMBER(C960),N(H960)&gt;0,T960&lt;&gt;"Cancelled",J960&lt;&gt;""),1,0)</f>
        <v>0</v>
      </c>
      <c r="AB960" s="44" t="n">
        <f aca="false">IF(AA960=1,J960/H960,0)</f>
        <v>0</v>
      </c>
      <c r="AC960" s="44" t="n">
        <f aca="false">IF(AA960=1,Q960/H960,0)</f>
        <v>0</v>
      </c>
      <c r="AD960" s="44" t="n">
        <f aca="false">IF(AA960=1,R960/H960,0)</f>
        <v>0</v>
      </c>
      <c r="AE960" s="44" t="n">
        <f aca="false">IF(AA960=1,O960/H960,0)</f>
        <v>0</v>
      </c>
      <c r="AF960" s="44" t="n">
        <f aca="false">IF(AA960=1,K960/H960,0)</f>
        <v>0</v>
      </c>
      <c r="AG960" s="45" t="str">
        <f aca="false">IF(AA960=1,D960&amp;"|"&amp;TEXT(B960,"0"),"")</f>
        <v/>
      </c>
      <c r="AH960" s="43" t="n">
        <f aca="false">IF(AA960=1,H960,0)</f>
        <v>0</v>
      </c>
    </row>
    <row r="961" customFormat="false" ht="15" hidden="false" customHeight="false" outlineLevel="0" collapsed="false">
      <c r="A961" s="8" t="str">
        <f aca="false">IF(B961="","","B-"&amp;TEXT(ROW()-4,"0000"))</f>
        <v/>
      </c>
      <c r="B961" s="38"/>
      <c r="C961" s="38"/>
      <c r="D961" s="6"/>
      <c r="E961" s="6"/>
      <c r="F961" s="6"/>
      <c r="G961" s="11"/>
      <c r="H961" s="18" t="str">
        <f aca="false">IF(AND(ISNUMBER(B961),ISNUMBER(C961)),MAX(0,C961-B961),"")</f>
        <v/>
      </c>
      <c r="I961" s="37"/>
      <c r="J961" s="41" t="str">
        <f aca="false">IF(OR(D961="",N(H961)=0),"",IFERROR(IF(I961&lt;&gt;"",H961*I961,ROUND(((H961-(INT((WEEKDAY(B961-6)+H961-1)/7)+INT((WEEKDAY(B961-7)+H961-1)/7)))*INDEX(Properties!$E$5:$E$24,MATCH(D961,Properties!$A$5:$A$24,0))+(INT((WEEKDAY(B961-6)+H961-1)/7)+INT((WEEKDAY(B961-7)+H961-1)/7))*INDEX(Properties!$F$5:$F$24,MATCH(D961,Properties!$A$5:$A$24,0)))*(1-IF(H961&gt;=28,Settings!$B$10,IF(H961&gt;=7,Settings!$B$9,0))),2)),0))</f>
        <v/>
      </c>
      <c r="K961" s="41" t="str">
        <f aca="false">IF(J961="","",IFERROR(N(INDEX(Properties!$G$5:$G$24,MATCH(D961,Properties!$A$5:$A$24,0))),0))</f>
        <v/>
      </c>
      <c r="L961" s="41" t="str">
        <f aca="false">IF(J961="","",IFERROR(MAX(0,N(G961)-INDEX(Properties!$I$5:$I$24,MATCH(D961,Properties!$A$5:$A$24,0)))*N(INDEX(Properties!$J$5:$J$24,MATCH(D961,Properties!$A$5:$A$24,0)))*H961,0))</f>
        <v/>
      </c>
      <c r="M961" s="37"/>
      <c r="N961" s="41" t="str">
        <f aca="false">IF(J961="","",J961+K961+L961+N(M961))</f>
        <v/>
      </c>
      <c r="O961" s="41" t="str">
        <f aca="false">IF(N961="","",IF(P961&lt;&gt;"",N961-P961,ROUND(N961*IFERROR(INDEX(Settings!$E$5:$E$12,MATCH(F961,Settings!$D$5:$D$12,0)),0),2)))</f>
        <v/>
      </c>
      <c r="P961" s="37"/>
      <c r="Q961" s="41" t="str">
        <f aca="false">IF(N961="","",IF(P961&lt;&gt;"",P961,N961-O961))</f>
        <v/>
      </c>
      <c r="R961" s="41" t="str">
        <f aca="false">IF(J961="","",IFERROR(N(INDEX(Properties!$H$5:$H$24,MATCH(D961,Properties!$A$5:$A$24,0))),0))</f>
        <v/>
      </c>
      <c r="S961" s="41" t="str">
        <f aca="false">IF(Q961="","",Q961-R961)</f>
        <v/>
      </c>
      <c r="T961" s="6"/>
      <c r="U961" s="6"/>
      <c r="V961" s="6"/>
      <c r="W961" s="6"/>
      <c r="X961" s="6"/>
      <c r="Y961" s="8" t="str">
        <f aca="false">IF(OR(D961="",B961="",C961=""),"",IF(N(C961)&lt;=N(B961),"Check dates",IF(T961="Cancelled","",IF(COUNTIFS($D$5:$D$1004,D961,$B$5:$B$1004,"&lt;"&amp;C961,$C$5:$C$1004,"&gt;"&amp;B961,$T$5:$T$1004,"&lt;&gt;Cancelled")&gt;1,"Double-booked",""))))</f>
        <v/>
      </c>
      <c r="Z961" s="42" t="str">
        <f aca="false">IF(AND(AA961=1,ISNUMBER(C961)),C961+ROW()/100000,"")</f>
        <v/>
      </c>
      <c r="AA961" s="43" t="n">
        <f aca="false">IF(AND(D961&lt;&gt;"",ISNUMBER(B961),ISNUMBER(C961),N(H961)&gt;0,T961&lt;&gt;"Cancelled",J961&lt;&gt;""),1,0)</f>
        <v>0</v>
      </c>
      <c r="AB961" s="44" t="n">
        <f aca="false">IF(AA961=1,J961/H961,0)</f>
        <v>0</v>
      </c>
      <c r="AC961" s="44" t="n">
        <f aca="false">IF(AA961=1,Q961/H961,0)</f>
        <v>0</v>
      </c>
      <c r="AD961" s="44" t="n">
        <f aca="false">IF(AA961=1,R961/H961,0)</f>
        <v>0</v>
      </c>
      <c r="AE961" s="44" t="n">
        <f aca="false">IF(AA961=1,O961/H961,0)</f>
        <v>0</v>
      </c>
      <c r="AF961" s="44" t="n">
        <f aca="false">IF(AA961=1,K961/H961,0)</f>
        <v>0</v>
      </c>
      <c r="AG961" s="45" t="str">
        <f aca="false">IF(AA961=1,D961&amp;"|"&amp;TEXT(B961,"0"),"")</f>
        <v/>
      </c>
      <c r="AH961" s="43" t="n">
        <f aca="false">IF(AA961=1,H961,0)</f>
        <v>0</v>
      </c>
    </row>
    <row r="962" customFormat="false" ht="15" hidden="false" customHeight="false" outlineLevel="0" collapsed="false">
      <c r="A962" s="23" t="str">
        <f aca="false">IF(B962="","","B-"&amp;TEXT(ROW()-4,"0000"))</f>
        <v/>
      </c>
      <c r="B962" s="38"/>
      <c r="C962" s="38"/>
      <c r="D962" s="6"/>
      <c r="E962" s="6"/>
      <c r="F962" s="6"/>
      <c r="G962" s="11"/>
      <c r="H962" s="24" t="str">
        <f aca="false">IF(AND(ISNUMBER(B962),ISNUMBER(C962)),MAX(0,C962-B962),"")</f>
        <v/>
      </c>
      <c r="I962" s="37"/>
      <c r="J962" s="46" t="str">
        <f aca="false">IF(OR(D962="",N(H962)=0),"",IFERROR(IF(I962&lt;&gt;"",H962*I962,ROUND(((H962-(INT((WEEKDAY(B962-6)+H962-1)/7)+INT((WEEKDAY(B962-7)+H962-1)/7)))*INDEX(Properties!$E$5:$E$24,MATCH(D962,Properties!$A$5:$A$24,0))+(INT((WEEKDAY(B962-6)+H962-1)/7)+INT((WEEKDAY(B962-7)+H962-1)/7))*INDEX(Properties!$F$5:$F$24,MATCH(D962,Properties!$A$5:$A$24,0)))*(1-IF(H962&gt;=28,Settings!$B$10,IF(H962&gt;=7,Settings!$B$9,0))),2)),0))</f>
        <v/>
      </c>
      <c r="K962" s="46" t="str">
        <f aca="false">IF(J962="","",IFERROR(N(INDEX(Properties!$G$5:$G$24,MATCH(D962,Properties!$A$5:$A$24,0))),0))</f>
        <v/>
      </c>
      <c r="L962" s="46" t="str">
        <f aca="false">IF(J962="","",IFERROR(MAX(0,N(G962)-INDEX(Properties!$I$5:$I$24,MATCH(D962,Properties!$A$5:$A$24,0)))*N(INDEX(Properties!$J$5:$J$24,MATCH(D962,Properties!$A$5:$A$24,0)))*H962,0))</f>
        <v/>
      </c>
      <c r="M962" s="37"/>
      <c r="N962" s="46" t="str">
        <f aca="false">IF(J962="","",J962+K962+L962+N(M962))</f>
        <v/>
      </c>
      <c r="O962" s="46" t="str">
        <f aca="false">IF(N962="","",IF(P962&lt;&gt;"",N962-P962,ROUND(N962*IFERROR(INDEX(Settings!$E$5:$E$12,MATCH(F962,Settings!$D$5:$D$12,0)),0),2)))</f>
        <v/>
      </c>
      <c r="P962" s="37"/>
      <c r="Q962" s="46" t="str">
        <f aca="false">IF(N962="","",IF(P962&lt;&gt;"",P962,N962-O962))</f>
        <v/>
      </c>
      <c r="R962" s="46" t="str">
        <f aca="false">IF(J962="","",IFERROR(N(INDEX(Properties!$H$5:$H$24,MATCH(D962,Properties!$A$5:$A$24,0))),0))</f>
        <v/>
      </c>
      <c r="S962" s="46" t="str">
        <f aca="false">IF(Q962="","",Q962-R962)</f>
        <v/>
      </c>
      <c r="T962" s="6"/>
      <c r="U962" s="6"/>
      <c r="V962" s="6"/>
      <c r="W962" s="6"/>
      <c r="X962" s="6"/>
      <c r="Y962" s="8" t="str">
        <f aca="false">IF(OR(D962="",B962="",C962=""),"",IF(N(C962)&lt;=N(B962),"Check dates",IF(T962="Cancelled","",IF(COUNTIFS($D$5:$D$1004,D962,$B$5:$B$1004,"&lt;"&amp;C962,$C$5:$C$1004,"&gt;"&amp;B962,$T$5:$T$1004,"&lt;&gt;Cancelled")&gt;1,"Double-booked",""))))</f>
        <v/>
      </c>
      <c r="Z962" s="42" t="str">
        <f aca="false">IF(AND(AA962=1,ISNUMBER(C962)),C962+ROW()/100000,"")</f>
        <v/>
      </c>
      <c r="AA962" s="43" t="n">
        <f aca="false">IF(AND(D962&lt;&gt;"",ISNUMBER(B962),ISNUMBER(C962),N(H962)&gt;0,T962&lt;&gt;"Cancelled",J962&lt;&gt;""),1,0)</f>
        <v>0</v>
      </c>
      <c r="AB962" s="44" t="n">
        <f aca="false">IF(AA962=1,J962/H962,0)</f>
        <v>0</v>
      </c>
      <c r="AC962" s="44" t="n">
        <f aca="false">IF(AA962=1,Q962/H962,0)</f>
        <v>0</v>
      </c>
      <c r="AD962" s="44" t="n">
        <f aca="false">IF(AA962=1,R962/H962,0)</f>
        <v>0</v>
      </c>
      <c r="AE962" s="44" t="n">
        <f aca="false">IF(AA962=1,O962/H962,0)</f>
        <v>0</v>
      </c>
      <c r="AF962" s="44" t="n">
        <f aca="false">IF(AA962=1,K962/H962,0)</f>
        <v>0</v>
      </c>
      <c r="AG962" s="45" t="str">
        <f aca="false">IF(AA962=1,D962&amp;"|"&amp;TEXT(B962,"0"),"")</f>
        <v/>
      </c>
      <c r="AH962" s="43" t="n">
        <f aca="false">IF(AA962=1,H962,0)</f>
        <v>0</v>
      </c>
    </row>
    <row r="963" customFormat="false" ht="15" hidden="false" customHeight="false" outlineLevel="0" collapsed="false">
      <c r="A963" s="8" t="str">
        <f aca="false">IF(B963="","","B-"&amp;TEXT(ROW()-4,"0000"))</f>
        <v/>
      </c>
      <c r="B963" s="38"/>
      <c r="C963" s="38"/>
      <c r="D963" s="6"/>
      <c r="E963" s="6"/>
      <c r="F963" s="6"/>
      <c r="G963" s="11"/>
      <c r="H963" s="18" t="str">
        <f aca="false">IF(AND(ISNUMBER(B963),ISNUMBER(C963)),MAX(0,C963-B963),"")</f>
        <v/>
      </c>
      <c r="I963" s="37"/>
      <c r="J963" s="41" t="str">
        <f aca="false">IF(OR(D963="",N(H963)=0),"",IFERROR(IF(I963&lt;&gt;"",H963*I963,ROUND(((H963-(INT((WEEKDAY(B963-6)+H963-1)/7)+INT((WEEKDAY(B963-7)+H963-1)/7)))*INDEX(Properties!$E$5:$E$24,MATCH(D963,Properties!$A$5:$A$24,0))+(INT((WEEKDAY(B963-6)+H963-1)/7)+INT((WEEKDAY(B963-7)+H963-1)/7))*INDEX(Properties!$F$5:$F$24,MATCH(D963,Properties!$A$5:$A$24,0)))*(1-IF(H963&gt;=28,Settings!$B$10,IF(H963&gt;=7,Settings!$B$9,0))),2)),0))</f>
        <v/>
      </c>
      <c r="K963" s="41" t="str">
        <f aca="false">IF(J963="","",IFERROR(N(INDEX(Properties!$G$5:$G$24,MATCH(D963,Properties!$A$5:$A$24,0))),0))</f>
        <v/>
      </c>
      <c r="L963" s="41" t="str">
        <f aca="false">IF(J963="","",IFERROR(MAX(0,N(G963)-INDEX(Properties!$I$5:$I$24,MATCH(D963,Properties!$A$5:$A$24,0)))*N(INDEX(Properties!$J$5:$J$24,MATCH(D963,Properties!$A$5:$A$24,0)))*H963,0))</f>
        <v/>
      </c>
      <c r="M963" s="37"/>
      <c r="N963" s="41" t="str">
        <f aca="false">IF(J963="","",J963+K963+L963+N(M963))</f>
        <v/>
      </c>
      <c r="O963" s="41" t="str">
        <f aca="false">IF(N963="","",IF(P963&lt;&gt;"",N963-P963,ROUND(N963*IFERROR(INDEX(Settings!$E$5:$E$12,MATCH(F963,Settings!$D$5:$D$12,0)),0),2)))</f>
        <v/>
      </c>
      <c r="P963" s="37"/>
      <c r="Q963" s="41" t="str">
        <f aca="false">IF(N963="","",IF(P963&lt;&gt;"",P963,N963-O963))</f>
        <v/>
      </c>
      <c r="R963" s="41" t="str">
        <f aca="false">IF(J963="","",IFERROR(N(INDEX(Properties!$H$5:$H$24,MATCH(D963,Properties!$A$5:$A$24,0))),0))</f>
        <v/>
      </c>
      <c r="S963" s="41" t="str">
        <f aca="false">IF(Q963="","",Q963-R963)</f>
        <v/>
      </c>
      <c r="T963" s="6"/>
      <c r="U963" s="6"/>
      <c r="V963" s="6"/>
      <c r="W963" s="6"/>
      <c r="X963" s="6"/>
      <c r="Y963" s="8" t="str">
        <f aca="false">IF(OR(D963="",B963="",C963=""),"",IF(N(C963)&lt;=N(B963),"Check dates",IF(T963="Cancelled","",IF(COUNTIFS($D$5:$D$1004,D963,$B$5:$B$1004,"&lt;"&amp;C963,$C$5:$C$1004,"&gt;"&amp;B963,$T$5:$T$1004,"&lt;&gt;Cancelled")&gt;1,"Double-booked",""))))</f>
        <v/>
      </c>
      <c r="Z963" s="42" t="str">
        <f aca="false">IF(AND(AA963=1,ISNUMBER(C963)),C963+ROW()/100000,"")</f>
        <v/>
      </c>
      <c r="AA963" s="43" t="n">
        <f aca="false">IF(AND(D963&lt;&gt;"",ISNUMBER(B963),ISNUMBER(C963),N(H963)&gt;0,T963&lt;&gt;"Cancelled",J963&lt;&gt;""),1,0)</f>
        <v>0</v>
      </c>
      <c r="AB963" s="44" t="n">
        <f aca="false">IF(AA963=1,J963/H963,0)</f>
        <v>0</v>
      </c>
      <c r="AC963" s="44" t="n">
        <f aca="false">IF(AA963=1,Q963/H963,0)</f>
        <v>0</v>
      </c>
      <c r="AD963" s="44" t="n">
        <f aca="false">IF(AA963=1,R963/H963,0)</f>
        <v>0</v>
      </c>
      <c r="AE963" s="44" t="n">
        <f aca="false">IF(AA963=1,O963/H963,0)</f>
        <v>0</v>
      </c>
      <c r="AF963" s="44" t="n">
        <f aca="false">IF(AA963=1,K963/H963,0)</f>
        <v>0</v>
      </c>
      <c r="AG963" s="45" t="str">
        <f aca="false">IF(AA963=1,D963&amp;"|"&amp;TEXT(B963,"0"),"")</f>
        <v/>
      </c>
      <c r="AH963" s="43" t="n">
        <f aca="false">IF(AA963=1,H963,0)</f>
        <v>0</v>
      </c>
    </row>
    <row r="964" customFormat="false" ht="15" hidden="false" customHeight="false" outlineLevel="0" collapsed="false">
      <c r="A964" s="23" t="str">
        <f aca="false">IF(B964="","","B-"&amp;TEXT(ROW()-4,"0000"))</f>
        <v/>
      </c>
      <c r="B964" s="38"/>
      <c r="C964" s="38"/>
      <c r="D964" s="6"/>
      <c r="E964" s="6"/>
      <c r="F964" s="6"/>
      <c r="G964" s="11"/>
      <c r="H964" s="24" t="str">
        <f aca="false">IF(AND(ISNUMBER(B964),ISNUMBER(C964)),MAX(0,C964-B964),"")</f>
        <v/>
      </c>
      <c r="I964" s="37"/>
      <c r="J964" s="46" t="str">
        <f aca="false">IF(OR(D964="",N(H964)=0),"",IFERROR(IF(I964&lt;&gt;"",H964*I964,ROUND(((H964-(INT((WEEKDAY(B964-6)+H964-1)/7)+INT((WEEKDAY(B964-7)+H964-1)/7)))*INDEX(Properties!$E$5:$E$24,MATCH(D964,Properties!$A$5:$A$24,0))+(INT((WEEKDAY(B964-6)+H964-1)/7)+INT((WEEKDAY(B964-7)+H964-1)/7))*INDEX(Properties!$F$5:$F$24,MATCH(D964,Properties!$A$5:$A$24,0)))*(1-IF(H964&gt;=28,Settings!$B$10,IF(H964&gt;=7,Settings!$B$9,0))),2)),0))</f>
        <v/>
      </c>
      <c r="K964" s="46" t="str">
        <f aca="false">IF(J964="","",IFERROR(N(INDEX(Properties!$G$5:$G$24,MATCH(D964,Properties!$A$5:$A$24,0))),0))</f>
        <v/>
      </c>
      <c r="L964" s="46" t="str">
        <f aca="false">IF(J964="","",IFERROR(MAX(0,N(G964)-INDEX(Properties!$I$5:$I$24,MATCH(D964,Properties!$A$5:$A$24,0)))*N(INDEX(Properties!$J$5:$J$24,MATCH(D964,Properties!$A$5:$A$24,0)))*H964,0))</f>
        <v/>
      </c>
      <c r="M964" s="37"/>
      <c r="N964" s="46" t="str">
        <f aca="false">IF(J964="","",J964+K964+L964+N(M964))</f>
        <v/>
      </c>
      <c r="O964" s="46" t="str">
        <f aca="false">IF(N964="","",IF(P964&lt;&gt;"",N964-P964,ROUND(N964*IFERROR(INDEX(Settings!$E$5:$E$12,MATCH(F964,Settings!$D$5:$D$12,0)),0),2)))</f>
        <v/>
      </c>
      <c r="P964" s="37"/>
      <c r="Q964" s="46" t="str">
        <f aca="false">IF(N964="","",IF(P964&lt;&gt;"",P964,N964-O964))</f>
        <v/>
      </c>
      <c r="R964" s="46" t="str">
        <f aca="false">IF(J964="","",IFERROR(N(INDEX(Properties!$H$5:$H$24,MATCH(D964,Properties!$A$5:$A$24,0))),0))</f>
        <v/>
      </c>
      <c r="S964" s="46" t="str">
        <f aca="false">IF(Q964="","",Q964-R964)</f>
        <v/>
      </c>
      <c r="T964" s="6"/>
      <c r="U964" s="6"/>
      <c r="V964" s="6"/>
      <c r="W964" s="6"/>
      <c r="X964" s="6"/>
      <c r="Y964" s="8" t="str">
        <f aca="false">IF(OR(D964="",B964="",C964=""),"",IF(N(C964)&lt;=N(B964),"Check dates",IF(T964="Cancelled","",IF(COUNTIFS($D$5:$D$1004,D964,$B$5:$B$1004,"&lt;"&amp;C964,$C$5:$C$1004,"&gt;"&amp;B964,$T$5:$T$1004,"&lt;&gt;Cancelled")&gt;1,"Double-booked",""))))</f>
        <v/>
      </c>
      <c r="Z964" s="42" t="str">
        <f aca="false">IF(AND(AA964=1,ISNUMBER(C964)),C964+ROW()/100000,"")</f>
        <v/>
      </c>
      <c r="AA964" s="43" t="n">
        <f aca="false">IF(AND(D964&lt;&gt;"",ISNUMBER(B964),ISNUMBER(C964),N(H964)&gt;0,T964&lt;&gt;"Cancelled",J964&lt;&gt;""),1,0)</f>
        <v>0</v>
      </c>
      <c r="AB964" s="44" t="n">
        <f aca="false">IF(AA964=1,J964/H964,0)</f>
        <v>0</v>
      </c>
      <c r="AC964" s="44" t="n">
        <f aca="false">IF(AA964=1,Q964/H964,0)</f>
        <v>0</v>
      </c>
      <c r="AD964" s="44" t="n">
        <f aca="false">IF(AA964=1,R964/H964,0)</f>
        <v>0</v>
      </c>
      <c r="AE964" s="44" t="n">
        <f aca="false">IF(AA964=1,O964/H964,0)</f>
        <v>0</v>
      </c>
      <c r="AF964" s="44" t="n">
        <f aca="false">IF(AA964=1,K964/H964,0)</f>
        <v>0</v>
      </c>
      <c r="AG964" s="45" t="str">
        <f aca="false">IF(AA964=1,D964&amp;"|"&amp;TEXT(B964,"0"),"")</f>
        <v/>
      </c>
      <c r="AH964" s="43" t="n">
        <f aca="false">IF(AA964=1,H964,0)</f>
        <v>0</v>
      </c>
    </row>
    <row r="965" customFormat="false" ht="15" hidden="false" customHeight="false" outlineLevel="0" collapsed="false">
      <c r="A965" s="8" t="str">
        <f aca="false">IF(B965="","","B-"&amp;TEXT(ROW()-4,"0000"))</f>
        <v/>
      </c>
      <c r="B965" s="38"/>
      <c r="C965" s="38"/>
      <c r="D965" s="6"/>
      <c r="E965" s="6"/>
      <c r="F965" s="6"/>
      <c r="G965" s="11"/>
      <c r="H965" s="18" t="str">
        <f aca="false">IF(AND(ISNUMBER(B965),ISNUMBER(C965)),MAX(0,C965-B965),"")</f>
        <v/>
      </c>
      <c r="I965" s="37"/>
      <c r="J965" s="41" t="str">
        <f aca="false">IF(OR(D965="",N(H965)=0),"",IFERROR(IF(I965&lt;&gt;"",H965*I965,ROUND(((H965-(INT((WEEKDAY(B965-6)+H965-1)/7)+INT((WEEKDAY(B965-7)+H965-1)/7)))*INDEX(Properties!$E$5:$E$24,MATCH(D965,Properties!$A$5:$A$24,0))+(INT((WEEKDAY(B965-6)+H965-1)/7)+INT((WEEKDAY(B965-7)+H965-1)/7))*INDEX(Properties!$F$5:$F$24,MATCH(D965,Properties!$A$5:$A$24,0)))*(1-IF(H965&gt;=28,Settings!$B$10,IF(H965&gt;=7,Settings!$B$9,0))),2)),0))</f>
        <v/>
      </c>
      <c r="K965" s="41" t="str">
        <f aca="false">IF(J965="","",IFERROR(N(INDEX(Properties!$G$5:$G$24,MATCH(D965,Properties!$A$5:$A$24,0))),0))</f>
        <v/>
      </c>
      <c r="L965" s="41" t="str">
        <f aca="false">IF(J965="","",IFERROR(MAX(0,N(G965)-INDEX(Properties!$I$5:$I$24,MATCH(D965,Properties!$A$5:$A$24,0)))*N(INDEX(Properties!$J$5:$J$24,MATCH(D965,Properties!$A$5:$A$24,0)))*H965,0))</f>
        <v/>
      </c>
      <c r="M965" s="37"/>
      <c r="N965" s="41" t="str">
        <f aca="false">IF(J965="","",J965+K965+L965+N(M965))</f>
        <v/>
      </c>
      <c r="O965" s="41" t="str">
        <f aca="false">IF(N965="","",IF(P965&lt;&gt;"",N965-P965,ROUND(N965*IFERROR(INDEX(Settings!$E$5:$E$12,MATCH(F965,Settings!$D$5:$D$12,0)),0),2)))</f>
        <v/>
      </c>
      <c r="P965" s="37"/>
      <c r="Q965" s="41" t="str">
        <f aca="false">IF(N965="","",IF(P965&lt;&gt;"",P965,N965-O965))</f>
        <v/>
      </c>
      <c r="R965" s="41" t="str">
        <f aca="false">IF(J965="","",IFERROR(N(INDEX(Properties!$H$5:$H$24,MATCH(D965,Properties!$A$5:$A$24,0))),0))</f>
        <v/>
      </c>
      <c r="S965" s="41" t="str">
        <f aca="false">IF(Q965="","",Q965-R965)</f>
        <v/>
      </c>
      <c r="T965" s="6"/>
      <c r="U965" s="6"/>
      <c r="V965" s="6"/>
      <c r="W965" s="6"/>
      <c r="X965" s="6"/>
      <c r="Y965" s="8" t="str">
        <f aca="false">IF(OR(D965="",B965="",C965=""),"",IF(N(C965)&lt;=N(B965),"Check dates",IF(T965="Cancelled","",IF(COUNTIFS($D$5:$D$1004,D965,$B$5:$B$1004,"&lt;"&amp;C965,$C$5:$C$1004,"&gt;"&amp;B965,$T$5:$T$1004,"&lt;&gt;Cancelled")&gt;1,"Double-booked",""))))</f>
        <v/>
      </c>
      <c r="Z965" s="42" t="str">
        <f aca="false">IF(AND(AA965=1,ISNUMBER(C965)),C965+ROW()/100000,"")</f>
        <v/>
      </c>
      <c r="AA965" s="43" t="n">
        <f aca="false">IF(AND(D965&lt;&gt;"",ISNUMBER(B965),ISNUMBER(C965),N(H965)&gt;0,T965&lt;&gt;"Cancelled",J965&lt;&gt;""),1,0)</f>
        <v>0</v>
      </c>
      <c r="AB965" s="44" t="n">
        <f aca="false">IF(AA965=1,J965/H965,0)</f>
        <v>0</v>
      </c>
      <c r="AC965" s="44" t="n">
        <f aca="false">IF(AA965=1,Q965/H965,0)</f>
        <v>0</v>
      </c>
      <c r="AD965" s="44" t="n">
        <f aca="false">IF(AA965=1,R965/H965,0)</f>
        <v>0</v>
      </c>
      <c r="AE965" s="44" t="n">
        <f aca="false">IF(AA965=1,O965/H965,0)</f>
        <v>0</v>
      </c>
      <c r="AF965" s="44" t="n">
        <f aca="false">IF(AA965=1,K965/H965,0)</f>
        <v>0</v>
      </c>
      <c r="AG965" s="45" t="str">
        <f aca="false">IF(AA965=1,D965&amp;"|"&amp;TEXT(B965,"0"),"")</f>
        <v/>
      </c>
      <c r="AH965" s="43" t="n">
        <f aca="false">IF(AA965=1,H965,0)</f>
        <v>0</v>
      </c>
    </row>
    <row r="966" customFormat="false" ht="15" hidden="false" customHeight="false" outlineLevel="0" collapsed="false">
      <c r="A966" s="23" t="str">
        <f aca="false">IF(B966="","","B-"&amp;TEXT(ROW()-4,"0000"))</f>
        <v/>
      </c>
      <c r="B966" s="38"/>
      <c r="C966" s="38"/>
      <c r="D966" s="6"/>
      <c r="E966" s="6"/>
      <c r="F966" s="6"/>
      <c r="G966" s="11"/>
      <c r="H966" s="24" t="str">
        <f aca="false">IF(AND(ISNUMBER(B966),ISNUMBER(C966)),MAX(0,C966-B966),"")</f>
        <v/>
      </c>
      <c r="I966" s="37"/>
      <c r="J966" s="46" t="str">
        <f aca="false">IF(OR(D966="",N(H966)=0),"",IFERROR(IF(I966&lt;&gt;"",H966*I966,ROUND(((H966-(INT((WEEKDAY(B966-6)+H966-1)/7)+INT((WEEKDAY(B966-7)+H966-1)/7)))*INDEX(Properties!$E$5:$E$24,MATCH(D966,Properties!$A$5:$A$24,0))+(INT((WEEKDAY(B966-6)+H966-1)/7)+INT((WEEKDAY(B966-7)+H966-1)/7))*INDEX(Properties!$F$5:$F$24,MATCH(D966,Properties!$A$5:$A$24,0)))*(1-IF(H966&gt;=28,Settings!$B$10,IF(H966&gt;=7,Settings!$B$9,0))),2)),0))</f>
        <v/>
      </c>
      <c r="K966" s="46" t="str">
        <f aca="false">IF(J966="","",IFERROR(N(INDEX(Properties!$G$5:$G$24,MATCH(D966,Properties!$A$5:$A$24,0))),0))</f>
        <v/>
      </c>
      <c r="L966" s="46" t="str">
        <f aca="false">IF(J966="","",IFERROR(MAX(0,N(G966)-INDEX(Properties!$I$5:$I$24,MATCH(D966,Properties!$A$5:$A$24,0)))*N(INDEX(Properties!$J$5:$J$24,MATCH(D966,Properties!$A$5:$A$24,0)))*H966,0))</f>
        <v/>
      </c>
      <c r="M966" s="37"/>
      <c r="N966" s="46" t="str">
        <f aca="false">IF(J966="","",J966+K966+L966+N(M966))</f>
        <v/>
      </c>
      <c r="O966" s="46" t="str">
        <f aca="false">IF(N966="","",IF(P966&lt;&gt;"",N966-P966,ROUND(N966*IFERROR(INDEX(Settings!$E$5:$E$12,MATCH(F966,Settings!$D$5:$D$12,0)),0),2)))</f>
        <v/>
      </c>
      <c r="P966" s="37"/>
      <c r="Q966" s="46" t="str">
        <f aca="false">IF(N966="","",IF(P966&lt;&gt;"",P966,N966-O966))</f>
        <v/>
      </c>
      <c r="R966" s="46" t="str">
        <f aca="false">IF(J966="","",IFERROR(N(INDEX(Properties!$H$5:$H$24,MATCH(D966,Properties!$A$5:$A$24,0))),0))</f>
        <v/>
      </c>
      <c r="S966" s="46" t="str">
        <f aca="false">IF(Q966="","",Q966-R966)</f>
        <v/>
      </c>
      <c r="T966" s="6"/>
      <c r="U966" s="6"/>
      <c r="V966" s="6"/>
      <c r="W966" s="6"/>
      <c r="X966" s="6"/>
      <c r="Y966" s="8" t="str">
        <f aca="false">IF(OR(D966="",B966="",C966=""),"",IF(N(C966)&lt;=N(B966),"Check dates",IF(T966="Cancelled","",IF(COUNTIFS($D$5:$D$1004,D966,$B$5:$B$1004,"&lt;"&amp;C966,$C$5:$C$1004,"&gt;"&amp;B966,$T$5:$T$1004,"&lt;&gt;Cancelled")&gt;1,"Double-booked",""))))</f>
        <v/>
      </c>
      <c r="Z966" s="42" t="str">
        <f aca="false">IF(AND(AA966=1,ISNUMBER(C966)),C966+ROW()/100000,"")</f>
        <v/>
      </c>
      <c r="AA966" s="43" t="n">
        <f aca="false">IF(AND(D966&lt;&gt;"",ISNUMBER(B966),ISNUMBER(C966),N(H966)&gt;0,T966&lt;&gt;"Cancelled",J966&lt;&gt;""),1,0)</f>
        <v>0</v>
      </c>
      <c r="AB966" s="44" t="n">
        <f aca="false">IF(AA966=1,J966/H966,0)</f>
        <v>0</v>
      </c>
      <c r="AC966" s="44" t="n">
        <f aca="false">IF(AA966=1,Q966/H966,0)</f>
        <v>0</v>
      </c>
      <c r="AD966" s="44" t="n">
        <f aca="false">IF(AA966=1,R966/H966,0)</f>
        <v>0</v>
      </c>
      <c r="AE966" s="44" t="n">
        <f aca="false">IF(AA966=1,O966/H966,0)</f>
        <v>0</v>
      </c>
      <c r="AF966" s="44" t="n">
        <f aca="false">IF(AA966=1,K966/H966,0)</f>
        <v>0</v>
      </c>
      <c r="AG966" s="45" t="str">
        <f aca="false">IF(AA966=1,D966&amp;"|"&amp;TEXT(B966,"0"),"")</f>
        <v/>
      </c>
      <c r="AH966" s="43" t="n">
        <f aca="false">IF(AA966=1,H966,0)</f>
        <v>0</v>
      </c>
    </row>
    <row r="967" customFormat="false" ht="15" hidden="false" customHeight="false" outlineLevel="0" collapsed="false">
      <c r="A967" s="8" t="str">
        <f aca="false">IF(B967="","","B-"&amp;TEXT(ROW()-4,"0000"))</f>
        <v/>
      </c>
      <c r="B967" s="38"/>
      <c r="C967" s="38"/>
      <c r="D967" s="6"/>
      <c r="E967" s="6"/>
      <c r="F967" s="6"/>
      <c r="G967" s="11"/>
      <c r="H967" s="18" t="str">
        <f aca="false">IF(AND(ISNUMBER(B967),ISNUMBER(C967)),MAX(0,C967-B967),"")</f>
        <v/>
      </c>
      <c r="I967" s="37"/>
      <c r="J967" s="41" t="str">
        <f aca="false">IF(OR(D967="",N(H967)=0),"",IFERROR(IF(I967&lt;&gt;"",H967*I967,ROUND(((H967-(INT((WEEKDAY(B967-6)+H967-1)/7)+INT((WEEKDAY(B967-7)+H967-1)/7)))*INDEX(Properties!$E$5:$E$24,MATCH(D967,Properties!$A$5:$A$24,0))+(INT((WEEKDAY(B967-6)+H967-1)/7)+INT((WEEKDAY(B967-7)+H967-1)/7))*INDEX(Properties!$F$5:$F$24,MATCH(D967,Properties!$A$5:$A$24,0)))*(1-IF(H967&gt;=28,Settings!$B$10,IF(H967&gt;=7,Settings!$B$9,0))),2)),0))</f>
        <v/>
      </c>
      <c r="K967" s="41" t="str">
        <f aca="false">IF(J967="","",IFERROR(N(INDEX(Properties!$G$5:$G$24,MATCH(D967,Properties!$A$5:$A$24,0))),0))</f>
        <v/>
      </c>
      <c r="L967" s="41" t="str">
        <f aca="false">IF(J967="","",IFERROR(MAX(0,N(G967)-INDEX(Properties!$I$5:$I$24,MATCH(D967,Properties!$A$5:$A$24,0)))*N(INDEX(Properties!$J$5:$J$24,MATCH(D967,Properties!$A$5:$A$24,0)))*H967,0))</f>
        <v/>
      </c>
      <c r="M967" s="37"/>
      <c r="N967" s="41" t="str">
        <f aca="false">IF(J967="","",J967+K967+L967+N(M967))</f>
        <v/>
      </c>
      <c r="O967" s="41" t="str">
        <f aca="false">IF(N967="","",IF(P967&lt;&gt;"",N967-P967,ROUND(N967*IFERROR(INDEX(Settings!$E$5:$E$12,MATCH(F967,Settings!$D$5:$D$12,0)),0),2)))</f>
        <v/>
      </c>
      <c r="P967" s="37"/>
      <c r="Q967" s="41" t="str">
        <f aca="false">IF(N967="","",IF(P967&lt;&gt;"",P967,N967-O967))</f>
        <v/>
      </c>
      <c r="R967" s="41" t="str">
        <f aca="false">IF(J967="","",IFERROR(N(INDEX(Properties!$H$5:$H$24,MATCH(D967,Properties!$A$5:$A$24,0))),0))</f>
        <v/>
      </c>
      <c r="S967" s="41" t="str">
        <f aca="false">IF(Q967="","",Q967-R967)</f>
        <v/>
      </c>
      <c r="T967" s="6"/>
      <c r="U967" s="6"/>
      <c r="V967" s="6"/>
      <c r="W967" s="6"/>
      <c r="X967" s="6"/>
      <c r="Y967" s="8" t="str">
        <f aca="false">IF(OR(D967="",B967="",C967=""),"",IF(N(C967)&lt;=N(B967),"Check dates",IF(T967="Cancelled","",IF(COUNTIFS($D$5:$D$1004,D967,$B$5:$B$1004,"&lt;"&amp;C967,$C$5:$C$1004,"&gt;"&amp;B967,$T$5:$T$1004,"&lt;&gt;Cancelled")&gt;1,"Double-booked",""))))</f>
        <v/>
      </c>
      <c r="Z967" s="42" t="str">
        <f aca="false">IF(AND(AA967=1,ISNUMBER(C967)),C967+ROW()/100000,"")</f>
        <v/>
      </c>
      <c r="AA967" s="43" t="n">
        <f aca="false">IF(AND(D967&lt;&gt;"",ISNUMBER(B967),ISNUMBER(C967),N(H967)&gt;0,T967&lt;&gt;"Cancelled",J967&lt;&gt;""),1,0)</f>
        <v>0</v>
      </c>
      <c r="AB967" s="44" t="n">
        <f aca="false">IF(AA967=1,J967/H967,0)</f>
        <v>0</v>
      </c>
      <c r="AC967" s="44" t="n">
        <f aca="false">IF(AA967=1,Q967/H967,0)</f>
        <v>0</v>
      </c>
      <c r="AD967" s="44" t="n">
        <f aca="false">IF(AA967=1,R967/H967,0)</f>
        <v>0</v>
      </c>
      <c r="AE967" s="44" t="n">
        <f aca="false">IF(AA967=1,O967/H967,0)</f>
        <v>0</v>
      </c>
      <c r="AF967" s="44" t="n">
        <f aca="false">IF(AA967=1,K967/H967,0)</f>
        <v>0</v>
      </c>
      <c r="AG967" s="45" t="str">
        <f aca="false">IF(AA967=1,D967&amp;"|"&amp;TEXT(B967,"0"),"")</f>
        <v/>
      </c>
      <c r="AH967" s="43" t="n">
        <f aca="false">IF(AA967=1,H967,0)</f>
        <v>0</v>
      </c>
    </row>
    <row r="968" customFormat="false" ht="15" hidden="false" customHeight="false" outlineLevel="0" collapsed="false">
      <c r="A968" s="23" t="str">
        <f aca="false">IF(B968="","","B-"&amp;TEXT(ROW()-4,"0000"))</f>
        <v/>
      </c>
      <c r="B968" s="38"/>
      <c r="C968" s="38"/>
      <c r="D968" s="6"/>
      <c r="E968" s="6"/>
      <c r="F968" s="6"/>
      <c r="G968" s="11"/>
      <c r="H968" s="24" t="str">
        <f aca="false">IF(AND(ISNUMBER(B968),ISNUMBER(C968)),MAX(0,C968-B968),"")</f>
        <v/>
      </c>
      <c r="I968" s="37"/>
      <c r="J968" s="46" t="str">
        <f aca="false">IF(OR(D968="",N(H968)=0),"",IFERROR(IF(I968&lt;&gt;"",H968*I968,ROUND(((H968-(INT((WEEKDAY(B968-6)+H968-1)/7)+INT((WEEKDAY(B968-7)+H968-1)/7)))*INDEX(Properties!$E$5:$E$24,MATCH(D968,Properties!$A$5:$A$24,0))+(INT((WEEKDAY(B968-6)+H968-1)/7)+INT((WEEKDAY(B968-7)+H968-1)/7))*INDEX(Properties!$F$5:$F$24,MATCH(D968,Properties!$A$5:$A$24,0)))*(1-IF(H968&gt;=28,Settings!$B$10,IF(H968&gt;=7,Settings!$B$9,0))),2)),0))</f>
        <v/>
      </c>
      <c r="K968" s="46" t="str">
        <f aca="false">IF(J968="","",IFERROR(N(INDEX(Properties!$G$5:$G$24,MATCH(D968,Properties!$A$5:$A$24,0))),0))</f>
        <v/>
      </c>
      <c r="L968" s="46" t="str">
        <f aca="false">IF(J968="","",IFERROR(MAX(0,N(G968)-INDEX(Properties!$I$5:$I$24,MATCH(D968,Properties!$A$5:$A$24,0)))*N(INDEX(Properties!$J$5:$J$24,MATCH(D968,Properties!$A$5:$A$24,0)))*H968,0))</f>
        <v/>
      </c>
      <c r="M968" s="37"/>
      <c r="N968" s="46" t="str">
        <f aca="false">IF(J968="","",J968+K968+L968+N(M968))</f>
        <v/>
      </c>
      <c r="O968" s="46" t="str">
        <f aca="false">IF(N968="","",IF(P968&lt;&gt;"",N968-P968,ROUND(N968*IFERROR(INDEX(Settings!$E$5:$E$12,MATCH(F968,Settings!$D$5:$D$12,0)),0),2)))</f>
        <v/>
      </c>
      <c r="P968" s="37"/>
      <c r="Q968" s="46" t="str">
        <f aca="false">IF(N968="","",IF(P968&lt;&gt;"",P968,N968-O968))</f>
        <v/>
      </c>
      <c r="R968" s="46" t="str">
        <f aca="false">IF(J968="","",IFERROR(N(INDEX(Properties!$H$5:$H$24,MATCH(D968,Properties!$A$5:$A$24,0))),0))</f>
        <v/>
      </c>
      <c r="S968" s="46" t="str">
        <f aca="false">IF(Q968="","",Q968-R968)</f>
        <v/>
      </c>
      <c r="T968" s="6"/>
      <c r="U968" s="6"/>
      <c r="V968" s="6"/>
      <c r="W968" s="6"/>
      <c r="X968" s="6"/>
      <c r="Y968" s="8" t="str">
        <f aca="false">IF(OR(D968="",B968="",C968=""),"",IF(N(C968)&lt;=N(B968),"Check dates",IF(T968="Cancelled","",IF(COUNTIFS($D$5:$D$1004,D968,$B$5:$B$1004,"&lt;"&amp;C968,$C$5:$C$1004,"&gt;"&amp;B968,$T$5:$T$1004,"&lt;&gt;Cancelled")&gt;1,"Double-booked",""))))</f>
        <v/>
      </c>
      <c r="Z968" s="42" t="str">
        <f aca="false">IF(AND(AA968=1,ISNUMBER(C968)),C968+ROW()/100000,"")</f>
        <v/>
      </c>
      <c r="AA968" s="43" t="n">
        <f aca="false">IF(AND(D968&lt;&gt;"",ISNUMBER(B968),ISNUMBER(C968),N(H968)&gt;0,T968&lt;&gt;"Cancelled",J968&lt;&gt;""),1,0)</f>
        <v>0</v>
      </c>
      <c r="AB968" s="44" t="n">
        <f aca="false">IF(AA968=1,J968/H968,0)</f>
        <v>0</v>
      </c>
      <c r="AC968" s="44" t="n">
        <f aca="false">IF(AA968=1,Q968/H968,0)</f>
        <v>0</v>
      </c>
      <c r="AD968" s="44" t="n">
        <f aca="false">IF(AA968=1,R968/H968,0)</f>
        <v>0</v>
      </c>
      <c r="AE968" s="44" t="n">
        <f aca="false">IF(AA968=1,O968/H968,0)</f>
        <v>0</v>
      </c>
      <c r="AF968" s="44" t="n">
        <f aca="false">IF(AA968=1,K968/H968,0)</f>
        <v>0</v>
      </c>
      <c r="AG968" s="45" t="str">
        <f aca="false">IF(AA968=1,D968&amp;"|"&amp;TEXT(B968,"0"),"")</f>
        <v/>
      </c>
      <c r="AH968" s="43" t="n">
        <f aca="false">IF(AA968=1,H968,0)</f>
        <v>0</v>
      </c>
    </row>
    <row r="969" customFormat="false" ht="15" hidden="false" customHeight="false" outlineLevel="0" collapsed="false">
      <c r="A969" s="8" t="str">
        <f aca="false">IF(B969="","","B-"&amp;TEXT(ROW()-4,"0000"))</f>
        <v/>
      </c>
      <c r="B969" s="38"/>
      <c r="C969" s="38"/>
      <c r="D969" s="6"/>
      <c r="E969" s="6"/>
      <c r="F969" s="6"/>
      <c r="G969" s="11"/>
      <c r="H969" s="18" t="str">
        <f aca="false">IF(AND(ISNUMBER(B969),ISNUMBER(C969)),MAX(0,C969-B969),"")</f>
        <v/>
      </c>
      <c r="I969" s="37"/>
      <c r="J969" s="41" t="str">
        <f aca="false">IF(OR(D969="",N(H969)=0),"",IFERROR(IF(I969&lt;&gt;"",H969*I969,ROUND(((H969-(INT((WEEKDAY(B969-6)+H969-1)/7)+INT((WEEKDAY(B969-7)+H969-1)/7)))*INDEX(Properties!$E$5:$E$24,MATCH(D969,Properties!$A$5:$A$24,0))+(INT((WEEKDAY(B969-6)+H969-1)/7)+INT((WEEKDAY(B969-7)+H969-1)/7))*INDEX(Properties!$F$5:$F$24,MATCH(D969,Properties!$A$5:$A$24,0)))*(1-IF(H969&gt;=28,Settings!$B$10,IF(H969&gt;=7,Settings!$B$9,0))),2)),0))</f>
        <v/>
      </c>
      <c r="K969" s="41" t="str">
        <f aca="false">IF(J969="","",IFERROR(N(INDEX(Properties!$G$5:$G$24,MATCH(D969,Properties!$A$5:$A$24,0))),0))</f>
        <v/>
      </c>
      <c r="L969" s="41" t="str">
        <f aca="false">IF(J969="","",IFERROR(MAX(0,N(G969)-INDEX(Properties!$I$5:$I$24,MATCH(D969,Properties!$A$5:$A$24,0)))*N(INDEX(Properties!$J$5:$J$24,MATCH(D969,Properties!$A$5:$A$24,0)))*H969,0))</f>
        <v/>
      </c>
      <c r="M969" s="37"/>
      <c r="N969" s="41" t="str">
        <f aca="false">IF(J969="","",J969+K969+L969+N(M969))</f>
        <v/>
      </c>
      <c r="O969" s="41" t="str">
        <f aca="false">IF(N969="","",IF(P969&lt;&gt;"",N969-P969,ROUND(N969*IFERROR(INDEX(Settings!$E$5:$E$12,MATCH(F969,Settings!$D$5:$D$12,0)),0),2)))</f>
        <v/>
      </c>
      <c r="P969" s="37"/>
      <c r="Q969" s="41" t="str">
        <f aca="false">IF(N969="","",IF(P969&lt;&gt;"",P969,N969-O969))</f>
        <v/>
      </c>
      <c r="R969" s="41" t="str">
        <f aca="false">IF(J969="","",IFERROR(N(INDEX(Properties!$H$5:$H$24,MATCH(D969,Properties!$A$5:$A$24,0))),0))</f>
        <v/>
      </c>
      <c r="S969" s="41" t="str">
        <f aca="false">IF(Q969="","",Q969-R969)</f>
        <v/>
      </c>
      <c r="T969" s="6"/>
      <c r="U969" s="6"/>
      <c r="V969" s="6"/>
      <c r="W969" s="6"/>
      <c r="X969" s="6"/>
      <c r="Y969" s="8" t="str">
        <f aca="false">IF(OR(D969="",B969="",C969=""),"",IF(N(C969)&lt;=N(B969),"Check dates",IF(T969="Cancelled","",IF(COUNTIFS($D$5:$D$1004,D969,$B$5:$B$1004,"&lt;"&amp;C969,$C$5:$C$1004,"&gt;"&amp;B969,$T$5:$T$1004,"&lt;&gt;Cancelled")&gt;1,"Double-booked",""))))</f>
        <v/>
      </c>
      <c r="Z969" s="42" t="str">
        <f aca="false">IF(AND(AA969=1,ISNUMBER(C969)),C969+ROW()/100000,"")</f>
        <v/>
      </c>
      <c r="AA969" s="43" t="n">
        <f aca="false">IF(AND(D969&lt;&gt;"",ISNUMBER(B969),ISNUMBER(C969),N(H969)&gt;0,T969&lt;&gt;"Cancelled",J969&lt;&gt;""),1,0)</f>
        <v>0</v>
      </c>
      <c r="AB969" s="44" t="n">
        <f aca="false">IF(AA969=1,J969/H969,0)</f>
        <v>0</v>
      </c>
      <c r="AC969" s="44" t="n">
        <f aca="false">IF(AA969=1,Q969/H969,0)</f>
        <v>0</v>
      </c>
      <c r="AD969" s="44" t="n">
        <f aca="false">IF(AA969=1,R969/H969,0)</f>
        <v>0</v>
      </c>
      <c r="AE969" s="44" t="n">
        <f aca="false">IF(AA969=1,O969/H969,0)</f>
        <v>0</v>
      </c>
      <c r="AF969" s="44" t="n">
        <f aca="false">IF(AA969=1,K969/H969,0)</f>
        <v>0</v>
      </c>
      <c r="AG969" s="45" t="str">
        <f aca="false">IF(AA969=1,D969&amp;"|"&amp;TEXT(B969,"0"),"")</f>
        <v/>
      </c>
      <c r="AH969" s="43" t="n">
        <f aca="false">IF(AA969=1,H969,0)</f>
        <v>0</v>
      </c>
    </row>
    <row r="970" customFormat="false" ht="15" hidden="false" customHeight="false" outlineLevel="0" collapsed="false">
      <c r="A970" s="23" t="str">
        <f aca="false">IF(B970="","","B-"&amp;TEXT(ROW()-4,"0000"))</f>
        <v/>
      </c>
      <c r="B970" s="38"/>
      <c r="C970" s="38"/>
      <c r="D970" s="6"/>
      <c r="E970" s="6"/>
      <c r="F970" s="6"/>
      <c r="G970" s="11"/>
      <c r="H970" s="24" t="str">
        <f aca="false">IF(AND(ISNUMBER(B970),ISNUMBER(C970)),MAX(0,C970-B970),"")</f>
        <v/>
      </c>
      <c r="I970" s="37"/>
      <c r="J970" s="46" t="str">
        <f aca="false">IF(OR(D970="",N(H970)=0),"",IFERROR(IF(I970&lt;&gt;"",H970*I970,ROUND(((H970-(INT((WEEKDAY(B970-6)+H970-1)/7)+INT((WEEKDAY(B970-7)+H970-1)/7)))*INDEX(Properties!$E$5:$E$24,MATCH(D970,Properties!$A$5:$A$24,0))+(INT((WEEKDAY(B970-6)+H970-1)/7)+INT((WEEKDAY(B970-7)+H970-1)/7))*INDEX(Properties!$F$5:$F$24,MATCH(D970,Properties!$A$5:$A$24,0)))*(1-IF(H970&gt;=28,Settings!$B$10,IF(H970&gt;=7,Settings!$B$9,0))),2)),0))</f>
        <v/>
      </c>
      <c r="K970" s="46" t="str">
        <f aca="false">IF(J970="","",IFERROR(N(INDEX(Properties!$G$5:$G$24,MATCH(D970,Properties!$A$5:$A$24,0))),0))</f>
        <v/>
      </c>
      <c r="L970" s="46" t="str">
        <f aca="false">IF(J970="","",IFERROR(MAX(0,N(G970)-INDEX(Properties!$I$5:$I$24,MATCH(D970,Properties!$A$5:$A$24,0)))*N(INDEX(Properties!$J$5:$J$24,MATCH(D970,Properties!$A$5:$A$24,0)))*H970,0))</f>
        <v/>
      </c>
      <c r="M970" s="37"/>
      <c r="N970" s="46" t="str">
        <f aca="false">IF(J970="","",J970+K970+L970+N(M970))</f>
        <v/>
      </c>
      <c r="O970" s="46" t="str">
        <f aca="false">IF(N970="","",IF(P970&lt;&gt;"",N970-P970,ROUND(N970*IFERROR(INDEX(Settings!$E$5:$E$12,MATCH(F970,Settings!$D$5:$D$12,0)),0),2)))</f>
        <v/>
      </c>
      <c r="P970" s="37"/>
      <c r="Q970" s="46" t="str">
        <f aca="false">IF(N970="","",IF(P970&lt;&gt;"",P970,N970-O970))</f>
        <v/>
      </c>
      <c r="R970" s="46" t="str">
        <f aca="false">IF(J970="","",IFERROR(N(INDEX(Properties!$H$5:$H$24,MATCH(D970,Properties!$A$5:$A$24,0))),0))</f>
        <v/>
      </c>
      <c r="S970" s="46" t="str">
        <f aca="false">IF(Q970="","",Q970-R970)</f>
        <v/>
      </c>
      <c r="T970" s="6"/>
      <c r="U970" s="6"/>
      <c r="V970" s="6"/>
      <c r="W970" s="6"/>
      <c r="X970" s="6"/>
      <c r="Y970" s="8" t="str">
        <f aca="false">IF(OR(D970="",B970="",C970=""),"",IF(N(C970)&lt;=N(B970),"Check dates",IF(T970="Cancelled","",IF(COUNTIFS($D$5:$D$1004,D970,$B$5:$B$1004,"&lt;"&amp;C970,$C$5:$C$1004,"&gt;"&amp;B970,$T$5:$T$1004,"&lt;&gt;Cancelled")&gt;1,"Double-booked",""))))</f>
        <v/>
      </c>
      <c r="Z970" s="42" t="str">
        <f aca="false">IF(AND(AA970=1,ISNUMBER(C970)),C970+ROW()/100000,"")</f>
        <v/>
      </c>
      <c r="AA970" s="43" t="n">
        <f aca="false">IF(AND(D970&lt;&gt;"",ISNUMBER(B970),ISNUMBER(C970),N(H970)&gt;0,T970&lt;&gt;"Cancelled",J970&lt;&gt;""),1,0)</f>
        <v>0</v>
      </c>
      <c r="AB970" s="44" t="n">
        <f aca="false">IF(AA970=1,J970/H970,0)</f>
        <v>0</v>
      </c>
      <c r="AC970" s="44" t="n">
        <f aca="false">IF(AA970=1,Q970/H970,0)</f>
        <v>0</v>
      </c>
      <c r="AD970" s="44" t="n">
        <f aca="false">IF(AA970=1,R970/H970,0)</f>
        <v>0</v>
      </c>
      <c r="AE970" s="44" t="n">
        <f aca="false">IF(AA970=1,O970/H970,0)</f>
        <v>0</v>
      </c>
      <c r="AF970" s="44" t="n">
        <f aca="false">IF(AA970=1,K970/H970,0)</f>
        <v>0</v>
      </c>
      <c r="AG970" s="45" t="str">
        <f aca="false">IF(AA970=1,D970&amp;"|"&amp;TEXT(B970,"0"),"")</f>
        <v/>
      </c>
      <c r="AH970" s="43" t="n">
        <f aca="false">IF(AA970=1,H970,0)</f>
        <v>0</v>
      </c>
    </row>
    <row r="971" customFormat="false" ht="15" hidden="false" customHeight="false" outlineLevel="0" collapsed="false">
      <c r="A971" s="8" t="str">
        <f aca="false">IF(B971="","","B-"&amp;TEXT(ROW()-4,"0000"))</f>
        <v/>
      </c>
      <c r="B971" s="38"/>
      <c r="C971" s="38"/>
      <c r="D971" s="6"/>
      <c r="E971" s="6"/>
      <c r="F971" s="6"/>
      <c r="G971" s="11"/>
      <c r="H971" s="18" t="str">
        <f aca="false">IF(AND(ISNUMBER(B971),ISNUMBER(C971)),MAX(0,C971-B971),"")</f>
        <v/>
      </c>
      <c r="I971" s="37"/>
      <c r="J971" s="41" t="str">
        <f aca="false">IF(OR(D971="",N(H971)=0),"",IFERROR(IF(I971&lt;&gt;"",H971*I971,ROUND(((H971-(INT((WEEKDAY(B971-6)+H971-1)/7)+INT((WEEKDAY(B971-7)+H971-1)/7)))*INDEX(Properties!$E$5:$E$24,MATCH(D971,Properties!$A$5:$A$24,0))+(INT((WEEKDAY(B971-6)+H971-1)/7)+INT((WEEKDAY(B971-7)+H971-1)/7))*INDEX(Properties!$F$5:$F$24,MATCH(D971,Properties!$A$5:$A$24,0)))*(1-IF(H971&gt;=28,Settings!$B$10,IF(H971&gt;=7,Settings!$B$9,0))),2)),0))</f>
        <v/>
      </c>
      <c r="K971" s="41" t="str">
        <f aca="false">IF(J971="","",IFERROR(N(INDEX(Properties!$G$5:$G$24,MATCH(D971,Properties!$A$5:$A$24,0))),0))</f>
        <v/>
      </c>
      <c r="L971" s="41" t="str">
        <f aca="false">IF(J971="","",IFERROR(MAX(0,N(G971)-INDEX(Properties!$I$5:$I$24,MATCH(D971,Properties!$A$5:$A$24,0)))*N(INDEX(Properties!$J$5:$J$24,MATCH(D971,Properties!$A$5:$A$24,0)))*H971,0))</f>
        <v/>
      </c>
      <c r="M971" s="37"/>
      <c r="N971" s="41" t="str">
        <f aca="false">IF(J971="","",J971+K971+L971+N(M971))</f>
        <v/>
      </c>
      <c r="O971" s="41" t="str">
        <f aca="false">IF(N971="","",IF(P971&lt;&gt;"",N971-P971,ROUND(N971*IFERROR(INDEX(Settings!$E$5:$E$12,MATCH(F971,Settings!$D$5:$D$12,0)),0),2)))</f>
        <v/>
      </c>
      <c r="P971" s="37"/>
      <c r="Q971" s="41" t="str">
        <f aca="false">IF(N971="","",IF(P971&lt;&gt;"",P971,N971-O971))</f>
        <v/>
      </c>
      <c r="R971" s="41" t="str">
        <f aca="false">IF(J971="","",IFERROR(N(INDEX(Properties!$H$5:$H$24,MATCH(D971,Properties!$A$5:$A$24,0))),0))</f>
        <v/>
      </c>
      <c r="S971" s="41" t="str">
        <f aca="false">IF(Q971="","",Q971-R971)</f>
        <v/>
      </c>
      <c r="T971" s="6"/>
      <c r="U971" s="6"/>
      <c r="V971" s="6"/>
      <c r="W971" s="6"/>
      <c r="X971" s="6"/>
      <c r="Y971" s="8" t="str">
        <f aca="false">IF(OR(D971="",B971="",C971=""),"",IF(N(C971)&lt;=N(B971),"Check dates",IF(T971="Cancelled","",IF(COUNTIFS($D$5:$D$1004,D971,$B$5:$B$1004,"&lt;"&amp;C971,$C$5:$C$1004,"&gt;"&amp;B971,$T$5:$T$1004,"&lt;&gt;Cancelled")&gt;1,"Double-booked",""))))</f>
        <v/>
      </c>
      <c r="Z971" s="42" t="str">
        <f aca="false">IF(AND(AA971=1,ISNUMBER(C971)),C971+ROW()/100000,"")</f>
        <v/>
      </c>
      <c r="AA971" s="43" t="n">
        <f aca="false">IF(AND(D971&lt;&gt;"",ISNUMBER(B971),ISNUMBER(C971),N(H971)&gt;0,T971&lt;&gt;"Cancelled",J971&lt;&gt;""),1,0)</f>
        <v>0</v>
      </c>
      <c r="AB971" s="44" t="n">
        <f aca="false">IF(AA971=1,J971/H971,0)</f>
        <v>0</v>
      </c>
      <c r="AC971" s="44" t="n">
        <f aca="false">IF(AA971=1,Q971/H971,0)</f>
        <v>0</v>
      </c>
      <c r="AD971" s="44" t="n">
        <f aca="false">IF(AA971=1,R971/H971,0)</f>
        <v>0</v>
      </c>
      <c r="AE971" s="44" t="n">
        <f aca="false">IF(AA971=1,O971/H971,0)</f>
        <v>0</v>
      </c>
      <c r="AF971" s="44" t="n">
        <f aca="false">IF(AA971=1,K971/H971,0)</f>
        <v>0</v>
      </c>
      <c r="AG971" s="45" t="str">
        <f aca="false">IF(AA971=1,D971&amp;"|"&amp;TEXT(B971,"0"),"")</f>
        <v/>
      </c>
      <c r="AH971" s="43" t="n">
        <f aca="false">IF(AA971=1,H971,0)</f>
        <v>0</v>
      </c>
    </row>
    <row r="972" customFormat="false" ht="15" hidden="false" customHeight="false" outlineLevel="0" collapsed="false">
      <c r="A972" s="23" t="str">
        <f aca="false">IF(B972="","","B-"&amp;TEXT(ROW()-4,"0000"))</f>
        <v/>
      </c>
      <c r="B972" s="38"/>
      <c r="C972" s="38"/>
      <c r="D972" s="6"/>
      <c r="E972" s="6"/>
      <c r="F972" s="6"/>
      <c r="G972" s="11"/>
      <c r="H972" s="24" t="str">
        <f aca="false">IF(AND(ISNUMBER(B972),ISNUMBER(C972)),MAX(0,C972-B972),"")</f>
        <v/>
      </c>
      <c r="I972" s="37"/>
      <c r="J972" s="46" t="str">
        <f aca="false">IF(OR(D972="",N(H972)=0),"",IFERROR(IF(I972&lt;&gt;"",H972*I972,ROUND(((H972-(INT((WEEKDAY(B972-6)+H972-1)/7)+INT((WEEKDAY(B972-7)+H972-1)/7)))*INDEX(Properties!$E$5:$E$24,MATCH(D972,Properties!$A$5:$A$24,0))+(INT((WEEKDAY(B972-6)+H972-1)/7)+INT((WEEKDAY(B972-7)+H972-1)/7))*INDEX(Properties!$F$5:$F$24,MATCH(D972,Properties!$A$5:$A$24,0)))*(1-IF(H972&gt;=28,Settings!$B$10,IF(H972&gt;=7,Settings!$B$9,0))),2)),0))</f>
        <v/>
      </c>
      <c r="K972" s="46" t="str">
        <f aca="false">IF(J972="","",IFERROR(N(INDEX(Properties!$G$5:$G$24,MATCH(D972,Properties!$A$5:$A$24,0))),0))</f>
        <v/>
      </c>
      <c r="L972" s="46" t="str">
        <f aca="false">IF(J972="","",IFERROR(MAX(0,N(G972)-INDEX(Properties!$I$5:$I$24,MATCH(D972,Properties!$A$5:$A$24,0)))*N(INDEX(Properties!$J$5:$J$24,MATCH(D972,Properties!$A$5:$A$24,0)))*H972,0))</f>
        <v/>
      </c>
      <c r="M972" s="37"/>
      <c r="N972" s="46" t="str">
        <f aca="false">IF(J972="","",J972+K972+L972+N(M972))</f>
        <v/>
      </c>
      <c r="O972" s="46" t="str">
        <f aca="false">IF(N972="","",IF(P972&lt;&gt;"",N972-P972,ROUND(N972*IFERROR(INDEX(Settings!$E$5:$E$12,MATCH(F972,Settings!$D$5:$D$12,0)),0),2)))</f>
        <v/>
      </c>
      <c r="P972" s="37"/>
      <c r="Q972" s="46" t="str">
        <f aca="false">IF(N972="","",IF(P972&lt;&gt;"",P972,N972-O972))</f>
        <v/>
      </c>
      <c r="R972" s="46" t="str">
        <f aca="false">IF(J972="","",IFERROR(N(INDEX(Properties!$H$5:$H$24,MATCH(D972,Properties!$A$5:$A$24,0))),0))</f>
        <v/>
      </c>
      <c r="S972" s="46" t="str">
        <f aca="false">IF(Q972="","",Q972-R972)</f>
        <v/>
      </c>
      <c r="T972" s="6"/>
      <c r="U972" s="6"/>
      <c r="V972" s="6"/>
      <c r="W972" s="6"/>
      <c r="X972" s="6"/>
      <c r="Y972" s="8" t="str">
        <f aca="false">IF(OR(D972="",B972="",C972=""),"",IF(N(C972)&lt;=N(B972),"Check dates",IF(T972="Cancelled","",IF(COUNTIFS($D$5:$D$1004,D972,$B$5:$B$1004,"&lt;"&amp;C972,$C$5:$C$1004,"&gt;"&amp;B972,$T$5:$T$1004,"&lt;&gt;Cancelled")&gt;1,"Double-booked",""))))</f>
        <v/>
      </c>
      <c r="Z972" s="42" t="str">
        <f aca="false">IF(AND(AA972=1,ISNUMBER(C972)),C972+ROW()/100000,"")</f>
        <v/>
      </c>
      <c r="AA972" s="43" t="n">
        <f aca="false">IF(AND(D972&lt;&gt;"",ISNUMBER(B972),ISNUMBER(C972),N(H972)&gt;0,T972&lt;&gt;"Cancelled",J972&lt;&gt;""),1,0)</f>
        <v>0</v>
      </c>
      <c r="AB972" s="44" t="n">
        <f aca="false">IF(AA972=1,J972/H972,0)</f>
        <v>0</v>
      </c>
      <c r="AC972" s="44" t="n">
        <f aca="false">IF(AA972=1,Q972/H972,0)</f>
        <v>0</v>
      </c>
      <c r="AD972" s="44" t="n">
        <f aca="false">IF(AA972=1,R972/H972,0)</f>
        <v>0</v>
      </c>
      <c r="AE972" s="44" t="n">
        <f aca="false">IF(AA972=1,O972/H972,0)</f>
        <v>0</v>
      </c>
      <c r="AF972" s="44" t="n">
        <f aca="false">IF(AA972=1,K972/H972,0)</f>
        <v>0</v>
      </c>
      <c r="AG972" s="45" t="str">
        <f aca="false">IF(AA972=1,D972&amp;"|"&amp;TEXT(B972,"0"),"")</f>
        <v/>
      </c>
      <c r="AH972" s="43" t="n">
        <f aca="false">IF(AA972=1,H972,0)</f>
        <v>0</v>
      </c>
    </row>
    <row r="973" customFormat="false" ht="15" hidden="false" customHeight="false" outlineLevel="0" collapsed="false">
      <c r="A973" s="8" t="str">
        <f aca="false">IF(B973="","","B-"&amp;TEXT(ROW()-4,"0000"))</f>
        <v/>
      </c>
      <c r="B973" s="38"/>
      <c r="C973" s="38"/>
      <c r="D973" s="6"/>
      <c r="E973" s="6"/>
      <c r="F973" s="6"/>
      <c r="G973" s="11"/>
      <c r="H973" s="18" t="str">
        <f aca="false">IF(AND(ISNUMBER(B973),ISNUMBER(C973)),MAX(0,C973-B973),"")</f>
        <v/>
      </c>
      <c r="I973" s="37"/>
      <c r="J973" s="41" t="str">
        <f aca="false">IF(OR(D973="",N(H973)=0),"",IFERROR(IF(I973&lt;&gt;"",H973*I973,ROUND(((H973-(INT((WEEKDAY(B973-6)+H973-1)/7)+INT((WEEKDAY(B973-7)+H973-1)/7)))*INDEX(Properties!$E$5:$E$24,MATCH(D973,Properties!$A$5:$A$24,0))+(INT((WEEKDAY(B973-6)+H973-1)/7)+INT((WEEKDAY(B973-7)+H973-1)/7))*INDEX(Properties!$F$5:$F$24,MATCH(D973,Properties!$A$5:$A$24,0)))*(1-IF(H973&gt;=28,Settings!$B$10,IF(H973&gt;=7,Settings!$B$9,0))),2)),0))</f>
        <v/>
      </c>
      <c r="K973" s="41" t="str">
        <f aca="false">IF(J973="","",IFERROR(N(INDEX(Properties!$G$5:$G$24,MATCH(D973,Properties!$A$5:$A$24,0))),0))</f>
        <v/>
      </c>
      <c r="L973" s="41" t="str">
        <f aca="false">IF(J973="","",IFERROR(MAX(0,N(G973)-INDEX(Properties!$I$5:$I$24,MATCH(D973,Properties!$A$5:$A$24,0)))*N(INDEX(Properties!$J$5:$J$24,MATCH(D973,Properties!$A$5:$A$24,0)))*H973,0))</f>
        <v/>
      </c>
      <c r="M973" s="37"/>
      <c r="N973" s="41" t="str">
        <f aca="false">IF(J973="","",J973+K973+L973+N(M973))</f>
        <v/>
      </c>
      <c r="O973" s="41" t="str">
        <f aca="false">IF(N973="","",IF(P973&lt;&gt;"",N973-P973,ROUND(N973*IFERROR(INDEX(Settings!$E$5:$E$12,MATCH(F973,Settings!$D$5:$D$12,0)),0),2)))</f>
        <v/>
      </c>
      <c r="P973" s="37"/>
      <c r="Q973" s="41" t="str">
        <f aca="false">IF(N973="","",IF(P973&lt;&gt;"",P973,N973-O973))</f>
        <v/>
      </c>
      <c r="R973" s="41" t="str">
        <f aca="false">IF(J973="","",IFERROR(N(INDEX(Properties!$H$5:$H$24,MATCH(D973,Properties!$A$5:$A$24,0))),0))</f>
        <v/>
      </c>
      <c r="S973" s="41" t="str">
        <f aca="false">IF(Q973="","",Q973-R973)</f>
        <v/>
      </c>
      <c r="T973" s="6"/>
      <c r="U973" s="6"/>
      <c r="V973" s="6"/>
      <c r="W973" s="6"/>
      <c r="X973" s="6"/>
      <c r="Y973" s="8" t="str">
        <f aca="false">IF(OR(D973="",B973="",C973=""),"",IF(N(C973)&lt;=N(B973),"Check dates",IF(T973="Cancelled","",IF(COUNTIFS($D$5:$D$1004,D973,$B$5:$B$1004,"&lt;"&amp;C973,$C$5:$C$1004,"&gt;"&amp;B973,$T$5:$T$1004,"&lt;&gt;Cancelled")&gt;1,"Double-booked",""))))</f>
        <v/>
      </c>
      <c r="Z973" s="42" t="str">
        <f aca="false">IF(AND(AA973=1,ISNUMBER(C973)),C973+ROW()/100000,"")</f>
        <v/>
      </c>
      <c r="AA973" s="43" t="n">
        <f aca="false">IF(AND(D973&lt;&gt;"",ISNUMBER(B973),ISNUMBER(C973),N(H973)&gt;0,T973&lt;&gt;"Cancelled",J973&lt;&gt;""),1,0)</f>
        <v>0</v>
      </c>
      <c r="AB973" s="44" t="n">
        <f aca="false">IF(AA973=1,J973/H973,0)</f>
        <v>0</v>
      </c>
      <c r="AC973" s="44" t="n">
        <f aca="false">IF(AA973=1,Q973/H973,0)</f>
        <v>0</v>
      </c>
      <c r="AD973" s="44" t="n">
        <f aca="false">IF(AA973=1,R973/H973,0)</f>
        <v>0</v>
      </c>
      <c r="AE973" s="44" t="n">
        <f aca="false">IF(AA973=1,O973/H973,0)</f>
        <v>0</v>
      </c>
      <c r="AF973" s="44" t="n">
        <f aca="false">IF(AA973=1,K973/H973,0)</f>
        <v>0</v>
      </c>
      <c r="AG973" s="45" t="str">
        <f aca="false">IF(AA973=1,D973&amp;"|"&amp;TEXT(B973,"0"),"")</f>
        <v/>
      </c>
      <c r="AH973" s="43" t="n">
        <f aca="false">IF(AA973=1,H973,0)</f>
        <v>0</v>
      </c>
    </row>
    <row r="974" customFormat="false" ht="15" hidden="false" customHeight="false" outlineLevel="0" collapsed="false">
      <c r="A974" s="23" t="str">
        <f aca="false">IF(B974="","","B-"&amp;TEXT(ROW()-4,"0000"))</f>
        <v/>
      </c>
      <c r="B974" s="38"/>
      <c r="C974" s="38"/>
      <c r="D974" s="6"/>
      <c r="E974" s="6"/>
      <c r="F974" s="6"/>
      <c r="G974" s="11"/>
      <c r="H974" s="24" t="str">
        <f aca="false">IF(AND(ISNUMBER(B974),ISNUMBER(C974)),MAX(0,C974-B974),"")</f>
        <v/>
      </c>
      <c r="I974" s="37"/>
      <c r="J974" s="46" t="str">
        <f aca="false">IF(OR(D974="",N(H974)=0),"",IFERROR(IF(I974&lt;&gt;"",H974*I974,ROUND(((H974-(INT((WEEKDAY(B974-6)+H974-1)/7)+INT((WEEKDAY(B974-7)+H974-1)/7)))*INDEX(Properties!$E$5:$E$24,MATCH(D974,Properties!$A$5:$A$24,0))+(INT((WEEKDAY(B974-6)+H974-1)/7)+INT((WEEKDAY(B974-7)+H974-1)/7))*INDEX(Properties!$F$5:$F$24,MATCH(D974,Properties!$A$5:$A$24,0)))*(1-IF(H974&gt;=28,Settings!$B$10,IF(H974&gt;=7,Settings!$B$9,0))),2)),0))</f>
        <v/>
      </c>
      <c r="K974" s="46" t="str">
        <f aca="false">IF(J974="","",IFERROR(N(INDEX(Properties!$G$5:$G$24,MATCH(D974,Properties!$A$5:$A$24,0))),0))</f>
        <v/>
      </c>
      <c r="L974" s="46" t="str">
        <f aca="false">IF(J974="","",IFERROR(MAX(0,N(G974)-INDEX(Properties!$I$5:$I$24,MATCH(D974,Properties!$A$5:$A$24,0)))*N(INDEX(Properties!$J$5:$J$24,MATCH(D974,Properties!$A$5:$A$24,0)))*H974,0))</f>
        <v/>
      </c>
      <c r="M974" s="37"/>
      <c r="N974" s="46" t="str">
        <f aca="false">IF(J974="","",J974+K974+L974+N(M974))</f>
        <v/>
      </c>
      <c r="O974" s="46" t="str">
        <f aca="false">IF(N974="","",IF(P974&lt;&gt;"",N974-P974,ROUND(N974*IFERROR(INDEX(Settings!$E$5:$E$12,MATCH(F974,Settings!$D$5:$D$12,0)),0),2)))</f>
        <v/>
      </c>
      <c r="P974" s="37"/>
      <c r="Q974" s="46" t="str">
        <f aca="false">IF(N974="","",IF(P974&lt;&gt;"",P974,N974-O974))</f>
        <v/>
      </c>
      <c r="R974" s="46" t="str">
        <f aca="false">IF(J974="","",IFERROR(N(INDEX(Properties!$H$5:$H$24,MATCH(D974,Properties!$A$5:$A$24,0))),0))</f>
        <v/>
      </c>
      <c r="S974" s="46" t="str">
        <f aca="false">IF(Q974="","",Q974-R974)</f>
        <v/>
      </c>
      <c r="T974" s="6"/>
      <c r="U974" s="6"/>
      <c r="V974" s="6"/>
      <c r="W974" s="6"/>
      <c r="X974" s="6"/>
      <c r="Y974" s="8" t="str">
        <f aca="false">IF(OR(D974="",B974="",C974=""),"",IF(N(C974)&lt;=N(B974),"Check dates",IF(T974="Cancelled","",IF(COUNTIFS($D$5:$D$1004,D974,$B$5:$B$1004,"&lt;"&amp;C974,$C$5:$C$1004,"&gt;"&amp;B974,$T$5:$T$1004,"&lt;&gt;Cancelled")&gt;1,"Double-booked",""))))</f>
        <v/>
      </c>
      <c r="Z974" s="42" t="str">
        <f aca="false">IF(AND(AA974=1,ISNUMBER(C974)),C974+ROW()/100000,"")</f>
        <v/>
      </c>
      <c r="AA974" s="43" t="n">
        <f aca="false">IF(AND(D974&lt;&gt;"",ISNUMBER(B974),ISNUMBER(C974),N(H974)&gt;0,T974&lt;&gt;"Cancelled",J974&lt;&gt;""),1,0)</f>
        <v>0</v>
      </c>
      <c r="AB974" s="44" t="n">
        <f aca="false">IF(AA974=1,J974/H974,0)</f>
        <v>0</v>
      </c>
      <c r="AC974" s="44" t="n">
        <f aca="false">IF(AA974=1,Q974/H974,0)</f>
        <v>0</v>
      </c>
      <c r="AD974" s="44" t="n">
        <f aca="false">IF(AA974=1,R974/H974,0)</f>
        <v>0</v>
      </c>
      <c r="AE974" s="44" t="n">
        <f aca="false">IF(AA974=1,O974/H974,0)</f>
        <v>0</v>
      </c>
      <c r="AF974" s="44" t="n">
        <f aca="false">IF(AA974=1,K974/H974,0)</f>
        <v>0</v>
      </c>
      <c r="AG974" s="45" t="str">
        <f aca="false">IF(AA974=1,D974&amp;"|"&amp;TEXT(B974,"0"),"")</f>
        <v/>
      </c>
      <c r="AH974" s="43" t="n">
        <f aca="false">IF(AA974=1,H974,0)</f>
        <v>0</v>
      </c>
    </row>
    <row r="975" customFormat="false" ht="15" hidden="false" customHeight="false" outlineLevel="0" collapsed="false">
      <c r="A975" s="8" t="str">
        <f aca="false">IF(B975="","","B-"&amp;TEXT(ROW()-4,"0000"))</f>
        <v/>
      </c>
      <c r="B975" s="38"/>
      <c r="C975" s="38"/>
      <c r="D975" s="6"/>
      <c r="E975" s="6"/>
      <c r="F975" s="6"/>
      <c r="G975" s="11"/>
      <c r="H975" s="18" t="str">
        <f aca="false">IF(AND(ISNUMBER(B975),ISNUMBER(C975)),MAX(0,C975-B975),"")</f>
        <v/>
      </c>
      <c r="I975" s="37"/>
      <c r="J975" s="41" t="str">
        <f aca="false">IF(OR(D975="",N(H975)=0),"",IFERROR(IF(I975&lt;&gt;"",H975*I975,ROUND(((H975-(INT((WEEKDAY(B975-6)+H975-1)/7)+INT((WEEKDAY(B975-7)+H975-1)/7)))*INDEX(Properties!$E$5:$E$24,MATCH(D975,Properties!$A$5:$A$24,0))+(INT((WEEKDAY(B975-6)+H975-1)/7)+INT((WEEKDAY(B975-7)+H975-1)/7))*INDEX(Properties!$F$5:$F$24,MATCH(D975,Properties!$A$5:$A$24,0)))*(1-IF(H975&gt;=28,Settings!$B$10,IF(H975&gt;=7,Settings!$B$9,0))),2)),0))</f>
        <v/>
      </c>
      <c r="K975" s="41" t="str">
        <f aca="false">IF(J975="","",IFERROR(N(INDEX(Properties!$G$5:$G$24,MATCH(D975,Properties!$A$5:$A$24,0))),0))</f>
        <v/>
      </c>
      <c r="L975" s="41" t="str">
        <f aca="false">IF(J975="","",IFERROR(MAX(0,N(G975)-INDEX(Properties!$I$5:$I$24,MATCH(D975,Properties!$A$5:$A$24,0)))*N(INDEX(Properties!$J$5:$J$24,MATCH(D975,Properties!$A$5:$A$24,0)))*H975,0))</f>
        <v/>
      </c>
      <c r="M975" s="37"/>
      <c r="N975" s="41" t="str">
        <f aca="false">IF(J975="","",J975+K975+L975+N(M975))</f>
        <v/>
      </c>
      <c r="O975" s="41" t="str">
        <f aca="false">IF(N975="","",IF(P975&lt;&gt;"",N975-P975,ROUND(N975*IFERROR(INDEX(Settings!$E$5:$E$12,MATCH(F975,Settings!$D$5:$D$12,0)),0),2)))</f>
        <v/>
      </c>
      <c r="P975" s="37"/>
      <c r="Q975" s="41" t="str">
        <f aca="false">IF(N975="","",IF(P975&lt;&gt;"",P975,N975-O975))</f>
        <v/>
      </c>
      <c r="R975" s="41" t="str">
        <f aca="false">IF(J975="","",IFERROR(N(INDEX(Properties!$H$5:$H$24,MATCH(D975,Properties!$A$5:$A$24,0))),0))</f>
        <v/>
      </c>
      <c r="S975" s="41" t="str">
        <f aca="false">IF(Q975="","",Q975-R975)</f>
        <v/>
      </c>
      <c r="T975" s="6"/>
      <c r="U975" s="6"/>
      <c r="V975" s="6"/>
      <c r="W975" s="6"/>
      <c r="X975" s="6"/>
      <c r="Y975" s="8" t="str">
        <f aca="false">IF(OR(D975="",B975="",C975=""),"",IF(N(C975)&lt;=N(B975),"Check dates",IF(T975="Cancelled","",IF(COUNTIFS($D$5:$D$1004,D975,$B$5:$B$1004,"&lt;"&amp;C975,$C$5:$C$1004,"&gt;"&amp;B975,$T$5:$T$1004,"&lt;&gt;Cancelled")&gt;1,"Double-booked",""))))</f>
        <v/>
      </c>
      <c r="Z975" s="42" t="str">
        <f aca="false">IF(AND(AA975=1,ISNUMBER(C975)),C975+ROW()/100000,"")</f>
        <v/>
      </c>
      <c r="AA975" s="43" t="n">
        <f aca="false">IF(AND(D975&lt;&gt;"",ISNUMBER(B975),ISNUMBER(C975),N(H975)&gt;0,T975&lt;&gt;"Cancelled",J975&lt;&gt;""),1,0)</f>
        <v>0</v>
      </c>
      <c r="AB975" s="44" t="n">
        <f aca="false">IF(AA975=1,J975/H975,0)</f>
        <v>0</v>
      </c>
      <c r="AC975" s="44" t="n">
        <f aca="false">IF(AA975=1,Q975/H975,0)</f>
        <v>0</v>
      </c>
      <c r="AD975" s="44" t="n">
        <f aca="false">IF(AA975=1,R975/H975,0)</f>
        <v>0</v>
      </c>
      <c r="AE975" s="44" t="n">
        <f aca="false">IF(AA975=1,O975/H975,0)</f>
        <v>0</v>
      </c>
      <c r="AF975" s="44" t="n">
        <f aca="false">IF(AA975=1,K975/H975,0)</f>
        <v>0</v>
      </c>
      <c r="AG975" s="45" t="str">
        <f aca="false">IF(AA975=1,D975&amp;"|"&amp;TEXT(B975,"0"),"")</f>
        <v/>
      </c>
      <c r="AH975" s="43" t="n">
        <f aca="false">IF(AA975=1,H975,0)</f>
        <v>0</v>
      </c>
    </row>
    <row r="976" customFormat="false" ht="15" hidden="false" customHeight="false" outlineLevel="0" collapsed="false">
      <c r="A976" s="23" t="str">
        <f aca="false">IF(B976="","","B-"&amp;TEXT(ROW()-4,"0000"))</f>
        <v/>
      </c>
      <c r="B976" s="38"/>
      <c r="C976" s="38"/>
      <c r="D976" s="6"/>
      <c r="E976" s="6"/>
      <c r="F976" s="6"/>
      <c r="G976" s="11"/>
      <c r="H976" s="24" t="str">
        <f aca="false">IF(AND(ISNUMBER(B976),ISNUMBER(C976)),MAX(0,C976-B976),"")</f>
        <v/>
      </c>
      <c r="I976" s="37"/>
      <c r="J976" s="46" t="str">
        <f aca="false">IF(OR(D976="",N(H976)=0),"",IFERROR(IF(I976&lt;&gt;"",H976*I976,ROUND(((H976-(INT((WEEKDAY(B976-6)+H976-1)/7)+INT((WEEKDAY(B976-7)+H976-1)/7)))*INDEX(Properties!$E$5:$E$24,MATCH(D976,Properties!$A$5:$A$24,0))+(INT((WEEKDAY(B976-6)+H976-1)/7)+INT((WEEKDAY(B976-7)+H976-1)/7))*INDEX(Properties!$F$5:$F$24,MATCH(D976,Properties!$A$5:$A$24,0)))*(1-IF(H976&gt;=28,Settings!$B$10,IF(H976&gt;=7,Settings!$B$9,0))),2)),0))</f>
        <v/>
      </c>
      <c r="K976" s="46" t="str">
        <f aca="false">IF(J976="","",IFERROR(N(INDEX(Properties!$G$5:$G$24,MATCH(D976,Properties!$A$5:$A$24,0))),0))</f>
        <v/>
      </c>
      <c r="L976" s="46" t="str">
        <f aca="false">IF(J976="","",IFERROR(MAX(0,N(G976)-INDEX(Properties!$I$5:$I$24,MATCH(D976,Properties!$A$5:$A$24,0)))*N(INDEX(Properties!$J$5:$J$24,MATCH(D976,Properties!$A$5:$A$24,0)))*H976,0))</f>
        <v/>
      </c>
      <c r="M976" s="37"/>
      <c r="N976" s="46" t="str">
        <f aca="false">IF(J976="","",J976+K976+L976+N(M976))</f>
        <v/>
      </c>
      <c r="O976" s="46" t="str">
        <f aca="false">IF(N976="","",IF(P976&lt;&gt;"",N976-P976,ROUND(N976*IFERROR(INDEX(Settings!$E$5:$E$12,MATCH(F976,Settings!$D$5:$D$12,0)),0),2)))</f>
        <v/>
      </c>
      <c r="P976" s="37"/>
      <c r="Q976" s="46" t="str">
        <f aca="false">IF(N976="","",IF(P976&lt;&gt;"",P976,N976-O976))</f>
        <v/>
      </c>
      <c r="R976" s="46" t="str">
        <f aca="false">IF(J976="","",IFERROR(N(INDEX(Properties!$H$5:$H$24,MATCH(D976,Properties!$A$5:$A$24,0))),0))</f>
        <v/>
      </c>
      <c r="S976" s="46" t="str">
        <f aca="false">IF(Q976="","",Q976-R976)</f>
        <v/>
      </c>
      <c r="T976" s="6"/>
      <c r="U976" s="6"/>
      <c r="V976" s="6"/>
      <c r="W976" s="6"/>
      <c r="X976" s="6"/>
      <c r="Y976" s="8" t="str">
        <f aca="false">IF(OR(D976="",B976="",C976=""),"",IF(N(C976)&lt;=N(B976),"Check dates",IF(T976="Cancelled","",IF(COUNTIFS($D$5:$D$1004,D976,$B$5:$B$1004,"&lt;"&amp;C976,$C$5:$C$1004,"&gt;"&amp;B976,$T$5:$T$1004,"&lt;&gt;Cancelled")&gt;1,"Double-booked",""))))</f>
        <v/>
      </c>
      <c r="Z976" s="42" t="str">
        <f aca="false">IF(AND(AA976=1,ISNUMBER(C976)),C976+ROW()/100000,"")</f>
        <v/>
      </c>
      <c r="AA976" s="43" t="n">
        <f aca="false">IF(AND(D976&lt;&gt;"",ISNUMBER(B976),ISNUMBER(C976),N(H976)&gt;0,T976&lt;&gt;"Cancelled",J976&lt;&gt;""),1,0)</f>
        <v>0</v>
      </c>
      <c r="AB976" s="44" t="n">
        <f aca="false">IF(AA976=1,J976/H976,0)</f>
        <v>0</v>
      </c>
      <c r="AC976" s="44" t="n">
        <f aca="false">IF(AA976=1,Q976/H976,0)</f>
        <v>0</v>
      </c>
      <c r="AD976" s="44" t="n">
        <f aca="false">IF(AA976=1,R976/H976,0)</f>
        <v>0</v>
      </c>
      <c r="AE976" s="44" t="n">
        <f aca="false">IF(AA976=1,O976/H976,0)</f>
        <v>0</v>
      </c>
      <c r="AF976" s="44" t="n">
        <f aca="false">IF(AA976=1,K976/H976,0)</f>
        <v>0</v>
      </c>
      <c r="AG976" s="45" t="str">
        <f aca="false">IF(AA976=1,D976&amp;"|"&amp;TEXT(B976,"0"),"")</f>
        <v/>
      </c>
      <c r="AH976" s="43" t="n">
        <f aca="false">IF(AA976=1,H976,0)</f>
        <v>0</v>
      </c>
    </row>
    <row r="977" customFormat="false" ht="15" hidden="false" customHeight="false" outlineLevel="0" collapsed="false">
      <c r="A977" s="8" t="str">
        <f aca="false">IF(B977="","","B-"&amp;TEXT(ROW()-4,"0000"))</f>
        <v/>
      </c>
      <c r="B977" s="38"/>
      <c r="C977" s="38"/>
      <c r="D977" s="6"/>
      <c r="E977" s="6"/>
      <c r="F977" s="6"/>
      <c r="G977" s="11"/>
      <c r="H977" s="18" t="str">
        <f aca="false">IF(AND(ISNUMBER(B977),ISNUMBER(C977)),MAX(0,C977-B977),"")</f>
        <v/>
      </c>
      <c r="I977" s="37"/>
      <c r="J977" s="41" t="str">
        <f aca="false">IF(OR(D977="",N(H977)=0),"",IFERROR(IF(I977&lt;&gt;"",H977*I977,ROUND(((H977-(INT((WEEKDAY(B977-6)+H977-1)/7)+INT((WEEKDAY(B977-7)+H977-1)/7)))*INDEX(Properties!$E$5:$E$24,MATCH(D977,Properties!$A$5:$A$24,0))+(INT((WEEKDAY(B977-6)+H977-1)/7)+INT((WEEKDAY(B977-7)+H977-1)/7))*INDEX(Properties!$F$5:$F$24,MATCH(D977,Properties!$A$5:$A$24,0)))*(1-IF(H977&gt;=28,Settings!$B$10,IF(H977&gt;=7,Settings!$B$9,0))),2)),0))</f>
        <v/>
      </c>
      <c r="K977" s="41" t="str">
        <f aca="false">IF(J977="","",IFERROR(N(INDEX(Properties!$G$5:$G$24,MATCH(D977,Properties!$A$5:$A$24,0))),0))</f>
        <v/>
      </c>
      <c r="L977" s="41" t="str">
        <f aca="false">IF(J977="","",IFERROR(MAX(0,N(G977)-INDEX(Properties!$I$5:$I$24,MATCH(D977,Properties!$A$5:$A$24,0)))*N(INDEX(Properties!$J$5:$J$24,MATCH(D977,Properties!$A$5:$A$24,0)))*H977,0))</f>
        <v/>
      </c>
      <c r="M977" s="37"/>
      <c r="N977" s="41" t="str">
        <f aca="false">IF(J977="","",J977+K977+L977+N(M977))</f>
        <v/>
      </c>
      <c r="O977" s="41" t="str">
        <f aca="false">IF(N977="","",IF(P977&lt;&gt;"",N977-P977,ROUND(N977*IFERROR(INDEX(Settings!$E$5:$E$12,MATCH(F977,Settings!$D$5:$D$12,0)),0),2)))</f>
        <v/>
      </c>
      <c r="P977" s="37"/>
      <c r="Q977" s="41" t="str">
        <f aca="false">IF(N977="","",IF(P977&lt;&gt;"",P977,N977-O977))</f>
        <v/>
      </c>
      <c r="R977" s="41" t="str">
        <f aca="false">IF(J977="","",IFERROR(N(INDEX(Properties!$H$5:$H$24,MATCH(D977,Properties!$A$5:$A$24,0))),0))</f>
        <v/>
      </c>
      <c r="S977" s="41" t="str">
        <f aca="false">IF(Q977="","",Q977-R977)</f>
        <v/>
      </c>
      <c r="T977" s="6"/>
      <c r="U977" s="6"/>
      <c r="V977" s="6"/>
      <c r="W977" s="6"/>
      <c r="X977" s="6"/>
      <c r="Y977" s="8" t="str">
        <f aca="false">IF(OR(D977="",B977="",C977=""),"",IF(N(C977)&lt;=N(B977),"Check dates",IF(T977="Cancelled","",IF(COUNTIFS($D$5:$D$1004,D977,$B$5:$B$1004,"&lt;"&amp;C977,$C$5:$C$1004,"&gt;"&amp;B977,$T$5:$T$1004,"&lt;&gt;Cancelled")&gt;1,"Double-booked",""))))</f>
        <v/>
      </c>
      <c r="Z977" s="42" t="str">
        <f aca="false">IF(AND(AA977=1,ISNUMBER(C977)),C977+ROW()/100000,"")</f>
        <v/>
      </c>
      <c r="AA977" s="43" t="n">
        <f aca="false">IF(AND(D977&lt;&gt;"",ISNUMBER(B977),ISNUMBER(C977),N(H977)&gt;0,T977&lt;&gt;"Cancelled",J977&lt;&gt;""),1,0)</f>
        <v>0</v>
      </c>
      <c r="AB977" s="44" t="n">
        <f aca="false">IF(AA977=1,J977/H977,0)</f>
        <v>0</v>
      </c>
      <c r="AC977" s="44" t="n">
        <f aca="false">IF(AA977=1,Q977/H977,0)</f>
        <v>0</v>
      </c>
      <c r="AD977" s="44" t="n">
        <f aca="false">IF(AA977=1,R977/H977,0)</f>
        <v>0</v>
      </c>
      <c r="AE977" s="44" t="n">
        <f aca="false">IF(AA977=1,O977/H977,0)</f>
        <v>0</v>
      </c>
      <c r="AF977" s="44" t="n">
        <f aca="false">IF(AA977=1,K977/H977,0)</f>
        <v>0</v>
      </c>
      <c r="AG977" s="45" t="str">
        <f aca="false">IF(AA977=1,D977&amp;"|"&amp;TEXT(B977,"0"),"")</f>
        <v/>
      </c>
      <c r="AH977" s="43" t="n">
        <f aca="false">IF(AA977=1,H977,0)</f>
        <v>0</v>
      </c>
    </row>
    <row r="978" customFormat="false" ht="15" hidden="false" customHeight="false" outlineLevel="0" collapsed="false">
      <c r="A978" s="23" t="str">
        <f aca="false">IF(B978="","","B-"&amp;TEXT(ROW()-4,"0000"))</f>
        <v/>
      </c>
      <c r="B978" s="38"/>
      <c r="C978" s="38"/>
      <c r="D978" s="6"/>
      <c r="E978" s="6"/>
      <c r="F978" s="6"/>
      <c r="G978" s="11"/>
      <c r="H978" s="24" t="str">
        <f aca="false">IF(AND(ISNUMBER(B978),ISNUMBER(C978)),MAX(0,C978-B978),"")</f>
        <v/>
      </c>
      <c r="I978" s="37"/>
      <c r="J978" s="46" t="str">
        <f aca="false">IF(OR(D978="",N(H978)=0),"",IFERROR(IF(I978&lt;&gt;"",H978*I978,ROUND(((H978-(INT((WEEKDAY(B978-6)+H978-1)/7)+INT((WEEKDAY(B978-7)+H978-1)/7)))*INDEX(Properties!$E$5:$E$24,MATCH(D978,Properties!$A$5:$A$24,0))+(INT((WEEKDAY(B978-6)+H978-1)/7)+INT((WEEKDAY(B978-7)+H978-1)/7))*INDEX(Properties!$F$5:$F$24,MATCH(D978,Properties!$A$5:$A$24,0)))*(1-IF(H978&gt;=28,Settings!$B$10,IF(H978&gt;=7,Settings!$B$9,0))),2)),0))</f>
        <v/>
      </c>
      <c r="K978" s="46" t="str">
        <f aca="false">IF(J978="","",IFERROR(N(INDEX(Properties!$G$5:$G$24,MATCH(D978,Properties!$A$5:$A$24,0))),0))</f>
        <v/>
      </c>
      <c r="L978" s="46" t="str">
        <f aca="false">IF(J978="","",IFERROR(MAX(0,N(G978)-INDEX(Properties!$I$5:$I$24,MATCH(D978,Properties!$A$5:$A$24,0)))*N(INDEX(Properties!$J$5:$J$24,MATCH(D978,Properties!$A$5:$A$24,0)))*H978,0))</f>
        <v/>
      </c>
      <c r="M978" s="37"/>
      <c r="N978" s="46" t="str">
        <f aca="false">IF(J978="","",J978+K978+L978+N(M978))</f>
        <v/>
      </c>
      <c r="O978" s="46" t="str">
        <f aca="false">IF(N978="","",IF(P978&lt;&gt;"",N978-P978,ROUND(N978*IFERROR(INDEX(Settings!$E$5:$E$12,MATCH(F978,Settings!$D$5:$D$12,0)),0),2)))</f>
        <v/>
      </c>
      <c r="P978" s="37"/>
      <c r="Q978" s="46" t="str">
        <f aca="false">IF(N978="","",IF(P978&lt;&gt;"",P978,N978-O978))</f>
        <v/>
      </c>
      <c r="R978" s="46" t="str">
        <f aca="false">IF(J978="","",IFERROR(N(INDEX(Properties!$H$5:$H$24,MATCH(D978,Properties!$A$5:$A$24,0))),0))</f>
        <v/>
      </c>
      <c r="S978" s="46" t="str">
        <f aca="false">IF(Q978="","",Q978-R978)</f>
        <v/>
      </c>
      <c r="T978" s="6"/>
      <c r="U978" s="6"/>
      <c r="V978" s="6"/>
      <c r="W978" s="6"/>
      <c r="X978" s="6"/>
      <c r="Y978" s="8" t="str">
        <f aca="false">IF(OR(D978="",B978="",C978=""),"",IF(N(C978)&lt;=N(B978),"Check dates",IF(T978="Cancelled","",IF(COUNTIFS($D$5:$D$1004,D978,$B$5:$B$1004,"&lt;"&amp;C978,$C$5:$C$1004,"&gt;"&amp;B978,$T$5:$T$1004,"&lt;&gt;Cancelled")&gt;1,"Double-booked",""))))</f>
        <v/>
      </c>
      <c r="Z978" s="42" t="str">
        <f aca="false">IF(AND(AA978=1,ISNUMBER(C978)),C978+ROW()/100000,"")</f>
        <v/>
      </c>
      <c r="AA978" s="43" t="n">
        <f aca="false">IF(AND(D978&lt;&gt;"",ISNUMBER(B978),ISNUMBER(C978),N(H978)&gt;0,T978&lt;&gt;"Cancelled",J978&lt;&gt;""),1,0)</f>
        <v>0</v>
      </c>
      <c r="AB978" s="44" t="n">
        <f aca="false">IF(AA978=1,J978/H978,0)</f>
        <v>0</v>
      </c>
      <c r="AC978" s="44" t="n">
        <f aca="false">IF(AA978=1,Q978/H978,0)</f>
        <v>0</v>
      </c>
      <c r="AD978" s="44" t="n">
        <f aca="false">IF(AA978=1,R978/H978,0)</f>
        <v>0</v>
      </c>
      <c r="AE978" s="44" t="n">
        <f aca="false">IF(AA978=1,O978/H978,0)</f>
        <v>0</v>
      </c>
      <c r="AF978" s="44" t="n">
        <f aca="false">IF(AA978=1,K978/H978,0)</f>
        <v>0</v>
      </c>
      <c r="AG978" s="45" t="str">
        <f aca="false">IF(AA978=1,D978&amp;"|"&amp;TEXT(B978,"0"),"")</f>
        <v/>
      </c>
      <c r="AH978" s="43" t="n">
        <f aca="false">IF(AA978=1,H978,0)</f>
        <v>0</v>
      </c>
    </row>
    <row r="979" customFormat="false" ht="15" hidden="false" customHeight="false" outlineLevel="0" collapsed="false">
      <c r="A979" s="8" t="str">
        <f aca="false">IF(B979="","","B-"&amp;TEXT(ROW()-4,"0000"))</f>
        <v/>
      </c>
      <c r="B979" s="38"/>
      <c r="C979" s="38"/>
      <c r="D979" s="6"/>
      <c r="E979" s="6"/>
      <c r="F979" s="6"/>
      <c r="G979" s="11"/>
      <c r="H979" s="18" t="str">
        <f aca="false">IF(AND(ISNUMBER(B979),ISNUMBER(C979)),MAX(0,C979-B979),"")</f>
        <v/>
      </c>
      <c r="I979" s="37"/>
      <c r="J979" s="41" t="str">
        <f aca="false">IF(OR(D979="",N(H979)=0),"",IFERROR(IF(I979&lt;&gt;"",H979*I979,ROUND(((H979-(INT((WEEKDAY(B979-6)+H979-1)/7)+INT((WEEKDAY(B979-7)+H979-1)/7)))*INDEX(Properties!$E$5:$E$24,MATCH(D979,Properties!$A$5:$A$24,0))+(INT((WEEKDAY(B979-6)+H979-1)/7)+INT((WEEKDAY(B979-7)+H979-1)/7))*INDEX(Properties!$F$5:$F$24,MATCH(D979,Properties!$A$5:$A$24,0)))*(1-IF(H979&gt;=28,Settings!$B$10,IF(H979&gt;=7,Settings!$B$9,0))),2)),0))</f>
        <v/>
      </c>
      <c r="K979" s="41" t="str">
        <f aca="false">IF(J979="","",IFERROR(N(INDEX(Properties!$G$5:$G$24,MATCH(D979,Properties!$A$5:$A$24,0))),0))</f>
        <v/>
      </c>
      <c r="L979" s="41" t="str">
        <f aca="false">IF(J979="","",IFERROR(MAX(0,N(G979)-INDEX(Properties!$I$5:$I$24,MATCH(D979,Properties!$A$5:$A$24,0)))*N(INDEX(Properties!$J$5:$J$24,MATCH(D979,Properties!$A$5:$A$24,0)))*H979,0))</f>
        <v/>
      </c>
      <c r="M979" s="37"/>
      <c r="N979" s="41" t="str">
        <f aca="false">IF(J979="","",J979+K979+L979+N(M979))</f>
        <v/>
      </c>
      <c r="O979" s="41" t="str">
        <f aca="false">IF(N979="","",IF(P979&lt;&gt;"",N979-P979,ROUND(N979*IFERROR(INDEX(Settings!$E$5:$E$12,MATCH(F979,Settings!$D$5:$D$12,0)),0),2)))</f>
        <v/>
      </c>
      <c r="P979" s="37"/>
      <c r="Q979" s="41" t="str">
        <f aca="false">IF(N979="","",IF(P979&lt;&gt;"",P979,N979-O979))</f>
        <v/>
      </c>
      <c r="R979" s="41" t="str">
        <f aca="false">IF(J979="","",IFERROR(N(INDEX(Properties!$H$5:$H$24,MATCH(D979,Properties!$A$5:$A$24,0))),0))</f>
        <v/>
      </c>
      <c r="S979" s="41" t="str">
        <f aca="false">IF(Q979="","",Q979-R979)</f>
        <v/>
      </c>
      <c r="T979" s="6"/>
      <c r="U979" s="6"/>
      <c r="V979" s="6"/>
      <c r="W979" s="6"/>
      <c r="X979" s="6"/>
      <c r="Y979" s="8" t="str">
        <f aca="false">IF(OR(D979="",B979="",C979=""),"",IF(N(C979)&lt;=N(B979),"Check dates",IF(T979="Cancelled","",IF(COUNTIFS($D$5:$D$1004,D979,$B$5:$B$1004,"&lt;"&amp;C979,$C$5:$C$1004,"&gt;"&amp;B979,$T$5:$T$1004,"&lt;&gt;Cancelled")&gt;1,"Double-booked",""))))</f>
        <v/>
      </c>
      <c r="Z979" s="42" t="str">
        <f aca="false">IF(AND(AA979=1,ISNUMBER(C979)),C979+ROW()/100000,"")</f>
        <v/>
      </c>
      <c r="AA979" s="43" t="n">
        <f aca="false">IF(AND(D979&lt;&gt;"",ISNUMBER(B979),ISNUMBER(C979),N(H979)&gt;0,T979&lt;&gt;"Cancelled",J979&lt;&gt;""),1,0)</f>
        <v>0</v>
      </c>
      <c r="AB979" s="44" t="n">
        <f aca="false">IF(AA979=1,J979/H979,0)</f>
        <v>0</v>
      </c>
      <c r="AC979" s="44" t="n">
        <f aca="false">IF(AA979=1,Q979/H979,0)</f>
        <v>0</v>
      </c>
      <c r="AD979" s="44" t="n">
        <f aca="false">IF(AA979=1,R979/H979,0)</f>
        <v>0</v>
      </c>
      <c r="AE979" s="44" t="n">
        <f aca="false">IF(AA979=1,O979/H979,0)</f>
        <v>0</v>
      </c>
      <c r="AF979" s="44" t="n">
        <f aca="false">IF(AA979=1,K979/H979,0)</f>
        <v>0</v>
      </c>
      <c r="AG979" s="45" t="str">
        <f aca="false">IF(AA979=1,D979&amp;"|"&amp;TEXT(B979,"0"),"")</f>
        <v/>
      </c>
      <c r="AH979" s="43" t="n">
        <f aca="false">IF(AA979=1,H979,0)</f>
        <v>0</v>
      </c>
    </row>
    <row r="980" customFormat="false" ht="15" hidden="false" customHeight="false" outlineLevel="0" collapsed="false">
      <c r="A980" s="23" t="str">
        <f aca="false">IF(B980="","","B-"&amp;TEXT(ROW()-4,"0000"))</f>
        <v/>
      </c>
      <c r="B980" s="38"/>
      <c r="C980" s="38"/>
      <c r="D980" s="6"/>
      <c r="E980" s="6"/>
      <c r="F980" s="6"/>
      <c r="G980" s="11"/>
      <c r="H980" s="24" t="str">
        <f aca="false">IF(AND(ISNUMBER(B980),ISNUMBER(C980)),MAX(0,C980-B980),"")</f>
        <v/>
      </c>
      <c r="I980" s="37"/>
      <c r="J980" s="46" t="str">
        <f aca="false">IF(OR(D980="",N(H980)=0),"",IFERROR(IF(I980&lt;&gt;"",H980*I980,ROUND(((H980-(INT((WEEKDAY(B980-6)+H980-1)/7)+INT((WEEKDAY(B980-7)+H980-1)/7)))*INDEX(Properties!$E$5:$E$24,MATCH(D980,Properties!$A$5:$A$24,0))+(INT((WEEKDAY(B980-6)+H980-1)/7)+INT((WEEKDAY(B980-7)+H980-1)/7))*INDEX(Properties!$F$5:$F$24,MATCH(D980,Properties!$A$5:$A$24,0)))*(1-IF(H980&gt;=28,Settings!$B$10,IF(H980&gt;=7,Settings!$B$9,0))),2)),0))</f>
        <v/>
      </c>
      <c r="K980" s="46" t="str">
        <f aca="false">IF(J980="","",IFERROR(N(INDEX(Properties!$G$5:$G$24,MATCH(D980,Properties!$A$5:$A$24,0))),0))</f>
        <v/>
      </c>
      <c r="L980" s="46" t="str">
        <f aca="false">IF(J980="","",IFERROR(MAX(0,N(G980)-INDEX(Properties!$I$5:$I$24,MATCH(D980,Properties!$A$5:$A$24,0)))*N(INDEX(Properties!$J$5:$J$24,MATCH(D980,Properties!$A$5:$A$24,0)))*H980,0))</f>
        <v/>
      </c>
      <c r="M980" s="37"/>
      <c r="N980" s="46" t="str">
        <f aca="false">IF(J980="","",J980+K980+L980+N(M980))</f>
        <v/>
      </c>
      <c r="O980" s="46" t="str">
        <f aca="false">IF(N980="","",IF(P980&lt;&gt;"",N980-P980,ROUND(N980*IFERROR(INDEX(Settings!$E$5:$E$12,MATCH(F980,Settings!$D$5:$D$12,0)),0),2)))</f>
        <v/>
      </c>
      <c r="P980" s="37"/>
      <c r="Q980" s="46" t="str">
        <f aca="false">IF(N980="","",IF(P980&lt;&gt;"",P980,N980-O980))</f>
        <v/>
      </c>
      <c r="R980" s="46" t="str">
        <f aca="false">IF(J980="","",IFERROR(N(INDEX(Properties!$H$5:$H$24,MATCH(D980,Properties!$A$5:$A$24,0))),0))</f>
        <v/>
      </c>
      <c r="S980" s="46" t="str">
        <f aca="false">IF(Q980="","",Q980-R980)</f>
        <v/>
      </c>
      <c r="T980" s="6"/>
      <c r="U980" s="6"/>
      <c r="V980" s="6"/>
      <c r="W980" s="6"/>
      <c r="X980" s="6"/>
      <c r="Y980" s="8" t="str">
        <f aca="false">IF(OR(D980="",B980="",C980=""),"",IF(N(C980)&lt;=N(B980),"Check dates",IF(T980="Cancelled","",IF(COUNTIFS($D$5:$D$1004,D980,$B$5:$B$1004,"&lt;"&amp;C980,$C$5:$C$1004,"&gt;"&amp;B980,$T$5:$T$1004,"&lt;&gt;Cancelled")&gt;1,"Double-booked",""))))</f>
        <v/>
      </c>
      <c r="Z980" s="42" t="str">
        <f aca="false">IF(AND(AA980=1,ISNUMBER(C980)),C980+ROW()/100000,"")</f>
        <v/>
      </c>
      <c r="AA980" s="43" t="n">
        <f aca="false">IF(AND(D980&lt;&gt;"",ISNUMBER(B980),ISNUMBER(C980),N(H980)&gt;0,T980&lt;&gt;"Cancelled",J980&lt;&gt;""),1,0)</f>
        <v>0</v>
      </c>
      <c r="AB980" s="44" t="n">
        <f aca="false">IF(AA980=1,J980/H980,0)</f>
        <v>0</v>
      </c>
      <c r="AC980" s="44" t="n">
        <f aca="false">IF(AA980=1,Q980/H980,0)</f>
        <v>0</v>
      </c>
      <c r="AD980" s="44" t="n">
        <f aca="false">IF(AA980=1,R980/H980,0)</f>
        <v>0</v>
      </c>
      <c r="AE980" s="44" t="n">
        <f aca="false">IF(AA980=1,O980/H980,0)</f>
        <v>0</v>
      </c>
      <c r="AF980" s="44" t="n">
        <f aca="false">IF(AA980=1,K980/H980,0)</f>
        <v>0</v>
      </c>
      <c r="AG980" s="45" t="str">
        <f aca="false">IF(AA980=1,D980&amp;"|"&amp;TEXT(B980,"0"),"")</f>
        <v/>
      </c>
      <c r="AH980" s="43" t="n">
        <f aca="false">IF(AA980=1,H980,0)</f>
        <v>0</v>
      </c>
    </row>
    <row r="981" customFormat="false" ht="15" hidden="false" customHeight="false" outlineLevel="0" collapsed="false">
      <c r="A981" s="8" t="str">
        <f aca="false">IF(B981="","","B-"&amp;TEXT(ROW()-4,"0000"))</f>
        <v/>
      </c>
      <c r="B981" s="38"/>
      <c r="C981" s="38"/>
      <c r="D981" s="6"/>
      <c r="E981" s="6"/>
      <c r="F981" s="6"/>
      <c r="G981" s="11"/>
      <c r="H981" s="18" t="str">
        <f aca="false">IF(AND(ISNUMBER(B981),ISNUMBER(C981)),MAX(0,C981-B981),"")</f>
        <v/>
      </c>
      <c r="I981" s="37"/>
      <c r="J981" s="41" t="str">
        <f aca="false">IF(OR(D981="",N(H981)=0),"",IFERROR(IF(I981&lt;&gt;"",H981*I981,ROUND(((H981-(INT((WEEKDAY(B981-6)+H981-1)/7)+INT((WEEKDAY(B981-7)+H981-1)/7)))*INDEX(Properties!$E$5:$E$24,MATCH(D981,Properties!$A$5:$A$24,0))+(INT((WEEKDAY(B981-6)+H981-1)/7)+INT((WEEKDAY(B981-7)+H981-1)/7))*INDEX(Properties!$F$5:$F$24,MATCH(D981,Properties!$A$5:$A$24,0)))*(1-IF(H981&gt;=28,Settings!$B$10,IF(H981&gt;=7,Settings!$B$9,0))),2)),0))</f>
        <v/>
      </c>
      <c r="K981" s="41" t="str">
        <f aca="false">IF(J981="","",IFERROR(N(INDEX(Properties!$G$5:$G$24,MATCH(D981,Properties!$A$5:$A$24,0))),0))</f>
        <v/>
      </c>
      <c r="L981" s="41" t="str">
        <f aca="false">IF(J981="","",IFERROR(MAX(0,N(G981)-INDEX(Properties!$I$5:$I$24,MATCH(D981,Properties!$A$5:$A$24,0)))*N(INDEX(Properties!$J$5:$J$24,MATCH(D981,Properties!$A$5:$A$24,0)))*H981,0))</f>
        <v/>
      </c>
      <c r="M981" s="37"/>
      <c r="N981" s="41" t="str">
        <f aca="false">IF(J981="","",J981+K981+L981+N(M981))</f>
        <v/>
      </c>
      <c r="O981" s="41" t="str">
        <f aca="false">IF(N981="","",IF(P981&lt;&gt;"",N981-P981,ROUND(N981*IFERROR(INDEX(Settings!$E$5:$E$12,MATCH(F981,Settings!$D$5:$D$12,0)),0),2)))</f>
        <v/>
      </c>
      <c r="P981" s="37"/>
      <c r="Q981" s="41" t="str">
        <f aca="false">IF(N981="","",IF(P981&lt;&gt;"",P981,N981-O981))</f>
        <v/>
      </c>
      <c r="R981" s="41" t="str">
        <f aca="false">IF(J981="","",IFERROR(N(INDEX(Properties!$H$5:$H$24,MATCH(D981,Properties!$A$5:$A$24,0))),0))</f>
        <v/>
      </c>
      <c r="S981" s="41" t="str">
        <f aca="false">IF(Q981="","",Q981-R981)</f>
        <v/>
      </c>
      <c r="T981" s="6"/>
      <c r="U981" s="6"/>
      <c r="V981" s="6"/>
      <c r="W981" s="6"/>
      <c r="X981" s="6"/>
      <c r="Y981" s="8" t="str">
        <f aca="false">IF(OR(D981="",B981="",C981=""),"",IF(N(C981)&lt;=N(B981),"Check dates",IF(T981="Cancelled","",IF(COUNTIFS($D$5:$D$1004,D981,$B$5:$B$1004,"&lt;"&amp;C981,$C$5:$C$1004,"&gt;"&amp;B981,$T$5:$T$1004,"&lt;&gt;Cancelled")&gt;1,"Double-booked",""))))</f>
        <v/>
      </c>
      <c r="Z981" s="42" t="str">
        <f aca="false">IF(AND(AA981=1,ISNUMBER(C981)),C981+ROW()/100000,"")</f>
        <v/>
      </c>
      <c r="AA981" s="43" t="n">
        <f aca="false">IF(AND(D981&lt;&gt;"",ISNUMBER(B981),ISNUMBER(C981),N(H981)&gt;0,T981&lt;&gt;"Cancelled",J981&lt;&gt;""),1,0)</f>
        <v>0</v>
      </c>
      <c r="AB981" s="44" t="n">
        <f aca="false">IF(AA981=1,J981/H981,0)</f>
        <v>0</v>
      </c>
      <c r="AC981" s="44" t="n">
        <f aca="false">IF(AA981=1,Q981/H981,0)</f>
        <v>0</v>
      </c>
      <c r="AD981" s="44" t="n">
        <f aca="false">IF(AA981=1,R981/H981,0)</f>
        <v>0</v>
      </c>
      <c r="AE981" s="44" t="n">
        <f aca="false">IF(AA981=1,O981/H981,0)</f>
        <v>0</v>
      </c>
      <c r="AF981" s="44" t="n">
        <f aca="false">IF(AA981=1,K981/H981,0)</f>
        <v>0</v>
      </c>
      <c r="AG981" s="45" t="str">
        <f aca="false">IF(AA981=1,D981&amp;"|"&amp;TEXT(B981,"0"),"")</f>
        <v/>
      </c>
      <c r="AH981" s="43" t="n">
        <f aca="false">IF(AA981=1,H981,0)</f>
        <v>0</v>
      </c>
    </row>
    <row r="982" customFormat="false" ht="15" hidden="false" customHeight="false" outlineLevel="0" collapsed="false">
      <c r="A982" s="23" t="str">
        <f aca="false">IF(B982="","","B-"&amp;TEXT(ROW()-4,"0000"))</f>
        <v/>
      </c>
      <c r="B982" s="38"/>
      <c r="C982" s="38"/>
      <c r="D982" s="6"/>
      <c r="E982" s="6"/>
      <c r="F982" s="6"/>
      <c r="G982" s="11"/>
      <c r="H982" s="24" t="str">
        <f aca="false">IF(AND(ISNUMBER(B982),ISNUMBER(C982)),MAX(0,C982-B982),"")</f>
        <v/>
      </c>
      <c r="I982" s="37"/>
      <c r="J982" s="46" t="str">
        <f aca="false">IF(OR(D982="",N(H982)=0),"",IFERROR(IF(I982&lt;&gt;"",H982*I982,ROUND(((H982-(INT((WEEKDAY(B982-6)+H982-1)/7)+INT((WEEKDAY(B982-7)+H982-1)/7)))*INDEX(Properties!$E$5:$E$24,MATCH(D982,Properties!$A$5:$A$24,0))+(INT((WEEKDAY(B982-6)+H982-1)/7)+INT((WEEKDAY(B982-7)+H982-1)/7))*INDEX(Properties!$F$5:$F$24,MATCH(D982,Properties!$A$5:$A$24,0)))*(1-IF(H982&gt;=28,Settings!$B$10,IF(H982&gt;=7,Settings!$B$9,0))),2)),0))</f>
        <v/>
      </c>
      <c r="K982" s="46" t="str">
        <f aca="false">IF(J982="","",IFERROR(N(INDEX(Properties!$G$5:$G$24,MATCH(D982,Properties!$A$5:$A$24,0))),0))</f>
        <v/>
      </c>
      <c r="L982" s="46" t="str">
        <f aca="false">IF(J982="","",IFERROR(MAX(0,N(G982)-INDEX(Properties!$I$5:$I$24,MATCH(D982,Properties!$A$5:$A$24,0)))*N(INDEX(Properties!$J$5:$J$24,MATCH(D982,Properties!$A$5:$A$24,0)))*H982,0))</f>
        <v/>
      </c>
      <c r="M982" s="37"/>
      <c r="N982" s="46" t="str">
        <f aca="false">IF(J982="","",J982+K982+L982+N(M982))</f>
        <v/>
      </c>
      <c r="O982" s="46" t="str">
        <f aca="false">IF(N982="","",IF(P982&lt;&gt;"",N982-P982,ROUND(N982*IFERROR(INDEX(Settings!$E$5:$E$12,MATCH(F982,Settings!$D$5:$D$12,0)),0),2)))</f>
        <v/>
      </c>
      <c r="P982" s="37"/>
      <c r="Q982" s="46" t="str">
        <f aca="false">IF(N982="","",IF(P982&lt;&gt;"",P982,N982-O982))</f>
        <v/>
      </c>
      <c r="R982" s="46" t="str">
        <f aca="false">IF(J982="","",IFERROR(N(INDEX(Properties!$H$5:$H$24,MATCH(D982,Properties!$A$5:$A$24,0))),0))</f>
        <v/>
      </c>
      <c r="S982" s="46" t="str">
        <f aca="false">IF(Q982="","",Q982-R982)</f>
        <v/>
      </c>
      <c r="T982" s="6"/>
      <c r="U982" s="6"/>
      <c r="V982" s="6"/>
      <c r="W982" s="6"/>
      <c r="X982" s="6"/>
      <c r="Y982" s="8" t="str">
        <f aca="false">IF(OR(D982="",B982="",C982=""),"",IF(N(C982)&lt;=N(B982),"Check dates",IF(T982="Cancelled","",IF(COUNTIFS($D$5:$D$1004,D982,$B$5:$B$1004,"&lt;"&amp;C982,$C$5:$C$1004,"&gt;"&amp;B982,$T$5:$T$1004,"&lt;&gt;Cancelled")&gt;1,"Double-booked",""))))</f>
        <v/>
      </c>
      <c r="Z982" s="42" t="str">
        <f aca="false">IF(AND(AA982=1,ISNUMBER(C982)),C982+ROW()/100000,"")</f>
        <v/>
      </c>
      <c r="AA982" s="43" t="n">
        <f aca="false">IF(AND(D982&lt;&gt;"",ISNUMBER(B982),ISNUMBER(C982),N(H982)&gt;0,T982&lt;&gt;"Cancelled",J982&lt;&gt;""),1,0)</f>
        <v>0</v>
      </c>
      <c r="AB982" s="44" t="n">
        <f aca="false">IF(AA982=1,J982/H982,0)</f>
        <v>0</v>
      </c>
      <c r="AC982" s="44" t="n">
        <f aca="false">IF(AA982=1,Q982/H982,0)</f>
        <v>0</v>
      </c>
      <c r="AD982" s="44" t="n">
        <f aca="false">IF(AA982=1,R982/H982,0)</f>
        <v>0</v>
      </c>
      <c r="AE982" s="44" t="n">
        <f aca="false">IF(AA982=1,O982/H982,0)</f>
        <v>0</v>
      </c>
      <c r="AF982" s="44" t="n">
        <f aca="false">IF(AA982=1,K982/H982,0)</f>
        <v>0</v>
      </c>
      <c r="AG982" s="45" t="str">
        <f aca="false">IF(AA982=1,D982&amp;"|"&amp;TEXT(B982,"0"),"")</f>
        <v/>
      </c>
      <c r="AH982" s="43" t="n">
        <f aca="false">IF(AA982=1,H982,0)</f>
        <v>0</v>
      </c>
    </row>
    <row r="983" customFormat="false" ht="15" hidden="false" customHeight="false" outlineLevel="0" collapsed="false">
      <c r="A983" s="8" t="str">
        <f aca="false">IF(B983="","","B-"&amp;TEXT(ROW()-4,"0000"))</f>
        <v/>
      </c>
      <c r="B983" s="38"/>
      <c r="C983" s="38"/>
      <c r="D983" s="6"/>
      <c r="E983" s="6"/>
      <c r="F983" s="6"/>
      <c r="G983" s="11"/>
      <c r="H983" s="18" t="str">
        <f aca="false">IF(AND(ISNUMBER(B983),ISNUMBER(C983)),MAX(0,C983-B983),"")</f>
        <v/>
      </c>
      <c r="I983" s="37"/>
      <c r="J983" s="41" t="str">
        <f aca="false">IF(OR(D983="",N(H983)=0),"",IFERROR(IF(I983&lt;&gt;"",H983*I983,ROUND(((H983-(INT((WEEKDAY(B983-6)+H983-1)/7)+INT((WEEKDAY(B983-7)+H983-1)/7)))*INDEX(Properties!$E$5:$E$24,MATCH(D983,Properties!$A$5:$A$24,0))+(INT((WEEKDAY(B983-6)+H983-1)/7)+INT((WEEKDAY(B983-7)+H983-1)/7))*INDEX(Properties!$F$5:$F$24,MATCH(D983,Properties!$A$5:$A$24,0)))*(1-IF(H983&gt;=28,Settings!$B$10,IF(H983&gt;=7,Settings!$B$9,0))),2)),0))</f>
        <v/>
      </c>
      <c r="K983" s="41" t="str">
        <f aca="false">IF(J983="","",IFERROR(N(INDEX(Properties!$G$5:$G$24,MATCH(D983,Properties!$A$5:$A$24,0))),0))</f>
        <v/>
      </c>
      <c r="L983" s="41" t="str">
        <f aca="false">IF(J983="","",IFERROR(MAX(0,N(G983)-INDEX(Properties!$I$5:$I$24,MATCH(D983,Properties!$A$5:$A$24,0)))*N(INDEX(Properties!$J$5:$J$24,MATCH(D983,Properties!$A$5:$A$24,0)))*H983,0))</f>
        <v/>
      </c>
      <c r="M983" s="37"/>
      <c r="N983" s="41" t="str">
        <f aca="false">IF(J983="","",J983+K983+L983+N(M983))</f>
        <v/>
      </c>
      <c r="O983" s="41" t="str">
        <f aca="false">IF(N983="","",IF(P983&lt;&gt;"",N983-P983,ROUND(N983*IFERROR(INDEX(Settings!$E$5:$E$12,MATCH(F983,Settings!$D$5:$D$12,0)),0),2)))</f>
        <v/>
      </c>
      <c r="P983" s="37"/>
      <c r="Q983" s="41" t="str">
        <f aca="false">IF(N983="","",IF(P983&lt;&gt;"",P983,N983-O983))</f>
        <v/>
      </c>
      <c r="R983" s="41" t="str">
        <f aca="false">IF(J983="","",IFERROR(N(INDEX(Properties!$H$5:$H$24,MATCH(D983,Properties!$A$5:$A$24,0))),0))</f>
        <v/>
      </c>
      <c r="S983" s="41" t="str">
        <f aca="false">IF(Q983="","",Q983-R983)</f>
        <v/>
      </c>
      <c r="T983" s="6"/>
      <c r="U983" s="6"/>
      <c r="V983" s="6"/>
      <c r="W983" s="6"/>
      <c r="X983" s="6"/>
      <c r="Y983" s="8" t="str">
        <f aca="false">IF(OR(D983="",B983="",C983=""),"",IF(N(C983)&lt;=N(B983),"Check dates",IF(T983="Cancelled","",IF(COUNTIFS($D$5:$D$1004,D983,$B$5:$B$1004,"&lt;"&amp;C983,$C$5:$C$1004,"&gt;"&amp;B983,$T$5:$T$1004,"&lt;&gt;Cancelled")&gt;1,"Double-booked",""))))</f>
        <v/>
      </c>
      <c r="Z983" s="42" t="str">
        <f aca="false">IF(AND(AA983=1,ISNUMBER(C983)),C983+ROW()/100000,"")</f>
        <v/>
      </c>
      <c r="AA983" s="43" t="n">
        <f aca="false">IF(AND(D983&lt;&gt;"",ISNUMBER(B983),ISNUMBER(C983),N(H983)&gt;0,T983&lt;&gt;"Cancelled",J983&lt;&gt;""),1,0)</f>
        <v>0</v>
      </c>
      <c r="AB983" s="44" t="n">
        <f aca="false">IF(AA983=1,J983/H983,0)</f>
        <v>0</v>
      </c>
      <c r="AC983" s="44" t="n">
        <f aca="false">IF(AA983=1,Q983/H983,0)</f>
        <v>0</v>
      </c>
      <c r="AD983" s="44" t="n">
        <f aca="false">IF(AA983=1,R983/H983,0)</f>
        <v>0</v>
      </c>
      <c r="AE983" s="44" t="n">
        <f aca="false">IF(AA983=1,O983/H983,0)</f>
        <v>0</v>
      </c>
      <c r="AF983" s="44" t="n">
        <f aca="false">IF(AA983=1,K983/H983,0)</f>
        <v>0</v>
      </c>
      <c r="AG983" s="45" t="str">
        <f aca="false">IF(AA983=1,D983&amp;"|"&amp;TEXT(B983,"0"),"")</f>
        <v/>
      </c>
      <c r="AH983" s="43" t="n">
        <f aca="false">IF(AA983=1,H983,0)</f>
        <v>0</v>
      </c>
    </row>
    <row r="984" customFormat="false" ht="15" hidden="false" customHeight="false" outlineLevel="0" collapsed="false">
      <c r="A984" s="23" t="str">
        <f aca="false">IF(B984="","","B-"&amp;TEXT(ROW()-4,"0000"))</f>
        <v/>
      </c>
      <c r="B984" s="38"/>
      <c r="C984" s="38"/>
      <c r="D984" s="6"/>
      <c r="E984" s="6"/>
      <c r="F984" s="6"/>
      <c r="G984" s="11"/>
      <c r="H984" s="24" t="str">
        <f aca="false">IF(AND(ISNUMBER(B984),ISNUMBER(C984)),MAX(0,C984-B984),"")</f>
        <v/>
      </c>
      <c r="I984" s="37"/>
      <c r="J984" s="46" t="str">
        <f aca="false">IF(OR(D984="",N(H984)=0),"",IFERROR(IF(I984&lt;&gt;"",H984*I984,ROUND(((H984-(INT((WEEKDAY(B984-6)+H984-1)/7)+INT((WEEKDAY(B984-7)+H984-1)/7)))*INDEX(Properties!$E$5:$E$24,MATCH(D984,Properties!$A$5:$A$24,0))+(INT((WEEKDAY(B984-6)+H984-1)/7)+INT((WEEKDAY(B984-7)+H984-1)/7))*INDEX(Properties!$F$5:$F$24,MATCH(D984,Properties!$A$5:$A$24,0)))*(1-IF(H984&gt;=28,Settings!$B$10,IF(H984&gt;=7,Settings!$B$9,0))),2)),0))</f>
        <v/>
      </c>
      <c r="K984" s="46" t="str">
        <f aca="false">IF(J984="","",IFERROR(N(INDEX(Properties!$G$5:$G$24,MATCH(D984,Properties!$A$5:$A$24,0))),0))</f>
        <v/>
      </c>
      <c r="L984" s="46" t="str">
        <f aca="false">IF(J984="","",IFERROR(MAX(0,N(G984)-INDEX(Properties!$I$5:$I$24,MATCH(D984,Properties!$A$5:$A$24,0)))*N(INDEX(Properties!$J$5:$J$24,MATCH(D984,Properties!$A$5:$A$24,0)))*H984,0))</f>
        <v/>
      </c>
      <c r="M984" s="37"/>
      <c r="N984" s="46" t="str">
        <f aca="false">IF(J984="","",J984+K984+L984+N(M984))</f>
        <v/>
      </c>
      <c r="O984" s="46" t="str">
        <f aca="false">IF(N984="","",IF(P984&lt;&gt;"",N984-P984,ROUND(N984*IFERROR(INDEX(Settings!$E$5:$E$12,MATCH(F984,Settings!$D$5:$D$12,0)),0),2)))</f>
        <v/>
      </c>
      <c r="P984" s="37"/>
      <c r="Q984" s="46" t="str">
        <f aca="false">IF(N984="","",IF(P984&lt;&gt;"",P984,N984-O984))</f>
        <v/>
      </c>
      <c r="R984" s="46" t="str">
        <f aca="false">IF(J984="","",IFERROR(N(INDEX(Properties!$H$5:$H$24,MATCH(D984,Properties!$A$5:$A$24,0))),0))</f>
        <v/>
      </c>
      <c r="S984" s="46" t="str">
        <f aca="false">IF(Q984="","",Q984-R984)</f>
        <v/>
      </c>
      <c r="T984" s="6"/>
      <c r="U984" s="6"/>
      <c r="V984" s="6"/>
      <c r="W984" s="6"/>
      <c r="X984" s="6"/>
      <c r="Y984" s="8" t="str">
        <f aca="false">IF(OR(D984="",B984="",C984=""),"",IF(N(C984)&lt;=N(B984),"Check dates",IF(T984="Cancelled","",IF(COUNTIFS($D$5:$D$1004,D984,$B$5:$B$1004,"&lt;"&amp;C984,$C$5:$C$1004,"&gt;"&amp;B984,$T$5:$T$1004,"&lt;&gt;Cancelled")&gt;1,"Double-booked",""))))</f>
        <v/>
      </c>
      <c r="Z984" s="42" t="str">
        <f aca="false">IF(AND(AA984=1,ISNUMBER(C984)),C984+ROW()/100000,"")</f>
        <v/>
      </c>
      <c r="AA984" s="43" t="n">
        <f aca="false">IF(AND(D984&lt;&gt;"",ISNUMBER(B984),ISNUMBER(C984),N(H984)&gt;0,T984&lt;&gt;"Cancelled",J984&lt;&gt;""),1,0)</f>
        <v>0</v>
      </c>
      <c r="AB984" s="44" t="n">
        <f aca="false">IF(AA984=1,J984/H984,0)</f>
        <v>0</v>
      </c>
      <c r="AC984" s="44" t="n">
        <f aca="false">IF(AA984=1,Q984/H984,0)</f>
        <v>0</v>
      </c>
      <c r="AD984" s="44" t="n">
        <f aca="false">IF(AA984=1,R984/H984,0)</f>
        <v>0</v>
      </c>
      <c r="AE984" s="44" t="n">
        <f aca="false">IF(AA984=1,O984/H984,0)</f>
        <v>0</v>
      </c>
      <c r="AF984" s="44" t="n">
        <f aca="false">IF(AA984=1,K984/H984,0)</f>
        <v>0</v>
      </c>
      <c r="AG984" s="45" t="str">
        <f aca="false">IF(AA984=1,D984&amp;"|"&amp;TEXT(B984,"0"),"")</f>
        <v/>
      </c>
      <c r="AH984" s="43" t="n">
        <f aca="false">IF(AA984=1,H984,0)</f>
        <v>0</v>
      </c>
    </row>
    <row r="985" customFormat="false" ht="15" hidden="false" customHeight="false" outlineLevel="0" collapsed="false">
      <c r="A985" s="8" t="str">
        <f aca="false">IF(B985="","","B-"&amp;TEXT(ROW()-4,"0000"))</f>
        <v/>
      </c>
      <c r="B985" s="38"/>
      <c r="C985" s="38"/>
      <c r="D985" s="6"/>
      <c r="E985" s="6"/>
      <c r="F985" s="6"/>
      <c r="G985" s="11"/>
      <c r="H985" s="18" t="str">
        <f aca="false">IF(AND(ISNUMBER(B985),ISNUMBER(C985)),MAX(0,C985-B985),"")</f>
        <v/>
      </c>
      <c r="I985" s="37"/>
      <c r="J985" s="41" t="str">
        <f aca="false">IF(OR(D985="",N(H985)=0),"",IFERROR(IF(I985&lt;&gt;"",H985*I985,ROUND(((H985-(INT((WEEKDAY(B985-6)+H985-1)/7)+INT((WEEKDAY(B985-7)+H985-1)/7)))*INDEX(Properties!$E$5:$E$24,MATCH(D985,Properties!$A$5:$A$24,0))+(INT((WEEKDAY(B985-6)+H985-1)/7)+INT((WEEKDAY(B985-7)+H985-1)/7))*INDEX(Properties!$F$5:$F$24,MATCH(D985,Properties!$A$5:$A$24,0)))*(1-IF(H985&gt;=28,Settings!$B$10,IF(H985&gt;=7,Settings!$B$9,0))),2)),0))</f>
        <v/>
      </c>
      <c r="K985" s="41" t="str">
        <f aca="false">IF(J985="","",IFERROR(N(INDEX(Properties!$G$5:$G$24,MATCH(D985,Properties!$A$5:$A$24,0))),0))</f>
        <v/>
      </c>
      <c r="L985" s="41" t="str">
        <f aca="false">IF(J985="","",IFERROR(MAX(0,N(G985)-INDEX(Properties!$I$5:$I$24,MATCH(D985,Properties!$A$5:$A$24,0)))*N(INDEX(Properties!$J$5:$J$24,MATCH(D985,Properties!$A$5:$A$24,0)))*H985,0))</f>
        <v/>
      </c>
      <c r="M985" s="37"/>
      <c r="N985" s="41" t="str">
        <f aca="false">IF(J985="","",J985+K985+L985+N(M985))</f>
        <v/>
      </c>
      <c r="O985" s="41" t="str">
        <f aca="false">IF(N985="","",IF(P985&lt;&gt;"",N985-P985,ROUND(N985*IFERROR(INDEX(Settings!$E$5:$E$12,MATCH(F985,Settings!$D$5:$D$12,0)),0),2)))</f>
        <v/>
      </c>
      <c r="P985" s="37"/>
      <c r="Q985" s="41" t="str">
        <f aca="false">IF(N985="","",IF(P985&lt;&gt;"",P985,N985-O985))</f>
        <v/>
      </c>
      <c r="R985" s="41" t="str">
        <f aca="false">IF(J985="","",IFERROR(N(INDEX(Properties!$H$5:$H$24,MATCH(D985,Properties!$A$5:$A$24,0))),0))</f>
        <v/>
      </c>
      <c r="S985" s="41" t="str">
        <f aca="false">IF(Q985="","",Q985-R985)</f>
        <v/>
      </c>
      <c r="T985" s="6"/>
      <c r="U985" s="6"/>
      <c r="V985" s="6"/>
      <c r="W985" s="6"/>
      <c r="X985" s="6"/>
      <c r="Y985" s="8" t="str">
        <f aca="false">IF(OR(D985="",B985="",C985=""),"",IF(N(C985)&lt;=N(B985),"Check dates",IF(T985="Cancelled","",IF(COUNTIFS($D$5:$D$1004,D985,$B$5:$B$1004,"&lt;"&amp;C985,$C$5:$C$1004,"&gt;"&amp;B985,$T$5:$T$1004,"&lt;&gt;Cancelled")&gt;1,"Double-booked",""))))</f>
        <v/>
      </c>
      <c r="Z985" s="42" t="str">
        <f aca="false">IF(AND(AA985=1,ISNUMBER(C985)),C985+ROW()/100000,"")</f>
        <v/>
      </c>
      <c r="AA985" s="43" t="n">
        <f aca="false">IF(AND(D985&lt;&gt;"",ISNUMBER(B985),ISNUMBER(C985),N(H985)&gt;0,T985&lt;&gt;"Cancelled",J985&lt;&gt;""),1,0)</f>
        <v>0</v>
      </c>
      <c r="AB985" s="44" t="n">
        <f aca="false">IF(AA985=1,J985/H985,0)</f>
        <v>0</v>
      </c>
      <c r="AC985" s="44" t="n">
        <f aca="false">IF(AA985=1,Q985/H985,0)</f>
        <v>0</v>
      </c>
      <c r="AD985" s="44" t="n">
        <f aca="false">IF(AA985=1,R985/H985,0)</f>
        <v>0</v>
      </c>
      <c r="AE985" s="44" t="n">
        <f aca="false">IF(AA985=1,O985/H985,0)</f>
        <v>0</v>
      </c>
      <c r="AF985" s="44" t="n">
        <f aca="false">IF(AA985=1,K985/H985,0)</f>
        <v>0</v>
      </c>
      <c r="AG985" s="45" t="str">
        <f aca="false">IF(AA985=1,D985&amp;"|"&amp;TEXT(B985,"0"),"")</f>
        <v/>
      </c>
      <c r="AH985" s="43" t="n">
        <f aca="false">IF(AA985=1,H985,0)</f>
        <v>0</v>
      </c>
    </row>
    <row r="986" customFormat="false" ht="15" hidden="false" customHeight="false" outlineLevel="0" collapsed="false">
      <c r="A986" s="23" t="str">
        <f aca="false">IF(B986="","","B-"&amp;TEXT(ROW()-4,"0000"))</f>
        <v/>
      </c>
      <c r="B986" s="38"/>
      <c r="C986" s="38"/>
      <c r="D986" s="6"/>
      <c r="E986" s="6"/>
      <c r="F986" s="6"/>
      <c r="G986" s="11"/>
      <c r="H986" s="24" t="str">
        <f aca="false">IF(AND(ISNUMBER(B986),ISNUMBER(C986)),MAX(0,C986-B986),"")</f>
        <v/>
      </c>
      <c r="I986" s="37"/>
      <c r="J986" s="46" t="str">
        <f aca="false">IF(OR(D986="",N(H986)=0),"",IFERROR(IF(I986&lt;&gt;"",H986*I986,ROUND(((H986-(INT((WEEKDAY(B986-6)+H986-1)/7)+INT((WEEKDAY(B986-7)+H986-1)/7)))*INDEX(Properties!$E$5:$E$24,MATCH(D986,Properties!$A$5:$A$24,0))+(INT((WEEKDAY(B986-6)+H986-1)/7)+INT((WEEKDAY(B986-7)+H986-1)/7))*INDEX(Properties!$F$5:$F$24,MATCH(D986,Properties!$A$5:$A$24,0)))*(1-IF(H986&gt;=28,Settings!$B$10,IF(H986&gt;=7,Settings!$B$9,0))),2)),0))</f>
        <v/>
      </c>
      <c r="K986" s="46" t="str">
        <f aca="false">IF(J986="","",IFERROR(N(INDEX(Properties!$G$5:$G$24,MATCH(D986,Properties!$A$5:$A$24,0))),0))</f>
        <v/>
      </c>
      <c r="L986" s="46" t="str">
        <f aca="false">IF(J986="","",IFERROR(MAX(0,N(G986)-INDEX(Properties!$I$5:$I$24,MATCH(D986,Properties!$A$5:$A$24,0)))*N(INDEX(Properties!$J$5:$J$24,MATCH(D986,Properties!$A$5:$A$24,0)))*H986,0))</f>
        <v/>
      </c>
      <c r="M986" s="37"/>
      <c r="N986" s="46" t="str">
        <f aca="false">IF(J986="","",J986+K986+L986+N(M986))</f>
        <v/>
      </c>
      <c r="O986" s="46" t="str">
        <f aca="false">IF(N986="","",IF(P986&lt;&gt;"",N986-P986,ROUND(N986*IFERROR(INDEX(Settings!$E$5:$E$12,MATCH(F986,Settings!$D$5:$D$12,0)),0),2)))</f>
        <v/>
      </c>
      <c r="P986" s="37"/>
      <c r="Q986" s="46" t="str">
        <f aca="false">IF(N986="","",IF(P986&lt;&gt;"",P986,N986-O986))</f>
        <v/>
      </c>
      <c r="R986" s="46" t="str">
        <f aca="false">IF(J986="","",IFERROR(N(INDEX(Properties!$H$5:$H$24,MATCH(D986,Properties!$A$5:$A$24,0))),0))</f>
        <v/>
      </c>
      <c r="S986" s="46" t="str">
        <f aca="false">IF(Q986="","",Q986-R986)</f>
        <v/>
      </c>
      <c r="T986" s="6"/>
      <c r="U986" s="6"/>
      <c r="V986" s="6"/>
      <c r="W986" s="6"/>
      <c r="X986" s="6"/>
      <c r="Y986" s="8" t="str">
        <f aca="false">IF(OR(D986="",B986="",C986=""),"",IF(N(C986)&lt;=N(B986),"Check dates",IF(T986="Cancelled","",IF(COUNTIFS($D$5:$D$1004,D986,$B$5:$B$1004,"&lt;"&amp;C986,$C$5:$C$1004,"&gt;"&amp;B986,$T$5:$T$1004,"&lt;&gt;Cancelled")&gt;1,"Double-booked",""))))</f>
        <v/>
      </c>
      <c r="Z986" s="42" t="str">
        <f aca="false">IF(AND(AA986=1,ISNUMBER(C986)),C986+ROW()/100000,"")</f>
        <v/>
      </c>
      <c r="AA986" s="43" t="n">
        <f aca="false">IF(AND(D986&lt;&gt;"",ISNUMBER(B986),ISNUMBER(C986),N(H986)&gt;0,T986&lt;&gt;"Cancelled",J986&lt;&gt;""),1,0)</f>
        <v>0</v>
      </c>
      <c r="AB986" s="44" t="n">
        <f aca="false">IF(AA986=1,J986/H986,0)</f>
        <v>0</v>
      </c>
      <c r="AC986" s="44" t="n">
        <f aca="false">IF(AA986=1,Q986/H986,0)</f>
        <v>0</v>
      </c>
      <c r="AD986" s="44" t="n">
        <f aca="false">IF(AA986=1,R986/H986,0)</f>
        <v>0</v>
      </c>
      <c r="AE986" s="44" t="n">
        <f aca="false">IF(AA986=1,O986/H986,0)</f>
        <v>0</v>
      </c>
      <c r="AF986" s="44" t="n">
        <f aca="false">IF(AA986=1,K986/H986,0)</f>
        <v>0</v>
      </c>
      <c r="AG986" s="45" t="str">
        <f aca="false">IF(AA986=1,D986&amp;"|"&amp;TEXT(B986,"0"),"")</f>
        <v/>
      </c>
      <c r="AH986" s="43" t="n">
        <f aca="false">IF(AA986=1,H986,0)</f>
        <v>0</v>
      </c>
    </row>
    <row r="987" customFormat="false" ht="15" hidden="false" customHeight="false" outlineLevel="0" collapsed="false">
      <c r="A987" s="8" t="str">
        <f aca="false">IF(B987="","","B-"&amp;TEXT(ROW()-4,"0000"))</f>
        <v/>
      </c>
      <c r="B987" s="38"/>
      <c r="C987" s="38"/>
      <c r="D987" s="6"/>
      <c r="E987" s="6"/>
      <c r="F987" s="6"/>
      <c r="G987" s="11"/>
      <c r="H987" s="18" t="str">
        <f aca="false">IF(AND(ISNUMBER(B987),ISNUMBER(C987)),MAX(0,C987-B987),"")</f>
        <v/>
      </c>
      <c r="I987" s="37"/>
      <c r="J987" s="41" t="str">
        <f aca="false">IF(OR(D987="",N(H987)=0),"",IFERROR(IF(I987&lt;&gt;"",H987*I987,ROUND(((H987-(INT((WEEKDAY(B987-6)+H987-1)/7)+INT((WEEKDAY(B987-7)+H987-1)/7)))*INDEX(Properties!$E$5:$E$24,MATCH(D987,Properties!$A$5:$A$24,0))+(INT((WEEKDAY(B987-6)+H987-1)/7)+INT((WEEKDAY(B987-7)+H987-1)/7))*INDEX(Properties!$F$5:$F$24,MATCH(D987,Properties!$A$5:$A$24,0)))*(1-IF(H987&gt;=28,Settings!$B$10,IF(H987&gt;=7,Settings!$B$9,0))),2)),0))</f>
        <v/>
      </c>
      <c r="K987" s="41" t="str">
        <f aca="false">IF(J987="","",IFERROR(N(INDEX(Properties!$G$5:$G$24,MATCH(D987,Properties!$A$5:$A$24,0))),0))</f>
        <v/>
      </c>
      <c r="L987" s="41" t="str">
        <f aca="false">IF(J987="","",IFERROR(MAX(0,N(G987)-INDEX(Properties!$I$5:$I$24,MATCH(D987,Properties!$A$5:$A$24,0)))*N(INDEX(Properties!$J$5:$J$24,MATCH(D987,Properties!$A$5:$A$24,0)))*H987,0))</f>
        <v/>
      </c>
      <c r="M987" s="37"/>
      <c r="N987" s="41" t="str">
        <f aca="false">IF(J987="","",J987+K987+L987+N(M987))</f>
        <v/>
      </c>
      <c r="O987" s="41" t="str">
        <f aca="false">IF(N987="","",IF(P987&lt;&gt;"",N987-P987,ROUND(N987*IFERROR(INDEX(Settings!$E$5:$E$12,MATCH(F987,Settings!$D$5:$D$12,0)),0),2)))</f>
        <v/>
      </c>
      <c r="P987" s="37"/>
      <c r="Q987" s="41" t="str">
        <f aca="false">IF(N987="","",IF(P987&lt;&gt;"",P987,N987-O987))</f>
        <v/>
      </c>
      <c r="R987" s="41" t="str">
        <f aca="false">IF(J987="","",IFERROR(N(INDEX(Properties!$H$5:$H$24,MATCH(D987,Properties!$A$5:$A$24,0))),0))</f>
        <v/>
      </c>
      <c r="S987" s="41" t="str">
        <f aca="false">IF(Q987="","",Q987-R987)</f>
        <v/>
      </c>
      <c r="T987" s="6"/>
      <c r="U987" s="6"/>
      <c r="V987" s="6"/>
      <c r="W987" s="6"/>
      <c r="X987" s="6"/>
      <c r="Y987" s="8" t="str">
        <f aca="false">IF(OR(D987="",B987="",C987=""),"",IF(N(C987)&lt;=N(B987),"Check dates",IF(T987="Cancelled","",IF(COUNTIFS($D$5:$D$1004,D987,$B$5:$B$1004,"&lt;"&amp;C987,$C$5:$C$1004,"&gt;"&amp;B987,$T$5:$T$1004,"&lt;&gt;Cancelled")&gt;1,"Double-booked",""))))</f>
        <v/>
      </c>
      <c r="Z987" s="42" t="str">
        <f aca="false">IF(AND(AA987=1,ISNUMBER(C987)),C987+ROW()/100000,"")</f>
        <v/>
      </c>
      <c r="AA987" s="43" t="n">
        <f aca="false">IF(AND(D987&lt;&gt;"",ISNUMBER(B987),ISNUMBER(C987),N(H987)&gt;0,T987&lt;&gt;"Cancelled",J987&lt;&gt;""),1,0)</f>
        <v>0</v>
      </c>
      <c r="AB987" s="44" t="n">
        <f aca="false">IF(AA987=1,J987/H987,0)</f>
        <v>0</v>
      </c>
      <c r="AC987" s="44" t="n">
        <f aca="false">IF(AA987=1,Q987/H987,0)</f>
        <v>0</v>
      </c>
      <c r="AD987" s="44" t="n">
        <f aca="false">IF(AA987=1,R987/H987,0)</f>
        <v>0</v>
      </c>
      <c r="AE987" s="44" t="n">
        <f aca="false">IF(AA987=1,O987/H987,0)</f>
        <v>0</v>
      </c>
      <c r="AF987" s="44" t="n">
        <f aca="false">IF(AA987=1,K987/H987,0)</f>
        <v>0</v>
      </c>
      <c r="AG987" s="45" t="str">
        <f aca="false">IF(AA987=1,D987&amp;"|"&amp;TEXT(B987,"0"),"")</f>
        <v/>
      </c>
      <c r="AH987" s="43" t="n">
        <f aca="false">IF(AA987=1,H987,0)</f>
        <v>0</v>
      </c>
    </row>
    <row r="988" customFormat="false" ht="15" hidden="false" customHeight="false" outlineLevel="0" collapsed="false">
      <c r="A988" s="23" t="str">
        <f aca="false">IF(B988="","","B-"&amp;TEXT(ROW()-4,"0000"))</f>
        <v/>
      </c>
      <c r="B988" s="38"/>
      <c r="C988" s="38"/>
      <c r="D988" s="6"/>
      <c r="E988" s="6"/>
      <c r="F988" s="6"/>
      <c r="G988" s="11"/>
      <c r="H988" s="24" t="str">
        <f aca="false">IF(AND(ISNUMBER(B988),ISNUMBER(C988)),MAX(0,C988-B988),"")</f>
        <v/>
      </c>
      <c r="I988" s="37"/>
      <c r="J988" s="46" t="str">
        <f aca="false">IF(OR(D988="",N(H988)=0),"",IFERROR(IF(I988&lt;&gt;"",H988*I988,ROUND(((H988-(INT((WEEKDAY(B988-6)+H988-1)/7)+INT((WEEKDAY(B988-7)+H988-1)/7)))*INDEX(Properties!$E$5:$E$24,MATCH(D988,Properties!$A$5:$A$24,0))+(INT((WEEKDAY(B988-6)+H988-1)/7)+INT((WEEKDAY(B988-7)+H988-1)/7))*INDEX(Properties!$F$5:$F$24,MATCH(D988,Properties!$A$5:$A$24,0)))*(1-IF(H988&gt;=28,Settings!$B$10,IF(H988&gt;=7,Settings!$B$9,0))),2)),0))</f>
        <v/>
      </c>
      <c r="K988" s="46" t="str">
        <f aca="false">IF(J988="","",IFERROR(N(INDEX(Properties!$G$5:$G$24,MATCH(D988,Properties!$A$5:$A$24,0))),0))</f>
        <v/>
      </c>
      <c r="L988" s="46" t="str">
        <f aca="false">IF(J988="","",IFERROR(MAX(0,N(G988)-INDEX(Properties!$I$5:$I$24,MATCH(D988,Properties!$A$5:$A$24,0)))*N(INDEX(Properties!$J$5:$J$24,MATCH(D988,Properties!$A$5:$A$24,0)))*H988,0))</f>
        <v/>
      </c>
      <c r="M988" s="37"/>
      <c r="N988" s="46" t="str">
        <f aca="false">IF(J988="","",J988+K988+L988+N(M988))</f>
        <v/>
      </c>
      <c r="O988" s="46" t="str">
        <f aca="false">IF(N988="","",IF(P988&lt;&gt;"",N988-P988,ROUND(N988*IFERROR(INDEX(Settings!$E$5:$E$12,MATCH(F988,Settings!$D$5:$D$12,0)),0),2)))</f>
        <v/>
      </c>
      <c r="P988" s="37"/>
      <c r="Q988" s="46" t="str">
        <f aca="false">IF(N988="","",IF(P988&lt;&gt;"",P988,N988-O988))</f>
        <v/>
      </c>
      <c r="R988" s="46" t="str">
        <f aca="false">IF(J988="","",IFERROR(N(INDEX(Properties!$H$5:$H$24,MATCH(D988,Properties!$A$5:$A$24,0))),0))</f>
        <v/>
      </c>
      <c r="S988" s="46" t="str">
        <f aca="false">IF(Q988="","",Q988-R988)</f>
        <v/>
      </c>
      <c r="T988" s="6"/>
      <c r="U988" s="6"/>
      <c r="V988" s="6"/>
      <c r="W988" s="6"/>
      <c r="X988" s="6"/>
      <c r="Y988" s="8" t="str">
        <f aca="false">IF(OR(D988="",B988="",C988=""),"",IF(N(C988)&lt;=N(B988),"Check dates",IF(T988="Cancelled","",IF(COUNTIFS($D$5:$D$1004,D988,$B$5:$B$1004,"&lt;"&amp;C988,$C$5:$C$1004,"&gt;"&amp;B988,$T$5:$T$1004,"&lt;&gt;Cancelled")&gt;1,"Double-booked",""))))</f>
        <v/>
      </c>
      <c r="Z988" s="42" t="str">
        <f aca="false">IF(AND(AA988=1,ISNUMBER(C988)),C988+ROW()/100000,"")</f>
        <v/>
      </c>
      <c r="AA988" s="43" t="n">
        <f aca="false">IF(AND(D988&lt;&gt;"",ISNUMBER(B988),ISNUMBER(C988),N(H988)&gt;0,T988&lt;&gt;"Cancelled",J988&lt;&gt;""),1,0)</f>
        <v>0</v>
      </c>
      <c r="AB988" s="44" t="n">
        <f aca="false">IF(AA988=1,J988/H988,0)</f>
        <v>0</v>
      </c>
      <c r="AC988" s="44" t="n">
        <f aca="false">IF(AA988=1,Q988/H988,0)</f>
        <v>0</v>
      </c>
      <c r="AD988" s="44" t="n">
        <f aca="false">IF(AA988=1,R988/H988,0)</f>
        <v>0</v>
      </c>
      <c r="AE988" s="44" t="n">
        <f aca="false">IF(AA988=1,O988/H988,0)</f>
        <v>0</v>
      </c>
      <c r="AF988" s="44" t="n">
        <f aca="false">IF(AA988=1,K988/H988,0)</f>
        <v>0</v>
      </c>
      <c r="AG988" s="45" t="str">
        <f aca="false">IF(AA988=1,D988&amp;"|"&amp;TEXT(B988,"0"),"")</f>
        <v/>
      </c>
      <c r="AH988" s="43" t="n">
        <f aca="false">IF(AA988=1,H988,0)</f>
        <v>0</v>
      </c>
    </row>
    <row r="989" customFormat="false" ht="15" hidden="false" customHeight="false" outlineLevel="0" collapsed="false">
      <c r="A989" s="8" t="str">
        <f aca="false">IF(B989="","","B-"&amp;TEXT(ROW()-4,"0000"))</f>
        <v/>
      </c>
      <c r="B989" s="38"/>
      <c r="C989" s="38"/>
      <c r="D989" s="6"/>
      <c r="E989" s="6"/>
      <c r="F989" s="6"/>
      <c r="G989" s="11"/>
      <c r="H989" s="18" t="str">
        <f aca="false">IF(AND(ISNUMBER(B989),ISNUMBER(C989)),MAX(0,C989-B989),"")</f>
        <v/>
      </c>
      <c r="I989" s="37"/>
      <c r="J989" s="41" t="str">
        <f aca="false">IF(OR(D989="",N(H989)=0),"",IFERROR(IF(I989&lt;&gt;"",H989*I989,ROUND(((H989-(INT((WEEKDAY(B989-6)+H989-1)/7)+INT((WEEKDAY(B989-7)+H989-1)/7)))*INDEX(Properties!$E$5:$E$24,MATCH(D989,Properties!$A$5:$A$24,0))+(INT((WEEKDAY(B989-6)+H989-1)/7)+INT((WEEKDAY(B989-7)+H989-1)/7))*INDEX(Properties!$F$5:$F$24,MATCH(D989,Properties!$A$5:$A$24,0)))*(1-IF(H989&gt;=28,Settings!$B$10,IF(H989&gt;=7,Settings!$B$9,0))),2)),0))</f>
        <v/>
      </c>
      <c r="K989" s="41" t="str">
        <f aca="false">IF(J989="","",IFERROR(N(INDEX(Properties!$G$5:$G$24,MATCH(D989,Properties!$A$5:$A$24,0))),0))</f>
        <v/>
      </c>
      <c r="L989" s="41" t="str">
        <f aca="false">IF(J989="","",IFERROR(MAX(0,N(G989)-INDEX(Properties!$I$5:$I$24,MATCH(D989,Properties!$A$5:$A$24,0)))*N(INDEX(Properties!$J$5:$J$24,MATCH(D989,Properties!$A$5:$A$24,0)))*H989,0))</f>
        <v/>
      </c>
      <c r="M989" s="37"/>
      <c r="N989" s="41" t="str">
        <f aca="false">IF(J989="","",J989+K989+L989+N(M989))</f>
        <v/>
      </c>
      <c r="O989" s="41" t="str">
        <f aca="false">IF(N989="","",IF(P989&lt;&gt;"",N989-P989,ROUND(N989*IFERROR(INDEX(Settings!$E$5:$E$12,MATCH(F989,Settings!$D$5:$D$12,0)),0),2)))</f>
        <v/>
      </c>
      <c r="P989" s="37"/>
      <c r="Q989" s="41" t="str">
        <f aca="false">IF(N989="","",IF(P989&lt;&gt;"",P989,N989-O989))</f>
        <v/>
      </c>
      <c r="R989" s="41" t="str">
        <f aca="false">IF(J989="","",IFERROR(N(INDEX(Properties!$H$5:$H$24,MATCH(D989,Properties!$A$5:$A$24,0))),0))</f>
        <v/>
      </c>
      <c r="S989" s="41" t="str">
        <f aca="false">IF(Q989="","",Q989-R989)</f>
        <v/>
      </c>
      <c r="T989" s="6"/>
      <c r="U989" s="6"/>
      <c r="V989" s="6"/>
      <c r="W989" s="6"/>
      <c r="X989" s="6"/>
      <c r="Y989" s="8" t="str">
        <f aca="false">IF(OR(D989="",B989="",C989=""),"",IF(N(C989)&lt;=N(B989),"Check dates",IF(T989="Cancelled","",IF(COUNTIFS($D$5:$D$1004,D989,$B$5:$B$1004,"&lt;"&amp;C989,$C$5:$C$1004,"&gt;"&amp;B989,$T$5:$T$1004,"&lt;&gt;Cancelled")&gt;1,"Double-booked",""))))</f>
        <v/>
      </c>
      <c r="Z989" s="42" t="str">
        <f aca="false">IF(AND(AA989=1,ISNUMBER(C989)),C989+ROW()/100000,"")</f>
        <v/>
      </c>
      <c r="AA989" s="43" t="n">
        <f aca="false">IF(AND(D989&lt;&gt;"",ISNUMBER(B989),ISNUMBER(C989),N(H989)&gt;0,T989&lt;&gt;"Cancelled",J989&lt;&gt;""),1,0)</f>
        <v>0</v>
      </c>
      <c r="AB989" s="44" t="n">
        <f aca="false">IF(AA989=1,J989/H989,0)</f>
        <v>0</v>
      </c>
      <c r="AC989" s="44" t="n">
        <f aca="false">IF(AA989=1,Q989/H989,0)</f>
        <v>0</v>
      </c>
      <c r="AD989" s="44" t="n">
        <f aca="false">IF(AA989=1,R989/H989,0)</f>
        <v>0</v>
      </c>
      <c r="AE989" s="44" t="n">
        <f aca="false">IF(AA989=1,O989/H989,0)</f>
        <v>0</v>
      </c>
      <c r="AF989" s="44" t="n">
        <f aca="false">IF(AA989=1,K989/H989,0)</f>
        <v>0</v>
      </c>
      <c r="AG989" s="45" t="str">
        <f aca="false">IF(AA989=1,D989&amp;"|"&amp;TEXT(B989,"0"),"")</f>
        <v/>
      </c>
      <c r="AH989" s="43" t="n">
        <f aca="false">IF(AA989=1,H989,0)</f>
        <v>0</v>
      </c>
    </row>
    <row r="990" customFormat="false" ht="15" hidden="false" customHeight="false" outlineLevel="0" collapsed="false">
      <c r="A990" s="23" t="str">
        <f aca="false">IF(B990="","","B-"&amp;TEXT(ROW()-4,"0000"))</f>
        <v/>
      </c>
      <c r="B990" s="38"/>
      <c r="C990" s="38"/>
      <c r="D990" s="6"/>
      <c r="E990" s="6"/>
      <c r="F990" s="6"/>
      <c r="G990" s="11"/>
      <c r="H990" s="24" t="str">
        <f aca="false">IF(AND(ISNUMBER(B990),ISNUMBER(C990)),MAX(0,C990-B990),"")</f>
        <v/>
      </c>
      <c r="I990" s="37"/>
      <c r="J990" s="46" t="str">
        <f aca="false">IF(OR(D990="",N(H990)=0),"",IFERROR(IF(I990&lt;&gt;"",H990*I990,ROUND(((H990-(INT((WEEKDAY(B990-6)+H990-1)/7)+INT((WEEKDAY(B990-7)+H990-1)/7)))*INDEX(Properties!$E$5:$E$24,MATCH(D990,Properties!$A$5:$A$24,0))+(INT((WEEKDAY(B990-6)+H990-1)/7)+INT((WEEKDAY(B990-7)+H990-1)/7))*INDEX(Properties!$F$5:$F$24,MATCH(D990,Properties!$A$5:$A$24,0)))*(1-IF(H990&gt;=28,Settings!$B$10,IF(H990&gt;=7,Settings!$B$9,0))),2)),0))</f>
        <v/>
      </c>
      <c r="K990" s="46" t="str">
        <f aca="false">IF(J990="","",IFERROR(N(INDEX(Properties!$G$5:$G$24,MATCH(D990,Properties!$A$5:$A$24,0))),0))</f>
        <v/>
      </c>
      <c r="L990" s="46" t="str">
        <f aca="false">IF(J990="","",IFERROR(MAX(0,N(G990)-INDEX(Properties!$I$5:$I$24,MATCH(D990,Properties!$A$5:$A$24,0)))*N(INDEX(Properties!$J$5:$J$24,MATCH(D990,Properties!$A$5:$A$24,0)))*H990,0))</f>
        <v/>
      </c>
      <c r="M990" s="37"/>
      <c r="N990" s="46" t="str">
        <f aca="false">IF(J990="","",J990+K990+L990+N(M990))</f>
        <v/>
      </c>
      <c r="O990" s="46" t="str">
        <f aca="false">IF(N990="","",IF(P990&lt;&gt;"",N990-P990,ROUND(N990*IFERROR(INDEX(Settings!$E$5:$E$12,MATCH(F990,Settings!$D$5:$D$12,0)),0),2)))</f>
        <v/>
      </c>
      <c r="P990" s="37"/>
      <c r="Q990" s="46" t="str">
        <f aca="false">IF(N990="","",IF(P990&lt;&gt;"",P990,N990-O990))</f>
        <v/>
      </c>
      <c r="R990" s="46" t="str">
        <f aca="false">IF(J990="","",IFERROR(N(INDEX(Properties!$H$5:$H$24,MATCH(D990,Properties!$A$5:$A$24,0))),0))</f>
        <v/>
      </c>
      <c r="S990" s="46" t="str">
        <f aca="false">IF(Q990="","",Q990-R990)</f>
        <v/>
      </c>
      <c r="T990" s="6"/>
      <c r="U990" s="6"/>
      <c r="V990" s="6"/>
      <c r="W990" s="6"/>
      <c r="X990" s="6"/>
      <c r="Y990" s="8" t="str">
        <f aca="false">IF(OR(D990="",B990="",C990=""),"",IF(N(C990)&lt;=N(B990),"Check dates",IF(T990="Cancelled","",IF(COUNTIFS($D$5:$D$1004,D990,$B$5:$B$1004,"&lt;"&amp;C990,$C$5:$C$1004,"&gt;"&amp;B990,$T$5:$T$1004,"&lt;&gt;Cancelled")&gt;1,"Double-booked",""))))</f>
        <v/>
      </c>
      <c r="Z990" s="42" t="str">
        <f aca="false">IF(AND(AA990=1,ISNUMBER(C990)),C990+ROW()/100000,"")</f>
        <v/>
      </c>
      <c r="AA990" s="43" t="n">
        <f aca="false">IF(AND(D990&lt;&gt;"",ISNUMBER(B990),ISNUMBER(C990),N(H990)&gt;0,T990&lt;&gt;"Cancelled",J990&lt;&gt;""),1,0)</f>
        <v>0</v>
      </c>
      <c r="AB990" s="44" t="n">
        <f aca="false">IF(AA990=1,J990/H990,0)</f>
        <v>0</v>
      </c>
      <c r="AC990" s="44" t="n">
        <f aca="false">IF(AA990=1,Q990/H990,0)</f>
        <v>0</v>
      </c>
      <c r="AD990" s="44" t="n">
        <f aca="false">IF(AA990=1,R990/H990,0)</f>
        <v>0</v>
      </c>
      <c r="AE990" s="44" t="n">
        <f aca="false">IF(AA990=1,O990/H990,0)</f>
        <v>0</v>
      </c>
      <c r="AF990" s="44" t="n">
        <f aca="false">IF(AA990=1,K990/H990,0)</f>
        <v>0</v>
      </c>
      <c r="AG990" s="45" t="str">
        <f aca="false">IF(AA990=1,D990&amp;"|"&amp;TEXT(B990,"0"),"")</f>
        <v/>
      </c>
      <c r="AH990" s="43" t="n">
        <f aca="false">IF(AA990=1,H990,0)</f>
        <v>0</v>
      </c>
    </row>
    <row r="991" customFormat="false" ht="15" hidden="false" customHeight="false" outlineLevel="0" collapsed="false">
      <c r="A991" s="8" t="str">
        <f aca="false">IF(B991="","","B-"&amp;TEXT(ROW()-4,"0000"))</f>
        <v/>
      </c>
      <c r="B991" s="38"/>
      <c r="C991" s="38"/>
      <c r="D991" s="6"/>
      <c r="E991" s="6"/>
      <c r="F991" s="6"/>
      <c r="G991" s="11"/>
      <c r="H991" s="18" t="str">
        <f aca="false">IF(AND(ISNUMBER(B991),ISNUMBER(C991)),MAX(0,C991-B991),"")</f>
        <v/>
      </c>
      <c r="I991" s="37"/>
      <c r="J991" s="41" t="str">
        <f aca="false">IF(OR(D991="",N(H991)=0),"",IFERROR(IF(I991&lt;&gt;"",H991*I991,ROUND(((H991-(INT((WEEKDAY(B991-6)+H991-1)/7)+INT((WEEKDAY(B991-7)+H991-1)/7)))*INDEX(Properties!$E$5:$E$24,MATCH(D991,Properties!$A$5:$A$24,0))+(INT((WEEKDAY(B991-6)+H991-1)/7)+INT((WEEKDAY(B991-7)+H991-1)/7))*INDEX(Properties!$F$5:$F$24,MATCH(D991,Properties!$A$5:$A$24,0)))*(1-IF(H991&gt;=28,Settings!$B$10,IF(H991&gt;=7,Settings!$B$9,0))),2)),0))</f>
        <v/>
      </c>
      <c r="K991" s="41" t="str">
        <f aca="false">IF(J991="","",IFERROR(N(INDEX(Properties!$G$5:$G$24,MATCH(D991,Properties!$A$5:$A$24,0))),0))</f>
        <v/>
      </c>
      <c r="L991" s="41" t="str">
        <f aca="false">IF(J991="","",IFERROR(MAX(0,N(G991)-INDEX(Properties!$I$5:$I$24,MATCH(D991,Properties!$A$5:$A$24,0)))*N(INDEX(Properties!$J$5:$J$24,MATCH(D991,Properties!$A$5:$A$24,0)))*H991,0))</f>
        <v/>
      </c>
      <c r="M991" s="37"/>
      <c r="N991" s="41" t="str">
        <f aca="false">IF(J991="","",J991+K991+L991+N(M991))</f>
        <v/>
      </c>
      <c r="O991" s="41" t="str">
        <f aca="false">IF(N991="","",IF(P991&lt;&gt;"",N991-P991,ROUND(N991*IFERROR(INDEX(Settings!$E$5:$E$12,MATCH(F991,Settings!$D$5:$D$12,0)),0),2)))</f>
        <v/>
      </c>
      <c r="P991" s="37"/>
      <c r="Q991" s="41" t="str">
        <f aca="false">IF(N991="","",IF(P991&lt;&gt;"",P991,N991-O991))</f>
        <v/>
      </c>
      <c r="R991" s="41" t="str">
        <f aca="false">IF(J991="","",IFERROR(N(INDEX(Properties!$H$5:$H$24,MATCH(D991,Properties!$A$5:$A$24,0))),0))</f>
        <v/>
      </c>
      <c r="S991" s="41" t="str">
        <f aca="false">IF(Q991="","",Q991-R991)</f>
        <v/>
      </c>
      <c r="T991" s="6"/>
      <c r="U991" s="6"/>
      <c r="V991" s="6"/>
      <c r="W991" s="6"/>
      <c r="X991" s="6"/>
      <c r="Y991" s="8" t="str">
        <f aca="false">IF(OR(D991="",B991="",C991=""),"",IF(N(C991)&lt;=N(B991),"Check dates",IF(T991="Cancelled","",IF(COUNTIFS($D$5:$D$1004,D991,$B$5:$B$1004,"&lt;"&amp;C991,$C$5:$C$1004,"&gt;"&amp;B991,$T$5:$T$1004,"&lt;&gt;Cancelled")&gt;1,"Double-booked",""))))</f>
        <v/>
      </c>
      <c r="Z991" s="42" t="str">
        <f aca="false">IF(AND(AA991=1,ISNUMBER(C991)),C991+ROW()/100000,"")</f>
        <v/>
      </c>
      <c r="AA991" s="43" t="n">
        <f aca="false">IF(AND(D991&lt;&gt;"",ISNUMBER(B991),ISNUMBER(C991),N(H991)&gt;0,T991&lt;&gt;"Cancelled",J991&lt;&gt;""),1,0)</f>
        <v>0</v>
      </c>
      <c r="AB991" s="44" t="n">
        <f aca="false">IF(AA991=1,J991/H991,0)</f>
        <v>0</v>
      </c>
      <c r="AC991" s="44" t="n">
        <f aca="false">IF(AA991=1,Q991/H991,0)</f>
        <v>0</v>
      </c>
      <c r="AD991" s="44" t="n">
        <f aca="false">IF(AA991=1,R991/H991,0)</f>
        <v>0</v>
      </c>
      <c r="AE991" s="44" t="n">
        <f aca="false">IF(AA991=1,O991/H991,0)</f>
        <v>0</v>
      </c>
      <c r="AF991" s="44" t="n">
        <f aca="false">IF(AA991=1,K991/H991,0)</f>
        <v>0</v>
      </c>
      <c r="AG991" s="45" t="str">
        <f aca="false">IF(AA991=1,D991&amp;"|"&amp;TEXT(B991,"0"),"")</f>
        <v/>
      </c>
      <c r="AH991" s="43" t="n">
        <f aca="false">IF(AA991=1,H991,0)</f>
        <v>0</v>
      </c>
    </row>
    <row r="992" customFormat="false" ht="15" hidden="false" customHeight="false" outlineLevel="0" collapsed="false">
      <c r="A992" s="23" t="str">
        <f aca="false">IF(B992="","","B-"&amp;TEXT(ROW()-4,"0000"))</f>
        <v/>
      </c>
      <c r="B992" s="38"/>
      <c r="C992" s="38"/>
      <c r="D992" s="6"/>
      <c r="E992" s="6"/>
      <c r="F992" s="6"/>
      <c r="G992" s="11"/>
      <c r="H992" s="24" t="str">
        <f aca="false">IF(AND(ISNUMBER(B992),ISNUMBER(C992)),MAX(0,C992-B992),"")</f>
        <v/>
      </c>
      <c r="I992" s="37"/>
      <c r="J992" s="46" t="str">
        <f aca="false">IF(OR(D992="",N(H992)=0),"",IFERROR(IF(I992&lt;&gt;"",H992*I992,ROUND(((H992-(INT((WEEKDAY(B992-6)+H992-1)/7)+INT((WEEKDAY(B992-7)+H992-1)/7)))*INDEX(Properties!$E$5:$E$24,MATCH(D992,Properties!$A$5:$A$24,0))+(INT((WEEKDAY(B992-6)+H992-1)/7)+INT((WEEKDAY(B992-7)+H992-1)/7))*INDEX(Properties!$F$5:$F$24,MATCH(D992,Properties!$A$5:$A$24,0)))*(1-IF(H992&gt;=28,Settings!$B$10,IF(H992&gt;=7,Settings!$B$9,0))),2)),0))</f>
        <v/>
      </c>
      <c r="K992" s="46" t="str">
        <f aca="false">IF(J992="","",IFERROR(N(INDEX(Properties!$G$5:$G$24,MATCH(D992,Properties!$A$5:$A$24,0))),0))</f>
        <v/>
      </c>
      <c r="L992" s="46" t="str">
        <f aca="false">IF(J992="","",IFERROR(MAX(0,N(G992)-INDEX(Properties!$I$5:$I$24,MATCH(D992,Properties!$A$5:$A$24,0)))*N(INDEX(Properties!$J$5:$J$24,MATCH(D992,Properties!$A$5:$A$24,0)))*H992,0))</f>
        <v/>
      </c>
      <c r="M992" s="37"/>
      <c r="N992" s="46" t="str">
        <f aca="false">IF(J992="","",J992+K992+L992+N(M992))</f>
        <v/>
      </c>
      <c r="O992" s="46" t="str">
        <f aca="false">IF(N992="","",IF(P992&lt;&gt;"",N992-P992,ROUND(N992*IFERROR(INDEX(Settings!$E$5:$E$12,MATCH(F992,Settings!$D$5:$D$12,0)),0),2)))</f>
        <v/>
      </c>
      <c r="P992" s="37"/>
      <c r="Q992" s="46" t="str">
        <f aca="false">IF(N992="","",IF(P992&lt;&gt;"",P992,N992-O992))</f>
        <v/>
      </c>
      <c r="R992" s="46" t="str">
        <f aca="false">IF(J992="","",IFERROR(N(INDEX(Properties!$H$5:$H$24,MATCH(D992,Properties!$A$5:$A$24,0))),0))</f>
        <v/>
      </c>
      <c r="S992" s="46" t="str">
        <f aca="false">IF(Q992="","",Q992-R992)</f>
        <v/>
      </c>
      <c r="T992" s="6"/>
      <c r="U992" s="6"/>
      <c r="V992" s="6"/>
      <c r="W992" s="6"/>
      <c r="X992" s="6"/>
      <c r="Y992" s="8" t="str">
        <f aca="false">IF(OR(D992="",B992="",C992=""),"",IF(N(C992)&lt;=N(B992),"Check dates",IF(T992="Cancelled","",IF(COUNTIFS($D$5:$D$1004,D992,$B$5:$B$1004,"&lt;"&amp;C992,$C$5:$C$1004,"&gt;"&amp;B992,$T$5:$T$1004,"&lt;&gt;Cancelled")&gt;1,"Double-booked",""))))</f>
        <v/>
      </c>
      <c r="Z992" s="42" t="str">
        <f aca="false">IF(AND(AA992=1,ISNUMBER(C992)),C992+ROW()/100000,"")</f>
        <v/>
      </c>
      <c r="AA992" s="43" t="n">
        <f aca="false">IF(AND(D992&lt;&gt;"",ISNUMBER(B992),ISNUMBER(C992),N(H992)&gt;0,T992&lt;&gt;"Cancelled",J992&lt;&gt;""),1,0)</f>
        <v>0</v>
      </c>
      <c r="AB992" s="44" t="n">
        <f aca="false">IF(AA992=1,J992/H992,0)</f>
        <v>0</v>
      </c>
      <c r="AC992" s="44" t="n">
        <f aca="false">IF(AA992=1,Q992/H992,0)</f>
        <v>0</v>
      </c>
      <c r="AD992" s="44" t="n">
        <f aca="false">IF(AA992=1,R992/H992,0)</f>
        <v>0</v>
      </c>
      <c r="AE992" s="44" t="n">
        <f aca="false">IF(AA992=1,O992/H992,0)</f>
        <v>0</v>
      </c>
      <c r="AF992" s="44" t="n">
        <f aca="false">IF(AA992=1,K992/H992,0)</f>
        <v>0</v>
      </c>
      <c r="AG992" s="45" t="str">
        <f aca="false">IF(AA992=1,D992&amp;"|"&amp;TEXT(B992,"0"),"")</f>
        <v/>
      </c>
      <c r="AH992" s="43" t="n">
        <f aca="false">IF(AA992=1,H992,0)</f>
        <v>0</v>
      </c>
    </row>
    <row r="993" customFormat="false" ht="15" hidden="false" customHeight="false" outlineLevel="0" collapsed="false">
      <c r="A993" s="8" t="str">
        <f aca="false">IF(B993="","","B-"&amp;TEXT(ROW()-4,"0000"))</f>
        <v/>
      </c>
      <c r="B993" s="38"/>
      <c r="C993" s="38"/>
      <c r="D993" s="6"/>
      <c r="E993" s="6"/>
      <c r="F993" s="6"/>
      <c r="G993" s="11"/>
      <c r="H993" s="18" t="str">
        <f aca="false">IF(AND(ISNUMBER(B993),ISNUMBER(C993)),MAX(0,C993-B993),"")</f>
        <v/>
      </c>
      <c r="I993" s="37"/>
      <c r="J993" s="41" t="str">
        <f aca="false">IF(OR(D993="",N(H993)=0),"",IFERROR(IF(I993&lt;&gt;"",H993*I993,ROUND(((H993-(INT((WEEKDAY(B993-6)+H993-1)/7)+INT((WEEKDAY(B993-7)+H993-1)/7)))*INDEX(Properties!$E$5:$E$24,MATCH(D993,Properties!$A$5:$A$24,0))+(INT((WEEKDAY(B993-6)+H993-1)/7)+INT((WEEKDAY(B993-7)+H993-1)/7))*INDEX(Properties!$F$5:$F$24,MATCH(D993,Properties!$A$5:$A$24,0)))*(1-IF(H993&gt;=28,Settings!$B$10,IF(H993&gt;=7,Settings!$B$9,0))),2)),0))</f>
        <v/>
      </c>
      <c r="K993" s="41" t="str">
        <f aca="false">IF(J993="","",IFERROR(N(INDEX(Properties!$G$5:$G$24,MATCH(D993,Properties!$A$5:$A$24,0))),0))</f>
        <v/>
      </c>
      <c r="L993" s="41" t="str">
        <f aca="false">IF(J993="","",IFERROR(MAX(0,N(G993)-INDEX(Properties!$I$5:$I$24,MATCH(D993,Properties!$A$5:$A$24,0)))*N(INDEX(Properties!$J$5:$J$24,MATCH(D993,Properties!$A$5:$A$24,0)))*H993,0))</f>
        <v/>
      </c>
      <c r="M993" s="37"/>
      <c r="N993" s="41" t="str">
        <f aca="false">IF(J993="","",J993+K993+L993+N(M993))</f>
        <v/>
      </c>
      <c r="O993" s="41" t="str">
        <f aca="false">IF(N993="","",IF(P993&lt;&gt;"",N993-P993,ROUND(N993*IFERROR(INDEX(Settings!$E$5:$E$12,MATCH(F993,Settings!$D$5:$D$12,0)),0),2)))</f>
        <v/>
      </c>
      <c r="P993" s="37"/>
      <c r="Q993" s="41" t="str">
        <f aca="false">IF(N993="","",IF(P993&lt;&gt;"",P993,N993-O993))</f>
        <v/>
      </c>
      <c r="R993" s="41" t="str">
        <f aca="false">IF(J993="","",IFERROR(N(INDEX(Properties!$H$5:$H$24,MATCH(D993,Properties!$A$5:$A$24,0))),0))</f>
        <v/>
      </c>
      <c r="S993" s="41" t="str">
        <f aca="false">IF(Q993="","",Q993-R993)</f>
        <v/>
      </c>
      <c r="T993" s="6"/>
      <c r="U993" s="6"/>
      <c r="V993" s="6"/>
      <c r="W993" s="6"/>
      <c r="X993" s="6"/>
      <c r="Y993" s="8" t="str">
        <f aca="false">IF(OR(D993="",B993="",C993=""),"",IF(N(C993)&lt;=N(B993),"Check dates",IF(T993="Cancelled","",IF(COUNTIFS($D$5:$D$1004,D993,$B$5:$B$1004,"&lt;"&amp;C993,$C$5:$C$1004,"&gt;"&amp;B993,$T$5:$T$1004,"&lt;&gt;Cancelled")&gt;1,"Double-booked",""))))</f>
        <v/>
      </c>
      <c r="Z993" s="42" t="str">
        <f aca="false">IF(AND(AA993=1,ISNUMBER(C993)),C993+ROW()/100000,"")</f>
        <v/>
      </c>
      <c r="AA993" s="43" t="n">
        <f aca="false">IF(AND(D993&lt;&gt;"",ISNUMBER(B993),ISNUMBER(C993),N(H993)&gt;0,T993&lt;&gt;"Cancelled",J993&lt;&gt;""),1,0)</f>
        <v>0</v>
      </c>
      <c r="AB993" s="44" t="n">
        <f aca="false">IF(AA993=1,J993/H993,0)</f>
        <v>0</v>
      </c>
      <c r="AC993" s="44" t="n">
        <f aca="false">IF(AA993=1,Q993/H993,0)</f>
        <v>0</v>
      </c>
      <c r="AD993" s="44" t="n">
        <f aca="false">IF(AA993=1,R993/H993,0)</f>
        <v>0</v>
      </c>
      <c r="AE993" s="44" t="n">
        <f aca="false">IF(AA993=1,O993/H993,0)</f>
        <v>0</v>
      </c>
      <c r="AF993" s="44" t="n">
        <f aca="false">IF(AA993=1,K993/H993,0)</f>
        <v>0</v>
      </c>
      <c r="AG993" s="45" t="str">
        <f aca="false">IF(AA993=1,D993&amp;"|"&amp;TEXT(B993,"0"),"")</f>
        <v/>
      </c>
      <c r="AH993" s="43" t="n">
        <f aca="false">IF(AA993=1,H993,0)</f>
        <v>0</v>
      </c>
    </row>
    <row r="994" customFormat="false" ht="15" hidden="false" customHeight="false" outlineLevel="0" collapsed="false">
      <c r="A994" s="23" t="str">
        <f aca="false">IF(B994="","","B-"&amp;TEXT(ROW()-4,"0000"))</f>
        <v/>
      </c>
      <c r="B994" s="38"/>
      <c r="C994" s="38"/>
      <c r="D994" s="6"/>
      <c r="E994" s="6"/>
      <c r="F994" s="6"/>
      <c r="G994" s="11"/>
      <c r="H994" s="24" t="str">
        <f aca="false">IF(AND(ISNUMBER(B994),ISNUMBER(C994)),MAX(0,C994-B994),"")</f>
        <v/>
      </c>
      <c r="I994" s="37"/>
      <c r="J994" s="46" t="str">
        <f aca="false">IF(OR(D994="",N(H994)=0),"",IFERROR(IF(I994&lt;&gt;"",H994*I994,ROUND(((H994-(INT((WEEKDAY(B994-6)+H994-1)/7)+INT((WEEKDAY(B994-7)+H994-1)/7)))*INDEX(Properties!$E$5:$E$24,MATCH(D994,Properties!$A$5:$A$24,0))+(INT((WEEKDAY(B994-6)+H994-1)/7)+INT((WEEKDAY(B994-7)+H994-1)/7))*INDEX(Properties!$F$5:$F$24,MATCH(D994,Properties!$A$5:$A$24,0)))*(1-IF(H994&gt;=28,Settings!$B$10,IF(H994&gt;=7,Settings!$B$9,0))),2)),0))</f>
        <v/>
      </c>
      <c r="K994" s="46" t="str">
        <f aca="false">IF(J994="","",IFERROR(N(INDEX(Properties!$G$5:$G$24,MATCH(D994,Properties!$A$5:$A$24,0))),0))</f>
        <v/>
      </c>
      <c r="L994" s="46" t="str">
        <f aca="false">IF(J994="","",IFERROR(MAX(0,N(G994)-INDEX(Properties!$I$5:$I$24,MATCH(D994,Properties!$A$5:$A$24,0)))*N(INDEX(Properties!$J$5:$J$24,MATCH(D994,Properties!$A$5:$A$24,0)))*H994,0))</f>
        <v/>
      </c>
      <c r="M994" s="37"/>
      <c r="N994" s="46" t="str">
        <f aca="false">IF(J994="","",J994+K994+L994+N(M994))</f>
        <v/>
      </c>
      <c r="O994" s="46" t="str">
        <f aca="false">IF(N994="","",IF(P994&lt;&gt;"",N994-P994,ROUND(N994*IFERROR(INDEX(Settings!$E$5:$E$12,MATCH(F994,Settings!$D$5:$D$12,0)),0),2)))</f>
        <v/>
      </c>
      <c r="P994" s="37"/>
      <c r="Q994" s="46" t="str">
        <f aca="false">IF(N994="","",IF(P994&lt;&gt;"",P994,N994-O994))</f>
        <v/>
      </c>
      <c r="R994" s="46" t="str">
        <f aca="false">IF(J994="","",IFERROR(N(INDEX(Properties!$H$5:$H$24,MATCH(D994,Properties!$A$5:$A$24,0))),0))</f>
        <v/>
      </c>
      <c r="S994" s="46" t="str">
        <f aca="false">IF(Q994="","",Q994-R994)</f>
        <v/>
      </c>
      <c r="T994" s="6"/>
      <c r="U994" s="6"/>
      <c r="V994" s="6"/>
      <c r="W994" s="6"/>
      <c r="X994" s="6"/>
      <c r="Y994" s="8" t="str">
        <f aca="false">IF(OR(D994="",B994="",C994=""),"",IF(N(C994)&lt;=N(B994),"Check dates",IF(T994="Cancelled","",IF(COUNTIFS($D$5:$D$1004,D994,$B$5:$B$1004,"&lt;"&amp;C994,$C$5:$C$1004,"&gt;"&amp;B994,$T$5:$T$1004,"&lt;&gt;Cancelled")&gt;1,"Double-booked",""))))</f>
        <v/>
      </c>
      <c r="Z994" s="42" t="str">
        <f aca="false">IF(AND(AA994=1,ISNUMBER(C994)),C994+ROW()/100000,"")</f>
        <v/>
      </c>
      <c r="AA994" s="43" t="n">
        <f aca="false">IF(AND(D994&lt;&gt;"",ISNUMBER(B994),ISNUMBER(C994),N(H994)&gt;0,T994&lt;&gt;"Cancelled",J994&lt;&gt;""),1,0)</f>
        <v>0</v>
      </c>
      <c r="AB994" s="44" t="n">
        <f aca="false">IF(AA994=1,J994/H994,0)</f>
        <v>0</v>
      </c>
      <c r="AC994" s="44" t="n">
        <f aca="false">IF(AA994=1,Q994/H994,0)</f>
        <v>0</v>
      </c>
      <c r="AD994" s="44" t="n">
        <f aca="false">IF(AA994=1,R994/H994,0)</f>
        <v>0</v>
      </c>
      <c r="AE994" s="44" t="n">
        <f aca="false">IF(AA994=1,O994/H994,0)</f>
        <v>0</v>
      </c>
      <c r="AF994" s="44" t="n">
        <f aca="false">IF(AA994=1,K994/H994,0)</f>
        <v>0</v>
      </c>
      <c r="AG994" s="45" t="str">
        <f aca="false">IF(AA994=1,D994&amp;"|"&amp;TEXT(B994,"0"),"")</f>
        <v/>
      </c>
      <c r="AH994" s="43" t="n">
        <f aca="false">IF(AA994=1,H994,0)</f>
        <v>0</v>
      </c>
    </row>
    <row r="995" customFormat="false" ht="15" hidden="false" customHeight="false" outlineLevel="0" collapsed="false">
      <c r="A995" s="8" t="str">
        <f aca="false">IF(B995="","","B-"&amp;TEXT(ROW()-4,"0000"))</f>
        <v/>
      </c>
      <c r="B995" s="38"/>
      <c r="C995" s="38"/>
      <c r="D995" s="6"/>
      <c r="E995" s="6"/>
      <c r="F995" s="6"/>
      <c r="G995" s="11"/>
      <c r="H995" s="18" t="str">
        <f aca="false">IF(AND(ISNUMBER(B995),ISNUMBER(C995)),MAX(0,C995-B995),"")</f>
        <v/>
      </c>
      <c r="I995" s="37"/>
      <c r="J995" s="41" t="str">
        <f aca="false">IF(OR(D995="",N(H995)=0),"",IFERROR(IF(I995&lt;&gt;"",H995*I995,ROUND(((H995-(INT((WEEKDAY(B995-6)+H995-1)/7)+INT((WEEKDAY(B995-7)+H995-1)/7)))*INDEX(Properties!$E$5:$E$24,MATCH(D995,Properties!$A$5:$A$24,0))+(INT((WEEKDAY(B995-6)+H995-1)/7)+INT((WEEKDAY(B995-7)+H995-1)/7))*INDEX(Properties!$F$5:$F$24,MATCH(D995,Properties!$A$5:$A$24,0)))*(1-IF(H995&gt;=28,Settings!$B$10,IF(H995&gt;=7,Settings!$B$9,0))),2)),0))</f>
        <v/>
      </c>
      <c r="K995" s="41" t="str">
        <f aca="false">IF(J995="","",IFERROR(N(INDEX(Properties!$G$5:$G$24,MATCH(D995,Properties!$A$5:$A$24,0))),0))</f>
        <v/>
      </c>
      <c r="L995" s="41" t="str">
        <f aca="false">IF(J995="","",IFERROR(MAX(0,N(G995)-INDEX(Properties!$I$5:$I$24,MATCH(D995,Properties!$A$5:$A$24,0)))*N(INDEX(Properties!$J$5:$J$24,MATCH(D995,Properties!$A$5:$A$24,0)))*H995,0))</f>
        <v/>
      </c>
      <c r="M995" s="37"/>
      <c r="N995" s="41" t="str">
        <f aca="false">IF(J995="","",J995+K995+L995+N(M995))</f>
        <v/>
      </c>
      <c r="O995" s="41" t="str">
        <f aca="false">IF(N995="","",IF(P995&lt;&gt;"",N995-P995,ROUND(N995*IFERROR(INDEX(Settings!$E$5:$E$12,MATCH(F995,Settings!$D$5:$D$12,0)),0),2)))</f>
        <v/>
      </c>
      <c r="P995" s="37"/>
      <c r="Q995" s="41" t="str">
        <f aca="false">IF(N995="","",IF(P995&lt;&gt;"",P995,N995-O995))</f>
        <v/>
      </c>
      <c r="R995" s="41" t="str">
        <f aca="false">IF(J995="","",IFERROR(N(INDEX(Properties!$H$5:$H$24,MATCH(D995,Properties!$A$5:$A$24,0))),0))</f>
        <v/>
      </c>
      <c r="S995" s="41" t="str">
        <f aca="false">IF(Q995="","",Q995-R995)</f>
        <v/>
      </c>
      <c r="T995" s="6"/>
      <c r="U995" s="6"/>
      <c r="V995" s="6"/>
      <c r="W995" s="6"/>
      <c r="X995" s="6"/>
      <c r="Y995" s="8" t="str">
        <f aca="false">IF(OR(D995="",B995="",C995=""),"",IF(N(C995)&lt;=N(B995),"Check dates",IF(T995="Cancelled","",IF(COUNTIFS($D$5:$D$1004,D995,$B$5:$B$1004,"&lt;"&amp;C995,$C$5:$C$1004,"&gt;"&amp;B995,$T$5:$T$1004,"&lt;&gt;Cancelled")&gt;1,"Double-booked",""))))</f>
        <v/>
      </c>
      <c r="Z995" s="42" t="str">
        <f aca="false">IF(AND(AA995=1,ISNUMBER(C995)),C995+ROW()/100000,"")</f>
        <v/>
      </c>
      <c r="AA995" s="43" t="n">
        <f aca="false">IF(AND(D995&lt;&gt;"",ISNUMBER(B995),ISNUMBER(C995),N(H995)&gt;0,T995&lt;&gt;"Cancelled",J995&lt;&gt;""),1,0)</f>
        <v>0</v>
      </c>
      <c r="AB995" s="44" t="n">
        <f aca="false">IF(AA995=1,J995/H995,0)</f>
        <v>0</v>
      </c>
      <c r="AC995" s="44" t="n">
        <f aca="false">IF(AA995=1,Q995/H995,0)</f>
        <v>0</v>
      </c>
      <c r="AD995" s="44" t="n">
        <f aca="false">IF(AA995=1,R995/H995,0)</f>
        <v>0</v>
      </c>
      <c r="AE995" s="44" t="n">
        <f aca="false">IF(AA995=1,O995/H995,0)</f>
        <v>0</v>
      </c>
      <c r="AF995" s="44" t="n">
        <f aca="false">IF(AA995=1,K995/H995,0)</f>
        <v>0</v>
      </c>
      <c r="AG995" s="45" t="str">
        <f aca="false">IF(AA995=1,D995&amp;"|"&amp;TEXT(B995,"0"),"")</f>
        <v/>
      </c>
      <c r="AH995" s="43" t="n">
        <f aca="false">IF(AA995=1,H995,0)</f>
        <v>0</v>
      </c>
    </row>
    <row r="996" customFormat="false" ht="15" hidden="false" customHeight="false" outlineLevel="0" collapsed="false">
      <c r="A996" s="23" t="str">
        <f aca="false">IF(B996="","","B-"&amp;TEXT(ROW()-4,"0000"))</f>
        <v/>
      </c>
      <c r="B996" s="38"/>
      <c r="C996" s="38"/>
      <c r="D996" s="6"/>
      <c r="E996" s="6"/>
      <c r="F996" s="6"/>
      <c r="G996" s="11"/>
      <c r="H996" s="24" t="str">
        <f aca="false">IF(AND(ISNUMBER(B996),ISNUMBER(C996)),MAX(0,C996-B996),"")</f>
        <v/>
      </c>
      <c r="I996" s="37"/>
      <c r="J996" s="46" t="str">
        <f aca="false">IF(OR(D996="",N(H996)=0),"",IFERROR(IF(I996&lt;&gt;"",H996*I996,ROUND(((H996-(INT((WEEKDAY(B996-6)+H996-1)/7)+INT((WEEKDAY(B996-7)+H996-1)/7)))*INDEX(Properties!$E$5:$E$24,MATCH(D996,Properties!$A$5:$A$24,0))+(INT((WEEKDAY(B996-6)+H996-1)/7)+INT((WEEKDAY(B996-7)+H996-1)/7))*INDEX(Properties!$F$5:$F$24,MATCH(D996,Properties!$A$5:$A$24,0)))*(1-IF(H996&gt;=28,Settings!$B$10,IF(H996&gt;=7,Settings!$B$9,0))),2)),0))</f>
        <v/>
      </c>
      <c r="K996" s="46" t="str">
        <f aca="false">IF(J996="","",IFERROR(N(INDEX(Properties!$G$5:$G$24,MATCH(D996,Properties!$A$5:$A$24,0))),0))</f>
        <v/>
      </c>
      <c r="L996" s="46" t="str">
        <f aca="false">IF(J996="","",IFERROR(MAX(0,N(G996)-INDEX(Properties!$I$5:$I$24,MATCH(D996,Properties!$A$5:$A$24,0)))*N(INDEX(Properties!$J$5:$J$24,MATCH(D996,Properties!$A$5:$A$24,0)))*H996,0))</f>
        <v/>
      </c>
      <c r="M996" s="37"/>
      <c r="N996" s="46" t="str">
        <f aca="false">IF(J996="","",J996+K996+L996+N(M996))</f>
        <v/>
      </c>
      <c r="O996" s="46" t="str">
        <f aca="false">IF(N996="","",IF(P996&lt;&gt;"",N996-P996,ROUND(N996*IFERROR(INDEX(Settings!$E$5:$E$12,MATCH(F996,Settings!$D$5:$D$12,0)),0),2)))</f>
        <v/>
      </c>
      <c r="P996" s="37"/>
      <c r="Q996" s="46" t="str">
        <f aca="false">IF(N996="","",IF(P996&lt;&gt;"",P996,N996-O996))</f>
        <v/>
      </c>
      <c r="R996" s="46" t="str">
        <f aca="false">IF(J996="","",IFERROR(N(INDEX(Properties!$H$5:$H$24,MATCH(D996,Properties!$A$5:$A$24,0))),0))</f>
        <v/>
      </c>
      <c r="S996" s="46" t="str">
        <f aca="false">IF(Q996="","",Q996-R996)</f>
        <v/>
      </c>
      <c r="T996" s="6"/>
      <c r="U996" s="6"/>
      <c r="V996" s="6"/>
      <c r="W996" s="6"/>
      <c r="X996" s="6"/>
      <c r="Y996" s="8" t="str">
        <f aca="false">IF(OR(D996="",B996="",C996=""),"",IF(N(C996)&lt;=N(B996),"Check dates",IF(T996="Cancelled","",IF(COUNTIFS($D$5:$D$1004,D996,$B$5:$B$1004,"&lt;"&amp;C996,$C$5:$C$1004,"&gt;"&amp;B996,$T$5:$T$1004,"&lt;&gt;Cancelled")&gt;1,"Double-booked",""))))</f>
        <v/>
      </c>
      <c r="Z996" s="42" t="str">
        <f aca="false">IF(AND(AA996=1,ISNUMBER(C996)),C996+ROW()/100000,"")</f>
        <v/>
      </c>
      <c r="AA996" s="43" t="n">
        <f aca="false">IF(AND(D996&lt;&gt;"",ISNUMBER(B996),ISNUMBER(C996),N(H996)&gt;0,T996&lt;&gt;"Cancelled",J996&lt;&gt;""),1,0)</f>
        <v>0</v>
      </c>
      <c r="AB996" s="44" t="n">
        <f aca="false">IF(AA996=1,J996/H996,0)</f>
        <v>0</v>
      </c>
      <c r="AC996" s="44" t="n">
        <f aca="false">IF(AA996=1,Q996/H996,0)</f>
        <v>0</v>
      </c>
      <c r="AD996" s="44" t="n">
        <f aca="false">IF(AA996=1,R996/H996,0)</f>
        <v>0</v>
      </c>
      <c r="AE996" s="44" t="n">
        <f aca="false">IF(AA996=1,O996/H996,0)</f>
        <v>0</v>
      </c>
      <c r="AF996" s="44" t="n">
        <f aca="false">IF(AA996=1,K996/H996,0)</f>
        <v>0</v>
      </c>
      <c r="AG996" s="45" t="str">
        <f aca="false">IF(AA996=1,D996&amp;"|"&amp;TEXT(B996,"0"),"")</f>
        <v/>
      </c>
      <c r="AH996" s="43" t="n">
        <f aca="false">IF(AA996=1,H996,0)</f>
        <v>0</v>
      </c>
    </row>
    <row r="997" customFormat="false" ht="15" hidden="false" customHeight="false" outlineLevel="0" collapsed="false">
      <c r="A997" s="8" t="str">
        <f aca="false">IF(B997="","","B-"&amp;TEXT(ROW()-4,"0000"))</f>
        <v/>
      </c>
      <c r="B997" s="38"/>
      <c r="C997" s="38"/>
      <c r="D997" s="6"/>
      <c r="E997" s="6"/>
      <c r="F997" s="6"/>
      <c r="G997" s="11"/>
      <c r="H997" s="18" t="str">
        <f aca="false">IF(AND(ISNUMBER(B997),ISNUMBER(C997)),MAX(0,C997-B997),"")</f>
        <v/>
      </c>
      <c r="I997" s="37"/>
      <c r="J997" s="41" t="str">
        <f aca="false">IF(OR(D997="",N(H997)=0),"",IFERROR(IF(I997&lt;&gt;"",H997*I997,ROUND(((H997-(INT((WEEKDAY(B997-6)+H997-1)/7)+INT((WEEKDAY(B997-7)+H997-1)/7)))*INDEX(Properties!$E$5:$E$24,MATCH(D997,Properties!$A$5:$A$24,0))+(INT((WEEKDAY(B997-6)+H997-1)/7)+INT((WEEKDAY(B997-7)+H997-1)/7))*INDEX(Properties!$F$5:$F$24,MATCH(D997,Properties!$A$5:$A$24,0)))*(1-IF(H997&gt;=28,Settings!$B$10,IF(H997&gt;=7,Settings!$B$9,0))),2)),0))</f>
        <v/>
      </c>
      <c r="K997" s="41" t="str">
        <f aca="false">IF(J997="","",IFERROR(N(INDEX(Properties!$G$5:$G$24,MATCH(D997,Properties!$A$5:$A$24,0))),0))</f>
        <v/>
      </c>
      <c r="L997" s="41" t="str">
        <f aca="false">IF(J997="","",IFERROR(MAX(0,N(G997)-INDEX(Properties!$I$5:$I$24,MATCH(D997,Properties!$A$5:$A$24,0)))*N(INDEX(Properties!$J$5:$J$24,MATCH(D997,Properties!$A$5:$A$24,0)))*H997,0))</f>
        <v/>
      </c>
      <c r="M997" s="37"/>
      <c r="N997" s="41" t="str">
        <f aca="false">IF(J997="","",J997+K997+L997+N(M997))</f>
        <v/>
      </c>
      <c r="O997" s="41" t="str">
        <f aca="false">IF(N997="","",IF(P997&lt;&gt;"",N997-P997,ROUND(N997*IFERROR(INDEX(Settings!$E$5:$E$12,MATCH(F997,Settings!$D$5:$D$12,0)),0),2)))</f>
        <v/>
      </c>
      <c r="P997" s="37"/>
      <c r="Q997" s="41" t="str">
        <f aca="false">IF(N997="","",IF(P997&lt;&gt;"",P997,N997-O997))</f>
        <v/>
      </c>
      <c r="R997" s="41" t="str">
        <f aca="false">IF(J997="","",IFERROR(N(INDEX(Properties!$H$5:$H$24,MATCH(D997,Properties!$A$5:$A$24,0))),0))</f>
        <v/>
      </c>
      <c r="S997" s="41" t="str">
        <f aca="false">IF(Q997="","",Q997-R997)</f>
        <v/>
      </c>
      <c r="T997" s="6"/>
      <c r="U997" s="6"/>
      <c r="V997" s="6"/>
      <c r="W997" s="6"/>
      <c r="X997" s="6"/>
      <c r="Y997" s="8" t="str">
        <f aca="false">IF(OR(D997="",B997="",C997=""),"",IF(N(C997)&lt;=N(B997),"Check dates",IF(T997="Cancelled","",IF(COUNTIFS($D$5:$D$1004,D997,$B$5:$B$1004,"&lt;"&amp;C997,$C$5:$C$1004,"&gt;"&amp;B997,$T$5:$T$1004,"&lt;&gt;Cancelled")&gt;1,"Double-booked",""))))</f>
        <v/>
      </c>
      <c r="Z997" s="42" t="str">
        <f aca="false">IF(AND(AA997=1,ISNUMBER(C997)),C997+ROW()/100000,"")</f>
        <v/>
      </c>
      <c r="AA997" s="43" t="n">
        <f aca="false">IF(AND(D997&lt;&gt;"",ISNUMBER(B997),ISNUMBER(C997),N(H997)&gt;0,T997&lt;&gt;"Cancelled",J997&lt;&gt;""),1,0)</f>
        <v>0</v>
      </c>
      <c r="AB997" s="44" t="n">
        <f aca="false">IF(AA997=1,J997/H997,0)</f>
        <v>0</v>
      </c>
      <c r="AC997" s="44" t="n">
        <f aca="false">IF(AA997=1,Q997/H997,0)</f>
        <v>0</v>
      </c>
      <c r="AD997" s="44" t="n">
        <f aca="false">IF(AA997=1,R997/H997,0)</f>
        <v>0</v>
      </c>
      <c r="AE997" s="44" t="n">
        <f aca="false">IF(AA997=1,O997/H997,0)</f>
        <v>0</v>
      </c>
      <c r="AF997" s="44" t="n">
        <f aca="false">IF(AA997=1,K997/H997,0)</f>
        <v>0</v>
      </c>
      <c r="AG997" s="45" t="str">
        <f aca="false">IF(AA997=1,D997&amp;"|"&amp;TEXT(B997,"0"),"")</f>
        <v/>
      </c>
      <c r="AH997" s="43" t="n">
        <f aca="false">IF(AA997=1,H997,0)</f>
        <v>0</v>
      </c>
    </row>
    <row r="998" customFormat="false" ht="15" hidden="false" customHeight="false" outlineLevel="0" collapsed="false">
      <c r="A998" s="23" t="str">
        <f aca="false">IF(B998="","","B-"&amp;TEXT(ROW()-4,"0000"))</f>
        <v/>
      </c>
      <c r="B998" s="38"/>
      <c r="C998" s="38"/>
      <c r="D998" s="6"/>
      <c r="E998" s="6"/>
      <c r="F998" s="6"/>
      <c r="G998" s="11"/>
      <c r="H998" s="24" t="str">
        <f aca="false">IF(AND(ISNUMBER(B998),ISNUMBER(C998)),MAX(0,C998-B998),"")</f>
        <v/>
      </c>
      <c r="I998" s="37"/>
      <c r="J998" s="46" t="str">
        <f aca="false">IF(OR(D998="",N(H998)=0),"",IFERROR(IF(I998&lt;&gt;"",H998*I998,ROUND(((H998-(INT((WEEKDAY(B998-6)+H998-1)/7)+INT((WEEKDAY(B998-7)+H998-1)/7)))*INDEX(Properties!$E$5:$E$24,MATCH(D998,Properties!$A$5:$A$24,0))+(INT((WEEKDAY(B998-6)+H998-1)/7)+INT((WEEKDAY(B998-7)+H998-1)/7))*INDEX(Properties!$F$5:$F$24,MATCH(D998,Properties!$A$5:$A$24,0)))*(1-IF(H998&gt;=28,Settings!$B$10,IF(H998&gt;=7,Settings!$B$9,0))),2)),0))</f>
        <v/>
      </c>
      <c r="K998" s="46" t="str">
        <f aca="false">IF(J998="","",IFERROR(N(INDEX(Properties!$G$5:$G$24,MATCH(D998,Properties!$A$5:$A$24,0))),0))</f>
        <v/>
      </c>
      <c r="L998" s="46" t="str">
        <f aca="false">IF(J998="","",IFERROR(MAX(0,N(G998)-INDEX(Properties!$I$5:$I$24,MATCH(D998,Properties!$A$5:$A$24,0)))*N(INDEX(Properties!$J$5:$J$24,MATCH(D998,Properties!$A$5:$A$24,0)))*H998,0))</f>
        <v/>
      </c>
      <c r="M998" s="37"/>
      <c r="N998" s="46" t="str">
        <f aca="false">IF(J998="","",J998+K998+L998+N(M998))</f>
        <v/>
      </c>
      <c r="O998" s="46" t="str">
        <f aca="false">IF(N998="","",IF(P998&lt;&gt;"",N998-P998,ROUND(N998*IFERROR(INDEX(Settings!$E$5:$E$12,MATCH(F998,Settings!$D$5:$D$12,0)),0),2)))</f>
        <v/>
      </c>
      <c r="P998" s="37"/>
      <c r="Q998" s="46" t="str">
        <f aca="false">IF(N998="","",IF(P998&lt;&gt;"",P998,N998-O998))</f>
        <v/>
      </c>
      <c r="R998" s="46" t="str">
        <f aca="false">IF(J998="","",IFERROR(N(INDEX(Properties!$H$5:$H$24,MATCH(D998,Properties!$A$5:$A$24,0))),0))</f>
        <v/>
      </c>
      <c r="S998" s="46" t="str">
        <f aca="false">IF(Q998="","",Q998-R998)</f>
        <v/>
      </c>
      <c r="T998" s="6"/>
      <c r="U998" s="6"/>
      <c r="V998" s="6"/>
      <c r="W998" s="6"/>
      <c r="X998" s="6"/>
      <c r="Y998" s="8" t="str">
        <f aca="false">IF(OR(D998="",B998="",C998=""),"",IF(N(C998)&lt;=N(B998),"Check dates",IF(T998="Cancelled","",IF(COUNTIFS($D$5:$D$1004,D998,$B$5:$B$1004,"&lt;"&amp;C998,$C$5:$C$1004,"&gt;"&amp;B998,$T$5:$T$1004,"&lt;&gt;Cancelled")&gt;1,"Double-booked",""))))</f>
        <v/>
      </c>
      <c r="Z998" s="42" t="str">
        <f aca="false">IF(AND(AA998=1,ISNUMBER(C998)),C998+ROW()/100000,"")</f>
        <v/>
      </c>
      <c r="AA998" s="43" t="n">
        <f aca="false">IF(AND(D998&lt;&gt;"",ISNUMBER(B998),ISNUMBER(C998),N(H998)&gt;0,T998&lt;&gt;"Cancelled",J998&lt;&gt;""),1,0)</f>
        <v>0</v>
      </c>
      <c r="AB998" s="44" t="n">
        <f aca="false">IF(AA998=1,J998/H998,0)</f>
        <v>0</v>
      </c>
      <c r="AC998" s="44" t="n">
        <f aca="false">IF(AA998=1,Q998/H998,0)</f>
        <v>0</v>
      </c>
      <c r="AD998" s="44" t="n">
        <f aca="false">IF(AA998=1,R998/H998,0)</f>
        <v>0</v>
      </c>
      <c r="AE998" s="44" t="n">
        <f aca="false">IF(AA998=1,O998/H998,0)</f>
        <v>0</v>
      </c>
      <c r="AF998" s="44" t="n">
        <f aca="false">IF(AA998=1,K998/H998,0)</f>
        <v>0</v>
      </c>
      <c r="AG998" s="45" t="str">
        <f aca="false">IF(AA998=1,D998&amp;"|"&amp;TEXT(B998,"0"),"")</f>
        <v/>
      </c>
      <c r="AH998" s="43" t="n">
        <f aca="false">IF(AA998=1,H998,0)</f>
        <v>0</v>
      </c>
    </row>
    <row r="999" customFormat="false" ht="15" hidden="false" customHeight="false" outlineLevel="0" collapsed="false">
      <c r="A999" s="8" t="str">
        <f aca="false">IF(B999="","","B-"&amp;TEXT(ROW()-4,"0000"))</f>
        <v/>
      </c>
      <c r="B999" s="38"/>
      <c r="C999" s="38"/>
      <c r="D999" s="6"/>
      <c r="E999" s="6"/>
      <c r="F999" s="6"/>
      <c r="G999" s="11"/>
      <c r="H999" s="18" t="str">
        <f aca="false">IF(AND(ISNUMBER(B999),ISNUMBER(C999)),MAX(0,C999-B999),"")</f>
        <v/>
      </c>
      <c r="I999" s="37"/>
      <c r="J999" s="41" t="str">
        <f aca="false">IF(OR(D999="",N(H999)=0),"",IFERROR(IF(I999&lt;&gt;"",H999*I999,ROUND(((H999-(INT((WEEKDAY(B999-6)+H999-1)/7)+INT((WEEKDAY(B999-7)+H999-1)/7)))*INDEX(Properties!$E$5:$E$24,MATCH(D999,Properties!$A$5:$A$24,0))+(INT((WEEKDAY(B999-6)+H999-1)/7)+INT((WEEKDAY(B999-7)+H999-1)/7))*INDEX(Properties!$F$5:$F$24,MATCH(D999,Properties!$A$5:$A$24,0)))*(1-IF(H999&gt;=28,Settings!$B$10,IF(H999&gt;=7,Settings!$B$9,0))),2)),0))</f>
        <v/>
      </c>
      <c r="K999" s="41" t="str">
        <f aca="false">IF(J999="","",IFERROR(N(INDEX(Properties!$G$5:$G$24,MATCH(D999,Properties!$A$5:$A$24,0))),0))</f>
        <v/>
      </c>
      <c r="L999" s="41" t="str">
        <f aca="false">IF(J999="","",IFERROR(MAX(0,N(G999)-INDEX(Properties!$I$5:$I$24,MATCH(D999,Properties!$A$5:$A$24,0)))*N(INDEX(Properties!$J$5:$J$24,MATCH(D999,Properties!$A$5:$A$24,0)))*H999,0))</f>
        <v/>
      </c>
      <c r="M999" s="37"/>
      <c r="N999" s="41" t="str">
        <f aca="false">IF(J999="","",J999+K999+L999+N(M999))</f>
        <v/>
      </c>
      <c r="O999" s="41" t="str">
        <f aca="false">IF(N999="","",IF(P999&lt;&gt;"",N999-P999,ROUND(N999*IFERROR(INDEX(Settings!$E$5:$E$12,MATCH(F999,Settings!$D$5:$D$12,0)),0),2)))</f>
        <v/>
      </c>
      <c r="P999" s="37"/>
      <c r="Q999" s="41" t="str">
        <f aca="false">IF(N999="","",IF(P999&lt;&gt;"",P999,N999-O999))</f>
        <v/>
      </c>
      <c r="R999" s="41" t="str">
        <f aca="false">IF(J999="","",IFERROR(N(INDEX(Properties!$H$5:$H$24,MATCH(D999,Properties!$A$5:$A$24,0))),0))</f>
        <v/>
      </c>
      <c r="S999" s="41" t="str">
        <f aca="false">IF(Q999="","",Q999-R999)</f>
        <v/>
      </c>
      <c r="T999" s="6"/>
      <c r="U999" s="6"/>
      <c r="V999" s="6"/>
      <c r="W999" s="6"/>
      <c r="X999" s="6"/>
      <c r="Y999" s="8" t="str">
        <f aca="false">IF(OR(D999="",B999="",C999=""),"",IF(N(C999)&lt;=N(B999),"Check dates",IF(T999="Cancelled","",IF(COUNTIFS($D$5:$D$1004,D999,$B$5:$B$1004,"&lt;"&amp;C999,$C$5:$C$1004,"&gt;"&amp;B999,$T$5:$T$1004,"&lt;&gt;Cancelled")&gt;1,"Double-booked",""))))</f>
        <v/>
      </c>
      <c r="Z999" s="42" t="str">
        <f aca="false">IF(AND(AA999=1,ISNUMBER(C999)),C999+ROW()/100000,"")</f>
        <v/>
      </c>
      <c r="AA999" s="43" t="n">
        <f aca="false">IF(AND(D999&lt;&gt;"",ISNUMBER(B999),ISNUMBER(C999),N(H999)&gt;0,T999&lt;&gt;"Cancelled",J999&lt;&gt;""),1,0)</f>
        <v>0</v>
      </c>
      <c r="AB999" s="44" t="n">
        <f aca="false">IF(AA999=1,J999/H999,0)</f>
        <v>0</v>
      </c>
      <c r="AC999" s="44" t="n">
        <f aca="false">IF(AA999=1,Q999/H999,0)</f>
        <v>0</v>
      </c>
      <c r="AD999" s="44" t="n">
        <f aca="false">IF(AA999=1,R999/H999,0)</f>
        <v>0</v>
      </c>
      <c r="AE999" s="44" t="n">
        <f aca="false">IF(AA999=1,O999/H999,0)</f>
        <v>0</v>
      </c>
      <c r="AF999" s="44" t="n">
        <f aca="false">IF(AA999=1,K999/H999,0)</f>
        <v>0</v>
      </c>
      <c r="AG999" s="45" t="str">
        <f aca="false">IF(AA999=1,D999&amp;"|"&amp;TEXT(B999,"0"),"")</f>
        <v/>
      </c>
      <c r="AH999" s="43" t="n">
        <f aca="false">IF(AA999=1,H999,0)</f>
        <v>0</v>
      </c>
    </row>
    <row r="1000" customFormat="false" ht="15" hidden="false" customHeight="false" outlineLevel="0" collapsed="false">
      <c r="A1000" s="23" t="str">
        <f aca="false">IF(B1000="","","B-"&amp;TEXT(ROW()-4,"0000"))</f>
        <v/>
      </c>
      <c r="B1000" s="38"/>
      <c r="C1000" s="38"/>
      <c r="D1000" s="6"/>
      <c r="E1000" s="6"/>
      <c r="F1000" s="6"/>
      <c r="G1000" s="11"/>
      <c r="H1000" s="24" t="str">
        <f aca="false">IF(AND(ISNUMBER(B1000),ISNUMBER(C1000)),MAX(0,C1000-B1000),"")</f>
        <v/>
      </c>
      <c r="I1000" s="37"/>
      <c r="J1000" s="46" t="str">
        <f aca="false">IF(OR(D1000="",N(H1000)=0),"",IFERROR(IF(I1000&lt;&gt;"",H1000*I1000,ROUND(((H1000-(INT((WEEKDAY(B1000-6)+H1000-1)/7)+INT((WEEKDAY(B1000-7)+H1000-1)/7)))*INDEX(Properties!$E$5:$E$24,MATCH(D1000,Properties!$A$5:$A$24,0))+(INT((WEEKDAY(B1000-6)+H1000-1)/7)+INT((WEEKDAY(B1000-7)+H1000-1)/7))*INDEX(Properties!$F$5:$F$24,MATCH(D1000,Properties!$A$5:$A$24,0)))*(1-IF(H1000&gt;=28,Settings!$B$10,IF(H1000&gt;=7,Settings!$B$9,0))),2)),0))</f>
        <v/>
      </c>
      <c r="K1000" s="46" t="str">
        <f aca="false">IF(J1000="","",IFERROR(N(INDEX(Properties!$G$5:$G$24,MATCH(D1000,Properties!$A$5:$A$24,0))),0))</f>
        <v/>
      </c>
      <c r="L1000" s="46" t="str">
        <f aca="false">IF(J1000="","",IFERROR(MAX(0,N(G1000)-INDEX(Properties!$I$5:$I$24,MATCH(D1000,Properties!$A$5:$A$24,0)))*N(INDEX(Properties!$J$5:$J$24,MATCH(D1000,Properties!$A$5:$A$24,0)))*H1000,0))</f>
        <v/>
      </c>
      <c r="M1000" s="37"/>
      <c r="N1000" s="46" t="str">
        <f aca="false">IF(J1000="","",J1000+K1000+L1000+N(M1000))</f>
        <v/>
      </c>
      <c r="O1000" s="46" t="str">
        <f aca="false">IF(N1000="","",IF(P1000&lt;&gt;"",N1000-P1000,ROUND(N1000*IFERROR(INDEX(Settings!$E$5:$E$12,MATCH(F1000,Settings!$D$5:$D$12,0)),0),2)))</f>
        <v/>
      </c>
      <c r="P1000" s="37"/>
      <c r="Q1000" s="46" t="str">
        <f aca="false">IF(N1000="","",IF(P1000&lt;&gt;"",P1000,N1000-O1000))</f>
        <v/>
      </c>
      <c r="R1000" s="46" t="str">
        <f aca="false">IF(J1000="","",IFERROR(N(INDEX(Properties!$H$5:$H$24,MATCH(D1000,Properties!$A$5:$A$24,0))),0))</f>
        <v/>
      </c>
      <c r="S1000" s="46" t="str">
        <f aca="false">IF(Q1000="","",Q1000-R1000)</f>
        <v/>
      </c>
      <c r="T1000" s="6"/>
      <c r="U1000" s="6"/>
      <c r="V1000" s="6"/>
      <c r="W1000" s="6"/>
      <c r="X1000" s="6"/>
      <c r="Y1000" s="8" t="str">
        <f aca="false">IF(OR(D1000="",B1000="",C1000=""),"",IF(N(C1000)&lt;=N(B1000),"Check dates",IF(T1000="Cancelled","",IF(COUNTIFS($D$5:$D$1004,D1000,$B$5:$B$1004,"&lt;"&amp;C1000,$C$5:$C$1004,"&gt;"&amp;B1000,$T$5:$T$1004,"&lt;&gt;Cancelled")&gt;1,"Double-booked",""))))</f>
        <v/>
      </c>
      <c r="Z1000" s="42" t="str">
        <f aca="false">IF(AND(AA1000=1,ISNUMBER(C1000)),C1000+ROW()/100000,"")</f>
        <v/>
      </c>
      <c r="AA1000" s="43" t="n">
        <f aca="false">IF(AND(D1000&lt;&gt;"",ISNUMBER(B1000),ISNUMBER(C1000),N(H1000)&gt;0,T1000&lt;&gt;"Cancelled",J1000&lt;&gt;""),1,0)</f>
        <v>0</v>
      </c>
      <c r="AB1000" s="44" t="n">
        <f aca="false">IF(AA1000=1,J1000/H1000,0)</f>
        <v>0</v>
      </c>
      <c r="AC1000" s="44" t="n">
        <f aca="false">IF(AA1000=1,Q1000/H1000,0)</f>
        <v>0</v>
      </c>
      <c r="AD1000" s="44" t="n">
        <f aca="false">IF(AA1000=1,R1000/H1000,0)</f>
        <v>0</v>
      </c>
      <c r="AE1000" s="44" t="n">
        <f aca="false">IF(AA1000=1,O1000/H1000,0)</f>
        <v>0</v>
      </c>
      <c r="AF1000" s="44" t="n">
        <f aca="false">IF(AA1000=1,K1000/H1000,0)</f>
        <v>0</v>
      </c>
      <c r="AG1000" s="45" t="str">
        <f aca="false">IF(AA1000=1,D1000&amp;"|"&amp;TEXT(B1000,"0"),"")</f>
        <v/>
      </c>
      <c r="AH1000" s="43" t="n">
        <f aca="false">IF(AA1000=1,H1000,0)</f>
        <v>0</v>
      </c>
    </row>
    <row r="1001" customFormat="false" ht="15" hidden="false" customHeight="false" outlineLevel="0" collapsed="false">
      <c r="A1001" s="8" t="str">
        <f aca="false">IF(B1001="","","B-"&amp;TEXT(ROW()-4,"0000"))</f>
        <v/>
      </c>
      <c r="B1001" s="38"/>
      <c r="C1001" s="38"/>
      <c r="D1001" s="6"/>
      <c r="E1001" s="6"/>
      <c r="F1001" s="6"/>
      <c r="G1001" s="11"/>
      <c r="H1001" s="18" t="str">
        <f aca="false">IF(AND(ISNUMBER(B1001),ISNUMBER(C1001)),MAX(0,C1001-B1001),"")</f>
        <v/>
      </c>
      <c r="I1001" s="37"/>
      <c r="J1001" s="41" t="str">
        <f aca="false">IF(OR(D1001="",N(H1001)=0),"",IFERROR(IF(I1001&lt;&gt;"",H1001*I1001,ROUND(((H1001-(INT((WEEKDAY(B1001-6)+H1001-1)/7)+INT((WEEKDAY(B1001-7)+H1001-1)/7)))*INDEX(Properties!$E$5:$E$24,MATCH(D1001,Properties!$A$5:$A$24,0))+(INT((WEEKDAY(B1001-6)+H1001-1)/7)+INT((WEEKDAY(B1001-7)+H1001-1)/7))*INDEX(Properties!$F$5:$F$24,MATCH(D1001,Properties!$A$5:$A$24,0)))*(1-IF(H1001&gt;=28,Settings!$B$10,IF(H1001&gt;=7,Settings!$B$9,0))),2)),0))</f>
        <v/>
      </c>
      <c r="K1001" s="41" t="str">
        <f aca="false">IF(J1001="","",IFERROR(N(INDEX(Properties!$G$5:$G$24,MATCH(D1001,Properties!$A$5:$A$24,0))),0))</f>
        <v/>
      </c>
      <c r="L1001" s="41" t="str">
        <f aca="false">IF(J1001="","",IFERROR(MAX(0,N(G1001)-INDEX(Properties!$I$5:$I$24,MATCH(D1001,Properties!$A$5:$A$24,0)))*N(INDEX(Properties!$J$5:$J$24,MATCH(D1001,Properties!$A$5:$A$24,0)))*H1001,0))</f>
        <v/>
      </c>
      <c r="M1001" s="37"/>
      <c r="N1001" s="41" t="str">
        <f aca="false">IF(J1001="","",J1001+K1001+L1001+N(M1001))</f>
        <v/>
      </c>
      <c r="O1001" s="41" t="str">
        <f aca="false">IF(N1001="","",IF(P1001&lt;&gt;"",N1001-P1001,ROUND(N1001*IFERROR(INDEX(Settings!$E$5:$E$12,MATCH(F1001,Settings!$D$5:$D$12,0)),0),2)))</f>
        <v/>
      </c>
      <c r="P1001" s="37"/>
      <c r="Q1001" s="41" t="str">
        <f aca="false">IF(N1001="","",IF(P1001&lt;&gt;"",P1001,N1001-O1001))</f>
        <v/>
      </c>
      <c r="R1001" s="41" t="str">
        <f aca="false">IF(J1001="","",IFERROR(N(INDEX(Properties!$H$5:$H$24,MATCH(D1001,Properties!$A$5:$A$24,0))),0))</f>
        <v/>
      </c>
      <c r="S1001" s="41" t="str">
        <f aca="false">IF(Q1001="","",Q1001-R1001)</f>
        <v/>
      </c>
      <c r="T1001" s="6"/>
      <c r="U1001" s="6"/>
      <c r="V1001" s="6"/>
      <c r="W1001" s="6"/>
      <c r="X1001" s="6"/>
      <c r="Y1001" s="8" t="str">
        <f aca="false">IF(OR(D1001="",B1001="",C1001=""),"",IF(N(C1001)&lt;=N(B1001),"Check dates",IF(T1001="Cancelled","",IF(COUNTIFS($D$5:$D$1004,D1001,$B$5:$B$1004,"&lt;"&amp;C1001,$C$5:$C$1004,"&gt;"&amp;B1001,$T$5:$T$1004,"&lt;&gt;Cancelled")&gt;1,"Double-booked",""))))</f>
        <v/>
      </c>
      <c r="Z1001" s="42" t="str">
        <f aca="false">IF(AND(AA1001=1,ISNUMBER(C1001)),C1001+ROW()/100000,"")</f>
        <v/>
      </c>
      <c r="AA1001" s="43" t="n">
        <f aca="false">IF(AND(D1001&lt;&gt;"",ISNUMBER(B1001),ISNUMBER(C1001),N(H1001)&gt;0,T1001&lt;&gt;"Cancelled",J1001&lt;&gt;""),1,0)</f>
        <v>0</v>
      </c>
      <c r="AB1001" s="44" t="n">
        <f aca="false">IF(AA1001=1,J1001/H1001,0)</f>
        <v>0</v>
      </c>
      <c r="AC1001" s="44" t="n">
        <f aca="false">IF(AA1001=1,Q1001/H1001,0)</f>
        <v>0</v>
      </c>
      <c r="AD1001" s="44" t="n">
        <f aca="false">IF(AA1001=1,R1001/H1001,0)</f>
        <v>0</v>
      </c>
      <c r="AE1001" s="44" t="n">
        <f aca="false">IF(AA1001=1,O1001/H1001,0)</f>
        <v>0</v>
      </c>
      <c r="AF1001" s="44" t="n">
        <f aca="false">IF(AA1001=1,K1001/H1001,0)</f>
        <v>0</v>
      </c>
      <c r="AG1001" s="45" t="str">
        <f aca="false">IF(AA1001=1,D1001&amp;"|"&amp;TEXT(B1001,"0"),"")</f>
        <v/>
      </c>
      <c r="AH1001" s="43" t="n">
        <f aca="false">IF(AA1001=1,H1001,0)</f>
        <v>0</v>
      </c>
    </row>
    <row r="1002" customFormat="false" ht="15" hidden="false" customHeight="false" outlineLevel="0" collapsed="false">
      <c r="A1002" s="23" t="str">
        <f aca="false">IF(B1002="","","B-"&amp;TEXT(ROW()-4,"0000"))</f>
        <v/>
      </c>
      <c r="B1002" s="38"/>
      <c r="C1002" s="38"/>
      <c r="D1002" s="6"/>
      <c r="E1002" s="6"/>
      <c r="F1002" s="6"/>
      <c r="G1002" s="11"/>
      <c r="H1002" s="24" t="str">
        <f aca="false">IF(AND(ISNUMBER(B1002),ISNUMBER(C1002)),MAX(0,C1002-B1002),"")</f>
        <v/>
      </c>
      <c r="I1002" s="37"/>
      <c r="J1002" s="46" t="str">
        <f aca="false">IF(OR(D1002="",N(H1002)=0),"",IFERROR(IF(I1002&lt;&gt;"",H1002*I1002,ROUND(((H1002-(INT((WEEKDAY(B1002-6)+H1002-1)/7)+INT((WEEKDAY(B1002-7)+H1002-1)/7)))*INDEX(Properties!$E$5:$E$24,MATCH(D1002,Properties!$A$5:$A$24,0))+(INT((WEEKDAY(B1002-6)+H1002-1)/7)+INT((WEEKDAY(B1002-7)+H1002-1)/7))*INDEX(Properties!$F$5:$F$24,MATCH(D1002,Properties!$A$5:$A$24,0)))*(1-IF(H1002&gt;=28,Settings!$B$10,IF(H1002&gt;=7,Settings!$B$9,0))),2)),0))</f>
        <v/>
      </c>
      <c r="K1002" s="46" t="str">
        <f aca="false">IF(J1002="","",IFERROR(N(INDEX(Properties!$G$5:$G$24,MATCH(D1002,Properties!$A$5:$A$24,0))),0))</f>
        <v/>
      </c>
      <c r="L1002" s="46" t="str">
        <f aca="false">IF(J1002="","",IFERROR(MAX(0,N(G1002)-INDEX(Properties!$I$5:$I$24,MATCH(D1002,Properties!$A$5:$A$24,0)))*N(INDEX(Properties!$J$5:$J$24,MATCH(D1002,Properties!$A$5:$A$24,0)))*H1002,0))</f>
        <v/>
      </c>
      <c r="M1002" s="37"/>
      <c r="N1002" s="46" t="str">
        <f aca="false">IF(J1002="","",J1002+K1002+L1002+N(M1002))</f>
        <v/>
      </c>
      <c r="O1002" s="46" t="str">
        <f aca="false">IF(N1002="","",IF(P1002&lt;&gt;"",N1002-P1002,ROUND(N1002*IFERROR(INDEX(Settings!$E$5:$E$12,MATCH(F1002,Settings!$D$5:$D$12,0)),0),2)))</f>
        <v/>
      </c>
      <c r="P1002" s="37"/>
      <c r="Q1002" s="46" t="str">
        <f aca="false">IF(N1002="","",IF(P1002&lt;&gt;"",P1002,N1002-O1002))</f>
        <v/>
      </c>
      <c r="R1002" s="46" t="str">
        <f aca="false">IF(J1002="","",IFERROR(N(INDEX(Properties!$H$5:$H$24,MATCH(D1002,Properties!$A$5:$A$24,0))),0))</f>
        <v/>
      </c>
      <c r="S1002" s="46" t="str">
        <f aca="false">IF(Q1002="","",Q1002-R1002)</f>
        <v/>
      </c>
      <c r="T1002" s="6"/>
      <c r="U1002" s="6"/>
      <c r="V1002" s="6"/>
      <c r="W1002" s="6"/>
      <c r="X1002" s="6"/>
      <c r="Y1002" s="8" t="str">
        <f aca="false">IF(OR(D1002="",B1002="",C1002=""),"",IF(N(C1002)&lt;=N(B1002),"Check dates",IF(T1002="Cancelled","",IF(COUNTIFS($D$5:$D$1004,D1002,$B$5:$B$1004,"&lt;"&amp;C1002,$C$5:$C$1004,"&gt;"&amp;B1002,$T$5:$T$1004,"&lt;&gt;Cancelled")&gt;1,"Double-booked",""))))</f>
        <v/>
      </c>
      <c r="Z1002" s="42" t="str">
        <f aca="false">IF(AND(AA1002=1,ISNUMBER(C1002)),C1002+ROW()/100000,"")</f>
        <v/>
      </c>
      <c r="AA1002" s="43" t="n">
        <f aca="false">IF(AND(D1002&lt;&gt;"",ISNUMBER(B1002),ISNUMBER(C1002),N(H1002)&gt;0,T1002&lt;&gt;"Cancelled",J1002&lt;&gt;""),1,0)</f>
        <v>0</v>
      </c>
      <c r="AB1002" s="44" t="n">
        <f aca="false">IF(AA1002=1,J1002/H1002,0)</f>
        <v>0</v>
      </c>
      <c r="AC1002" s="44" t="n">
        <f aca="false">IF(AA1002=1,Q1002/H1002,0)</f>
        <v>0</v>
      </c>
      <c r="AD1002" s="44" t="n">
        <f aca="false">IF(AA1002=1,R1002/H1002,0)</f>
        <v>0</v>
      </c>
      <c r="AE1002" s="44" t="n">
        <f aca="false">IF(AA1002=1,O1002/H1002,0)</f>
        <v>0</v>
      </c>
      <c r="AF1002" s="44" t="n">
        <f aca="false">IF(AA1002=1,K1002/H1002,0)</f>
        <v>0</v>
      </c>
      <c r="AG1002" s="45" t="str">
        <f aca="false">IF(AA1002=1,D1002&amp;"|"&amp;TEXT(B1002,"0"),"")</f>
        <v/>
      </c>
      <c r="AH1002" s="43" t="n">
        <f aca="false">IF(AA1002=1,H1002,0)</f>
        <v>0</v>
      </c>
    </row>
    <row r="1003" customFormat="false" ht="15" hidden="false" customHeight="false" outlineLevel="0" collapsed="false">
      <c r="A1003" s="8" t="str">
        <f aca="false">IF(B1003="","","B-"&amp;TEXT(ROW()-4,"0000"))</f>
        <v/>
      </c>
      <c r="B1003" s="38"/>
      <c r="C1003" s="38"/>
      <c r="D1003" s="6"/>
      <c r="E1003" s="6"/>
      <c r="F1003" s="6"/>
      <c r="G1003" s="11"/>
      <c r="H1003" s="18" t="str">
        <f aca="false">IF(AND(ISNUMBER(B1003),ISNUMBER(C1003)),MAX(0,C1003-B1003),"")</f>
        <v/>
      </c>
      <c r="I1003" s="37"/>
      <c r="J1003" s="41" t="str">
        <f aca="false">IF(OR(D1003="",N(H1003)=0),"",IFERROR(IF(I1003&lt;&gt;"",H1003*I1003,ROUND(((H1003-(INT((WEEKDAY(B1003-6)+H1003-1)/7)+INT((WEEKDAY(B1003-7)+H1003-1)/7)))*INDEX(Properties!$E$5:$E$24,MATCH(D1003,Properties!$A$5:$A$24,0))+(INT((WEEKDAY(B1003-6)+H1003-1)/7)+INT((WEEKDAY(B1003-7)+H1003-1)/7))*INDEX(Properties!$F$5:$F$24,MATCH(D1003,Properties!$A$5:$A$24,0)))*(1-IF(H1003&gt;=28,Settings!$B$10,IF(H1003&gt;=7,Settings!$B$9,0))),2)),0))</f>
        <v/>
      </c>
      <c r="K1003" s="41" t="str">
        <f aca="false">IF(J1003="","",IFERROR(N(INDEX(Properties!$G$5:$G$24,MATCH(D1003,Properties!$A$5:$A$24,0))),0))</f>
        <v/>
      </c>
      <c r="L1003" s="41" t="str">
        <f aca="false">IF(J1003="","",IFERROR(MAX(0,N(G1003)-INDEX(Properties!$I$5:$I$24,MATCH(D1003,Properties!$A$5:$A$24,0)))*N(INDEX(Properties!$J$5:$J$24,MATCH(D1003,Properties!$A$5:$A$24,0)))*H1003,0))</f>
        <v/>
      </c>
      <c r="M1003" s="37"/>
      <c r="N1003" s="41" t="str">
        <f aca="false">IF(J1003="","",J1003+K1003+L1003+N(M1003))</f>
        <v/>
      </c>
      <c r="O1003" s="41" t="str">
        <f aca="false">IF(N1003="","",IF(P1003&lt;&gt;"",N1003-P1003,ROUND(N1003*IFERROR(INDEX(Settings!$E$5:$E$12,MATCH(F1003,Settings!$D$5:$D$12,0)),0),2)))</f>
        <v/>
      </c>
      <c r="P1003" s="37"/>
      <c r="Q1003" s="41" t="str">
        <f aca="false">IF(N1003="","",IF(P1003&lt;&gt;"",P1003,N1003-O1003))</f>
        <v/>
      </c>
      <c r="R1003" s="41" t="str">
        <f aca="false">IF(J1003="","",IFERROR(N(INDEX(Properties!$H$5:$H$24,MATCH(D1003,Properties!$A$5:$A$24,0))),0))</f>
        <v/>
      </c>
      <c r="S1003" s="41" t="str">
        <f aca="false">IF(Q1003="","",Q1003-R1003)</f>
        <v/>
      </c>
      <c r="T1003" s="6"/>
      <c r="U1003" s="6"/>
      <c r="V1003" s="6"/>
      <c r="W1003" s="6"/>
      <c r="X1003" s="6"/>
      <c r="Y1003" s="8" t="str">
        <f aca="false">IF(OR(D1003="",B1003="",C1003=""),"",IF(N(C1003)&lt;=N(B1003),"Check dates",IF(T1003="Cancelled","",IF(COUNTIFS($D$5:$D$1004,D1003,$B$5:$B$1004,"&lt;"&amp;C1003,$C$5:$C$1004,"&gt;"&amp;B1003,$T$5:$T$1004,"&lt;&gt;Cancelled")&gt;1,"Double-booked",""))))</f>
        <v/>
      </c>
      <c r="Z1003" s="42" t="str">
        <f aca="false">IF(AND(AA1003=1,ISNUMBER(C1003)),C1003+ROW()/100000,"")</f>
        <v/>
      </c>
      <c r="AA1003" s="43" t="n">
        <f aca="false">IF(AND(D1003&lt;&gt;"",ISNUMBER(B1003),ISNUMBER(C1003),N(H1003)&gt;0,T1003&lt;&gt;"Cancelled",J1003&lt;&gt;""),1,0)</f>
        <v>0</v>
      </c>
      <c r="AB1003" s="44" t="n">
        <f aca="false">IF(AA1003=1,J1003/H1003,0)</f>
        <v>0</v>
      </c>
      <c r="AC1003" s="44" t="n">
        <f aca="false">IF(AA1003=1,Q1003/H1003,0)</f>
        <v>0</v>
      </c>
      <c r="AD1003" s="44" t="n">
        <f aca="false">IF(AA1003=1,R1003/H1003,0)</f>
        <v>0</v>
      </c>
      <c r="AE1003" s="44" t="n">
        <f aca="false">IF(AA1003=1,O1003/H1003,0)</f>
        <v>0</v>
      </c>
      <c r="AF1003" s="44" t="n">
        <f aca="false">IF(AA1003=1,K1003/H1003,0)</f>
        <v>0</v>
      </c>
      <c r="AG1003" s="45" t="str">
        <f aca="false">IF(AA1003=1,D1003&amp;"|"&amp;TEXT(B1003,"0"),"")</f>
        <v/>
      </c>
      <c r="AH1003" s="43" t="n">
        <f aca="false">IF(AA1003=1,H1003,0)</f>
        <v>0</v>
      </c>
    </row>
    <row r="1004" customFormat="false" ht="15" hidden="false" customHeight="false" outlineLevel="0" collapsed="false">
      <c r="A1004" s="23" t="str">
        <f aca="false">IF(B1004="","","B-"&amp;TEXT(ROW()-4,"0000"))</f>
        <v/>
      </c>
      <c r="B1004" s="38"/>
      <c r="C1004" s="38"/>
      <c r="D1004" s="6"/>
      <c r="E1004" s="6"/>
      <c r="F1004" s="6"/>
      <c r="G1004" s="11"/>
      <c r="H1004" s="24" t="str">
        <f aca="false">IF(AND(ISNUMBER(B1004),ISNUMBER(C1004)),MAX(0,C1004-B1004),"")</f>
        <v/>
      </c>
      <c r="I1004" s="37"/>
      <c r="J1004" s="46" t="str">
        <f aca="false">IF(OR(D1004="",N(H1004)=0),"",IFERROR(IF(I1004&lt;&gt;"",H1004*I1004,ROUND(((H1004-(INT((WEEKDAY(B1004-6)+H1004-1)/7)+INT((WEEKDAY(B1004-7)+H1004-1)/7)))*INDEX(Properties!$E$5:$E$24,MATCH(D1004,Properties!$A$5:$A$24,0))+(INT((WEEKDAY(B1004-6)+H1004-1)/7)+INT((WEEKDAY(B1004-7)+H1004-1)/7))*INDEX(Properties!$F$5:$F$24,MATCH(D1004,Properties!$A$5:$A$24,0)))*(1-IF(H1004&gt;=28,Settings!$B$10,IF(H1004&gt;=7,Settings!$B$9,0))),2)),0))</f>
        <v/>
      </c>
      <c r="K1004" s="46" t="str">
        <f aca="false">IF(J1004="","",IFERROR(N(INDEX(Properties!$G$5:$G$24,MATCH(D1004,Properties!$A$5:$A$24,0))),0))</f>
        <v/>
      </c>
      <c r="L1004" s="46" t="str">
        <f aca="false">IF(J1004="","",IFERROR(MAX(0,N(G1004)-INDEX(Properties!$I$5:$I$24,MATCH(D1004,Properties!$A$5:$A$24,0)))*N(INDEX(Properties!$J$5:$J$24,MATCH(D1004,Properties!$A$5:$A$24,0)))*H1004,0))</f>
        <v/>
      </c>
      <c r="M1004" s="37"/>
      <c r="N1004" s="46" t="str">
        <f aca="false">IF(J1004="","",J1004+K1004+L1004+N(M1004))</f>
        <v/>
      </c>
      <c r="O1004" s="46" t="str">
        <f aca="false">IF(N1004="","",IF(P1004&lt;&gt;"",N1004-P1004,ROUND(N1004*IFERROR(INDEX(Settings!$E$5:$E$12,MATCH(F1004,Settings!$D$5:$D$12,0)),0),2)))</f>
        <v/>
      </c>
      <c r="P1004" s="37"/>
      <c r="Q1004" s="46" t="str">
        <f aca="false">IF(N1004="","",IF(P1004&lt;&gt;"",P1004,N1004-O1004))</f>
        <v/>
      </c>
      <c r="R1004" s="46" t="str">
        <f aca="false">IF(J1004="","",IFERROR(N(INDEX(Properties!$H$5:$H$24,MATCH(D1004,Properties!$A$5:$A$24,0))),0))</f>
        <v/>
      </c>
      <c r="S1004" s="46" t="str">
        <f aca="false">IF(Q1004="","",Q1004-R1004)</f>
        <v/>
      </c>
      <c r="T1004" s="6"/>
      <c r="U1004" s="6"/>
      <c r="V1004" s="6"/>
      <c r="W1004" s="6"/>
      <c r="X1004" s="6"/>
      <c r="Y1004" s="8" t="str">
        <f aca="false">IF(OR(D1004="",B1004="",C1004=""),"",IF(N(C1004)&lt;=N(B1004),"Check dates",IF(T1004="Cancelled","",IF(COUNTIFS($D$5:$D$1004,D1004,$B$5:$B$1004,"&lt;"&amp;C1004,$C$5:$C$1004,"&gt;"&amp;B1004,$T$5:$T$1004,"&lt;&gt;Cancelled")&gt;1,"Double-booked",""))))</f>
        <v/>
      </c>
      <c r="Z1004" s="42" t="str">
        <f aca="false">IF(AND(AA1004=1,ISNUMBER(C1004)),C1004+ROW()/100000,"")</f>
        <v/>
      </c>
      <c r="AA1004" s="43" t="n">
        <f aca="false">IF(AND(D1004&lt;&gt;"",ISNUMBER(B1004),ISNUMBER(C1004),N(H1004)&gt;0,T1004&lt;&gt;"Cancelled",J1004&lt;&gt;""),1,0)</f>
        <v>0</v>
      </c>
      <c r="AB1004" s="44" t="n">
        <f aca="false">IF(AA1004=1,J1004/H1004,0)</f>
        <v>0</v>
      </c>
      <c r="AC1004" s="44" t="n">
        <f aca="false">IF(AA1004=1,Q1004/H1004,0)</f>
        <v>0</v>
      </c>
      <c r="AD1004" s="44" t="n">
        <f aca="false">IF(AA1004=1,R1004/H1004,0)</f>
        <v>0</v>
      </c>
      <c r="AE1004" s="44" t="n">
        <f aca="false">IF(AA1004=1,O1004/H1004,0)</f>
        <v>0</v>
      </c>
      <c r="AF1004" s="44" t="n">
        <f aca="false">IF(AA1004=1,K1004/H1004,0)</f>
        <v>0</v>
      </c>
      <c r="AG1004" s="45" t="str">
        <f aca="false">IF(AA1004=1,D1004&amp;"|"&amp;TEXT(B1004,"0"),"")</f>
        <v/>
      </c>
      <c r="AH1004" s="43" t="n">
        <f aca="false">IF(AA1004=1,H1004,0)</f>
        <v>0</v>
      </c>
    </row>
  </sheetData>
  <autoFilter ref="A4:Y1004"/>
  <conditionalFormatting sqref="Y5:Y1004">
    <cfRule type="cellIs" priority="2" operator="notEqual" aboveAverage="0" equalAverage="0" bottom="0" percent="0" rank="0" text="" dxfId="11">
      <formula>""</formula>
    </cfRule>
  </conditionalFormatting>
  <conditionalFormatting sqref="U5:U1004">
    <cfRule type="cellIs" priority="3" operator="equal" aboveAverage="0" equalAverage="0" bottom="0" percent="0" rank="0" text="" dxfId="11">
      <formula>"No"</formula>
    </cfRule>
  </conditionalFormatting>
  <conditionalFormatting sqref="T5:T1004">
    <cfRule type="cellIs" priority="4" operator="equal" aboveAverage="0" equalAverage="0" bottom="0" percent="0" rank="0" text="" dxfId="12">
      <formula>"Cancelled"</formula>
    </cfRule>
  </conditionalFormatting>
  <dataValidations count="6">
    <dataValidation allowBlank="true" errorStyle="stop" operator="between" showDropDown="false" showErrorMessage="true" showInputMessage="false" sqref="D5:D1004" type="list">
      <formula1>Properties!$A$5:$A$24</formula1>
      <formula2>0</formula2>
    </dataValidation>
    <dataValidation allowBlank="true" errorStyle="stop" operator="between" showDropDown="false" showErrorMessage="true" showInputMessage="false" sqref="F5:F1004" type="list">
      <formula1>Settings!$D$5:$D$12</formula1>
      <formula2>0</formula2>
    </dataValidation>
    <dataValidation allowBlank="true" errorStyle="stop" operator="between" showDropDown="false" showErrorMessage="true" showInputMessage="false" sqref="T5:T1004" type="list">
      <formula1>"Booked,Cancelled"</formula1>
      <formula2>0</formula2>
    </dataValidation>
    <dataValidation allowBlank="true" errorStyle="stop" operator="between" showDropDown="false" showErrorMessage="true" showInputMessage="false" sqref="U5:U1004" type="list">
      <formula1>"Yes,No"</formula1>
      <formula2>0</formula2>
    </dataValidation>
    <dataValidation allowBlank="true" errorStyle="stop" operator="between" showDropDown="false" showErrorMessage="true" showInputMessage="false" sqref="V5:V1004" type="list">
      <formula1>Settings!$J$4:$J$10</formula1>
      <formula2>0</formula2>
    </dataValidation>
    <dataValidation allowBlank="true" errorStyle="stop" operator="between" showDropDown="false" showErrorMessage="true" showInputMessage="false" sqref="W5:W1004"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6B64"/>
    <pageSetUpPr fitToPage="false"/>
  </sheetPr>
  <dimension ref="A1:M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7"/>
    <col collapsed="false" customWidth="true" hidden="false" outlineLevel="0" max="3" min="3" style="0" width="22"/>
    <col collapsed="false" customWidth="true" hidden="false" outlineLevel="0" max="4" min="4" style="0" width="18"/>
    <col collapsed="false" customWidth="true" hidden="false" outlineLevel="0" max="5" min="5" style="0" width="13"/>
    <col collapsed="false" customWidth="true" hidden="false" outlineLevel="0" max="6" min="6" style="0" width="18"/>
    <col collapsed="false" customWidth="true" hidden="false" outlineLevel="0" max="7" min="7" style="0" width="8"/>
    <col collapsed="false" customWidth="true" hidden="false" outlineLevel="0" max="8" min="8" style="0" width="10"/>
    <col collapsed="false" customWidth="true" hidden="false" outlineLevel="0" max="9" min="9" style="0" width="20"/>
    <col collapsed="false" customWidth="true" hidden="false" outlineLevel="0" max="10" min="10" style="0" width="17"/>
    <col collapsed="false" customWidth="true" hidden="false" outlineLevel="0" max="11" min="11" style="0" width="8"/>
    <col collapsed="false" customWidth="true" hidden="false" outlineLevel="0" max="12" min="12" style="0" width="30"/>
    <col collapsed="false" customWidth="true" hidden="false" outlineLevel="0" max="13" min="13" style="0" width="5"/>
  </cols>
  <sheetData>
    <row r="1" customFormat="false" ht="30" hidden="false" customHeight="true" outlineLevel="0" collapsed="false">
      <c r="A1" s="1" t="s">
        <v>129</v>
      </c>
    </row>
    <row r="2" customFormat="false" ht="15" hidden="false" customHeight="false" outlineLevel="0" collapsed="false">
      <c r="A2" s="2" t="s">
        <v>130</v>
      </c>
    </row>
    <row r="4" customFormat="false" ht="15" hidden="false" customHeight="false" outlineLevel="0" collapsed="false">
      <c r="A4" s="4" t="s">
        <v>131</v>
      </c>
      <c r="B4" s="38" t="n">
        <f aca="true">TODAY()</f>
        <v>46315</v>
      </c>
      <c r="C4" s="38"/>
      <c r="D4" s="2" t="str">
        <f aca="false">"Check-out "&amp;Settings!$B$11&amp;" · Check-in "&amp;Settings!$B$12</f>
        <v>Check-out 11:00 AM · Check-in 4:00 PM</v>
      </c>
    </row>
    <row r="5" customFormat="false" ht="15" hidden="false" customHeight="false" outlineLevel="0" collapsed="false">
      <c r="A5" s="40" t="s">
        <v>132</v>
      </c>
    </row>
    <row r="6" customFormat="false" ht="31.5" hidden="false" customHeight="true" outlineLevel="0" collapsed="false">
      <c r="A6" s="16" t="s">
        <v>133</v>
      </c>
      <c r="B6" s="16" t="s">
        <v>134</v>
      </c>
      <c r="C6" s="16" t="s">
        <v>55</v>
      </c>
      <c r="D6" s="16" t="s">
        <v>135</v>
      </c>
      <c r="E6" s="16" t="s">
        <v>81</v>
      </c>
      <c r="F6" s="16" t="s">
        <v>136</v>
      </c>
      <c r="G6" s="16" t="s">
        <v>94</v>
      </c>
      <c r="H6" s="16" t="s">
        <v>137</v>
      </c>
      <c r="I6" s="16" t="s">
        <v>138</v>
      </c>
      <c r="J6" s="16" t="s">
        <v>107</v>
      </c>
      <c r="K6" s="16" t="s">
        <v>139</v>
      </c>
      <c r="L6" s="16" t="s">
        <v>140</v>
      </c>
      <c r="M6" s="17" t="s">
        <v>141</v>
      </c>
    </row>
    <row r="7" customFormat="false" ht="15" hidden="false" customHeight="false" outlineLevel="0" collapsed="false">
      <c r="A7" s="39" t="str">
        <f aca="false">IF($M7="","",INDEX(Bookings!$C$5:$C$1004,$M7))</f>
        <v/>
      </c>
      <c r="B7" s="8" t="str">
        <f aca="false">IF(A7="","",TEXT(A7,"ddd"))</f>
        <v/>
      </c>
      <c r="C7" s="8" t="str">
        <f aca="false">IF($M7="","",INDEX(Bookings!$D$5:$D$1004,$M7))</f>
        <v/>
      </c>
      <c r="D7" s="8" t="str">
        <f aca="false">IF($M7="","",INDEX(Bookings!$E$5:$E$1004,$M7)&amp;"")</f>
        <v/>
      </c>
      <c r="E7" s="39" t="str">
        <f aca="false">IF($M7="","",IF(_xlfn.MINIFS(Bookings!$B$5:$B$1004,Bookings!$D$5:$D$1004,C7,Bookings!$B$5:$B$1004,"&gt;="&amp;A7,Bookings!$AA$5:$AA$1004,1)=0,"",_xlfn.MINIFS(Bookings!$B$5:$B$1004,Bookings!$D$5:$D$1004,C7,Bookings!$B$5:$B$1004,"&gt;="&amp;A7,Bookings!$AA$5:$AA$1004,1)))</f>
        <v/>
      </c>
      <c r="F7" s="8" t="str">
        <f aca="false">IF(E7="","",IFERROR(INDEX(Bookings!$E$5:$E$1004,MATCH(C7&amp;"|"&amp;TEXT(E7,"0"),Bookings!$AG$5:$AG$1004,0))&amp;"",""))</f>
        <v/>
      </c>
      <c r="G7" s="18" t="str">
        <f aca="false">IF(E7="","",IFERROR(INDEX(Bookings!$G$5:$G$1004,MATCH(C7&amp;"|"&amp;TEXT(E7,"0"),Bookings!$AG$5:$AG$1004,0)),""))</f>
        <v/>
      </c>
      <c r="H7" s="18" t="str">
        <f aca="false">IF(OR(A7="",E7=""),"",E7-A7)</f>
        <v/>
      </c>
      <c r="I7" s="8" t="str">
        <f aca="false">IF(A7="","",IF(E7="","No next booking",IF(H7=0,"SAME-DAY turnover",IF(H7=1,"Next-day check-in",""))))</f>
        <v/>
      </c>
      <c r="J7" s="8" t="str">
        <f aca="false">IF($M7="","",IF(INDEX(Bookings!$V$5:$V$1004,$M7)="","Unassigned",INDEX(Bookings!$V$5:$V$1004,$M7)))</f>
        <v/>
      </c>
      <c r="K7" s="8" t="str">
        <f aca="false">IF($M7="","",IF(INDEX(Bookings!$W$5:$W$1004,$M7)="Yes","Yes",""))</f>
        <v/>
      </c>
      <c r="L7" s="8" t="str">
        <f aca="false">IF($M7="","",INDEX(Bookings!$X$5:$X$1004,$M7)&amp;"")</f>
        <v/>
      </c>
      <c r="M7" s="47" t="str">
        <f aca="false">IFERROR(MATCH(SMALL(Bookings!$Z$5:$Z$1004,COUNTIF(Bookings!$Z$5:$Z$1004,"&lt;"&amp;$B$4)+1),Bookings!$Z$5:$Z$1004,0),"")</f>
        <v/>
      </c>
    </row>
    <row r="8" customFormat="false" ht="15" hidden="false" customHeight="false" outlineLevel="0" collapsed="false">
      <c r="A8" s="48" t="str">
        <f aca="false">IF($M8="","",INDEX(Bookings!$C$5:$C$1004,$M8))</f>
        <v/>
      </c>
      <c r="B8" s="23" t="str">
        <f aca="false">IF(A8="","",TEXT(A8,"ddd"))</f>
        <v/>
      </c>
      <c r="C8" s="23" t="str">
        <f aca="false">IF($M8="","",INDEX(Bookings!$D$5:$D$1004,$M8))</f>
        <v/>
      </c>
      <c r="D8" s="23" t="str">
        <f aca="false">IF($M8="","",INDEX(Bookings!$E$5:$E$1004,$M8)&amp;"")</f>
        <v/>
      </c>
      <c r="E8" s="48" t="str">
        <f aca="false">IF($M8="","",IF(_xlfn.MINIFS(Bookings!$B$5:$B$1004,Bookings!$D$5:$D$1004,C8,Bookings!$B$5:$B$1004,"&gt;="&amp;A8,Bookings!$AA$5:$AA$1004,1)=0,"",_xlfn.MINIFS(Bookings!$B$5:$B$1004,Bookings!$D$5:$D$1004,C8,Bookings!$B$5:$B$1004,"&gt;="&amp;A8,Bookings!$AA$5:$AA$1004,1)))</f>
        <v/>
      </c>
      <c r="F8" s="23" t="str">
        <f aca="false">IF(E8="","",IFERROR(INDEX(Bookings!$E$5:$E$1004,MATCH(C8&amp;"|"&amp;TEXT(E8,"0"),Bookings!$AG$5:$AG$1004,0))&amp;"",""))</f>
        <v/>
      </c>
      <c r="G8" s="24" t="str">
        <f aca="false">IF(E8="","",IFERROR(INDEX(Bookings!$G$5:$G$1004,MATCH(C8&amp;"|"&amp;TEXT(E8,"0"),Bookings!$AG$5:$AG$1004,0)),""))</f>
        <v/>
      </c>
      <c r="H8" s="24" t="str">
        <f aca="false">IF(OR(A8="",E8=""),"",E8-A8)</f>
        <v/>
      </c>
      <c r="I8" s="23" t="str">
        <f aca="false">IF(A8="","",IF(E8="","No next booking",IF(H8=0,"SAME-DAY turnover",IF(H8=1,"Next-day check-in",""))))</f>
        <v/>
      </c>
      <c r="J8" s="23" t="str">
        <f aca="false">IF($M8="","",IF(INDEX(Bookings!$V$5:$V$1004,$M8)="","Unassigned",INDEX(Bookings!$V$5:$V$1004,$M8)))</f>
        <v/>
      </c>
      <c r="K8" s="23" t="str">
        <f aca="false">IF($M8="","",IF(INDEX(Bookings!$W$5:$W$1004,$M8)="Yes","Yes",""))</f>
        <v/>
      </c>
      <c r="L8" s="23" t="str">
        <f aca="false">IF($M8="","",INDEX(Bookings!$X$5:$X$1004,$M8)&amp;"")</f>
        <v/>
      </c>
      <c r="M8" s="47" t="str">
        <f aca="false">IFERROR(MATCH(SMALL(Bookings!$Z$5:$Z$1004,COUNTIF(Bookings!$Z$5:$Z$1004,"&lt;"&amp;$B$4)+2),Bookings!$Z$5:$Z$1004,0),"")</f>
        <v/>
      </c>
    </row>
    <row r="9" customFormat="false" ht="15" hidden="false" customHeight="false" outlineLevel="0" collapsed="false">
      <c r="A9" s="39" t="str">
        <f aca="false">IF($M9="","",INDEX(Bookings!$C$5:$C$1004,$M9))</f>
        <v/>
      </c>
      <c r="B9" s="8" t="str">
        <f aca="false">IF(A9="","",TEXT(A9,"ddd"))</f>
        <v/>
      </c>
      <c r="C9" s="8" t="str">
        <f aca="false">IF($M9="","",INDEX(Bookings!$D$5:$D$1004,$M9))</f>
        <v/>
      </c>
      <c r="D9" s="8" t="str">
        <f aca="false">IF($M9="","",INDEX(Bookings!$E$5:$E$1004,$M9)&amp;"")</f>
        <v/>
      </c>
      <c r="E9" s="39" t="str">
        <f aca="false">IF($M9="","",IF(_xlfn.MINIFS(Bookings!$B$5:$B$1004,Bookings!$D$5:$D$1004,C9,Bookings!$B$5:$B$1004,"&gt;="&amp;A9,Bookings!$AA$5:$AA$1004,1)=0,"",_xlfn.MINIFS(Bookings!$B$5:$B$1004,Bookings!$D$5:$D$1004,C9,Bookings!$B$5:$B$1004,"&gt;="&amp;A9,Bookings!$AA$5:$AA$1004,1)))</f>
        <v/>
      </c>
      <c r="F9" s="8" t="str">
        <f aca="false">IF(E9="","",IFERROR(INDEX(Bookings!$E$5:$E$1004,MATCH(C9&amp;"|"&amp;TEXT(E9,"0"),Bookings!$AG$5:$AG$1004,0))&amp;"",""))</f>
        <v/>
      </c>
      <c r="G9" s="18" t="str">
        <f aca="false">IF(E9="","",IFERROR(INDEX(Bookings!$G$5:$G$1004,MATCH(C9&amp;"|"&amp;TEXT(E9,"0"),Bookings!$AG$5:$AG$1004,0)),""))</f>
        <v/>
      </c>
      <c r="H9" s="18" t="str">
        <f aca="false">IF(OR(A9="",E9=""),"",E9-A9)</f>
        <v/>
      </c>
      <c r="I9" s="8" t="str">
        <f aca="false">IF(A9="","",IF(E9="","No next booking",IF(H9=0,"SAME-DAY turnover",IF(H9=1,"Next-day check-in",""))))</f>
        <v/>
      </c>
      <c r="J9" s="8" t="str">
        <f aca="false">IF($M9="","",IF(INDEX(Bookings!$V$5:$V$1004,$M9)="","Unassigned",INDEX(Bookings!$V$5:$V$1004,$M9)))</f>
        <v/>
      </c>
      <c r="K9" s="8" t="str">
        <f aca="false">IF($M9="","",IF(INDEX(Bookings!$W$5:$W$1004,$M9)="Yes","Yes",""))</f>
        <v/>
      </c>
      <c r="L9" s="8" t="str">
        <f aca="false">IF($M9="","",INDEX(Bookings!$X$5:$X$1004,$M9)&amp;"")</f>
        <v/>
      </c>
      <c r="M9" s="47" t="str">
        <f aca="false">IFERROR(MATCH(SMALL(Bookings!$Z$5:$Z$1004,COUNTIF(Bookings!$Z$5:$Z$1004,"&lt;"&amp;$B$4)+3),Bookings!$Z$5:$Z$1004,0),"")</f>
        <v/>
      </c>
    </row>
    <row r="10" customFormat="false" ht="15" hidden="false" customHeight="false" outlineLevel="0" collapsed="false">
      <c r="A10" s="48" t="str">
        <f aca="false">IF($M10="","",INDEX(Bookings!$C$5:$C$1004,$M10))</f>
        <v/>
      </c>
      <c r="B10" s="23" t="str">
        <f aca="false">IF(A10="","",TEXT(A10,"ddd"))</f>
        <v/>
      </c>
      <c r="C10" s="23" t="str">
        <f aca="false">IF($M10="","",INDEX(Bookings!$D$5:$D$1004,$M10))</f>
        <v/>
      </c>
      <c r="D10" s="23" t="str">
        <f aca="false">IF($M10="","",INDEX(Bookings!$E$5:$E$1004,$M10)&amp;"")</f>
        <v/>
      </c>
      <c r="E10" s="48" t="str">
        <f aca="false">IF($M10="","",IF(_xlfn.MINIFS(Bookings!$B$5:$B$1004,Bookings!$D$5:$D$1004,C10,Bookings!$B$5:$B$1004,"&gt;="&amp;A10,Bookings!$AA$5:$AA$1004,1)=0,"",_xlfn.MINIFS(Bookings!$B$5:$B$1004,Bookings!$D$5:$D$1004,C10,Bookings!$B$5:$B$1004,"&gt;="&amp;A10,Bookings!$AA$5:$AA$1004,1)))</f>
        <v/>
      </c>
      <c r="F10" s="23" t="str">
        <f aca="false">IF(E10="","",IFERROR(INDEX(Bookings!$E$5:$E$1004,MATCH(C10&amp;"|"&amp;TEXT(E10,"0"),Bookings!$AG$5:$AG$1004,0))&amp;"",""))</f>
        <v/>
      </c>
      <c r="G10" s="24" t="str">
        <f aca="false">IF(E10="","",IFERROR(INDEX(Bookings!$G$5:$G$1004,MATCH(C10&amp;"|"&amp;TEXT(E10,"0"),Bookings!$AG$5:$AG$1004,0)),""))</f>
        <v/>
      </c>
      <c r="H10" s="24" t="str">
        <f aca="false">IF(OR(A10="",E10=""),"",E10-A10)</f>
        <v/>
      </c>
      <c r="I10" s="23" t="str">
        <f aca="false">IF(A10="","",IF(E10="","No next booking",IF(H10=0,"SAME-DAY turnover",IF(H10=1,"Next-day check-in",""))))</f>
        <v/>
      </c>
      <c r="J10" s="23" t="str">
        <f aca="false">IF($M10="","",IF(INDEX(Bookings!$V$5:$V$1004,$M10)="","Unassigned",INDEX(Bookings!$V$5:$V$1004,$M10)))</f>
        <v/>
      </c>
      <c r="K10" s="23" t="str">
        <f aca="false">IF($M10="","",IF(INDEX(Bookings!$W$5:$W$1004,$M10)="Yes","Yes",""))</f>
        <v/>
      </c>
      <c r="L10" s="23" t="str">
        <f aca="false">IF($M10="","",INDEX(Bookings!$X$5:$X$1004,$M10)&amp;"")</f>
        <v/>
      </c>
      <c r="M10" s="47" t="str">
        <f aca="false">IFERROR(MATCH(SMALL(Bookings!$Z$5:$Z$1004,COUNTIF(Bookings!$Z$5:$Z$1004,"&lt;"&amp;$B$4)+4),Bookings!$Z$5:$Z$1004,0),"")</f>
        <v/>
      </c>
    </row>
    <row r="11" customFormat="false" ht="15" hidden="false" customHeight="false" outlineLevel="0" collapsed="false">
      <c r="A11" s="39" t="str">
        <f aca="false">IF($M11="","",INDEX(Bookings!$C$5:$C$1004,$M11))</f>
        <v/>
      </c>
      <c r="B11" s="8" t="str">
        <f aca="false">IF(A11="","",TEXT(A11,"ddd"))</f>
        <v/>
      </c>
      <c r="C11" s="8" t="str">
        <f aca="false">IF($M11="","",INDEX(Bookings!$D$5:$D$1004,$M11))</f>
        <v/>
      </c>
      <c r="D11" s="8" t="str">
        <f aca="false">IF($M11="","",INDEX(Bookings!$E$5:$E$1004,$M11)&amp;"")</f>
        <v/>
      </c>
      <c r="E11" s="39" t="str">
        <f aca="false">IF($M11="","",IF(_xlfn.MINIFS(Bookings!$B$5:$B$1004,Bookings!$D$5:$D$1004,C11,Bookings!$B$5:$B$1004,"&gt;="&amp;A11,Bookings!$AA$5:$AA$1004,1)=0,"",_xlfn.MINIFS(Bookings!$B$5:$B$1004,Bookings!$D$5:$D$1004,C11,Bookings!$B$5:$B$1004,"&gt;="&amp;A11,Bookings!$AA$5:$AA$1004,1)))</f>
        <v/>
      </c>
      <c r="F11" s="8" t="str">
        <f aca="false">IF(E11="","",IFERROR(INDEX(Bookings!$E$5:$E$1004,MATCH(C11&amp;"|"&amp;TEXT(E11,"0"),Bookings!$AG$5:$AG$1004,0))&amp;"",""))</f>
        <v/>
      </c>
      <c r="G11" s="18" t="str">
        <f aca="false">IF(E11="","",IFERROR(INDEX(Bookings!$G$5:$G$1004,MATCH(C11&amp;"|"&amp;TEXT(E11,"0"),Bookings!$AG$5:$AG$1004,0)),""))</f>
        <v/>
      </c>
      <c r="H11" s="18" t="str">
        <f aca="false">IF(OR(A11="",E11=""),"",E11-A11)</f>
        <v/>
      </c>
      <c r="I11" s="8" t="str">
        <f aca="false">IF(A11="","",IF(E11="","No next booking",IF(H11=0,"SAME-DAY turnover",IF(H11=1,"Next-day check-in",""))))</f>
        <v/>
      </c>
      <c r="J11" s="8" t="str">
        <f aca="false">IF($M11="","",IF(INDEX(Bookings!$V$5:$V$1004,$M11)="","Unassigned",INDEX(Bookings!$V$5:$V$1004,$M11)))</f>
        <v/>
      </c>
      <c r="K11" s="8" t="str">
        <f aca="false">IF($M11="","",IF(INDEX(Bookings!$W$5:$W$1004,$M11)="Yes","Yes",""))</f>
        <v/>
      </c>
      <c r="L11" s="8" t="str">
        <f aca="false">IF($M11="","",INDEX(Bookings!$X$5:$X$1004,$M11)&amp;"")</f>
        <v/>
      </c>
      <c r="M11" s="47" t="str">
        <f aca="false">IFERROR(MATCH(SMALL(Bookings!$Z$5:$Z$1004,COUNTIF(Bookings!$Z$5:$Z$1004,"&lt;"&amp;$B$4)+5),Bookings!$Z$5:$Z$1004,0),"")</f>
        <v/>
      </c>
    </row>
    <row r="12" customFormat="false" ht="15" hidden="false" customHeight="false" outlineLevel="0" collapsed="false">
      <c r="A12" s="48" t="str">
        <f aca="false">IF($M12="","",INDEX(Bookings!$C$5:$C$1004,$M12))</f>
        <v/>
      </c>
      <c r="B12" s="23" t="str">
        <f aca="false">IF(A12="","",TEXT(A12,"ddd"))</f>
        <v/>
      </c>
      <c r="C12" s="23" t="str">
        <f aca="false">IF($M12="","",INDEX(Bookings!$D$5:$D$1004,$M12))</f>
        <v/>
      </c>
      <c r="D12" s="23" t="str">
        <f aca="false">IF($M12="","",INDEX(Bookings!$E$5:$E$1004,$M12)&amp;"")</f>
        <v/>
      </c>
      <c r="E12" s="48" t="str">
        <f aca="false">IF($M12="","",IF(_xlfn.MINIFS(Bookings!$B$5:$B$1004,Bookings!$D$5:$D$1004,C12,Bookings!$B$5:$B$1004,"&gt;="&amp;A12,Bookings!$AA$5:$AA$1004,1)=0,"",_xlfn.MINIFS(Bookings!$B$5:$B$1004,Bookings!$D$5:$D$1004,C12,Bookings!$B$5:$B$1004,"&gt;="&amp;A12,Bookings!$AA$5:$AA$1004,1)))</f>
        <v/>
      </c>
      <c r="F12" s="23" t="str">
        <f aca="false">IF(E12="","",IFERROR(INDEX(Bookings!$E$5:$E$1004,MATCH(C12&amp;"|"&amp;TEXT(E12,"0"),Bookings!$AG$5:$AG$1004,0))&amp;"",""))</f>
        <v/>
      </c>
      <c r="G12" s="24" t="str">
        <f aca="false">IF(E12="","",IFERROR(INDEX(Bookings!$G$5:$G$1004,MATCH(C12&amp;"|"&amp;TEXT(E12,"0"),Bookings!$AG$5:$AG$1004,0)),""))</f>
        <v/>
      </c>
      <c r="H12" s="24" t="str">
        <f aca="false">IF(OR(A12="",E12=""),"",E12-A12)</f>
        <v/>
      </c>
      <c r="I12" s="23" t="str">
        <f aca="false">IF(A12="","",IF(E12="","No next booking",IF(H12=0,"SAME-DAY turnover",IF(H12=1,"Next-day check-in",""))))</f>
        <v/>
      </c>
      <c r="J12" s="23" t="str">
        <f aca="false">IF($M12="","",IF(INDEX(Bookings!$V$5:$V$1004,$M12)="","Unassigned",INDEX(Bookings!$V$5:$V$1004,$M12)))</f>
        <v/>
      </c>
      <c r="K12" s="23" t="str">
        <f aca="false">IF($M12="","",IF(INDEX(Bookings!$W$5:$W$1004,$M12)="Yes","Yes",""))</f>
        <v/>
      </c>
      <c r="L12" s="23" t="str">
        <f aca="false">IF($M12="","",INDEX(Bookings!$X$5:$X$1004,$M12)&amp;"")</f>
        <v/>
      </c>
      <c r="M12" s="47" t="str">
        <f aca="false">IFERROR(MATCH(SMALL(Bookings!$Z$5:$Z$1004,COUNTIF(Bookings!$Z$5:$Z$1004,"&lt;"&amp;$B$4)+6),Bookings!$Z$5:$Z$1004,0),"")</f>
        <v/>
      </c>
    </row>
    <row r="13" customFormat="false" ht="15" hidden="false" customHeight="false" outlineLevel="0" collapsed="false">
      <c r="A13" s="39" t="str">
        <f aca="false">IF($M13="","",INDEX(Bookings!$C$5:$C$1004,$M13))</f>
        <v/>
      </c>
      <c r="B13" s="8" t="str">
        <f aca="false">IF(A13="","",TEXT(A13,"ddd"))</f>
        <v/>
      </c>
      <c r="C13" s="8" t="str">
        <f aca="false">IF($M13="","",INDEX(Bookings!$D$5:$D$1004,$M13))</f>
        <v/>
      </c>
      <c r="D13" s="8" t="str">
        <f aca="false">IF($M13="","",INDEX(Bookings!$E$5:$E$1004,$M13)&amp;"")</f>
        <v/>
      </c>
      <c r="E13" s="39" t="str">
        <f aca="false">IF($M13="","",IF(_xlfn.MINIFS(Bookings!$B$5:$B$1004,Bookings!$D$5:$D$1004,C13,Bookings!$B$5:$B$1004,"&gt;="&amp;A13,Bookings!$AA$5:$AA$1004,1)=0,"",_xlfn.MINIFS(Bookings!$B$5:$B$1004,Bookings!$D$5:$D$1004,C13,Bookings!$B$5:$B$1004,"&gt;="&amp;A13,Bookings!$AA$5:$AA$1004,1)))</f>
        <v/>
      </c>
      <c r="F13" s="8" t="str">
        <f aca="false">IF(E13="","",IFERROR(INDEX(Bookings!$E$5:$E$1004,MATCH(C13&amp;"|"&amp;TEXT(E13,"0"),Bookings!$AG$5:$AG$1004,0))&amp;"",""))</f>
        <v/>
      </c>
      <c r="G13" s="18" t="str">
        <f aca="false">IF(E13="","",IFERROR(INDEX(Bookings!$G$5:$G$1004,MATCH(C13&amp;"|"&amp;TEXT(E13,"0"),Bookings!$AG$5:$AG$1004,0)),""))</f>
        <v/>
      </c>
      <c r="H13" s="18" t="str">
        <f aca="false">IF(OR(A13="",E13=""),"",E13-A13)</f>
        <v/>
      </c>
      <c r="I13" s="8" t="str">
        <f aca="false">IF(A13="","",IF(E13="","No next booking",IF(H13=0,"SAME-DAY turnover",IF(H13=1,"Next-day check-in",""))))</f>
        <v/>
      </c>
      <c r="J13" s="8" t="str">
        <f aca="false">IF($M13="","",IF(INDEX(Bookings!$V$5:$V$1004,$M13)="","Unassigned",INDEX(Bookings!$V$5:$V$1004,$M13)))</f>
        <v/>
      </c>
      <c r="K13" s="8" t="str">
        <f aca="false">IF($M13="","",IF(INDEX(Bookings!$W$5:$W$1004,$M13)="Yes","Yes",""))</f>
        <v/>
      </c>
      <c r="L13" s="8" t="str">
        <f aca="false">IF($M13="","",INDEX(Bookings!$X$5:$X$1004,$M13)&amp;"")</f>
        <v/>
      </c>
      <c r="M13" s="47" t="str">
        <f aca="false">IFERROR(MATCH(SMALL(Bookings!$Z$5:$Z$1004,COUNTIF(Bookings!$Z$5:$Z$1004,"&lt;"&amp;$B$4)+7),Bookings!$Z$5:$Z$1004,0),"")</f>
        <v/>
      </c>
    </row>
    <row r="14" customFormat="false" ht="15" hidden="false" customHeight="false" outlineLevel="0" collapsed="false">
      <c r="A14" s="48" t="str">
        <f aca="false">IF($M14="","",INDEX(Bookings!$C$5:$C$1004,$M14))</f>
        <v/>
      </c>
      <c r="B14" s="23" t="str">
        <f aca="false">IF(A14="","",TEXT(A14,"ddd"))</f>
        <v/>
      </c>
      <c r="C14" s="23" t="str">
        <f aca="false">IF($M14="","",INDEX(Bookings!$D$5:$D$1004,$M14))</f>
        <v/>
      </c>
      <c r="D14" s="23" t="str">
        <f aca="false">IF($M14="","",INDEX(Bookings!$E$5:$E$1004,$M14)&amp;"")</f>
        <v/>
      </c>
      <c r="E14" s="48" t="str">
        <f aca="false">IF($M14="","",IF(_xlfn.MINIFS(Bookings!$B$5:$B$1004,Bookings!$D$5:$D$1004,C14,Bookings!$B$5:$B$1004,"&gt;="&amp;A14,Bookings!$AA$5:$AA$1004,1)=0,"",_xlfn.MINIFS(Bookings!$B$5:$B$1004,Bookings!$D$5:$D$1004,C14,Bookings!$B$5:$B$1004,"&gt;="&amp;A14,Bookings!$AA$5:$AA$1004,1)))</f>
        <v/>
      </c>
      <c r="F14" s="23" t="str">
        <f aca="false">IF(E14="","",IFERROR(INDEX(Bookings!$E$5:$E$1004,MATCH(C14&amp;"|"&amp;TEXT(E14,"0"),Bookings!$AG$5:$AG$1004,0))&amp;"",""))</f>
        <v/>
      </c>
      <c r="G14" s="24" t="str">
        <f aca="false">IF(E14="","",IFERROR(INDEX(Bookings!$G$5:$G$1004,MATCH(C14&amp;"|"&amp;TEXT(E14,"0"),Bookings!$AG$5:$AG$1004,0)),""))</f>
        <v/>
      </c>
      <c r="H14" s="24" t="str">
        <f aca="false">IF(OR(A14="",E14=""),"",E14-A14)</f>
        <v/>
      </c>
      <c r="I14" s="23" t="str">
        <f aca="false">IF(A14="","",IF(E14="","No next booking",IF(H14=0,"SAME-DAY turnover",IF(H14=1,"Next-day check-in",""))))</f>
        <v/>
      </c>
      <c r="J14" s="23" t="str">
        <f aca="false">IF($M14="","",IF(INDEX(Bookings!$V$5:$V$1004,$M14)="","Unassigned",INDEX(Bookings!$V$5:$V$1004,$M14)))</f>
        <v/>
      </c>
      <c r="K14" s="23" t="str">
        <f aca="false">IF($M14="","",IF(INDEX(Bookings!$W$5:$W$1004,$M14)="Yes","Yes",""))</f>
        <v/>
      </c>
      <c r="L14" s="23" t="str">
        <f aca="false">IF($M14="","",INDEX(Bookings!$X$5:$X$1004,$M14)&amp;"")</f>
        <v/>
      </c>
      <c r="M14" s="47" t="str">
        <f aca="false">IFERROR(MATCH(SMALL(Bookings!$Z$5:$Z$1004,COUNTIF(Bookings!$Z$5:$Z$1004,"&lt;"&amp;$B$4)+8),Bookings!$Z$5:$Z$1004,0),"")</f>
        <v/>
      </c>
    </row>
    <row r="15" customFormat="false" ht="15" hidden="false" customHeight="false" outlineLevel="0" collapsed="false">
      <c r="A15" s="39" t="str">
        <f aca="false">IF($M15="","",INDEX(Bookings!$C$5:$C$1004,$M15))</f>
        <v/>
      </c>
      <c r="B15" s="8" t="str">
        <f aca="false">IF(A15="","",TEXT(A15,"ddd"))</f>
        <v/>
      </c>
      <c r="C15" s="8" t="str">
        <f aca="false">IF($M15="","",INDEX(Bookings!$D$5:$D$1004,$M15))</f>
        <v/>
      </c>
      <c r="D15" s="8" t="str">
        <f aca="false">IF($M15="","",INDEX(Bookings!$E$5:$E$1004,$M15)&amp;"")</f>
        <v/>
      </c>
      <c r="E15" s="39" t="str">
        <f aca="false">IF($M15="","",IF(_xlfn.MINIFS(Bookings!$B$5:$B$1004,Bookings!$D$5:$D$1004,C15,Bookings!$B$5:$B$1004,"&gt;="&amp;A15,Bookings!$AA$5:$AA$1004,1)=0,"",_xlfn.MINIFS(Bookings!$B$5:$B$1004,Bookings!$D$5:$D$1004,C15,Bookings!$B$5:$B$1004,"&gt;="&amp;A15,Bookings!$AA$5:$AA$1004,1)))</f>
        <v/>
      </c>
      <c r="F15" s="8" t="str">
        <f aca="false">IF(E15="","",IFERROR(INDEX(Bookings!$E$5:$E$1004,MATCH(C15&amp;"|"&amp;TEXT(E15,"0"),Bookings!$AG$5:$AG$1004,0))&amp;"",""))</f>
        <v/>
      </c>
      <c r="G15" s="18" t="str">
        <f aca="false">IF(E15="","",IFERROR(INDEX(Bookings!$G$5:$G$1004,MATCH(C15&amp;"|"&amp;TEXT(E15,"0"),Bookings!$AG$5:$AG$1004,0)),""))</f>
        <v/>
      </c>
      <c r="H15" s="18" t="str">
        <f aca="false">IF(OR(A15="",E15=""),"",E15-A15)</f>
        <v/>
      </c>
      <c r="I15" s="8" t="str">
        <f aca="false">IF(A15="","",IF(E15="","No next booking",IF(H15=0,"SAME-DAY turnover",IF(H15=1,"Next-day check-in",""))))</f>
        <v/>
      </c>
      <c r="J15" s="8" t="str">
        <f aca="false">IF($M15="","",IF(INDEX(Bookings!$V$5:$V$1004,$M15)="","Unassigned",INDEX(Bookings!$V$5:$V$1004,$M15)))</f>
        <v/>
      </c>
      <c r="K15" s="8" t="str">
        <f aca="false">IF($M15="","",IF(INDEX(Bookings!$W$5:$W$1004,$M15)="Yes","Yes",""))</f>
        <v/>
      </c>
      <c r="L15" s="8" t="str">
        <f aca="false">IF($M15="","",INDEX(Bookings!$X$5:$X$1004,$M15)&amp;"")</f>
        <v/>
      </c>
      <c r="M15" s="47" t="str">
        <f aca="false">IFERROR(MATCH(SMALL(Bookings!$Z$5:$Z$1004,COUNTIF(Bookings!$Z$5:$Z$1004,"&lt;"&amp;$B$4)+9),Bookings!$Z$5:$Z$1004,0),"")</f>
        <v/>
      </c>
    </row>
    <row r="16" customFormat="false" ht="15" hidden="false" customHeight="false" outlineLevel="0" collapsed="false">
      <c r="A16" s="48" t="str">
        <f aca="false">IF($M16="","",INDEX(Bookings!$C$5:$C$1004,$M16))</f>
        <v/>
      </c>
      <c r="B16" s="23" t="str">
        <f aca="false">IF(A16="","",TEXT(A16,"ddd"))</f>
        <v/>
      </c>
      <c r="C16" s="23" t="str">
        <f aca="false">IF($M16="","",INDEX(Bookings!$D$5:$D$1004,$M16))</f>
        <v/>
      </c>
      <c r="D16" s="23" t="str">
        <f aca="false">IF($M16="","",INDEX(Bookings!$E$5:$E$1004,$M16)&amp;"")</f>
        <v/>
      </c>
      <c r="E16" s="48" t="str">
        <f aca="false">IF($M16="","",IF(_xlfn.MINIFS(Bookings!$B$5:$B$1004,Bookings!$D$5:$D$1004,C16,Bookings!$B$5:$B$1004,"&gt;="&amp;A16,Bookings!$AA$5:$AA$1004,1)=0,"",_xlfn.MINIFS(Bookings!$B$5:$B$1004,Bookings!$D$5:$D$1004,C16,Bookings!$B$5:$B$1004,"&gt;="&amp;A16,Bookings!$AA$5:$AA$1004,1)))</f>
        <v/>
      </c>
      <c r="F16" s="23" t="str">
        <f aca="false">IF(E16="","",IFERROR(INDEX(Bookings!$E$5:$E$1004,MATCH(C16&amp;"|"&amp;TEXT(E16,"0"),Bookings!$AG$5:$AG$1004,0))&amp;"",""))</f>
        <v/>
      </c>
      <c r="G16" s="24" t="str">
        <f aca="false">IF(E16="","",IFERROR(INDEX(Bookings!$G$5:$G$1004,MATCH(C16&amp;"|"&amp;TEXT(E16,"0"),Bookings!$AG$5:$AG$1004,0)),""))</f>
        <v/>
      </c>
      <c r="H16" s="24" t="str">
        <f aca="false">IF(OR(A16="",E16=""),"",E16-A16)</f>
        <v/>
      </c>
      <c r="I16" s="23" t="str">
        <f aca="false">IF(A16="","",IF(E16="","No next booking",IF(H16=0,"SAME-DAY turnover",IF(H16=1,"Next-day check-in",""))))</f>
        <v/>
      </c>
      <c r="J16" s="23" t="str">
        <f aca="false">IF($M16="","",IF(INDEX(Bookings!$V$5:$V$1004,$M16)="","Unassigned",INDEX(Bookings!$V$5:$V$1004,$M16)))</f>
        <v/>
      </c>
      <c r="K16" s="23" t="str">
        <f aca="false">IF($M16="","",IF(INDEX(Bookings!$W$5:$W$1004,$M16)="Yes","Yes",""))</f>
        <v/>
      </c>
      <c r="L16" s="23" t="str">
        <f aca="false">IF($M16="","",INDEX(Bookings!$X$5:$X$1004,$M16)&amp;"")</f>
        <v/>
      </c>
      <c r="M16" s="47" t="str">
        <f aca="false">IFERROR(MATCH(SMALL(Bookings!$Z$5:$Z$1004,COUNTIF(Bookings!$Z$5:$Z$1004,"&lt;"&amp;$B$4)+10),Bookings!$Z$5:$Z$1004,0),"")</f>
        <v/>
      </c>
    </row>
    <row r="17" customFormat="false" ht="15" hidden="false" customHeight="false" outlineLevel="0" collapsed="false">
      <c r="A17" s="39" t="str">
        <f aca="false">IF($M17="","",INDEX(Bookings!$C$5:$C$1004,$M17))</f>
        <v/>
      </c>
      <c r="B17" s="8" t="str">
        <f aca="false">IF(A17="","",TEXT(A17,"ddd"))</f>
        <v/>
      </c>
      <c r="C17" s="8" t="str">
        <f aca="false">IF($M17="","",INDEX(Bookings!$D$5:$D$1004,$M17))</f>
        <v/>
      </c>
      <c r="D17" s="8" t="str">
        <f aca="false">IF($M17="","",INDEX(Bookings!$E$5:$E$1004,$M17)&amp;"")</f>
        <v/>
      </c>
      <c r="E17" s="39" t="str">
        <f aca="false">IF($M17="","",IF(_xlfn.MINIFS(Bookings!$B$5:$B$1004,Bookings!$D$5:$D$1004,C17,Bookings!$B$5:$B$1004,"&gt;="&amp;A17,Bookings!$AA$5:$AA$1004,1)=0,"",_xlfn.MINIFS(Bookings!$B$5:$B$1004,Bookings!$D$5:$D$1004,C17,Bookings!$B$5:$B$1004,"&gt;="&amp;A17,Bookings!$AA$5:$AA$1004,1)))</f>
        <v/>
      </c>
      <c r="F17" s="8" t="str">
        <f aca="false">IF(E17="","",IFERROR(INDEX(Bookings!$E$5:$E$1004,MATCH(C17&amp;"|"&amp;TEXT(E17,"0"),Bookings!$AG$5:$AG$1004,0))&amp;"",""))</f>
        <v/>
      </c>
      <c r="G17" s="18" t="str">
        <f aca="false">IF(E17="","",IFERROR(INDEX(Bookings!$G$5:$G$1004,MATCH(C17&amp;"|"&amp;TEXT(E17,"0"),Bookings!$AG$5:$AG$1004,0)),""))</f>
        <v/>
      </c>
      <c r="H17" s="18" t="str">
        <f aca="false">IF(OR(A17="",E17=""),"",E17-A17)</f>
        <v/>
      </c>
      <c r="I17" s="8" t="str">
        <f aca="false">IF(A17="","",IF(E17="","No next booking",IF(H17=0,"SAME-DAY turnover",IF(H17=1,"Next-day check-in",""))))</f>
        <v/>
      </c>
      <c r="J17" s="8" t="str">
        <f aca="false">IF($M17="","",IF(INDEX(Bookings!$V$5:$V$1004,$M17)="","Unassigned",INDEX(Bookings!$V$5:$V$1004,$M17)))</f>
        <v/>
      </c>
      <c r="K17" s="8" t="str">
        <f aca="false">IF($M17="","",IF(INDEX(Bookings!$W$5:$W$1004,$M17)="Yes","Yes",""))</f>
        <v/>
      </c>
      <c r="L17" s="8" t="str">
        <f aca="false">IF($M17="","",INDEX(Bookings!$X$5:$X$1004,$M17)&amp;"")</f>
        <v/>
      </c>
      <c r="M17" s="47" t="str">
        <f aca="false">IFERROR(MATCH(SMALL(Bookings!$Z$5:$Z$1004,COUNTIF(Bookings!$Z$5:$Z$1004,"&lt;"&amp;$B$4)+11),Bookings!$Z$5:$Z$1004,0),"")</f>
        <v/>
      </c>
    </row>
    <row r="18" customFormat="false" ht="15" hidden="false" customHeight="false" outlineLevel="0" collapsed="false">
      <c r="A18" s="48" t="str">
        <f aca="false">IF($M18="","",INDEX(Bookings!$C$5:$C$1004,$M18))</f>
        <v/>
      </c>
      <c r="B18" s="23" t="str">
        <f aca="false">IF(A18="","",TEXT(A18,"ddd"))</f>
        <v/>
      </c>
      <c r="C18" s="23" t="str">
        <f aca="false">IF($M18="","",INDEX(Bookings!$D$5:$D$1004,$M18))</f>
        <v/>
      </c>
      <c r="D18" s="23" t="str">
        <f aca="false">IF($M18="","",INDEX(Bookings!$E$5:$E$1004,$M18)&amp;"")</f>
        <v/>
      </c>
      <c r="E18" s="48" t="str">
        <f aca="false">IF($M18="","",IF(_xlfn.MINIFS(Bookings!$B$5:$B$1004,Bookings!$D$5:$D$1004,C18,Bookings!$B$5:$B$1004,"&gt;="&amp;A18,Bookings!$AA$5:$AA$1004,1)=0,"",_xlfn.MINIFS(Bookings!$B$5:$B$1004,Bookings!$D$5:$D$1004,C18,Bookings!$B$5:$B$1004,"&gt;="&amp;A18,Bookings!$AA$5:$AA$1004,1)))</f>
        <v/>
      </c>
      <c r="F18" s="23" t="str">
        <f aca="false">IF(E18="","",IFERROR(INDEX(Bookings!$E$5:$E$1004,MATCH(C18&amp;"|"&amp;TEXT(E18,"0"),Bookings!$AG$5:$AG$1004,0))&amp;"",""))</f>
        <v/>
      </c>
      <c r="G18" s="24" t="str">
        <f aca="false">IF(E18="","",IFERROR(INDEX(Bookings!$G$5:$G$1004,MATCH(C18&amp;"|"&amp;TEXT(E18,"0"),Bookings!$AG$5:$AG$1004,0)),""))</f>
        <v/>
      </c>
      <c r="H18" s="24" t="str">
        <f aca="false">IF(OR(A18="",E18=""),"",E18-A18)</f>
        <v/>
      </c>
      <c r="I18" s="23" t="str">
        <f aca="false">IF(A18="","",IF(E18="","No next booking",IF(H18=0,"SAME-DAY turnover",IF(H18=1,"Next-day check-in",""))))</f>
        <v/>
      </c>
      <c r="J18" s="23" t="str">
        <f aca="false">IF($M18="","",IF(INDEX(Bookings!$V$5:$V$1004,$M18)="","Unassigned",INDEX(Bookings!$V$5:$V$1004,$M18)))</f>
        <v/>
      </c>
      <c r="K18" s="23" t="str">
        <f aca="false">IF($M18="","",IF(INDEX(Bookings!$W$5:$W$1004,$M18)="Yes","Yes",""))</f>
        <v/>
      </c>
      <c r="L18" s="23" t="str">
        <f aca="false">IF($M18="","",INDEX(Bookings!$X$5:$X$1004,$M18)&amp;"")</f>
        <v/>
      </c>
      <c r="M18" s="47" t="str">
        <f aca="false">IFERROR(MATCH(SMALL(Bookings!$Z$5:$Z$1004,COUNTIF(Bookings!$Z$5:$Z$1004,"&lt;"&amp;$B$4)+12),Bookings!$Z$5:$Z$1004,0),"")</f>
        <v/>
      </c>
    </row>
    <row r="19" customFormat="false" ht="15" hidden="false" customHeight="false" outlineLevel="0" collapsed="false">
      <c r="A19" s="39" t="str">
        <f aca="false">IF($M19="","",INDEX(Bookings!$C$5:$C$1004,$M19))</f>
        <v/>
      </c>
      <c r="B19" s="8" t="str">
        <f aca="false">IF(A19="","",TEXT(A19,"ddd"))</f>
        <v/>
      </c>
      <c r="C19" s="8" t="str">
        <f aca="false">IF($M19="","",INDEX(Bookings!$D$5:$D$1004,$M19))</f>
        <v/>
      </c>
      <c r="D19" s="8" t="str">
        <f aca="false">IF($M19="","",INDEX(Bookings!$E$5:$E$1004,$M19)&amp;"")</f>
        <v/>
      </c>
      <c r="E19" s="39" t="str">
        <f aca="false">IF($M19="","",IF(_xlfn.MINIFS(Bookings!$B$5:$B$1004,Bookings!$D$5:$D$1004,C19,Bookings!$B$5:$B$1004,"&gt;="&amp;A19,Bookings!$AA$5:$AA$1004,1)=0,"",_xlfn.MINIFS(Bookings!$B$5:$B$1004,Bookings!$D$5:$D$1004,C19,Bookings!$B$5:$B$1004,"&gt;="&amp;A19,Bookings!$AA$5:$AA$1004,1)))</f>
        <v/>
      </c>
      <c r="F19" s="8" t="str">
        <f aca="false">IF(E19="","",IFERROR(INDEX(Bookings!$E$5:$E$1004,MATCH(C19&amp;"|"&amp;TEXT(E19,"0"),Bookings!$AG$5:$AG$1004,0))&amp;"",""))</f>
        <v/>
      </c>
      <c r="G19" s="18" t="str">
        <f aca="false">IF(E19="","",IFERROR(INDEX(Bookings!$G$5:$G$1004,MATCH(C19&amp;"|"&amp;TEXT(E19,"0"),Bookings!$AG$5:$AG$1004,0)),""))</f>
        <v/>
      </c>
      <c r="H19" s="18" t="str">
        <f aca="false">IF(OR(A19="",E19=""),"",E19-A19)</f>
        <v/>
      </c>
      <c r="I19" s="8" t="str">
        <f aca="false">IF(A19="","",IF(E19="","No next booking",IF(H19=0,"SAME-DAY turnover",IF(H19=1,"Next-day check-in",""))))</f>
        <v/>
      </c>
      <c r="J19" s="8" t="str">
        <f aca="false">IF($M19="","",IF(INDEX(Bookings!$V$5:$V$1004,$M19)="","Unassigned",INDEX(Bookings!$V$5:$V$1004,$M19)))</f>
        <v/>
      </c>
      <c r="K19" s="8" t="str">
        <f aca="false">IF($M19="","",IF(INDEX(Bookings!$W$5:$W$1004,$M19)="Yes","Yes",""))</f>
        <v/>
      </c>
      <c r="L19" s="8" t="str">
        <f aca="false">IF($M19="","",INDEX(Bookings!$X$5:$X$1004,$M19)&amp;"")</f>
        <v/>
      </c>
      <c r="M19" s="47" t="str">
        <f aca="false">IFERROR(MATCH(SMALL(Bookings!$Z$5:$Z$1004,COUNTIF(Bookings!$Z$5:$Z$1004,"&lt;"&amp;$B$4)+13),Bookings!$Z$5:$Z$1004,0),"")</f>
        <v/>
      </c>
    </row>
    <row r="20" customFormat="false" ht="15" hidden="false" customHeight="false" outlineLevel="0" collapsed="false">
      <c r="A20" s="48" t="str">
        <f aca="false">IF($M20="","",INDEX(Bookings!$C$5:$C$1004,$M20))</f>
        <v/>
      </c>
      <c r="B20" s="23" t="str">
        <f aca="false">IF(A20="","",TEXT(A20,"ddd"))</f>
        <v/>
      </c>
      <c r="C20" s="23" t="str">
        <f aca="false">IF($M20="","",INDEX(Bookings!$D$5:$D$1004,$M20))</f>
        <v/>
      </c>
      <c r="D20" s="23" t="str">
        <f aca="false">IF($M20="","",INDEX(Bookings!$E$5:$E$1004,$M20)&amp;"")</f>
        <v/>
      </c>
      <c r="E20" s="48" t="str">
        <f aca="false">IF($M20="","",IF(_xlfn.MINIFS(Bookings!$B$5:$B$1004,Bookings!$D$5:$D$1004,C20,Bookings!$B$5:$B$1004,"&gt;="&amp;A20,Bookings!$AA$5:$AA$1004,1)=0,"",_xlfn.MINIFS(Bookings!$B$5:$B$1004,Bookings!$D$5:$D$1004,C20,Bookings!$B$5:$B$1004,"&gt;="&amp;A20,Bookings!$AA$5:$AA$1004,1)))</f>
        <v/>
      </c>
      <c r="F20" s="23" t="str">
        <f aca="false">IF(E20="","",IFERROR(INDEX(Bookings!$E$5:$E$1004,MATCH(C20&amp;"|"&amp;TEXT(E20,"0"),Bookings!$AG$5:$AG$1004,0))&amp;"",""))</f>
        <v/>
      </c>
      <c r="G20" s="24" t="str">
        <f aca="false">IF(E20="","",IFERROR(INDEX(Bookings!$G$5:$G$1004,MATCH(C20&amp;"|"&amp;TEXT(E20,"0"),Bookings!$AG$5:$AG$1004,0)),""))</f>
        <v/>
      </c>
      <c r="H20" s="24" t="str">
        <f aca="false">IF(OR(A20="",E20=""),"",E20-A20)</f>
        <v/>
      </c>
      <c r="I20" s="23" t="str">
        <f aca="false">IF(A20="","",IF(E20="","No next booking",IF(H20=0,"SAME-DAY turnover",IF(H20=1,"Next-day check-in",""))))</f>
        <v/>
      </c>
      <c r="J20" s="23" t="str">
        <f aca="false">IF($M20="","",IF(INDEX(Bookings!$V$5:$V$1004,$M20)="","Unassigned",INDEX(Bookings!$V$5:$V$1004,$M20)))</f>
        <v/>
      </c>
      <c r="K20" s="23" t="str">
        <f aca="false">IF($M20="","",IF(INDEX(Bookings!$W$5:$W$1004,$M20)="Yes","Yes",""))</f>
        <v/>
      </c>
      <c r="L20" s="23" t="str">
        <f aca="false">IF($M20="","",INDEX(Bookings!$X$5:$X$1004,$M20)&amp;"")</f>
        <v/>
      </c>
      <c r="M20" s="47" t="str">
        <f aca="false">IFERROR(MATCH(SMALL(Bookings!$Z$5:$Z$1004,COUNTIF(Bookings!$Z$5:$Z$1004,"&lt;"&amp;$B$4)+14),Bookings!$Z$5:$Z$1004,0),"")</f>
        <v/>
      </c>
    </row>
    <row r="21" customFormat="false" ht="15" hidden="false" customHeight="false" outlineLevel="0" collapsed="false">
      <c r="A21" s="39" t="str">
        <f aca="false">IF($M21="","",INDEX(Bookings!$C$5:$C$1004,$M21))</f>
        <v/>
      </c>
      <c r="B21" s="8" t="str">
        <f aca="false">IF(A21="","",TEXT(A21,"ddd"))</f>
        <v/>
      </c>
      <c r="C21" s="8" t="str">
        <f aca="false">IF($M21="","",INDEX(Bookings!$D$5:$D$1004,$M21))</f>
        <v/>
      </c>
      <c r="D21" s="8" t="str">
        <f aca="false">IF($M21="","",INDEX(Bookings!$E$5:$E$1004,$M21)&amp;"")</f>
        <v/>
      </c>
      <c r="E21" s="39" t="str">
        <f aca="false">IF($M21="","",IF(_xlfn.MINIFS(Bookings!$B$5:$B$1004,Bookings!$D$5:$D$1004,C21,Bookings!$B$5:$B$1004,"&gt;="&amp;A21,Bookings!$AA$5:$AA$1004,1)=0,"",_xlfn.MINIFS(Bookings!$B$5:$B$1004,Bookings!$D$5:$D$1004,C21,Bookings!$B$5:$B$1004,"&gt;="&amp;A21,Bookings!$AA$5:$AA$1004,1)))</f>
        <v/>
      </c>
      <c r="F21" s="8" t="str">
        <f aca="false">IF(E21="","",IFERROR(INDEX(Bookings!$E$5:$E$1004,MATCH(C21&amp;"|"&amp;TEXT(E21,"0"),Bookings!$AG$5:$AG$1004,0))&amp;"",""))</f>
        <v/>
      </c>
      <c r="G21" s="18" t="str">
        <f aca="false">IF(E21="","",IFERROR(INDEX(Bookings!$G$5:$G$1004,MATCH(C21&amp;"|"&amp;TEXT(E21,"0"),Bookings!$AG$5:$AG$1004,0)),""))</f>
        <v/>
      </c>
      <c r="H21" s="18" t="str">
        <f aca="false">IF(OR(A21="",E21=""),"",E21-A21)</f>
        <v/>
      </c>
      <c r="I21" s="8" t="str">
        <f aca="false">IF(A21="","",IF(E21="","No next booking",IF(H21=0,"SAME-DAY turnover",IF(H21=1,"Next-day check-in",""))))</f>
        <v/>
      </c>
      <c r="J21" s="8" t="str">
        <f aca="false">IF($M21="","",IF(INDEX(Bookings!$V$5:$V$1004,$M21)="","Unassigned",INDEX(Bookings!$V$5:$V$1004,$M21)))</f>
        <v/>
      </c>
      <c r="K21" s="8" t="str">
        <f aca="false">IF($M21="","",IF(INDEX(Bookings!$W$5:$W$1004,$M21)="Yes","Yes",""))</f>
        <v/>
      </c>
      <c r="L21" s="8" t="str">
        <f aca="false">IF($M21="","",INDEX(Bookings!$X$5:$X$1004,$M21)&amp;"")</f>
        <v/>
      </c>
      <c r="M21" s="47" t="str">
        <f aca="false">IFERROR(MATCH(SMALL(Bookings!$Z$5:$Z$1004,COUNTIF(Bookings!$Z$5:$Z$1004,"&lt;"&amp;$B$4)+15),Bookings!$Z$5:$Z$1004,0),"")</f>
        <v/>
      </c>
    </row>
    <row r="22" customFormat="false" ht="15" hidden="false" customHeight="false" outlineLevel="0" collapsed="false">
      <c r="A22" s="48" t="str">
        <f aca="false">IF($M22="","",INDEX(Bookings!$C$5:$C$1004,$M22))</f>
        <v/>
      </c>
      <c r="B22" s="23" t="str">
        <f aca="false">IF(A22="","",TEXT(A22,"ddd"))</f>
        <v/>
      </c>
      <c r="C22" s="23" t="str">
        <f aca="false">IF($M22="","",INDEX(Bookings!$D$5:$D$1004,$M22))</f>
        <v/>
      </c>
      <c r="D22" s="23" t="str">
        <f aca="false">IF($M22="","",INDEX(Bookings!$E$5:$E$1004,$M22)&amp;"")</f>
        <v/>
      </c>
      <c r="E22" s="48" t="str">
        <f aca="false">IF($M22="","",IF(_xlfn.MINIFS(Bookings!$B$5:$B$1004,Bookings!$D$5:$D$1004,C22,Bookings!$B$5:$B$1004,"&gt;="&amp;A22,Bookings!$AA$5:$AA$1004,1)=0,"",_xlfn.MINIFS(Bookings!$B$5:$B$1004,Bookings!$D$5:$D$1004,C22,Bookings!$B$5:$B$1004,"&gt;="&amp;A22,Bookings!$AA$5:$AA$1004,1)))</f>
        <v/>
      </c>
      <c r="F22" s="23" t="str">
        <f aca="false">IF(E22="","",IFERROR(INDEX(Bookings!$E$5:$E$1004,MATCH(C22&amp;"|"&amp;TEXT(E22,"0"),Bookings!$AG$5:$AG$1004,0))&amp;"",""))</f>
        <v/>
      </c>
      <c r="G22" s="24" t="str">
        <f aca="false">IF(E22="","",IFERROR(INDEX(Bookings!$G$5:$G$1004,MATCH(C22&amp;"|"&amp;TEXT(E22,"0"),Bookings!$AG$5:$AG$1004,0)),""))</f>
        <v/>
      </c>
      <c r="H22" s="24" t="str">
        <f aca="false">IF(OR(A22="",E22=""),"",E22-A22)</f>
        <v/>
      </c>
      <c r="I22" s="23" t="str">
        <f aca="false">IF(A22="","",IF(E22="","No next booking",IF(H22=0,"SAME-DAY turnover",IF(H22=1,"Next-day check-in",""))))</f>
        <v/>
      </c>
      <c r="J22" s="23" t="str">
        <f aca="false">IF($M22="","",IF(INDEX(Bookings!$V$5:$V$1004,$M22)="","Unassigned",INDEX(Bookings!$V$5:$V$1004,$M22)))</f>
        <v/>
      </c>
      <c r="K22" s="23" t="str">
        <f aca="false">IF($M22="","",IF(INDEX(Bookings!$W$5:$W$1004,$M22)="Yes","Yes",""))</f>
        <v/>
      </c>
      <c r="L22" s="23" t="str">
        <f aca="false">IF($M22="","",INDEX(Bookings!$X$5:$X$1004,$M22)&amp;"")</f>
        <v/>
      </c>
      <c r="M22" s="47" t="str">
        <f aca="false">IFERROR(MATCH(SMALL(Bookings!$Z$5:$Z$1004,COUNTIF(Bookings!$Z$5:$Z$1004,"&lt;"&amp;$B$4)+16),Bookings!$Z$5:$Z$1004,0),"")</f>
        <v/>
      </c>
    </row>
    <row r="23" customFormat="false" ht="15" hidden="false" customHeight="false" outlineLevel="0" collapsed="false">
      <c r="A23" s="39" t="str">
        <f aca="false">IF($M23="","",INDEX(Bookings!$C$5:$C$1004,$M23))</f>
        <v/>
      </c>
      <c r="B23" s="8" t="str">
        <f aca="false">IF(A23="","",TEXT(A23,"ddd"))</f>
        <v/>
      </c>
      <c r="C23" s="8" t="str">
        <f aca="false">IF($M23="","",INDEX(Bookings!$D$5:$D$1004,$M23))</f>
        <v/>
      </c>
      <c r="D23" s="8" t="str">
        <f aca="false">IF($M23="","",INDEX(Bookings!$E$5:$E$1004,$M23)&amp;"")</f>
        <v/>
      </c>
      <c r="E23" s="39" t="str">
        <f aca="false">IF($M23="","",IF(_xlfn.MINIFS(Bookings!$B$5:$B$1004,Bookings!$D$5:$D$1004,C23,Bookings!$B$5:$B$1004,"&gt;="&amp;A23,Bookings!$AA$5:$AA$1004,1)=0,"",_xlfn.MINIFS(Bookings!$B$5:$B$1004,Bookings!$D$5:$D$1004,C23,Bookings!$B$5:$B$1004,"&gt;="&amp;A23,Bookings!$AA$5:$AA$1004,1)))</f>
        <v/>
      </c>
      <c r="F23" s="8" t="str">
        <f aca="false">IF(E23="","",IFERROR(INDEX(Bookings!$E$5:$E$1004,MATCH(C23&amp;"|"&amp;TEXT(E23,"0"),Bookings!$AG$5:$AG$1004,0))&amp;"",""))</f>
        <v/>
      </c>
      <c r="G23" s="18" t="str">
        <f aca="false">IF(E23="","",IFERROR(INDEX(Bookings!$G$5:$G$1004,MATCH(C23&amp;"|"&amp;TEXT(E23,"0"),Bookings!$AG$5:$AG$1004,0)),""))</f>
        <v/>
      </c>
      <c r="H23" s="18" t="str">
        <f aca="false">IF(OR(A23="",E23=""),"",E23-A23)</f>
        <v/>
      </c>
      <c r="I23" s="8" t="str">
        <f aca="false">IF(A23="","",IF(E23="","No next booking",IF(H23=0,"SAME-DAY turnover",IF(H23=1,"Next-day check-in",""))))</f>
        <v/>
      </c>
      <c r="J23" s="8" t="str">
        <f aca="false">IF($M23="","",IF(INDEX(Bookings!$V$5:$V$1004,$M23)="","Unassigned",INDEX(Bookings!$V$5:$V$1004,$M23)))</f>
        <v/>
      </c>
      <c r="K23" s="8" t="str">
        <f aca="false">IF($M23="","",IF(INDEX(Bookings!$W$5:$W$1004,$M23)="Yes","Yes",""))</f>
        <v/>
      </c>
      <c r="L23" s="8" t="str">
        <f aca="false">IF($M23="","",INDEX(Bookings!$X$5:$X$1004,$M23)&amp;"")</f>
        <v/>
      </c>
      <c r="M23" s="47" t="str">
        <f aca="false">IFERROR(MATCH(SMALL(Bookings!$Z$5:$Z$1004,COUNTIF(Bookings!$Z$5:$Z$1004,"&lt;"&amp;$B$4)+17),Bookings!$Z$5:$Z$1004,0),"")</f>
        <v/>
      </c>
    </row>
    <row r="24" customFormat="false" ht="15" hidden="false" customHeight="false" outlineLevel="0" collapsed="false">
      <c r="A24" s="48" t="str">
        <f aca="false">IF($M24="","",INDEX(Bookings!$C$5:$C$1004,$M24))</f>
        <v/>
      </c>
      <c r="B24" s="23" t="str">
        <f aca="false">IF(A24="","",TEXT(A24,"ddd"))</f>
        <v/>
      </c>
      <c r="C24" s="23" t="str">
        <f aca="false">IF($M24="","",INDEX(Bookings!$D$5:$D$1004,$M24))</f>
        <v/>
      </c>
      <c r="D24" s="23" t="str">
        <f aca="false">IF($M24="","",INDEX(Bookings!$E$5:$E$1004,$M24)&amp;"")</f>
        <v/>
      </c>
      <c r="E24" s="48" t="str">
        <f aca="false">IF($M24="","",IF(_xlfn.MINIFS(Bookings!$B$5:$B$1004,Bookings!$D$5:$D$1004,C24,Bookings!$B$5:$B$1004,"&gt;="&amp;A24,Bookings!$AA$5:$AA$1004,1)=0,"",_xlfn.MINIFS(Bookings!$B$5:$B$1004,Bookings!$D$5:$D$1004,C24,Bookings!$B$5:$B$1004,"&gt;="&amp;A24,Bookings!$AA$5:$AA$1004,1)))</f>
        <v/>
      </c>
      <c r="F24" s="23" t="str">
        <f aca="false">IF(E24="","",IFERROR(INDEX(Bookings!$E$5:$E$1004,MATCH(C24&amp;"|"&amp;TEXT(E24,"0"),Bookings!$AG$5:$AG$1004,0))&amp;"",""))</f>
        <v/>
      </c>
      <c r="G24" s="24" t="str">
        <f aca="false">IF(E24="","",IFERROR(INDEX(Bookings!$G$5:$G$1004,MATCH(C24&amp;"|"&amp;TEXT(E24,"0"),Bookings!$AG$5:$AG$1004,0)),""))</f>
        <v/>
      </c>
      <c r="H24" s="24" t="str">
        <f aca="false">IF(OR(A24="",E24=""),"",E24-A24)</f>
        <v/>
      </c>
      <c r="I24" s="23" t="str">
        <f aca="false">IF(A24="","",IF(E24="","No next booking",IF(H24=0,"SAME-DAY turnover",IF(H24=1,"Next-day check-in",""))))</f>
        <v/>
      </c>
      <c r="J24" s="23" t="str">
        <f aca="false">IF($M24="","",IF(INDEX(Bookings!$V$5:$V$1004,$M24)="","Unassigned",INDEX(Bookings!$V$5:$V$1004,$M24)))</f>
        <v/>
      </c>
      <c r="K24" s="23" t="str">
        <f aca="false">IF($M24="","",IF(INDEX(Bookings!$W$5:$W$1004,$M24)="Yes","Yes",""))</f>
        <v/>
      </c>
      <c r="L24" s="23" t="str">
        <f aca="false">IF($M24="","",INDEX(Bookings!$X$5:$X$1004,$M24)&amp;"")</f>
        <v/>
      </c>
      <c r="M24" s="47" t="str">
        <f aca="false">IFERROR(MATCH(SMALL(Bookings!$Z$5:$Z$1004,COUNTIF(Bookings!$Z$5:$Z$1004,"&lt;"&amp;$B$4)+18),Bookings!$Z$5:$Z$1004,0),"")</f>
        <v/>
      </c>
    </row>
    <row r="25" customFormat="false" ht="15" hidden="false" customHeight="false" outlineLevel="0" collapsed="false">
      <c r="A25" s="39" t="str">
        <f aca="false">IF($M25="","",INDEX(Bookings!$C$5:$C$1004,$M25))</f>
        <v/>
      </c>
      <c r="B25" s="8" t="str">
        <f aca="false">IF(A25="","",TEXT(A25,"ddd"))</f>
        <v/>
      </c>
      <c r="C25" s="8" t="str">
        <f aca="false">IF($M25="","",INDEX(Bookings!$D$5:$D$1004,$M25))</f>
        <v/>
      </c>
      <c r="D25" s="8" t="str">
        <f aca="false">IF($M25="","",INDEX(Bookings!$E$5:$E$1004,$M25)&amp;"")</f>
        <v/>
      </c>
      <c r="E25" s="39" t="str">
        <f aca="false">IF($M25="","",IF(_xlfn.MINIFS(Bookings!$B$5:$B$1004,Bookings!$D$5:$D$1004,C25,Bookings!$B$5:$B$1004,"&gt;="&amp;A25,Bookings!$AA$5:$AA$1004,1)=0,"",_xlfn.MINIFS(Bookings!$B$5:$B$1004,Bookings!$D$5:$D$1004,C25,Bookings!$B$5:$B$1004,"&gt;="&amp;A25,Bookings!$AA$5:$AA$1004,1)))</f>
        <v/>
      </c>
      <c r="F25" s="8" t="str">
        <f aca="false">IF(E25="","",IFERROR(INDEX(Bookings!$E$5:$E$1004,MATCH(C25&amp;"|"&amp;TEXT(E25,"0"),Bookings!$AG$5:$AG$1004,0))&amp;"",""))</f>
        <v/>
      </c>
      <c r="G25" s="18" t="str">
        <f aca="false">IF(E25="","",IFERROR(INDEX(Bookings!$G$5:$G$1004,MATCH(C25&amp;"|"&amp;TEXT(E25,"0"),Bookings!$AG$5:$AG$1004,0)),""))</f>
        <v/>
      </c>
      <c r="H25" s="18" t="str">
        <f aca="false">IF(OR(A25="",E25=""),"",E25-A25)</f>
        <v/>
      </c>
      <c r="I25" s="8" t="str">
        <f aca="false">IF(A25="","",IF(E25="","No next booking",IF(H25=0,"SAME-DAY turnover",IF(H25=1,"Next-day check-in",""))))</f>
        <v/>
      </c>
      <c r="J25" s="8" t="str">
        <f aca="false">IF($M25="","",IF(INDEX(Bookings!$V$5:$V$1004,$M25)="","Unassigned",INDEX(Bookings!$V$5:$V$1004,$M25)))</f>
        <v/>
      </c>
      <c r="K25" s="8" t="str">
        <f aca="false">IF($M25="","",IF(INDEX(Bookings!$W$5:$W$1004,$M25)="Yes","Yes",""))</f>
        <v/>
      </c>
      <c r="L25" s="8" t="str">
        <f aca="false">IF($M25="","",INDEX(Bookings!$X$5:$X$1004,$M25)&amp;"")</f>
        <v/>
      </c>
      <c r="M25" s="47" t="str">
        <f aca="false">IFERROR(MATCH(SMALL(Bookings!$Z$5:$Z$1004,COUNTIF(Bookings!$Z$5:$Z$1004,"&lt;"&amp;$B$4)+19),Bookings!$Z$5:$Z$1004,0),"")</f>
        <v/>
      </c>
    </row>
    <row r="26" customFormat="false" ht="15" hidden="false" customHeight="false" outlineLevel="0" collapsed="false">
      <c r="A26" s="48" t="str">
        <f aca="false">IF($M26="","",INDEX(Bookings!$C$5:$C$1004,$M26))</f>
        <v/>
      </c>
      <c r="B26" s="23" t="str">
        <f aca="false">IF(A26="","",TEXT(A26,"ddd"))</f>
        <v/>
      </c>
      <c r="C26" s="23" t="str">
        <f aca="false">IF($M26="","",INDEX(Bookings!$D$5:$D$1004,$M26))</f>
        <v/>
      </c>
      <c r="D26" s="23" t="str">
        <f aca="false">IF($M26="","",INDEX(Bookings!$E$5:$E$1004,$M26)&amp;"")</f>
        <v/>
      </c>
      <c r="E26" s="48" t="str">
        <f aca="false">IF($M26="","",IF(_xlfn.MINIFS(Bookings!$B$5:$B$1004,Bookings!$D$5:$D$1004,C26,Bookings!$B$5:$B$1004,"&gt;="&amp;A26,Bookings!$AA$5:$AA$1004,1)=0,"",_xlfn.MINIFS(Bookings!$B$5:$B$1004,Bookings!$D$5:$D$1004,C26,Bookings!$B$5:$B$1004,"&gt;="&amp;A26,Bookings!$AA$5:$AA$1004,1)))</f>
        <v/>
      </c>
      <c r="F26" s="23" t="str">
        <f aca="false">IF(E26="","",IFERROR(INDEX(Bookings!$E$5:$E$1004,MATCH(C26&amp;"|"&amp;TEXT(E26,"0"),Bookings!$AG$5:$AG$1004,0))&amp;"",""))</f>
        <v/>
      </c>
      <c r="G26" s="24" t="str">
        <f aca="false">IF(E26="","",IFERROR(INDEX(Bookings!$G$5:$G$1004,MATCH(C26&amp;"|"&amp;TEXT(E26,"0"),Bookings!$AG$5:$AG$1004,0)),""))</f>
        <v/>
      </c>
      <c r="H26" s="24" t="str">
        <f aca="false">IF(OR(A26="",E26=""),"",E26-A26)</f>
        <v/>
      </c>
      <c r="I26" s="23" t="str">
        <f aca="false">IF(A26="","",IF(E26="","No next booking",IF(H26=0,"SAME-DAY turnover",IF(H26=1,"Next-day check-in",""))))</f>
        <v/>
      </c>
      <c r="J26" s="23" t="str">
        <f aca="false">IF($M26="","",IF(INDEX(Bookings!$V$5:$V$1004,$M26)="","Unassigned",INDEX(Bookings!$V$5:$V$1004,$M26)))</f>
        <v/>
      </c>
      <c r="K26" s="23" t="str">
        <f aca="false">IF($M26="","",IF(INDEX(Bookings!$W$5:$W$1004,$M26)="Yes","Yes",""))</f>
        <v/>
      </c>
      <c r="L26" s="23" t="str">
        <f aca="false">IF($M26="","",INDEX(Bookings!$X$5:$X$1004,$M26)&amp;"")</f>
        <v/>
      </c>
      <c r="M26" s="47" t="str">
        <f aca="false">IFERROR(MATCH(SMALL(Bookings!$Z$5:$Z$1004,COUNTIF(Bookings!$Z$5:$Z$1004,"&lt;"&amp;$B$4)+20),Bookings!$Z$5:$Z$1004,0),"")</f>
        <v/>
      </c>
    </row>
    <row r="27" customFormat="false" ht="15" hidden="false" customHeight="false" outlineLevel="0" collapsed="false">
      <c r="A27" s="39" t="str">
        <f aca="false">IF($M27="","",INDEX(Bookings!$C$5:$C$1004,$M27))</f>
        <v/>
      </c>
      <c r="B27" s="8" t="str">
        <f aca="false">IF(A27="","",TEXT(A27,"ddd"))</f>
        <v/>
      </c>
      <c r="C27" s="8" t="str">
        <f aca="false">IF($M27="","",INDEX(Bookings!$D$5:$D$1004,$M27))</f>
        <v/>
      </c>
      <c r="D27" s="8" t="str">
        <f aca="false">IF($M27="","",INDEX(Bookings!$E$5:$E$1004,$M27)&amp;"")</f>
        <v/>
      </c>
      <c r="E27" s="39" t="str">
        <f aca="false">IF($M27="","",IF(_xlfn.MINIFS(Bookings!$B$5:$B$1004,Bookings!$D$5:$D$1004,C27,Bookings!$B$5:$B$1004,"&gt;="&amp;A27,Bookings!$AA$5:$AA$1004,1)=0,"",_xlfn.MINIFS(Bookings!$B$5:$B$1004,Bookings!$D$5:$D$1004,C27,Bookings!$B$5:$B$1004,"&gt;="&amp;A27,Bookings!$AA$5:$AA$1004,1)))</f>
        <v/>
      </c>
      <c r="F27" s="8" t="str">
        <f aca="false">IF(E27="","",IFERROR(INDEX(Bookings!$E$5:$E$1004,MATCH(C27&amp;"|"&amp;TEXT(E27,"0"),Bookings!$AG$5:$AG$1004,0))&amp;"",""))</f>
        <v/>
      </c>
      <c r="G27" s="18" t="str">
        <f aca="false">IF(E27="","",IFERROR(INDEX(Bookings!$G$5:$G$1004,MATCH(C27&amp;"|"&amp;TEXT(E27,"0"),Bookings!$AG$5:$AG$1004,0)),""))</f>
        <v/>
      </c>
      <c r="H27" s="18" t="str">
        <f aca="false">IF(OR(A27="",E27=""),"",E27-A27)</f>
        <v/>
      </c>
      <c r="I27" s="8" t="str">
        <f aca="false">IF(A27="","",IF(E27="","No next booking",IF(H27=0,"SAME-DAY turnover",IF(H27=1,"Next-day check-in",""))))</f>
        <v/>
      </c>
      <c r="J27" s="8" t="str">
        <f aca="false">IF($M27="","",IF(INDEX(Bookings!$V$5:$V$1004,$M27)="","Unassigned",INDEX(Bookings!$V$5:$V$1004,$M27)))</f>
        <v/>
      </c>
      <c r="K27" s="8" t="str">
        <f aca="false">IF($M27="","",IF(INDEX(Bookings!$W$5:$W$1004,$M27)="Yes","Yes",""))</f>
        <v/>
      </c>
      <c r="L27" s="8" t="str">
        <f aca="false">IF($M27="","",INDEX(Bookings!$X$5:$X$1004,$M27)&amp;"")</f>
        <v/>
      </c>
      <c r="M27" s="47" t="str">
        <f aca="false">IFERROR(MATCH(SMALL(Bookings!$Z$5:$Z$1004,COUNTIF(Bookings!$Z$5:$Z$1004,"&lt;"&amp;$B$4)+21),Bookings!$Z$5:$Z$1004,0),"")</f>
        <v/>
      </c>
    </row>
    <row r="28" customFormat="false" ht="15" hidden="false" customHeight="false" outlineLevel="0" collapsed="false">
      <c r="A28" s="48" t="str">
        <f aca="false">IF($M28="","",INDEX(Bookings!$C$5:$C$1004,$M28))</f>
        <v/>
      </c>
      <c r="B28" s="23" t="str">
        <f aca="false">IF(A28="","",TEXT(A28,"ddd"))</f>
        <v/>
      </c>
      <c r="C28" s="23" t="str">
        <f aca="false">IF($M28="","",INDEX(Bookings!$D$5:$D$1004,$M28))</f>
        <v/>
      </c>
      <c r="D28" s="23" t="str">
        <f aca="false">IF($M28="","",INDEX(Bookings!$E$5:$E$1004,$M28)&amp;"")</f>
        <v/>
      </c>
      <c r="E28" s="48" t="str">
        <f aca="false">IF($M28="","",IF(_xlfn.MINIFS(Bookings!$B$5:$B$1004,Bookings!$D$5:$D$1004,C28,Bookings!$B$5:$B$1004,"&gt;="&amp;A28,Bookings!$AA$5:$AA$1004,1)=0,"",_xlfn.MINIFS(Bookings!$B$5:$B$1004,Bookings!$D$5:$D$1004,C28,Bookings!$B$5:$B$1004,"&gt;="&amp;A28,Bookings!$AA$5:$AA$1004,1)))</f>
        <v/>
      </c>
      <c r="F28" s="23" t="str">
        <f aca="false">IF(E28="","",IFERROR(INDEX(Bookings!$E$5:$E$1004,MATCH(C28&amp;"|"&amp;TEXT(E28,"0"),Bookings!$AG$5:$AG$1004,0))&amp;"",""))</f>
        <v/>
      </c>
      <c r="G28" s="24" t="str">
        <f aca="false">IF(E28="","",IFERROR(INDEX(Bookings!$G$5:$G$1004,MATCH(C28&amp;"|"&amp;TEXT(E28,"0"),Bookings!$AG$5:$AG$1004,0)),""))</f>
        <v/>
      </c>
      <c r="H28" s="24" t="str">
        <f aca="false">IF(OR(A28="",E28=""),"",E28-A28)</f>
        <v/>
      </c>
      <c r="I28" s="23" t="str">
        <f aca="false">IF(A28="","",IF(E28="","No next booking",IF(H28=0,"SAME-DAY turnover",IF(H28=1,"Next-day check-in",""))))</f>
        <v/>
      </c>
      <c r="J28" s="23" t="str">
        <f aca="false">IF($M28="","",IF(INDEX(Bookings!$V$5:$V$1004,$M28)="","Unassigned",INDEX(Bookings!$V$5:$V$1004,$M28)))</f>
        <v/>
      </c>
      <c r="K28" s="23" t="str">
        <f aca="false">IF($M28="","",IF(INDEX(Bookings!$W$5:$W$1004,$M28)="Yes","Yes",""))</f>
        <v/>
      </c>
      <c r="L28" s="23" t="str">
        <f aca="false">IF($M28="","",INDEX(Bookings!$X$5:$X$1004,$M28)&amp;"")</f>
        <v/>
      </c>
      <c r="M28" s="47" t="str">
        <f aca="false">IFERROR(MATCH(SMALL(Bookings!$Z$5:$Z$1004,COUNTIF(Bookings!$Z$5:$Z$1004,"&lt;"&amp;$B$4)+22),Bookings!$Z$5:$Z$1004,0),"")</f>
        <v/>
      </c>
    </row>
    <row r="29" customFormat="false" ht="15" hidden="false" customHeight="false" outlineLevel="0" collapsed="false">
      <c r="A29" s="39" t="str">
        <f aca="false">IF($M29="","",INDEX(Bookings!$C$5:$C$1004,$M29))</f>
        <v/>
      </c>
      <c r="B29" s="8" t="str">
        <f aca="false">IF(A29="","",TEXT(A29,"ddd"))</f>
        <v/>
      </c>
      <c r="C29" s="8" t="str">
        <f aca="false">IF($M29="","",INDEX(Bookings!$D$5:$D$1004,$M29))</f>
        <v/>
      </c>
      <c r="D29" s="8" t="str">
        <f aca="false">IF($M29="","",INDEX(Bookings!$E$5:$E$1004,$M29)&amp;"")</f>
        <v/>
      </c>
      <c r="E29" s="39" t="str">
        <f aca="false">IF($M29="","",IF(_xlfn.MINIFS(Bookings!$B$5:$B$1004,Bookings!$D$5:$D$1004,C29,Bookings!$B$5:$B$1004,"&gt;="&amp;A29,Bookings!$AA$5:$AA$1004,1)=0,"",_xlfn.MINIFS(Bookings!$B$5:$B$1004,Bookings!$D$5:$D$1004,C29,Bookings!$B$5:$B$1004,"&gt;="&amp;A29,Bookings!$AA$5:$AA$1004,1)))</f>
        <v/>
      </c>
      <c r="F29" s="8" t="str">
        <f aca="false">IF(E29="","",IFERROR(INDEX(Bookings!$E$5:$E$1004,MATCH(C29&amp;"|"&amp;TEXT(E29,"0"),Bookings!$AG$5:$AG$1004,0))&amp;"",""))</f>
        <v/>
      </c>
      <c r="G29" s="18" t="str">
        <f aca="false">IF(E29="","",IFERROR(INDEX(Bookings!$G$5:$G$1004,MATCH(C29&amp;"|"&amp;TEXT(E29,"0"),Bookings!$AG$5:$AG$1004,0)),""))</f>
        <v/>
      </c>
      <c r="H29" s="18" t="str">
        <f aca="false">IF(OR(A29="",E29=""),"",E29-A29)</f>
        <v/>
      </c>
      <c r="I29" s="8" t="str">
        <f aca="false">IF(A29="","",IF(E29="","No next booking",IF(H29=0,"SAME-DAY turnover",IF(H29=1,"Next-day check-in",""))))</f>
        <v/>
      </c>
      <c r="J29" s="8" t="str">
        <f aca="false">IF($M29="","",IF(INDEX(Bookings!$V$5:$V$1004,$M29)="","Unassigned",INDEX(Bookings!$V$5:$V$1004,$M29)))</f>
        <v/>
      </c>
      <c r="K29" s="8" t="str">
        <f aca="false">IF($M29="","",IF(INDEX(Bookings!$W$5:$W$1004,$M29)="Yes","Yes",""))</f>
        <v/>
      </c>
      <c r="L29" s="8" t="str">
        <f aca="false">IF($M29="","",INDEX(Bookings!$X$5:$X$1004,$M29)&amp;"")</f>
        <v/>
      </c>
      <c r="M29" s="47" t="str">
        <f aca="false">IFERROR(MATCH(SMALL(Bookings!$Z$5:$Z$1004,COUNTIF(Bookings!$Z$5:$Z$1004,"&lt;"&amp;$B$4)+23),Bookings!$Z$5:$Z$1004,0),"")</f>
        <v/>
      </c>
    </row>
    <row r="30" customFormat="false" ht="15" hidden="false" customHeight="false" outlineLevel="0" collapsed="false">
      <c r="A30" s="48" t="str">
        <f aca="false">IF($M30="","",INDEX(Bookings!$C$5:$C$1004,$M30))</f>
        <v/>
      </c>
      <c r="B30" s="23" t="str">
        <f aca="false">IF(A30="","",TEXT(A30,"ddd"))</f>
        <v/>
      </c>
      <c r="C30" s="23" t="str">
        <f aca="false">IF($M30="","",INDEX(Bookings!$D$5:$D$1004,$M30))</f>
        <v/>
      </c>
      <c r="D30" s="23" t="str">
        <f aca="false">IF($M30="","",INDEX(Bookings!$E$5:$E$1004,$M30)&amp;"")</f>
        <v/>
      </c>
      <c r="E30" s="48" t="str">
        <f aca="false">IF($M30="","",IF(_xlfn.MINIFS(Bookings!$B$5:$B$1004,Bookings!$D$5:$D$1004,C30,Bookings!$B$5:$B$1004,"&gt;="&amp;A30,Bookings!$AA$5:$AA$1004,1)=0,"",_xlfn.MINIFS(Bookings!$B$5:$B$1004,Bookings!$D$5:$D$1004,C30,Bookings!$B$5:$B$1004,"&gt;="&amp;A30,Bookings!$AA$5:$AA$1004,1)))</f>
        <v/>
      </c>
      <c r="F30" s="23" t="str">
        <f aca="false">IF(E30="","",IFERROR(INDEX(Bookings!$E$5:$E$1004,MATCH(C30&amp;"|"&amp;TEXT(E30,"0"),Bookings!$AG$5:$AG$1004,0))&amp;"",""))</f>
        <v/>
      </c>
      <c r="G30" s="24" t="str">
        <f aca="false">IF(E30="","",IFERROR(INDEX(Bookings!$G$5:$G$1004,MATCH(C30&amp;"|"&amp;TEXT(E30,"0"),Bookings!$AG$5:$AG$1004,0)),""))</f>
        <v/>
      </c>
      <c r="H30" s="24" t="str">
        <f aca="false">IF(OR(A30="",E30=""),"",E30-A30)</f>
        <v/>
      </c>
      <c r="I30" s="23" t="str">
        <f aca="false">IF(A30="","",IF(E30="","No next booking",IF(H30=0,"SAME-DAY turnover",IF(H30=1,"Next-day check-in",""))))</f>
        <v/>
      </c>
      <c r="J30" s="23" t="str">
        <f aca="false">IF($M30="","",IF(INDEX(Bookings!$V$5:$V$1004,$M30)="","Unassigned",INDEX(Bookings!$V$5:$V$1004,$M30)))</f>
        <v/>
      </c>
      <c r="K30" s="23" t="str">
        <f aca="false">IF($M30="","",IF(INDEX(Bookings!$W$5:$W$1004,$M30)="Yes","Yes",""))</f>
        <v/>
      </c>
      <c r="L30" s="23" t="str">
        <f aca="false">IF($M30="","",INDEX(Bookings!$X$5:$X$1004,$M30)&amp;"")</f>
        <v/>
      </c>
      <c r="M30" s="47" t="str">
        <f aca="false">IFERROR(MATCH(SMALL(Bookings!$Z$5:$Z$1004,COUNTIF(Bookings!$Z$5:$Z$1004,"&lt;"&amp;$B$4)+24),Bookings!$Z$5:$Z$1004,0),"")</f>
        <v/>
      </c>
    </row>
    <row r="31" customFormat="false" ht="15" hidden="false" customHeight="false" outlineLevel="0" collapsed="false">
      <c r="A31" s="39" t="str">
        <f aca="false">IF($M31="","",INDEX(Bookings!$C$5:$C$1004,$M31))</f>
        <v/>
      </c>
      <c r="B31" s="8" t="str">
        <f aca="false">IF(A31="","",TEXT(A31,"ddd"))</f>
        <v/>
      </c>
      <c r="C31" s="8" t="str">
        <f aca="false">IF($M31="","",INDEX(Bookings!$D$5:$D$1004,$M31))</f>
        <v/>
      </c>
      <c r="D31" s="8" t="str">
        <f aca="false">IF($M31="","",INDEX(Bookings!$E$5:$E$1004,$M31)&amp;"")</f>
        <v/>
      </c>
      <c r="E31" s="39" t="str">
        <f aca="false">IF($M31="","",IF(_xlfn.MINIFS(Bookings!$B$5:$B$1004,Bookings!$D$5:$D$1004,C31,Bookings!$B$5:$B$1004,"&gt;="&amp;A31,Bookings!$AA$5:$AA$1004,1)=0,"",_xlfn.MINIFS(Bookings!$B$5:$B$1004,Bookings!$D$5:$D$1004,C31,Bookings!$B$5:$B$1004,"&gt;="&amp;A31,Bookings!$AA$5:$AA$1004,1)))</f>
        <v/>
      </c>
      <c r="F31" s="8" t="str">
        <f aca="false">IF(E31="","",IFERROR(INDEX(Bookings!$E$5:$E$1004,MATCH(C31&amp;"|"&amp;TEXT(E31,"0"),Bookings!$AG$5:$AG$1004,0))&amp;"",""))</f>
        <v/>
      </c>
      <c r="G31" s="18" t="str">
        <f aca="false">IF(E31="","",IFERROR(INDEX(Bookings!$G$5:$G$1004,MATCH(C31&amp;"|"&amp;TEXT(E31,"0"),Bookings!$AG$5:$AG$1004,0)),""))</f>
        <v/>
      </c>
      <c r="H31" s="18" t="str">
        <f aca="false">IF(OR(A31="",E31=""),"",E31-A31)</f>
        <v/>
      </c>
      <c r="I31" s="8" t="str">
        <f aca="false">IF(A31="","",IF(E31="","No next booking",IF(H31=0,"SAME-DAY turnover",IF(H31=1,"Next-day check-in",""))))</f>
        <v/>
      </c>
      <c r="J31" s="8" t="str">
        <f aca="false">IF($M31="","",IF(INDEX(Bookings!$V$5:$V$1004,$M31)="","Unassigned",INDEX(Bookings!$V$5:$V$1004,$M31)))</f>
        <v/>
      </c>
      <c r="K31" s="8" t="str">
        <f aca="false">IF($M31="","",IF(INDEX(Bookings!$W$5:$W$1004,$M31)="Yes","Yes",""))</f>
        <v/>
      </c>
      <c r="L31" s="8" t="str">
        <f aca="false">IF($M31="","",INDEX(Bookings!$X$5:$X$1004,$M31)&amp;"")</f>
        <v/>
      </c>
      <c r="M31" s="47" t="str">
        <f aca="false">IFERROR(MATCH(SMALL(Bookings!$Z$5:$Z$1004,COUNTIF(Bookings!$Z$5:$Z$1004,"&lt;"&amp;$B$4)+25),Bookings!$Z$5:$Z$1004,0),"")</f>
        <v/>
      </c>
    </row>
    <row r="32" customFormat="false" ht="15" hidden="false" customHeight="false" outlineLevel="0" collapsed="false">
      <c r="A32" s="48" t="str">
        <f aca="false">IF($M32="","",INDEX(Bookings!$C$5:$C$1004,$M32))</f>
        <v/>
      </c>
      <c r="B32" s="23" t="str">
        <f aca="false">IF(A32="","",TEXT(A32,"ddd"))</f>
        <v/>
      </c>
      <c r="C32" s="23" t="str">
        <f aca="false">IF($M32="","",INDEX(Bookings!$D$5:$D$1004,$M32))</f>
        <v/>
      </c>
      <c r="D32" s="23" t="str">
        <f aca="false">IF($M32="","",INDEX(Bookings!$E$5:$E$1004,$M32)&amp;"")</f>
        <v/>
      </c>
      <c r="E32" s="48" t="str">
        <f aca="false">IF($M32="","",IF(_xlfn.MINIFS(Bookings!$B$5:$B$1004,Bookings!$D$5:$D$1004,C32,Bookings!$B$5:$B$1004,"&gt;="&amp;A32,Bookings!$AA$5:$AA$1004,1)=0,"",_xlfn.MINIFS(Bookings!$B$5:$B$1004,Bookings!$D$5:$D$1004,C32,Bookings!$B$5:$B$1004,"&gt;="&amp;A32,Bookings!$AA$5:$AA$1004,1)))</f>
        <v/>
      </c>
      <c r="F32" s="23" t="str">
        <f aca="false">IF(E32="","",IFERROR(INDEX(Bookings!$E$5:$E$1004,MATCH(C32&amp;"|"&amp;TEXT(E32,"0"),Bookings!$AG$5:$AG$1004,0))&amp;"",""))</f>
        <v/>
      </c>
      <c r="G32" s="24" t="str">
        <f aca="false">IF(E32="","",IFERROR(INDEX(Bookings!$G$5:$G$1004,MATCH(C32&amp;"|"&amp;TEXT(E32,"0"),Bookings!$AG$5:$AG$1004,0)),""))</f>
        <v/>
      </c>
      <c r="H32" s="24" t="str">
        <f aca="false">IF(OR(A32="",E32=""),"",E32-A32)</f>
        <v/>
      </c>
      <c r="I32" s="23" t="str">
        <f aca="false">IF(A32="","",IF(E32="","No next booking",IF(H32=0,"SAME-DAY turnover",IF(H32=1,"Next-day check-in",""))))</f>
        <v/>
      </c>
      <c r="J32" s="23" t="str">
        <f aca="false">IF($M32="","",IF(INDEX(Bookings!$V$5:$V$1004,$M32)="","Unassigned",INDEX(Bookings!$V$5:$V$1004,$M32)))</f>
        <v/>
      </c>
      <c r="K32" s="23" t="str">
        <f aca="false">IF($M32="","",IF(INDEX(Bookings!$W$5:$W$1004,$M32)="Yes","Yes",""))</f>
        <v/>
      </c>
      <c r="L32" s="23" t="str">
        <f aca="false">IF($M32="","",INDEX(Bookings!$X$5:$X$1004,$M32)&amp;"")</f>
        <v/>
      </c>
      <c r="M32" s="47" t="str">
        <f aca="false">IFERROR(MATCH(SMALL(Bookings!$Z$5:$Z$1004,COUNTIF(Bookings!$Z$5:$Z$1004,"&lt;"&amp;$B$4)+26),Bookings!$Z$5:$Z$1004,0),"")</f>
        <v/>
      </c>
    </row>
    <row r="33" customFormat="false" ht="15" hidden="false" customHeight="false" outlineLevel="0" collapsed="false">
      <c r="A33" s="39" t="str">
        <f aca="false">IF($M33="","",INDEX(Bookings!$C$5:$C$1004,$M33))</f>
        <v/>
      </c>
      <c r="B33" s="8" t="str">
        <f aca="false">IF(A33="","",TEXT(A33,"ddd"))</f>
        <v/>
      </c>
      <c r="C33" s="8" t="str">
        <f aca="false">IF($M33="","",INDEX(Bookings!$D$5:$D$1004,$M33))</f>
        <v/>
      </c>
      <c r="D33" s="8" t="str">
        <f aca="false">IF($M33="","",INDEX(Bookings!$E$5:$E$1004,$M33)&amp;"")</f>
        <v/>
      </c>
      <c r="E33" s="39" t="str">
        <f aca="false">IF($M33="","",IF(_xlfn.MINIFS(Bookings!$B$5:$B$1004,Bookings!$D$5:$D$1004,C33,Bookings!$B$5:$B$1004,"&gt;="&amp;A33,Bookings!$AA$5:$AA$1004,1)=0,"",_xlfn.MINIFS(Bookings!$B$5:$B$1004,Bookings!$D$5:$D$1004,C33,Bookings!$B$5:$B$1004,"&gt;="&amp;A33,Bookings!$AA$5:$AA$1004,1)))</f>
        <v/>
      </c>
      <c r="F33" s="8" t="str">
        <f aca="false">IF(E33="","",IFERROR(INDEX(Bookings!$E$5:$E$1004,MATCH(C33&amp;"|"&amp;TEXT(E33,"0"),Bookings!$AG$5:$AG$1004,0))&amp;"",""))</f>
        <v/>
      </c>
      <c r="G33" s="18" t="str">
        <f aca="false">IF(E33="","",IFERROR(INDEX(Bookings!$G$5:$G$1004,MATCH(C33&amp;"|"&amp;TEXT(E33,"0"),Bookings!$AG$5:$AG$1004,0)),""))</f>
        <v/>
      </c>
      <c r="H33" s="18" t="str">
        <f aca="false">IF(OR(A33="",E33=""),"",E33-A33)</f>
        <v/>
      </c>
      <c r="I33" s="8" t="str">
        <f aca="false">IF(A33="","",IF(E33="","No next booking",IF(H33=0,"SAME-DAY turnover",IF(H33=1,"Next-day check-in",""))))</f>
        <v/>
      </c>
      <c r="J33" s="8" t="str">
        <f aca="false">IF($M33="","",IF(INDEX(Bookings!$V$5:$V$1004,$M33)="","Unassigned",INDEX(Bookings!$V$5:$V$1004,$M33)))</f>
        <v/>
      </c>
      <c r="K33" s="8" t="str">
        <f aca="false">IF($M33="","",IF(INDEX(Bookings!$W$5:$W$1004,$M33)="Yes","Yes",""))</f>
        <v/>
      </c>
      <c r="L33" s="8" t="str">
        <f aca="false">IF($M33="","",INDEX(Bookings!$X$5:$X$1004,$M33)&amp;"")</f>
        <v/>
      </c>
      <c r="M33" s="47" t="str">
        <f aca="false">IFERROR(MATCH(SMALL(Bookings!$Z$5:$Z$1004,COUNTIF(Bookings!$Z$5:$Z$1004,"&lt;"&amp;$B$4)+27),Bookings!$Z$5:$Z$1004,0),"")</f>
        <v/>
      </c>
    </row>
    <row r="34" customFormat="false" ht="15" hidden="false" customHeight="false" outlineLevel="0" collapsed="false">
      <c r="A34" s="48" t="str">
        <f aca="false">IF($M34="","",INDEX(Bookings!$C$5:$C$1004,$M34))</f>
        <v/>
      </c>
      <c r="B34" s="23" t="str">
        <f aca="false">IF(A34="","",TEXT(A34,"ddd"))</f>
        <v/>
      </c>
      <c r="C34" s="23" t="str">
        <f aca="false">IF($M34="","",INDEX(Bookings!$D$5:$D$1004,$M34))</f>
        <v/>
      </c>
      <c r="D34" s="23" t="str">
        <f aca="false">IF($M34="","",INDEX(Bookings!$E$5:$E$1004,$M34)&amp;"")</f>
        <v/>
      </c>
      <c r="E34" s="48" t="str">
        <f aca="false">IF($M34="","",IF(_xlfn.MINIFS(Bookings!$B$5:$B$1004,Bookings!$D$5:$D$1004,C34,Bookings!$B$5:$B$1004,"&gt;="&amp;A34,Bookings!$AA$5:$AA$1004,1)=0,"",_xlfn.MINIFS(Bookings!$B$5:$B$1004,Bookings!$D$5:$D$1004,C34,Bookings!$B$5:$B$1004,"&gt;="&amp;A34,Bookings!$AA$5:$AA$1004,1)))</f>
        <v/>
      </c>
      <c r="F34" s="23" t="str">
        <f aca="false">IF(E34="","",IFERROR(INDEX(Bookings!$E$5:$E$1004,MATCH(C34&amp;"|"&amp;TEXT(E34,"0"),Bookings!$AG$5:$AG$1004,0))&amp;"",""))</f>
        <v/>
      </c>
      <c r="G34" s="24" t="str">
        <f aca="false">IF(E34="","",IFERROR(INDEX(Bookings!$G$5:$G$1004,MATCH(C34&amp;"|"&amp;TEXT(E34,"0"),Bookings!$AG$5:$AG$1004,0)),""))</f>
        <v/>
      </c>
      <c r="H34" s="24" t="str">
        <f aca="false">IF(OR(A34="",E34=""),"",E34-A34)</f>
        <v/>
      </c>
      <c r="I34" s="23" t="str">
        <f aca="false">IF(A34="","",IF(E34="","No next booking",IF(H34=0,"SAME-DAY turnover",IF(H34=1,"Next-day check-in",""))))</f>
        <v/>
      </c>
      <c r="J34" s="23" t="str">
        <f aca="false">IF($M34="","",IF(INDEX(Bookings!$V$5:$V$1004,$M34)="","Unassigned",INDEX(Bookings!$V$5:$V$1004,$M34)))</f>
        <v/>
      </c>
      <c r="K34" s="23" t="str">
        <f aca="false">IF($M34="","",IF(INDEX(Bookings!$W$5:$W$1004,$M34)="Yes","Yes",""))</f>
        <v/>
      </c>
      <c r="L34" s="23" t="str">
        <f aca="false">IF($M34="","",INDEX(Bookings!$X$5:$X$1004,$M34)&amp;"")</f>
        <v/>
      </c>
      <c r="M34" s="47" t="str">
        <f aca="false">IFERROR(MATCH(SMALL(Bookings!$Z$5:$Z$1004,COUNTIF(Bookings!$Z$5:$Z$1004,"&lt;"&amp;$B$4)+28),Bookings!$Z$5:$Z$1004,0),"")</f>
        <v/>
      </c>
    </row>
    <row r="35" customFormat="false" ht="15" hidden="false" customHeight="false" outlineLevel="0" collapsed="false">
      <c r="A35" s="39" t="str">
        <f aca="false">IF($M35="","",INDEX(Bookings!$C$5:$C$1004,$M35))</f>
        <v/>
      </c>
      <c r="B35" s="8" t="str">
        <f aca="false">IF(A35="","",TEXT(A35,"ddd"))</f>
        <v/>
      </c>
      <c r="C35" s="8" t="str">
        <f aca="false">IF($M35="","",INDEX(Bookings!$D$5:$D$1004,$M35))</f>
        <v/>
      </c>
      <c r="D35" s="8" t="str">
        <f aca="false">IF($M35="","",INDEX(Bookings!$E$5:$E$1004,$M35)&amp;"")</f>
        <v/>
      </c>
      <c r="E35" s="39" t="str">
        <f aca="false">IF($M35="","",IF(_xlfn.MINIFS(Bookings!$B$5:$B$1004,Bookings!$D$5:$D$1004,C35,Bookings!$B$5:$B$1004,"&gt;="&amp;A35,Bookings!$AA$5:$AA$1004,1)=0,"",_xlfn.MINIFS(Bookings!$B$5:$B$1004,Bookings!$D$5:$D$1004,C35,Bookings!$B$5:$B$1004,"&gt;="&amp;A35,Bookings!$AA$5:$AA$1004,1)))</f>
        <v/>
      </c>
      <c r="F35" s="8" t="str">
        <f aca="false">IF(E35="","",IFERROR(INDEX(Bookings!$E$5:$E$1004,MATCH(C35&amp;"|"&amp;TEXT(E35,"0"),Bookings!$AG$5:$AG$1004,0))&amp;"",""))</f>
        <v/>
      </c>
      <c r="G35" s="18" t="str">
        <f aca="false">IF(E35="","",IFERROR(INDEX(Bookings!$G$5:$G$1004,MATCH(C35&amp;"|"&amp;TEXT(E35,"0"),Bookings!$AG$5:$AG$1004,0)),""))</f>
        <v/>
      </c>
      <c r="H35" s="18" t="str">
        <f aca="false">IF(OR(A35="",E35=""),"",E35-A35)</f>
        <v/>
      </c>
      <c r="I35" s="8" t="str">
        <f aca="false">IF(A35="","",IF(E35="","No next booking",IF(H35=0,"SAME-DAY turnover",IF(H35=1,"Next-day check-in",""))))</f>
        <v/>
      </c>
      <c r="J35" s="8" t="str">
        <f aca="false">IF($M35="","",IF(INDEX(Bookings!$V$5:$V$1004,$M35)="","Unassigned",INDEX(Bookings!$V$5:$V$1004,$M35)))</f>
        <v/>
      </c>
      <c r="K35" s="8" t="str">
        <f aca="false">IF($M35="","",IF(INDEX(Bookings!$W$5:$W$1004,$M35)="Yes","Yes",""))</f>
        <v/>
      </c>
      <c r="L35" s="8" t="str">
        <f aca="false">IF($M35="","",INDEX(Bookings!$X$5:$X$1004,$M35)&amp;"")</f>
        <v/>
      </c>
      <c r="M35" s="47" t="str">
        <f aca="false">IFERROR(MATCH(SMALL(Bookings!$Z$5:$Z$1004,COUNTIF(Bookings!$Z$5:$Z$1004,"&lt;"&amp;$B$4)+29),Bookings!$Z$5:$Z$1004,0),"")</f>
        <v/>
      </c>
    </row>
    <row r="36" customFormat="false" ht="15" hidden="false" customHeight="false" outlineLevel="0" collapsed="false">
      <c r="A36" s="48" t="str">
        <f aca="false">IF($M36="","",INDEX(Bookings!$C$5:$C$1004,$M36))</f>
        <v/>
      </c>
      <c r="B36" s="23" t="str">
        <f aca="false">IF(A36="","",TEXT(A36,"ddd"))</f>
        <v/>
      </c>
      <c r="C36" s="23" t="str">
        <f aca="false">IF($M36="","",INDEX(Bookings!$D$5:$D$1004,$M36))</f>
        <v/>
      </c>
      <c r="D36" s="23" t="str">
        <f aca="false">IF($M36="","",INDEX(Bookings!$E$5:$E$1004,$M36)&amp;"")</f>
        <v/>
      </c>
      <c r="E36" s="48" t="str">
        <f aca="false">IF($M36="","",IF(_xlfn.MINIFS(Bookings!$B$5:$B$1004,Bookings!$D$5:$D$1004,C36,Bookings!$B$5:$B$1004,"&gt;="&amp;A36,Bookings!$AA$5:$AA$1004,1)=0,"",_xlfn.MINIFS(Bookings!$B$5:$B$1004,Bookings!$D$5:$D$1004,C36,Bookings!$B$5:$B$1004,"&gt;="&amp;A36,Bookings!$AA$5:$AA$1004,1)))</f>
        <v/>
      </c>
      <c r="F36" s="23" t="str">
        <f aca="false">IF(E36="","",IFERROR(INDEX(Bookings!$E$5:$E$1004,MATCH(C36&amp;"|"&amp;TEXT(E36,"0"),Bookings!$AG$5:$AG$1004,0))&amp;"",""))</f>
        <v/>
      </c>
      <c r="G36" s="24" t="str">
        <f aca="false">IF(E36="","",IFERROR(INDEX(Bookings!$G$5:$G$1004,MATCH(C36&amp;"|"&amp;TEXT(E36,"0"),Bookings!$AG$5:$AG$1004,0)),""))</f>
        <v/>
      </c>
      <c r="H36" s="24" t="str">
        <f aca="false">IF(OR(A36="",E36=""),"",E36-A36)</f>
        <v/>
      </c>
      <c r="I36" s="23" t="str">
        <f aca="false">IF(A36="","",IF(E36="","No next booking",IF(H36=0,"SAME-DAY turnover",IF(H36=1,"Next-day check-in",""))))</f>
        <v/>
      </c>
      <c r="J36" s="23" t="str">
        <f aca="false">IF($M36="","",IF(INDEX(Bookings!$V$5:$V$1004,$M36)="","Unassigned",INDEX(Bookings!$V$5:$V$1004,$M36)))</f>
        <v/>
      </c>
      <c r="K36" s="23" t="str">
        <f aca="false">IF($M36="","",IF(INDEX(Bookings!$W$5:$W$1004,$M36)="Yes","Yes",""))</f>
        <v/>
      </c>
      <c r="L36" s="23" t="str">
        <f aca="false">IF($M36="","",INDEX(Bookings!$X$5:$X$1004,$M36)&amp;"")</f>
        <v/>
      </c>
      <c r="M36" s="47" t="str">
        <f aca="false">IFERROR(MATCH(SMALL(Bookings!$Z$5:$Z$1004,COUNTIF(Bookings!$Z$5:$Z$1004,"&lt;"&amp;$B$4)+30),Bookings!$Z$5:$Z$1004,0),"")</f>
        <v/>
      </c>
    </row>
    <row r="37" customFormat="false" ht="15" hidden="false" customHeight="false" outlineLevel="0" collapsed="false">
      <c r="A37" s="39" t="str">
        <f aca="false">IF($M37="","",INDEX(Bookings!$C$5:$C$1004,$M37))</f>
        <v/>
      </c>
      <c r="B37" s="8" t="str">
        <f aca="false">IF(A37="","",TEXT(A37,"ddd"))</f>
        <v/>
      </c>
      <c r="C37" s="8" t="str">
        <f aca="false">IF($M37="","",INDEX(Bookings!$D$5:$D$1004,$M37))</f>
        <v/>
      </c>
      <c r="D37" s="8" t="str">
        <f aca="false">IF($M37="","",INDEX(Bookings!$E$5:$E$1004,$M37)&amp;"")</f>
        <v/>
      </c>
      <c r="E37" s="39" t="str">
        <f aca="false">IF($M37="","",IF(_xlfn.MINIFS(Bookings!$B$5:$B$1004,Bookings!$D$5:$D$1004,C37,Bookings!$B$5:$B$1004,"&gt;="&amp;A37,Bookings!$AA$5:$AA$1004,1)=0,"",_xlfn.MINIFS(Bookings!$B$5:$B$1004,Bookings!$D$5:$D$1004,C37,Bookings!$B$5:$B$1004,"&gt;="&amp;A37,Bookings!$AA$5:$AA$1004,1)))</f>
        <v/>
      </c>
      <c r="F37" s="8" t="str">
        <f aca="false">IF(E37="","",IFERROR(INDEX(Bookings!$E$5:$E$1004,MATCH(C37&amp;"|"&amp;TEXT(E37,"0"),Bookings!$AG$5:$AG$1004,0))&amp;"",""))</f>
        <v/>
      </c>
      <c r="G37" s="18" t="str">
        <f aca="false">IF(E37="","",IFERROR(INDEX(Bookings!$G$5:$G$1004,MATCH(C37&amp;"|"&amp;TEXT(E37,"0"),Bookings!$AG$5:$AG$1004,0)),""))</f>
        <v/>
      </c>
      <c r="H37" s="18" t="str">
        <f aca="false">IF(OR(A37="",E37=""),"",E37-A37)</f>
        <v/>
      </c>
      <c r="I37" s="8" t="str">
        <f aca="false">IF(A37="","",IF(E37="","No next booking",IF(H37=0,"SAME-DAY turnover",IF(H37=1,"Next-day check-in",""))))</f>
        <v/>
      </c>
      <c r="J37" s="8" t="str">
        <f aca="false">IF($M37="","",IF(INDEX(Bookings!$V$5:$V$1004,$M37)="","Unassigned",INDEX(Bookings!$V$5:$V$1004,$M37)))</f>
        <v/>
      </c>
      <c r="K37" s="8" t="str">
        <f aca="false">IF($M37="","",IF(INDEX(Bookings!$W$5:$W$1004,$M37)="Yes","Yes",""))</f>
        <v/>
      </c>
      <c r="L37" s="8" t="str">
        <f aca="false">IF($M37="","",INDEX(Bookings!$X$5:$X$1004,$M37)&amp;"")</f>
        <v/>
      </c>
      <c r="M37" s="47" t="str">
        <f aca="false">IFERROR(MATCH(SMALL(Bookings!$Z$5:$Z$1004,COUNTIF(Bookings!$Z$5:$Z$1004,"&lt;"&amp;$B$4)+31),Bookings!$Z$5:$Z$1004,0),"")</f>
        <v/>
      </c>
    </row>
    <row r="38" customFormat="false" ht="15" hidden="false" customHeight="false" outlineLevel="0" collapsed="false">
      <c r="A38" s="48" t="str">
        <f aca="false">IF($M38="","",INDEX(Bookings!$C$5:$C$1004,$M38))</f>
        <v/>
      </c>
      <c r="B38" s="23" t="str">
        <f aca="false">IF(A38="","",TEXT(A38,"ddd"))</f>
        <v/>
      </c>
      <c r="C38" s="23" t="str">
        <f aca="false">IF($M38="","",INDEX(Bookings!$D$5:$D$1004,$M38))</f>
        <v/>
      </c>
      <c r="D38" s="23" t="str">
        <f aca="false">IF($M38="","",INDEX(Bookings!$E$5:$E$1004,$M38)&amp;"")</f>
        <v/>
      </c>
      <c r="E38" s="48" t="str">
        <f aca="false">IF($M38="","",IF(_xlfn.MINIFS(Bookings!$B$5:$B$1004,Bookings!$D$5:$D$1004,C38,Bookings!$B$5:$B$1004,"&gt;="&amp;A38,Bookings!$AA$5:$AA$1004,1)=0,"",_xlfn.MINIFS(Bookings!$B$5:$B$1004,Bookings!$D$5:$D$1004,C38,Bookings!$B$5:$B$1004,"&gt;="&amp;A38,Bookings!$AA$5:$AA$1004,1)))</f>
        <v/>
      </c>
      <c r="F38" s="23" t="str">
        <f aca="false">IF(E38="","",IFERROR(INDEX(Bookings!$E$5:$E$1004,MATCH(C38&amp;"|"&amp;TEXT(E38,"0"),Bookings!$AG$5:$AG$1004,0))&amp;"",""))</f>
        <v/>
      </c>
      <c r="G38" s="24" t="str">
        <f aca="false">IF(E38="","",IFERROR(INDEX(Bookings!$G$5:$G$1004,MATCH(C38&amp;"|"&amp;TEXT(E38,"0"),Bookings!$AG$5:$AG$1004,0)),""))</f>
        <v/>
      </c>
      <c r="H38" s="24" t="str">
        <f aca="false">IF(OR(A38="",E38=""),"",E38-A38)</f>
        <v/>
      </c>
      <c r="I38" s="23" t="str">
        <f aca="false">IF(A38="","",IF(E38="","No next booking",IF(H38=0,"SAME-DAY turnover",IF(H38=1,"Next-day check-in",""))))</f>
        <v/>
      </c>
      <c r="J38" s="23" t="str">
        <f aca="false">IF($M38="","",IF(INDEX(Bookings!$V$5:$V$1004,$M38)="","Unassigned",INDEX(Bookings!$V$5:$V$1004,$M38)))</f>
        <v/>
      </c>
      <c r="K38" s="23" t="str">
        <f aca="false">IF($M38="","",IF(INDEX(Bookings!$W$5:$W$1004,$M38)="Yes","Yes",""))</f>
        <v/>
      </c>
      <c r="L38" s="23" t="str">
        <f aca="false">IF($M38="","",INDEX(Bookings!$X$5:$X$1004,$M38)&amp;"")</f>
        <v/>
      </c>
      <c r="M38" s="47" t="str">
        <f aca="false">IFERROR(MATCH(SMALL(Bookings!$Z$5:$Z$1004,COUNTIF(Bookings!$Z$5:$Z$1004,"&lt;"&amp;$B$4)+32),Bookings!$Z$5:$Z$1004,0),"")</f>
        <v/>
      </c>
    </row>
    <row r="39" customFormat="false" ht="15" hidden="false" customHeight="false" outlineLevel="0" collapsed="false">
      <c r="A39" s="39" t="str">
        <f aca="false">IF($M39="","",INDEX(Bookings!$C$5:$C$1004,$M39))</f>
        <v/>
      </c>
      <c r="B39" s="8" t="str">
        <f aca="false">IF(A39="","",TEXT(A39,"ddd"))</f>
        <v/>
      </c>
      <c r="C39" s="8" t="str">
        <f aca="false">IF($M39="","",INDEX(Bookings!$D$5:$D$1004,$M39))</f>
        <v/>
      </c>
      <c r="D39" s="8" t="str">
        <f aca="false">IF($M39="","",INDEX(Bookings!$E$5:$E$1004,$M39)&amp;"")</f>
        <v/>
      </c>
      <c r="E39" s="39" t="str">
        <f aca="false">IF($M39="","",IF(_xlfn.MINIFS(Bookings!$B$5:$B$1004,Bookings!$D$5:$D$1004,C39,Bookings!$B$5:$B$1004,"&gt;="&amp;A39,Bookings!$AA$5:$AA$1004,1)=0,"",_xlfn.MINIFS(Bookings!$B$5:$B$1004,Bookings!$D$5:$D$1004,C39,Bookings!$B$5:$B$1004,"&gt;="&amp;A39,Bookings!$AA$5:$AA$1004,1)))</f>
        <v/>
      </c>
      <c r="F39" s="8" t="str">
        <f aca="false">IF(E39="","",IFERROR(INDEX(Bookings!$E$5:$E$1004,MATCH(C39&amp;"|"&amp;TEXT(E39,"0"),Bookings!$AG$5:$AG$1004,0))&amp;"",""))</f>
        <v/>
      </c>
      <c r="G39" s="18" t="str">
        <f aca="false">IF(E39="","",IFERROR(INDEX(Bookings!$G$5:$G$1004,MATCH(C39&amp;"|"&amp;TEXT(E39,"0"),Bookings!$AG$5:$AG$1004,0)),""))</f>
        <v/>
      </c>
      <c r="H39" s="18" t="str">
        <f aca="false">IF(OR(A39="",E39=""),"",E39-A39)</f>
        <v/>
      </c>
      <c r="I39" s="8" t="str">
        <f aca="false">IF(A39="","",IF(E39="","No next booking",IF(H39=0,"SAME-DAY turnover",IF(H39=1,"Next-day check-in",""))))</f>
        <v/>
      </c>
      <c r="J39" s="8" t="str">
        <f aca="false">IF($M39="","",IF(INDEX(Bookings!$V$5:$V$1004,$M39)="","Unassigned",INDEX(Bookings!$V$5:$V$1004,$M39)))</f>
        <v/>
      </c>
      <c r="K39" s="8" t="str">
        <f aca="false">IF($M39="","",IF(INDEX(Bookings!$W$5:$W$1004,$M39)="Yes","Yes",""))</f>
        <v/>
      </c>
      <c r="L39" s="8" t="str">
        <f aca="false">IF($M39="","",INDEX(Bookings!$X$5:$X$1004,$M39)&amp;"")</f>
        <v/>
      </c>
      <c r="M39" s="47" t="str">
        <f aca="false">IFERROR(MATCH(SMALL(Bookings!$Z$5:$Z$1004,COUNTIF(Bookings!$Z$5:$Z$1004,"&lt;"&amp;$B$4)+33),Bookings!$Z$5:$Z$1004,0),"")</f>
        <v/>
      </c>
    </row>
    <row r="40" customFormat="false" ht="15" hidden="false" customHeight="false" outlineLevel="0" collapsed="false">
      <c r="A40" s="48" t="str">
        <f aca="false">IF($M40="","",INDEX(Bookings!$C$5:$C$1004,$M40))</f>
        <v/>
      </c>
      <c r="B40" s="23" t="str">
        <f aca="false">IF(A40="","",TEXT(A40,"ddd"))</f>
        <v/>
      </c>
      <c r="C40" s="23" t="str">
        <f aca="false">IF($M40="","",INDEX(Bookings!$D$5:$D$1004,$M40))</f>
        <v/>
      </c>
      <c r="D40" s="23" t="str">
        <f aca="false">IF($M40="","",INDEX(Bookings!$E$5:$E$1004,$M40)&amp;"")</f>
        <v/>
      </c>
      <c r="E40" s="48" t="str">
        <f aca="false">IF($M40="","",IF(_xlfn.MINIFS(Bookings!$B$5:$B$1004,Bookings!$D$5:$D$1004,C40,Bookings!$B$5:$B$1004,"&gt;="&amp;A40,Bookings!$AA$5:$AA$1004,1)=0,"",_xlfn.MINIFS(Bookings!$B$5:$B$1004,Bookings!$D$5:$D$1004,C40,Bookings!$B$5:$B$1004,"&gt;="&amp;A40,Bookings!$AA$5:$AA$1004,1)))</f>
        <v/>
      </c>
      <c r="F40" s="23" t="str">
        <f aca="false">IF(E40="","",IFERROR(INDEX(Bookings!$E$5:$E$1004,MATCH(C40&amp;"|"&amp;TEXT(E40,"0"),Bookings!$AG$5:$AG$1004,0))&amp;"",""))</f>
        <v/>
      </c>
      <c r="G40" s="24" t="str">
        <f aca="false">IF(E40="","",IFERROR(INDEX(Bookings!$G$5:$G$1004,MATCH(C40&amp;"|"&amp;TEXT(E40,"0"),Bookings!$AG$5:$AG$1004,0)),""))</f>
        <v/>
      </c>
      <c r="H40" s="24" t="str">
        <f aca="false">IF(OR(A40="",E40=""),"",E40-A40)</f>
        <v/>
      </c>
      <c r="I40" s="23" t="str">
        <f aca="false">IF(A40="","",IF(E40="","No next booking",IF(H40=0,"SAME-DAY turnover",IF(H40=1,"Next-day check-in",""))))</f>
        <v/>
      </c>
      <c r="J40" s="23" t="str">
        <f aca="false">IF($M40="","",IF(INDEX(Bookings!$V$5:$V$1004,$M40)="","Unassigned",INDEX(Bookings!$V$5:$V$1004,$M40)))</f>
        <v/>
      </c>
      <c r="K40" s="23" t="str">
        <f aca="false">IF($M40="","",IF(INDEX(Bookings!$W$5:$W$1004,$M40)="Yes","Yes",""))</f>
        <v/>
      </c>
      <c r="L40" s="23" t="str">
        <f aca="false">IF($M40="","",INDEX(Bookings!$X$5:$X$1004,$M40)&amp;"")</f>
        <v/>
      </c>
      <c r="M40" s="47" t="str">
        <f aca="false">IFERROR(MATCH(SMALL(Bookings!$Z$5:$Z$1004,COUNTIF(Bookings!$Z$5:$Z$1004,"&lt;"&amp;$B$4)+34),Bookings!$Z$5:$Z$1004,0),"")</f>
        <v/>
      </c>
    </row>
    <row r="41" customFormat="false" ht="15" hidden="false" customHeight="false" outlineLevel="0" collapsed="false">
      <c r="A41" s="39" t="str">
        <f aca="false">IF($M41="","",INDEX(Bookings!$C$5:$C$1004,$M41))</f>
        <v/>
      </c>
      <c r="B41" s="8" t="str">
        <f aca="false">IF(A41="","",TEXT(A41,"ddd"))</f>
        <v/>
      </c>
      <c r="C41" s="8" t="str">
        <f aca="false">IF($M41="","",INDEX(Bookings!$D$5:$D$1004,$M41))</f>
        <v/>
      </c>
      <c r="D41" s="8" t="str">
        <f aca="false">IF($M41="","",INDEX(Bookings!$E$5:$E$1004,$M41)&amp;"")</f>
        <v/>
      </c>
      <c r="E41" s="39" t="str">
        <f aca="false">IF($M41="","",IF(_xlfn.MINIFS(Bookings!$B$5:$B$1004,Bookings!$D$5:$D$1004,C41,Bookings!$B$5:$B$1004,"&gt;="&amp;A41,Bookings!$AA$5:$AA$1004,1)=0,"",_xlfn.MINIFS(Bookings!$B$5:$B$1004,Bookings!$D$5:$D$1004,C41,Bookings!$B$5:$B$1004,"&gt;="&amp;A41,Bookings!$AA$5:$AA$1004,1)))</f>
        <v/>
      </c>
      <c r="F41" s="8" t="str">
        <f aca="false">IF(E41="","",IFERROR(INDEX(Bookings!$E$5:$E$1004,MATCH(C41&amp;"|"&amp;TEXT(E41,"0"),Bookings!$AG$5:$AG$1004,0))&amp;"",""))</f>
        <v/>
      </c>
      <c r="G41" s="18" t="str">
        <f aca="false">IF(E41="","",IFERROR(INDEX(Bookings!$G$5:$G$1004,MATCH(C41&amp;"|"&amp;TEXT(E41,"0"),Bookings!$AG$5:$AG$1004,0)),""))</f>
        <v/>
      </c>
      <c r="H41" s="18" t="str">
        <f aca="false">IF(OR(A41="",E41=""),"",E41-A41)</f>
        <v/>
      </c>
      <c r="I41" s="8" t="str">
        <f aca="false">IF(A41="","",IF(E41="","No next booking",IF(H41=0,"SAME-DAY turnover",IF(H41=1,"Next-day check-in",""))))</f>
        <v/>
      </c>
      <c r="J41" s="8" t="str">
        <f aca="false">IF($M41="","",IF(INDEX(Bookings!$V$5:$V$1004,$M41)="","Unassigned",INDEX(Bookings!$V$5:$V$1004,$M41)))</f>
        <v/>
      </c>
      <c r="K41" s="8" t="str">
        <f aca="false">IF($M41="","",IF(INDEX(Bookings!$W$5:$W$1004,$M41)="Yes","Yes",""))</f>
        <v/>
      </c>
      <c r="L41" s="8" t="str">
        <f aca="false">IF($M41="","",INDEX(Bookings!$X$5:$X$1004,$M41)&amp;"")</f>
        <v/>
      </c>
      <c r="M41" s="47" t="str">
        <f aca="false">IFERROR(MATCH(SMALL(Bookings!$Z$5:$Z$1004,COUNTIF(Bookings!$Z$5:$Z$1004,"&lt;"&amp;$B$4)+35),Bookings!$Z$5:$Z$1004,0),"")</f>
        <v/>
      </c>
    </row>
    <row r="42" customFormat="false" ht="15" hidden="false" customHeight="false" outlineLevel="0" collapsed="false">
      <c r="A42" s="48" t="str">
        <f aca="false">IF($M42="","",INDEX(Bookings!$C$5:$C$1004,$M42))</f>
        <v/>
      </c>
      <c r="B42" s="23" t="str">
        <f aca="false">IF(A42="","",TEXT(A42,"ddd"))</f>
        <v/>
      </c>
      <c r="C42" s="23" t="str">
        <f aca="false">IF($M42="","",INDEX(Bookings!$D$5:$D$1004,$M42))</f>
        <v/>
      </c>
      <c r="D42" s="23" t="str">
        <f aca="false">IF($M42="","",INDEX(Bookings!$E$5:$E$1004,$M42)&amp;"")</f>
        <v/>
      </c>
      <c r="E42" s="48" t="str">
        <f aca="false">IF($M42="","",IF(_xlfn.MINIFS(Bookings!$B$5:$B$1004,Bookings!$D$5:$D$1004,C42,Bookings!$B$5:$B$1004,"&gt;="&amp;A42,Bookings!$AA$5:$AA$1004,1)=0,"",_xlfn.MINIFS(Bookings!$B$5:$B$1004,Bookings!$D$5:$D$1004,C42,Bookings!$B$5:$B$1004,"&gt;="&amp;A42,Bookings!$AA$5:$AA$1004,1)))</f>
        <v/>
      </c>
      <c r="F42" s="23" t="str">
        <f aca="false">IF(E42="","",IFERROR(INDEX(Bookings!$E$5:$E$1004,MATCH(C42&amp;"|"&amp;TEXT(E42,"0"),Bookings!$AG$5:$AG$1004,0))&amp;"",""))</f>
        <v/>
      </c>
      <c r="G42" s="24" t="str">
        <f aca="false">IF(E42="","",IFERROR(INDEX(Bookings!$G$5:$G$1004,MATCH(C42&amp;"|"&amp;TEXT(E42,"0"),Bookings!$AG$5:$AG$1004,0)),""))</f>
        <v/>
      </c>
      <c r="H42" s="24" t="str">
        <f aca="false">IF(OR(A42="",E42=""),"",E42-A42)</f>
        <v/>
      </c>
      <c r="I42" s="23" t="str">
        <f aca="false">IF(A42="","",IF(E42="","No next booking",IF(H42=0,"SAME-DAY turnover",IF(H42=1,"Next-day check-in",""))))</f>
        <v/>
      </c>
      <c r="J42" s="23" t="str">
        <f aca="false">IF($M42="","",IF(INDEX(Bookings!$V$5:$V$1004,$M42)="","Unassigned",INDEX(Bookings!$V$5:$V$1004,$M42)))</f>
        <v/>
      </c>
      <c r="K42" s="23" t="str">
        <f aca="false">IF($M42="","",IF(INDEX(Bookings!$W$5:$W$1004,$M42)="Yes","Yes",""))</f>
        <v/>
      </c>
      <c r="L42" s="23" t="str">
        <f aca="false">IF($M42="","",INDEX(Bookings!$X$5:$X$1004,$M42)&amp;"")</f>
        <v/>
      </c>
      <c r="M42" s="47" t="str">
        <f aca="false">IFERROR(MATCH(SMALL(Bookings!$Z$5:$Z$1004,COUNTIF(Bookings!$Z$5:$Z$1004,"&lt;"&amp;$B$4)+36),Bookings!$Z$5:$Z$1004,0),"")</f>
        <v/>
      </c>
    </row>
    <row r="43" customFormat="false" ht="15" hidden="false" customHeight="false" outlineLevel="0" collapsed="false">
      <c r="A43" s="39" t="str">
        <f aca="false">IF($M43="","",INDEX(Bookings!$C$5:$C$1004,$M43))</f>
        <v/>
      </c>
      <c r="B43" s="8" t="str">
        <f aca="false">IF(A43="","",TEXT(A43,"ddd"))</f>
        <v/>
      </c>
      <c r="C43" s="8" t="str">
        <f aca="false">IF($M43="","",INDEX(Bookings!$D$5:$D$1004,$M43))</f>
        <v/>
      </c>
      <c r="D43" s="8" t="str">
        <f aca="false">IF($M43="","",INDEX(Bookings!$E$5:$E$1004,$M43)&amp;"")</f>
        <v/>
      </c>
      <c r="E43" s="39" t="str">
        <f aca="false">IF($M43="","",IF(_xlfn.MINIFS(Bookings!$B$5:$B$1004,Bookings!$D$5:$D$1004,C43,Bookings!$B$5:$B$1004,"&gt;="&amp;A43,Bookings!$AA$5:$AA$1004,1)=0,"",_xlfn.MINIFS(Bookings!$B$5:$B$1004,Bookings!$D$5:$D$1004,C43,Bookings!$B$5:$B$1004,"&gt;="&amp;A43,Bookings!$AA$5:$AA$1004,1)))</f>
        <v/>
      </c>
      <c r="F43" s="8" t="str">
        <f aca="false">IF(E43="","",IFERROR(INDEX(Bookings!$E$5:$E$1004,MATCH(C43&amp;"|"&amp;TEXT(E43,"0"),Bookings!$AG$5:$AG$1004,0))&amp;"",""))</f>
        <v/>
      </c>
      <c r="G43" s="18" t="str">
        <f aca="false">IF(E43="","",IFERROR(INDEX(Bookings!$G$5:$G$1004,MATCH(C43&amp;"|"&amp;TEXT(E43,"0"),Bookings!$AG$5:$AG$1004,0)),""))</f>
        <v/>
      </c>
      <c r="H43" s="18" t="str">
        <f aca="false">IF(OR(A43="",E43=""),"",E43-A43)</f>
        <v/>
      </c>
      <c r="I43" s="8" t="str">
        <f aca="false">IF(A43="","",IF(E43="","No next booking",IF(H43=0,"SAME-DAY turnover",IF(H43=1,"Next-day check-in",""))))</f>
        <v/>
      </c>
      <c r="J43" s="8" t="str">
        <f aca="false">IF($M43="","",IF(INDEX(Bookings!$V$5:$V$1004,$M43)="","Unassigned",INDEX(Bookings!$V$5:$V$1004,$M43)))</f>
        <v/>
      </c>
      <c r="K43" s="8" t="str">
        <f aca="false">IF($M43="","",IF(INDEX(Bookings!$W$5:$W$1004,$M43)="Yes","Yes",""))</f>
        <v/>
      </c>
      <c r="L43" s="8" t="str">
        <f aca="false">IF($M43="","",INDEX(Bookings!$X$5:$X$1004,$M43)&amp;"")</f>
        <v/>
      </c>
      <c r="M43" s="47" t="str">
        <f aca="false">IFERROR(MATCH(SMALL(Bookings!$Z$5:$Z$1004,COUNTIF(Bookings!$Z$5:$Z$1004,"&lt;"&amp;$B$4)+37),Bookings!$Z$5:$Z$1004,0),"")</f>
        <v/>
      </c>
    </row>
    <row r="44" customFormat="false" ht="15" hidden="false" customHeight="false" outlineLevel="0" collapsed="false">
      <c r="A44" s="48" t="str">
        <f aca="false">IF($M44="","",INDEX(Bookings!$C$5:$C$1004,$M44))</f>
        <v/>
      </c>
      <c r="B44" s="23" t="str">
        <f aca="false">IF(A44="","",TEXT(A44,"ddd"))</f>
        <v/>
      </c>
      <c r="C44" s="23" t="str">
        <f aca="false">IF($M44="","",INDEX(Bookings!$D$5:$D$1004,$M44))</f>
        <v/>
      </c>
      <c r="D44" s="23" t="str">
        <f aca="false">IF($M44="","",INDEX(Bookings!$E$5:$E$1004,$M44)&amp;"")</f>
        <v/>
      </c>
      <c r="E44" s="48" t="str">
        <f aca="false">IF($M44="","",IF(_xlfn.MINIFS(Bookings!$B$5:$B$1004,Bookings!$D$5:$D$1004,C44,Bookings!$B$5:$B$1004,"&gt;="&amp;A44,Bookings!$AA$5:$AA$1004,1)=0,"",_xlfn.MINIFS(Bookings!$B$5:$B$1004,Bookings!$D$5:$D$1004,C44,Bookings!$B$5:$B$1004,"&gt;="&amp;A44,Bookings!$AA$5:$AA$1004,1)))</f>
        <v/>
      </c>
      <c r="F44" s="23" t="str">
        <f aca="false">IF(E44="","",IFERROR(INDEX(Bookings!$E$5:$E$1004,MATCH(C44&amp;"|"&amp;TEXT(E44,"0"),Bookings!$AG$5:$AG$1004,0))&amp;"",""))</f>
        <v/>
      </c>
      <c r="G44" s="24" t="str">
        <f aca="false">IF(E44="","",IFERROR(INDEX(Bookings!$G$5:$G$1004,MATCH(C44&amp;"|"&amp;TEXT(E44,"0"),Bookings!$AG$5:$AG$1004,0)),""))</f>
        <v/>
      </c>
      <c r="H44" s="24" t="str">
        <f aca="false">IF(OR(A44="",E44=""),"",E44-A44)</f>
        <v/>
      </c>
      <c r="I44" s="23" t="str">
        <f aca="false">IF(A44="","",IF(E44="","No next booking",IF(H44=0,"SAME-DAY turnover",IF(H44=1,"Next-day check-in",""))))</f>
        <v/>
      </c>
      <c r="J44" s="23" t="str">
        <f aca="false">IF($M44="","",IF(INDEX(Bookings!$V$5:$V$1004,$M44)="","Unassigned",INDEX(Bookings!$V$5:$V$1004,$M44)))</f>
        <v/>
      </c>
      <c r="K44" s="23" t="str">
        <f aca="false">IF($M44="","",IF(INDEX(Bookings!$W$5:$W$1004,$M44)="Yes","Yes",""))</f>
        <v/>
      </c>
      <c r="L44" s="23" t="str">
        <f aca="false">IF($M44="","",INDEX(Bookings!$X$5:$X$1004,$M44)&amp;"")</f>
        <v/>
      </c>
      <c r="M44" s="47" t="str">
        <f aca="false">IFERROR(MATCH(SMALL(Bookings!$Z$5:$Z$1004,COUNTIF(Bookings!$Z$5:$Z$1004,"&lt;"&amp;$B$4)+38),Bookings!$Z$5:$Z$1004,0),"")</f>
        <v/>
      </c>
    </row>
    <row r="45" customFormat="false" ht="15" hidden="false" customHeight="false" outlineLevel="0" collapsed="false">
      <c r="A45" s="39" t="str">
        <f aca="false">IF($M45="","",INDEX(Bookings!$C$5:$C$1004,$M45))</f>
        <v/>
      </c>
      <c r="B45" s="8" t="str">
        <f aca="false">IF(A45="","",TEXT(A45,"ddd"))</f>
        <v/>
      </c>
      <c r="C45" s="8" t="str">
        <f aca="false">IF($M45="","",INDEX(Bookings!$D$5:$D$1004,$M45))</f>
        <v/>
      </c>
      <c r="D45" s="8" t="str">
        <f aca="false">IF($M45="","",INDEX(Bookings!$E$5:$E$1004,$M45)&amp;"")</f>
        <v/>
      </c>
      <c r="E45" s="39" t="str">
        <f aca="false">IF($M45="","",IF(_xlfn.MINIFS(Bookings!$B$5:$B$1004,Bookings!$D$5:$D$1004,C45,Bookings!$B$5:$B$1004,"&gt;="&amp;A45,Bookings!$AA$5:$AA$1004,1)=0,"",_xlfn.MINIFS(Bookings!$B$5:$B$1004,Bookings!$D$5:$D$1004,C45,Bookings!$B$5:$B$1004,"&gt;="&amp;A45,Bookings!$AA$5:$AA$1004,1)))</f>
        <v/>
      </c>
      <c r="F45" s="8" t="str">
        <f aca="false">IF(E45="","",IFERROR(INDEX(Bookings!$E$5:$E$1004,MATCH(C45&amp;"|"&amp;TEXT(E45,"0"),Bookings!$AG$5:$AG$1004,0))&amp;"",""))</f>
        <v/>
      </c>
      <c r="G45" s="18" t="str">
        <f aca="false">IF(E45="","",IFERROR(INDEX(Bookings!$G$5:$G$1004,MATCH(C45&amp;"|"&amp;TEXT(E45,"0"),Bookings!$AG$5:$AG$1004,0)),""))</f>
        <v/>
      </c>
      <c r="H45" s="18" t="str">
        <f aca="false">IF(OR(A45="",E45=""),"",E45-A45)</f>
        <v/>
      </c>
      <c r="I45" s="8" t="str">
        <f aca="false">IF(A45="","",IF(E45="","No next booking",IF(H45=0,"SAME-DAY turnover",IF(H45=1,"Next-day check-in",""))))</f>
        <v/>
      </c>
      <c r="J45" s="8" t="str">
        <f aca="false">IF($M45="","",IF(INDEX(Bookings!$V$5:$V$1004,$M45)="","Unassigned",INDEX(Bookings!$V$5:$V$1004,$M45)))</f>
        <v/>
      </c>
      <c r="K45" s="8" t="str">
        <f aca="false">IF($M45="","",IF(INDEX(Bookings!$W$5:$W$1004,$M45)="Yes","Yes",""))</f>
        <v/>
      </c>
      <c r="L45" s="8" t="str">
        <f aca="false">IF($M45="","",INDEX(Bookings!$X$5:$X$1004,$M45)&amp;"")</f>
        <v/>
      </c>
      <c r="M45" s="47" t="str">
        <f aca="false">IFERROR(MATCH(SMALL(Bookings!$Z$5:$Z$1004,COUNTIF(Bookings!$Z$5:$Z$1004,"&lt;"&amp;$B$4)+39),Bookings!$Z$5:$Z$1004,0),"")</f>
        <v/>
      </c>
    </row>
    <row r="46" customFormat="false" ht="15" hidden="false" customHeight="false" outlineLevel="0" collapsed="false">
      <c r="A46" s="48" t="str">
        <f aca="false">IF($M46="","",INDEX(Bookings!$C$5:$C$1004,$M46))</f>
        <v/>
      </c>
      <c r="B46" s="23" t="str">
        <f aca="false">IF(A46="","",TEXT(A46,"ddd"))</f>
        <v/>
      </c>
      <c r="C46" s="23" t="str">
        <f aca="false">IF($M46="","",INDEX(Bookings!$D$5:$D$1004,$M46))</f>
        <v/>
      </c>
      <c r="D46" s="23" t="str">
        <f aca="false">IF($M46="","",INDEX(Bookings!$E$5:$E$1004,$M46)&amp;"")</f>
        <v/>
      </c>
      <c r="E46" s="48" t="str">
        <f aca="false">IF($M46="","",IF(_xlfn.MINIFS(Bookings!$B$5:$B$1004,Bookings!$D$5:$D$1004,C46,Bookings!$B$5:$B$1004,"&gt;="&amp;A46,Bookings!$AA$5:$AA$1004,1)=0,"",_xlfn.MINIFS(Bookings!$B$5:$B$1004,Bookings!$D$5:$D$1004,C46,Bookings!$B$5:$B$1004,"&gt;="&amp;A46,Bookings!$AA$5:$AA$1004,1)))</f>
        <v/>
      </c>
      <c r="F46" s="23" t="str">
        <f aca="false">IF(E46="","",IFERROR(INDEX(Bookings!$E$5:$E$1004,MATCH(C46&amp;"|"&amp;TEXT(E46,"0"),Bookings!$AG$5:$AG$1004,0))&amp;"",""))</f>
        <v/>
      </c>
      <c r="G46" s="24" t="str">
        <f aca="false">IF(E46="","",IFERROR(INDEX(Bookings!$G$5:$G$1004,MATCH(C46&amp;"|"&amp;TEXT(E46,"0"),Bookings!$AG$5:$AG$1004,0)),""))</f>
        <v/>
      </c>
      <c r="H46" s="24" t="str">
        <f aca="false">IF(OR(A46="",E46=""),"",E46-A46)</f>
        <v/>
      </c>
      <c r="I46" s="23" t="str">
        <f aca="false">IF(A46="","",IF(E46="","No next booking",IF(H46=0,"SAME-DAY turnover",IF(H46=1,"Next-day check-in",""))))</f>
        <v/>
      </c>
      <c r="J46" s="23" t="str">
        <f aca="false">IF($M46="","",IF(INDEX(Bookings!$V$5:$V$1004,$M46)="","Unassigned",INDEX(Bookings!$V$5:$V$1004,$M46)))</f>
        <v/>
      </c>
      <c r="K46" s="23" t="str">
        <f aca="false">IF($M46="","",IF(INDEX(Bookings!$W$5:$W$1004,$M46)="Yes","Yes",""))</f>
        <v/>
      </c>
      <c r="L46" s="23" t="str">
        <f aca="false">IF($M46="","",INDEX(Bookings!$X$5:$X$1004,$M46)&amp;"")</f>
        <v/>
      </c>
      <c r="M46" s="47" t="str">
        <f aca="false">IFERROR(MATCH(SMALL(Bookings!$Z$5:$Z$1004,COUNTIF(Bookings!$Z$5:$Z$1004,"&lt;"&amp;$B$4)+40),Bookings!$Z$5:$Z$1004,0),"")</f>
        <v/>
      </c>
    </row>
  </sheetData>
  <mergeCells count="1">
    <mergeCell ref="B4:C4"/>
  </mergeCells>
  <conditionalFormatting sqref="I7:I46">
    <cfRule type="cellIs" priority="2" operator="equal" aboveAverage="0" equalAverage="0" bottom="0" percent="0" rank="0" text="" dxfId="11">
      <formula>"SAME-DAY turnover"</formula>
    </cfRule>
    <cfRule type="cellIs" priority="3" operator="equal" aboveAverage="0" equalAverage="0" bottom="0" percent="0" rank="0" text="" dxfId="13">
      <formula>"Next-day check-in"</formula>
    </cfRule>
  </conditionalFormatting>
  <conditionalFormatting sqref="J7:J46">
    <cfRule type="cellIs" priority="4" operator="equal" aboveAverage="0" equalAverage="0" bottom="0" percent="0" rank="0" text="" dxfId="0">
      <formula>"Unassigned"</formula>
    </cfRule>
  </conditionalFormatting>
  <conditionalFormatting sqref="K7:K46">
    <cfRule type="cellIs" priority="5" operator="equal" aboveAverage="0" equalAverage="0" bottom="0" percent="0" rank="0" text="" dxfId="14">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6B64"/>
    <pageSetUpPr fitToPage="false"/>
  </sheetPr>
  <dimension ref="A1:H10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3" min="2" style="0" width="24"/>
    <col collapsed="false" customWidth="true" hidden="false" outlineLevel="0" max="4" min="4" style="0" width="20"/>
    <col collapsed="false" customWidth="true" hidden="false" outlineLevel="0" max="5" min="5" style="0" width="30"/>
    <col collapsed="false" customWidth="true" hidden="false" outlineLevel="0" max="6" min="6" style="0" width="12"/>
    <col collapsed="false" customWidth="true" hidden="false" outlineLevel="0" max="7" min="7" style="0" width="15"/>
    <col collapsed="false" customWidth="true" hidden="false" outlineLevel="0" max="8" min="8" style="0" width="12"/>
  </cols>
  <sheetData>
    <row r="1" customFormat="false" ht="30" hidden="false" customHeight="true" outlineLevel="0" collapsed="false">
      <c r="A1" s="1" t="s">
        <v>50</v>
      </c>
    </row>
    <row r="2" customFormat="false" ht="15" hidden="false" customHeight="false" outlineLevel="0" collapsed="false">
      <c r="A2" s="2" t="s">
        <v>142</v>
      </c>
    </row>
    <row r="4" customFormat="false" ht="31.5" hidden="false" customHeight="true" outlineLevel="0" collapsed="false">
      <c r="A4" s="16" t="s">
        <v>143</v>
      </c>
      <c r="B4" s="16" t="s">
        <v>144</v>
      </c>
      <c r="C4" s="16" t="s">
        <v>145</v>
      </c>
      <c r="D4" s="16" t="s">
        <v>146</v>
      </c>
      <c r="E4" s="16" t="s">
        <v>147</v>
      </c>
      <c r="F4" s="16" t="s">
        <v>148</v>
      </c>
      <c r="G4" s="16" t="s">
        <v>149</v>
      </c>
      <c r="H4" s="16" t="s">
        <v>150</v>
      </c>
    </row>
    <row r="5" customFormat="false" ht="15" hidden="false" customHeight="false" outlineLevel="0" collapsed="false">
      <c r="A5" s="38" t="n">
        <v>46296</v>
      </c>
      <c r="B5" s="6" t="s">
        <v>83</v>
      </c>
      <c r="C5" s="6" t="s">
        <v>151</v>
      </c>
      <c r="D5" s="6" t="s">
        <v>152</v>
      </c>
      <c r="E5" s="6" t="s">
        <v>153</v>
      </c>
      <c r="F5" s="37" t="n">
        <v>142.18</v>
      </c>
      <c r="G5" s="6" t="s">
        <v>154</v>
      </c>
      <c r="H5" s="6" t="s">
        <v>123</v>
      </c>
    </row>
    <row r="6" customFormat="false" ht="15" hidden="false" customHeight="false" outlineLevel="0" collapsed="false">
      <c r="A6" s="38" t="n">
        <v>46299</v>
      </c>
      <c r="B6" s="6"/>
      <c r="C6" s="6" t="s">
        <v>155</v>
      </c>
      <c r="D6" s="6" t="s">
        <v>156</v>
      </c>
      <c r="E6" s="6" t="s">
        <v>157</v>
      </c>
      <c r="F6" s="37" t="n">
        <v>19.99</v>
      </c>
      <c r="G6" s="6" t="s">
        <v>154</v>
      </c>
      <c r="H6" s="6" t="s">
        <v>123</v>
      </c>
    </row>
    <row r="7" customFormat="false" ht="15" hidden="false" customHeight="false" outlineLevel="0" collapsed="false">
      <c r="A7" s="38"/>
      <c r="B7" s="6"/>
      <c r="C7" s="6"/>
      <c r="D7" s="6"/>
      <c r="E7" s="6"/>
      <c r="F7" s="37"/>
      <c r="G7" s="6"/>
      <c r="H7" s="6"/>
    </row>
    <row r="8" customFormat="false" ht="15" hidden="false" customHeight="false" outlineLevel="0" collapsed="false">
      <c r="A8" s="38"/>
      <c r="B8" s="6"/>
      <c r="C8" s="6"/>
      <c r="D8" s="6"/>
      <c r="E8" s="6"/>
      <c r="F8" s="37"/>
      <c r="G8" s="6"/>
      <c r="H8" s="6"/>
    </row>
    <row r="9" customFormat="false" ht="15" hidden="false" customHeight="false" outlineLevel="0" collapsed="false">
      <c r="A9" s="38"/>
      <c r="B9" s="6"/>
      <c r="C9" s="6"/>
      <c r="D9" s="6"/>
      <c r="E9" s="6"/>
      <c r="F9" s="37"/>
      <c r="G9" s="6"/>
      <c r="H9" s="6"/>
    </row>
    <row r="10" customFormat="false" ht="15" hidden="false" customHeight="false" outlineLevel="0" collapsed="false">
      <c r="A10" s="38"/>
      <c r="B10" s="6"/>
      <c r="C10" s="6"/>
      <c r="D10" s="6"/>
      <c r="E10" s="6"/>
      <c r="F10" s="37"/>
      <c r="G10" s="6"/>
      <c r="H10" s="6"/>
    </row>
    <row r="11" customFormat="false" ht="15" hidden="false" customHeight="false" outlineLevel="0" collapsed="false">
      <c r="A11" s="38"/>
      <c r="B11" s="6"/>
      <c r="C11" s="6"/>
      <c r="D11" s="6"/>
      <c r="E11" s="6"/>
      <c r="F11" s="37"/>
      <c r="G11" s="6"/>
      <c r="H11" s="6"/>
    </row>
    <row r="12" customFormat="false" ht="15" hidden="false" customHeight="false" outlineLevel="0" collapsed="false">
      <c r="A12" s="38"/>
      <c r="B12" s="6"/>
      <c r="C12" s="6"/>
      <c r="D12" s="6"/>
      <c r="E12" s="6"/>
      <c r="F12" s="37"/>
      <c r="G12" s="6"/>
      <c r="H12" s="6"/>
    </row>
    <row r="13" customFormat="false" ht="15" hidden="false" customHeight="false" outlineLevel="0" collapsed="false">
      <c r="A13" s="38"/>
      <c r="B13" s="6"/>
      <c r="C13" s="6"/>
      <c r="D13" s="6"/>
      <c r="E13" s="6"/>
      <c r="F13" s="37"/>
      <c r="G13" s="6"/>
      <c r="H13" s="6"/>
    </row>
    <row r="14" customFormat="false" ht="15" hidden="false" customHeight="false" outlineLevel="0" collapsed="false">
      <c r="A14" s="38"/>
      <c r="B14" s="6"/>
      <c r="C14" s="6"/>
      <c r="D14" s="6"/>
      <c r="E14" s="6"/>
      <c r="F14" s="37"/>
      <c r="G14" s="6"/>
      <c r="H14" s="6"/>
    </row>
    <row r="15" customFormat="false" ht="15" hidden="false" customHeight="false" outlineLevel="0" collapsed="false">
      <c r="A15" s="38"/>
      <c r="B15" s="6"/>
      <c r="C15" s="6"/>
      <c r="D15" s="6"/>
      <c r="E15" s="6"/>
      <c r="F15" s="37"/>
      <c r="G15" s="6"/>
      <c r="H15" s="6"/>
    </row>
    <row r="16" customFormat="false" ht="15" hidden="false" customHeight="false" outlineLevel="0" collapsed="false">
      <c r="A16" s="38"/>
      <c r="B16" s="6"/>
      <c r="C16" s="6"/>
      <c r="D16" s="6"/>
      <c r="E16" s="6"/>
      <c r="F16" s="37"/>
      <c r="G16" s="6"/>
      <c r="H16" s="6"/>
    </row>
    <row r="17" customFormat="false" ht="15" hidden="false" customHeight="false" outlineLevel="0" collapsed="false">
      <c r="A17" s="38"/>
      <c r="B17" s="6"/>
      <c r="C17" s="6"/>
      <c r="D17" s="6"/>
      <c r="E17" s="6"/>
      <c r="F17" s="37"/>
      <c r="G17" s="6"/>
      <c r="H17" s="6"/>
    </row>
    <row r="18" customFormat="false" ht="15" hidden="false" customHeight="false" outlineLevel="0" collapsed="false">
      <c r="A18" s="38"/>
      <c r="B18" s="6"/>
      <c r="C18" s="6"/>
      <c r="D18" s="6"/>
      <c r="E18" s="6"/>
      <c r="F18" s="37"/>
      <c r="G18" s="6"/>
      <c r="H18" s="6"/>
    </row>
    <row r="19" customFormat="false" ht="15" hidden="false" customHeight="false" outlineLevel="0" collapsed="false">
      <c r="A19" s="38"/>
      <c r="B19" s="6"/>
      <c r="C19" s="6"/>
      <c r="D19" s="6"/>
      <c r="E19" s="6"/>
      <c r="F19" s="37"/>
      <c r="G19" s="6"/>
      <c r="H19" s="6"/>
    </row>
    <row r="20" customFormat="false" ht="15" hidden="false" customHeight="false" outlineLevel="0" collapsed="false">
      <c r="A20" s="38"/>
      <c r="B20" s="6"/>
      <c r="C20" s="6"/>
      <c r="D20" s="6"/>
      <c r="E20" s="6"/>
      <c r="F20" s="37"/>
      <c r="G20" s="6"/>
      <c r="H20" s="6"/>
    </row>
    <row r="21" customFormat="false" ht="15" hidden="false" customHeight="false" outlineLevel="0" collapsed="false">
      <c r="A21" s="38"/>
      <c r="B21" s="6"/>
      <c r="C21" s="6"/>
      <c r="D21" s="6"/>
      <c r="E21" s="6"/>
      <c r="F21" s="37"/>
      <c r="G21" s="6"/>
      <c r="H21" s="6"/>
    </row>
    <row r="22" customFormat="false" ht="15" hidden="false" customHeight="false" outlineLevel="0" collapsed="false">
      <c r="A22" s="38"/>
      <c r="B22" s="6"/>
      <c r="C22" s="6"/>
      <c r="D22" s="6"/>
      <c r="E22" s="6"/>
      <c r="F22" s="37"/>
      <c r="G22" s="6"/>
      <c r="H22" s="6"/>
    </row>
    <row r="23" customFormat="false" ht="15" hidden="false" customHeight="false" outlineLevel="0" collapsed="false">
      <c r="A23" s="38"/>
      <c r="B23" s="6"/>
      <c r="C23" s="6"/>
      <c r="D23" s="6"/>
      <c r="E23" s="6"/>
      <c r="F23" s="37"/>
      <c r="G23" s="6"/>
      <c r="H23" s="6"/>
    </row>
    <row r="24" customFormat="false" ht="15" hidden="false" customHeight="false" outlineLevel="0" collapsed="false">
      <c r="A24" s="38"/>
      <c r="B24" s="6"/>
      <c r="C24" s="6"/>
      <c r="D24" s="6"/>
      <c r="E24" s="6"/>
      <c r="F24" s="37"/>
      <c r="G24" s="6"/>
      <c r="H24" s="6"/>
    </row>
    <row r="25" customFormat="false" ht="15" hidden="false" customHeight="false" outlineLevel="0" collapsed="false">
      <c r="A25" s="38"/>
      <c r="B25" s="6"/>
      <c r="C25" s="6"/>
      <c r="D25" s="6"/>
      <c r="E25" s="6"/>
      <c r="F25" s="37"/>
      <c r="G25" s="6"/>
      <c r="H25" s="6"/>
    </row>
    <row r="26" customFormat="false" ht="15" hidden="false" customHeight="false" outlineLevel="0" collapsed="false">
      <c r="A26" s="38"/>
      <c r="B26" s="6"/>
      <c r="C26" s="6"/>
      <c r="D26" s="6"/>
      <c r="E26" s="6"/>
      <c r="F26" s="37"/>
      <c r="G26" s="6"/>
      <c r="H26" s="6"/>
    </row>
    <row r="27" customFormat="false" ht="15" hidden="false" customHeight="false" outlineLevel="0" collapsed="false">
      <c r="A27" s="38"/>
      <c r="B27" s="6"/>
      <c r="C27" s="6"/>
      <c r="D27" s="6"/>
      <c r="E27" s="6"/>
      <c r="F27" s="37"/>
      <c r="G27" s="6"/>
      <c r="H27" s="6"/>
    </row>
    <row r="28" customFormat="false" ht="15" hidden="false" customHeight="false" outlineLevel="0" collapsed="false">
      <c r="A28" s="38"/>
      <c r="B28" s="6"/>
      <c r="C28" s="6"/>
      <c r="D28" s="6"/>
      <c r="E28" s="6"/>
      <c r="F28" s="37"/>
      <c r="G28" s="6"/>
      <c r="H28" s="6"/>
    </row>
    <row r="29" customFormat="false" ht="15" hidden="false" customHeight="false" outlineLevel="0" collapsed="false">
      <c r="A29" s="38"/>
      <c r="B29" s="6"/>
      <c r="C29" s="6"/>
      <c r="D29" s="6"/>
      <c r="E29" s="6"/>
      <c r="F29" s="37"/>
      <c r="G29" s="6"/>
      <c r="H29" s="6"/>
    </row>
    <row r="30" customFormat="false" ht="15" hidden="false" customHeight="false" outlineLevel="0" collapsed="false">
      <c r="A30" s="38"/>
      <c r="B30" s="6"/>
      <c r="C30" s="6"/>
      <c r="D30" s="6"/>
      <c r="E30" s="6"/>
      <c r="F30" s="37"/>
      <c r="G30" s="6"/>
      <c r="H30" s="6"/>
    </row>
    <row r="31" customFormat="false" ht="15" hidden="false" customHeight="false" outlineLevel="0" collapsed="false">
      <c r="A31" s="38"/>
      <c r="B31" s="6"/>
      <c r="C31" s="6"/>
      <c r="D31" s="6"/>
      <c r="E31" s="6"/>
      <c r="F31" s="37"/>
      <c r="G31" s="6"/>
      <c r="H31" s="6"/>
    </row>
    <row r="32" customFormat="false" ht="15" hidden="false" customHeight="false" outlineLevel="0" collapsed="false">
      <c r="A32" s="38"/>
      <c r="B32" s="6"/>
      <c r="C32" s="6"/>
      <c r="D32" s="6"/>
      <c r="E32" s="6"/>
      <c r="F32" s="37"/>
      <c r="G32" s="6"/>
      <c r="H32" s="6"/>
    </row>
    <row r="33" customFormat="false" ht="15" hidden="false" customHeight="false" outlineLevel="0" collapsed="false">
      <c r="A33" s="38"/>
      <c r="B33" s="6"/>
      <c r="C33" s="6"/>
      <c r="D33" s="6"/>
      <c r="E33" s="6"/>
      <c r="F33" s="37"/>
      <c r="G33" s="6"/>
      <c r="H33" s="6"/>
    </row>
    <row r="34" customFormat="false" ht="15" hidden="false" customHeight="false" outlineLevel="0" collapsed="false">
      <c r="A34" s="38"/>
      <c r="B34" s="6"/>
      <c r="C34" s="6"/>
      <c r="D34" s="6"/>
      <c r="E34" s="6"/>
      <c r="F34" s="37"/>
      <c r="G34" s="6"/>
      <c r="H34" s="6"/>
    </row>
    <row r="35" customFormat="false" ht="15" hidden="false" customHeight="false" outlineLevel="0" collapsed="false">
      <c r="A35" s="38"/>
      <c r="B35" s="6"/>
      <c r="C35" s="6"/>
      <c r="D35" s="6"/>
      <c r="E35" s="6"/>
      <c r="F35" s="37"/>
      <c r="G35" s="6"/>
      <c r="H35" s="6"/>
    </row>
    <row r="36" customFormat="false" ht="15" hidden="false" customHeight="false" outlineLevel="0" collapsed="false">
      <c r="A36" s="38"/>
      <c r="B36" s="6"/>
      <c r="C36" s="6"/>
      <c r="D36" s="6"/>
      <c r="E36" s="6"/>
      <c r="F36" s="37"/>
      <c r="G36" s="6"/>
      <c r="H36" s="6"/>
    </row>
    <row r="37" customFormat="false" ht="15" hidden="false" customHeight="false" outlineLevel="0" collapsed="false">
      <c r="A37" s="38"/>
      <c r="B37" s="6"/>
      <c r="C37" s="6"/>
      <c r="D37" s="6"/>
      <c r="E37" s="6"/>
      <c r="F37" s="37"/>
      <c r="G37" s="6"/>
      <c r="H37" s="6"/>
    </row>
    <row r="38" customFormat="false" ht="15" hidden="false" customHeight="false" outlineLevel="0" collapsed="false">
      <c r="A38" s="38"/>
      <c r="B38" s="6"/>
      <c r="C38" s="6"/>
      <c r="D38" s="6"/>
      <c r="E38" s="6"/>
      <c r="F38" s="37"/>
      <c r="G38" s="6"/>
      <c r="H38" s="6"/>
    </row>
    <row r="39" customFormat="false" ht="15" hidden="false" customHeight="false" outlineLevel="0" collapsed="false">
      <c r="A39" s="38"/>
      <c r="B39" s="6"/>
      <c r="C39" s="6"/>
      <c r="D39" s="6"/>
      <c r="E39" s="6"/>
      <c r="F39" s="37"/>
      <c r="G39" s="6"/>
      <c r="H39" s="6"/>
    </row>
    <row r="40" customFormat="false" ht="15" hidden="false" customHeight="false" outlineLevel="0" collapsed="false">
      <c r="A40" s="38"/>
      <c r="B40" s="6"/>
      <c r="C40" s="6"/>
      <c r="D40" s="6"/>
      <c r="E40" s="6"/>
      <c r="F40" s="37"/>
      <c r="G40" s="6"/>
      <c r="H40" s="6"/>
    </row>
    <row r="41" customFormat="false" ht="15" hidden="false" customHeight="false" outlineLevel="0" collapsed="false">
      <c r="A41" s="38"/>
      <c r="B41" s="6"/>
      <c r="C41" s="6"/>
      <c r="D41" s="6"/>
      <c r="E41" s="6"/>
      <c r="F41" s="37"/>
      <c r="G41" s="6"/>
      <c r="H41" s="6"/>
    </row>
    <row r="42" customFormat="false" ht="15" hidden="false" customHeight="false" outlineLevel="0" collapsed="false">
      <c r="A42" s="38"/>
      <c r="B42" s="6"/>
      <c r="C42" s="6"/>
      <c r="D42" s="6"/>
      <c r="E42" s="6"/>
      <c r="F42" s="37"/>
      <c r="G42" s="6"/>
      <c r="H42" s="6"/>
    </row>
    <row r="43" customFormat="false" ht="15" hidden="false" customHeight="false" outlineLevel="0" collapsed="false">
      <c r="A43" s="38"/>
      <c r="B43" s="6"/>
      <c r="C43" s="6"/>
      <c r="D43" s="6"/>
      <c r="E43" s="6"/>
      <c r="F43" s="37"/>
      <c r="G43" s="6"/>
      <c r="H43" s="6"/>
    </row>
    <row r="44" customFormat="false" ht="15" hidden="false" customHeight="false" outlineLevel="0" collapsed="false">
      <c r="A44" s="38"/>
      <c r="B44" s="6"/>
      <c r="C44" s="6"/>
      <c r="D44" s="6"/>
      <c r="E44" s="6"/>
      <c r="F44" s="37"/>
      <c r="G44" s="6"/>
      <c r="H44" s="6"/>
    </row>
    <row r="45" customFormat="false" ht="15" hidden="false" customHeight="false" outlineLevel="0" collapsed="false">
      <c r="A45" s="38"/>
      <c r="B45" s="6"/>
      <c r="C45" s="6"/>
      <c r="D45" s="6"/>
      <c r="E45" s="6"/>
      <c r="F45" s="37"/>
      <c r="G45" s="6"/>
      <c r="H45" s="6"/>
    </row>
    <row r="46" customFormat="false" ht="15" hidden="false" customHeight="false" outlineLevel="0" collapsed="false">
      <c r="A46" s="38"/>
      <c r="B46" s="6"/>
      <c r="C46" s="6"/>
      <c r="D46" s="6"/>
      <c r="E46" s="6"/>
      <c r="F46" s="37"/>
      <c r="G46" s="6"/>
      <c r="H46" s="6"/>
    </row>
    <row r="47" customFormat="false" ht="15" hidden="false" customHeight="false" outlineLevel="0" collapsed="false">
      <c r="A47" s="38"/>
      <c r="B47" s="6"/>
      <c r="C47" s="6"/>
      <c r="D47" s="6"/>
      <c r="E47" s="6"/>
      <c r="F47" s="37"/>
      <c r="G47" s="6"/>
      <c r="H47" s="6"/>
    </row>
    <row r="48" customFormat="false" ht="15" hidden="false" customHeight="false" outlineLevel="0" collapsed="false">
      <c r="A48" s="38"/>
      <c r="B48" s="6"/>
      <c r="C48" s="6"/>
      <c r="D48" s="6"/>
      <c r="E48" s="6"/>
      <c r="F48" s="37"/>
      <c r="G48" s="6"/>
      <c r="H48" s="6"/>
    </row>
    <row r="49" customFormat="false" ht="15" hidden="false" customHeight="false" outlineLevel="0" collapsed="false">
      <c r="A49" s="38"/>
      <c r="B49" s="6"/>
      <c r="C49" s="6"/>
      <c r="D49" s="6"/>
      <c r="E49" s="6"/>
      <c r="F49" s="37"/>
      <c r="G49" s="6"/>
      <c r="H49" s="6"/>
    </row>
    <row r="50" customFormat="false" ht="15" hidden="false" customHeight="false" outlineLevel="0" collapsed="false">
      <c r="A50" s="38"/>
      <c r="B50" s="6"/>
      <c r="C50" s="6"/>
      <c r="D50" s="6"/>
      <c r="E50" s="6"/>
      <c r="F50" s="37"/>
      <c r="G50" s="6"/>
      <c r="H50" s="6"/>
    </row>
    <row r="51" customFormat="false" ht="15" hidden="false" customHeight="false" outlineLevel="0" collapsed="false">
      <c r="A51" s="38"/>
      <c r="B51" s="6"/>
      <c r="C51" s="6"/>
      <c r="D51" s="6"/>
      <c r="E51" s="6"/>
      <c r="F51" s="37"/>
      <c r="G51" s="6"/>
      <c r="H51" s="6"/>
    </row>
    <row r="52" customFormat="false" ht="15" hidden="false" customHeight="false" outlineLevel="0" collapsed="false">
      <c r="A52" s="38"/>
      <c r="B52" s="6"/>
      <c r="C52" s="6"/>
      <c r="D52" s="6"/>
      <c r="E52" s="6"/>
      <c r="F52" s="37"/>
      <c r="G52" s="6"/>
      <c r="H52" s="6"/>
    </row>
    <row r="53" customFormat="false" ht="15" hidden="false" customHeight="false" outlineLevel="0" collapsed="false">
      <c r="A53" s="38"/>
      <c r="B53" s="6"/>
      <c r="C53" s="6"/>
      <c r="D53" s="6"/>
      <c r="E53" s="6"/>
      <c r="F53" s="37"/>
      <c r="G53" s="6"/>
      <c r="H53" s="6"/>
    </row>
    <row r="54" customFormat="false" ht="15" hidden="false" customHeight="false" outlineLevel="0" collapsed="false">
      <c r="A54" s="38"/>
      <c r="B54" s="6"/>
      <c r="C54" s="6"/>
      <c r="D54" s="6"/>
      <c r="E54" s="6"/>
      <c r="F54" s="37"/>
      <c r="G54" s="6"/>
      <c r="H54" s="6"/>
    </row>
    <row r="55" customFormat="false" ht="15" hidden="false" customHeight="false" outlineLevel="0" collapsed="false">
      <c r="A55" s="38"/>
      <c r="B55" s="6"/>
      <c r="C55" s="6"/>
      <c r="D55" s="6"/>
      <c r="E55" s="6"/>
      <c r="F55" s="37"/>
      <c r="G55" s="6"/>
      <c r="H55" s="6"/>
    </row>
    <row r="56" customFormat="false" ht="15" hidden="false" customHeight="false" outlineLevel="0" collapsed="false">
      <c r="A56" s="38"/>
      <c r="B56" s="6"/>
      <c r="C56" s="6"/>
      <c r="D56" s="6"/>
      <c r="E56" s="6"/>
      <c r="F56" s="37"/>
      <c r="G56" s="6"/>
      <c r="H56" s="6"/>
    </row>
    <row r="57" customFormat="false" ht="15" hidden="false" customHeight="false" outlineLevel="0" collapsed="false">
      <c r="A57" s="38"/>
      <c r="B57" s="6"/>
      <c r="C57" s="6"/>
      <c r="D57" s="6"/>
      <c r="E57" s="6"/>
      <c r="F57" s="37"/>
      <c r="G57" s="6"/>
      <c r="H57" s="6"/>
    </row>
    <row r="58" customFormat="false" ht="15" hidden="false" customHeight="false" outlineLevel="0" collapsed="false">
      <c r="A58" s="38"/>
      <c r="B58" s="6"/>
      <c r="C58" s="6"/>
      <c r="D58" s="6"/>
      <c r="E58" s="6"/>
      <c r="F58" s="37"/>
      <c r="G58" s="6"/>
      <c r="H58" s="6"/>
    </row>
    <row r="59" customFormat="false" ht="15" hidden="false" customHeight="false" outlineLevel="0" collapsed="false">
      <c r="A59" s="38"/>
      <c r="B59" s="6"/>
      <c r="C59" s="6"/>
      <c r="D59" s="6"/>
      <c r="E59" s="6"/>
      <c r="F59" s="37"/>
      <c r="G59" s="6"/>
      <c r="H59" s="6"/>
    </row>
    <row r="60" customFormat="false" ht="15" hidden="false" customHeight="false" outlineLevel="0" collapsed="false">
      <c r="A60" s="38"/>
      <c r="B60" s="6"/>
      <c r="C60" s="6"/>
      <c r="D60" s="6"/>
      <c r="E60" s="6"/>
      <c r="F60" s="37"/>
      <c r="G60" s="6"/>
      <c r="H60" s="6"/>
    </row>
    <row r="61" customFormat="false" ht="15" hidden="false" customHeight="false" outlineLevel="0" collapsed="false">
      <c r="A61" s="38"/>
      <c r="B61" s="6"/>
      <c r="C61" s="6"/>
      <c r="D61" s="6"/>
      <c r="E61" s="6"/>
      <c r="F61" s="37"/>
      <c r="G61" s="6"/>
      <c r="H61" s="6"/>
    </row>
    <row r="62" customFormat="false" ht="15" hidden="false" customHeight="false" outlineLevel="0" collapsed="false">
      <c r="A62" s="38"/>
      <c r="B62" s="6"/>
      <c r="C62" s="6"/>
      <c r="D62" s="6"/>
      <c r="E62" s="6"/>
      <c r="F62" s="37"/>
      <c r="G62" s="6"/>
      <c r="H62" s="6"/>
    </row>
    <row r="63" customFormat="false" ht="15" hidden="false" customHeight="false" outlineLevel="0" collapsed="false">
      <c r="A63" s="38"/>
      <c r="B63" s="6"/>
      <c r="C63" s="6"/>
      <c r="D63" s="6"/>
      <c r="E63" s="6"/>
      <c r="F63" s="37"/>
      <c r="G63" s="6"/>
      <c r="H63" s="6"/>
    </row>
    <row r="64" customFormat="false" ht="15" hidden="false" customHeight="false" outlineLevel="0" collapsed="false">
      <c r="A64" s="38"/>
      <c r="B64" s="6"/>
      <c r="C64" s="6"/>
      <c r="D64" s="6"/>
      <c r="E64" s="6"/>
      <c r="F64" s="37"/>
      <c r="G64" s="6"/>
      <c r="H64" s="6"/>
    </row>
    <row r="65" customFormat="false" ht="15" hidden="false" customHeight="false" outlineLevel="0" collapsed="false">
      <c r="A65" s="38"/>
      <c r="B65" s="6"/>
      <c r="C65" s="6"/>
      <c r="D65" s="6"/>
      <c r="E65" s="6"/>
      <c r="F65" s="37"/>
      <c r="G65" s="6"/>
      <c r="H65" s="6"/>
    </row>
    <row r="66" customFormat="false" ht="15" hidden="false" customHeight="false" outlineLevel="0" collapsed="false">
      <c r="A66" s="38"/>
      <c r="B66" s="6"/>
      <c r="C66" s="6"/>
      <c r="D66" s="6"/>
      <c r="E66" s="6"/>
      <c r="F66" s="37"/>
      <c r="G66" s="6"/>
      <c r="H66" s="6"/>
    </row>
    <row r="67" customFormat="false" ht="15" hidden="false" customHeight="false" outlineLevel="0" collapsed="false">
      <c r="A67" s="38"/>
      <c r="B67" s="6"/>
      <c r="C67" s="6"/>
      <c r="D67" s="6"/>
      <c r="E67" s="6"/>
      <c r="F67" s="37"/>
      <c r="G67" s="6"/>
      <c r="H67" s="6"/>
    </row>
    <row r="68" customFormat="false" ht="15" hidden="false" customHeight="false" outlineLevel="0" collapsed="false">
      <c r="A68" s="38"/>
      <c r="B68" s="6"/>
      <c r="C68" s="6"/>
      <c r="D68" s="6"/>
      <c r="E68" s="6"/>
      <c r="F68" s="37"/>
      <c r="G68" s="6"/>
      <c r="H68" s="6"/>
    </row>
    <row r="69" customFormat="false" ht="15" hidden="false" customHeight="false" outlineLevel="0" collapsed="false">
      <c r="A69" s="38"/>
      <c r="B69" s="6"/>
      <c r="C69" s="6"/>
      <c r="D69" s="6"/>
      <c r="E69" s="6"/>
      <c r="F69" s="37"/>
      <c r="G69" s="6"/>
      <c r="H69" s="6"/>
    </row>
    <row r="70" customFormat="false" ht="15" hidden="false" customHeight="false" outlineLevel="0" collapsed="false">
      <c r="A70" s="38"/>
      <c r="B70" s="6"/>
      <c r="C70" s="6"/>
      <c r="D70" s="6"/>
      <c r="E70" s="6"/>
      <c r="F70" s="37"/>
      <c r="G70" s="6"/>
      <c r="H70" s="6"/>
    </row>
    <row r="71" customFormat="false" ht="15" hidden="false" customHeight="false" outlineLevel="0" collapsed="false">
      <c r="A71" s="38"/>
      <c r="B71" s="6"/>
      <c r="C71" s="6"/>
      <c r="D71" s="6"/>
      <c r="E71" s="6"/>
      <c r="F71" s="37"/>
      <c r="G71" s="6"/>
      <c r="H71" s="6"/>
    </row>
    <row r="72" customFormat="false" ht="15" hidden="false" customHeight="false" outlineLevel="0" collapsed="false">
      <c r="A72" s="38"/>
      <c r="B72" s="6"/>
      <c r="C72" s="6"/>
      <c r="D72" s="6"/>
      <c r="E72" s="6"/>
      <c r="F72" s="37"/>
      <c r="G72" s="6"/>
      <c r="H72" s="6"/>
    </row>
    <row r="73" customFormat="false" ht="15" hidden="false" customHeight="false" outlineLevel="0" collapsed="false">
      <c r="A73" s="38"/>
      <c r="B73" s="6"/>
      <c r="C73" s="6"/>
      <c r="D73" s="6"/>
      <c r="E73" s="6"/>
      <c r="F73" s="37"/>
      <c r="G73" s="6"/>
      <c r="H73" s="6"/>
    </row>
    <row r="74" customFormat="false" ht="15" hidden="false" customHeight="false" outlineLevel="0" collapsed="false">
      <c r="A74" s="38"/>
      <c r="B74" s="6"/>
      <c r="C74" s="6"/>
      <c r="D74" s="6"/>
      <c r="E74" s="6"/>
      <c r="F74" s="37"/>
      <c r="G74" s="6"/>
      <c r="H74" s="6"/>
    </row>
    <row r="75" customFormat="false" ht="15" hidden="false" customHeight="false" outlineLevel="0" collapsed="false">
      <c r="A75" s="38"/>
      <c r="B75" s="6"/>
      <c r="C75" s="6"/>
      <c r="D75" s="6"/>
      <c r="E75" s="6"/>
      <c r="F75" s="37"/>
      <c r="G75" s="6"/>
      <c r="H75" s="6"/>
    </row>
    <row r="76" customFormat="false" ht="15" hidden="false" customHeight="false" outlineLevel="0" collapsed="false">
      <c r="A76" s="38"/>
      <c r="B76" s="6"/>
      <c r="C76" s="6"/>
      <c r="D76" s="6"/>
      <c r="E76" s="6"/>
      <c r="F76" s="37"/>
      <c r="G76" s="6"/>
      <c r="H76" s="6"/>
    </row>
    <row r="77" customFormat="false" ht="15" hidden="false" customHeight="false" outlineLevel="0" collapsed="false">
      <c r="A77" s="38"/>
      <c r="B77" s="6"/>
      <c r="C77" s="6"/>
      <c r="D77" s="6"/>
      <c r="E77" s="6"/>
      <c r="F77" s="37"/>
      <c r="G77" s="6"/>
      <c r="H77" s="6"/>
    </row>
    <row r="78" customFormat="false" ht="15" hidden="false" customHeight="false" outlineLevel="0" collapsed="false">
      <c r="A78" s="38"/>
      <c r="B78" s="6"/>
      <c r="C78" s="6"/>
      <c r="D78" s="6"/>
      <c r="E78" s="6"/>
      <c r="F78" s="37"/>
      <c r="G78" s="6"/>
      <c r="H78" s="6"/>
    </row>
    <row r="79" customFormat="false" ht="15" hidden="false" customHeight="false" outlineLevel="0" collapsed="false">
      <c r="A79" s="38"/>
      <c r="B79" s="6"/>
      <c r="C79" s="6"/>
      <c r="D79" s="6"/>
      <c r="E79" s="6"/>
      <c r="F79" s="37"/>
      <c r="G79" s="6"/>
      <c r="H79" s="6"/>
    </row>
    <row r="80" customFormat="false" ht="15" hidden="false" customHeight="false" outlineLevel="0" collapsed="false">
      <c r="A80" s="38"/>
      <c r="B80" s="6"/>
      <c r="C80" s="6"/>
      <c r="D80" s="6"/>
      <c r="E80" s="6"/>
      <c r="F80" s="37"/>
      <c r="G80" s="6"/>
      <c r="H80" s="6"/>
    </row>
    <row r="81" customFormat="false" ht="15" hidden="false" customHeight="false" outlineLevel="0" collapsed="false">
      <c r="A81" s="38"/>
      <c r="B81" s="6"/>
      <c r="C81" s="6"/>
      <c r="D81" s="6"/>
      <c r="E81" s="6"/>
      <c r="F81" s="37"/>
      <c r="G81" s="6"/>
      <c r="H81" s="6"/>
    </row>
    <row r="82" customFormat="false" ht="15" hidden="false" customHeight="false" outlineLevel="0" collapsed="false">
      <c r="A82" s="38"/>
      <c r="B82" s="6"/>
      <c r="C82" s="6"/>
      <c r="D82" s="6"/>
      <c r="E82" s="6"/>
      <c r="F82" s="37"/>
      <c r="G82" s="6"/>
      <c r="H82" s="6"/>
    </row>
    <row r="83" customFormat="false" ht="15" hidden="false" customHeight="false" outlineLevel="0" collapsed="false">
      <c r="A83" s="38"/>
      <c r="B83" s="6"/>
      <c r="C83" s="6"/>
      <c r="D83" s="6"/>
      <c r="E83" s="6"/>
      <c r="F83" s="37"/>
      <c r="G83" s="6"/>
      <c r="H83" s="6"/>
    </row>
    <row r="84" customFormat="false" ht="15" hidden="false" customHeight="false" outlineLevel="0" collapsed="false">
      <c r="A84" s="38"/>
      <c r="B84" s="6"/>
      <c r="C84" s="6"/>
      <c r="D84" s="6"/>
      <c r="E84" s="6"/>
      <c r="F84" s="37"/>
      <c r="G84" s="6"/>
      <c r="H84" s="6"/>
    </row>
    <row r="85" customFormat="false" ht="15" hidden="false" customHeight="false" outlineLevel="0" collapsed="false">
      <c r="A85" s="38"/>
      <c r="B85" s="6"/>
      <c r="C85" s="6"/>
      <c r="D85" s="6"/>
      <c r="E85" s="6"/>
      <c r="F85" s="37"/>
      <c r="G85" s="6"/>
      <c r="H85" s="6"/>
    </row>
    <row r="86" customFormat="false" ht="15" hidden="false" customHeight="false" outlineLevel="0" collapsed="false">
      <c r="A86" s="38"/>
      <c r="B86" s="6"/>
      <c r="C86" s="6"/>
      <c r="D86" s="6"/>
      <c r="E86" s="6"/>
      <c r="F86" s="37"/>
      <c r="G86" s="6"/>
      <c r="H86" s="6"/>
    </row>
    <row r="87" customFormat="false" ht="15" hidden="false" customHeight="false" outlineLevel="0" collapsed="false">
      <c r="A87" s="38"/>
      <c r="B87" s="6"/>
      <c r="C87" s="6"/>
      <c r="D87" s="6"/>
      <c r="E87" s="6"/>
      <c r="F87" s="37"/>
      <c r="G87" s="6"/>
      <c r="H87" s="6"/>
    </row>
    <row r="88" customFormat="false" ht="15" hidden="false" customHeight="false" outlineLevel="0" collapsed="false">
      <c r="A88" s="38"/>
      <c r="B88" s="6"/>
      <c r="C88" s="6"/>
      <c r="D88" s="6"/>
      <c r="E88" s="6"/>
      <c r="F88" s="37"/>
      <c r="G88" s="6"/>
      <c r="H88" s="6"/>
    </row>
    <row r="89" customFormat="false" ht="15" hidden="false" customHeight="false" outlineLevel="0" collapsed="false">
      <c r="A89" s="38"/>
      <c r="B89" s="6"/>
      <c r="C89" s="6"/>
      <c r="D89" s="6"/>
      <c r="E89" s="6"/>
      <c r="F89" s="37"/>
      <c r="G89" s="6"/>
      <c r="H89" s="6"/>
    </row>
    <row r="90" customFormat="false" ht="15" hidden="false" customHeight="false" outlineLevel="0" collapsed="false">
      <c r="A90" s="38"/>
      <c r="B90" s="6"/>
      <c r="C90" s="6"/>
      <c r="D90" s="6"/>
      <c r="E90" s="6"/>
      <c r="F90" s="37"/>
      <c r="G90" s="6"/>
      <c r="H90" s="6"/>
    </row>
    <row r="91" customFormat="false" ht="15" hidden="false" customHeight="false" outlineLevel="0" collapsed="false">
      <c r="A91" s="38"/>
      <c r="B91" s="6"/>
      <c r="C91" s="6"/>
      <c r="D91" s="6"/>
      <c r="E91" s="6"/>
      <c r="F91" s="37"/>
      <c r="G91" s="6"/>
      <c r="H91" s="6"/>
    </row>
    <row r="92" customFormat="false" ht="15" hidden="false" customHeight="false" outlineLevel="0" collapsed="false">
      <c r="A92" s="38"/>
      <c r="B92" s="6"/>
      <c r="C92" s="6"/>
      <c r="D92" s="6"/>
      <c r="E92" s="6"/>
      <c r="F92" s="37"/>
      <c r="G92" s="6"/>
      <c r="H92" s="6"/>
    </row>
    <row r="93" customFormat="false" ht="15" hidden="false" customHeight="false" outlineLevel="0" collapsed="false">
      <c r="A93" s="38"/>
      <c r="B93" s="6"/>
      <c r="C93" s="6"/>
      <c r="D93" s="6"/>
      <c r="E93" s="6"/>
      <c r="F93" s="37"/>
      <c r="G93" s="6"/>
      <c r="H93" s="6"/>
    </row>
    <row r="94" customFormat="false" ht="15" hidden="false" customHeight="false" outlineLevel="0" collapsed="false">
      <c r="A94" s="38"/>
      <c r="B94" s="6"/>
      <c r="C94" s="6"/>
      <c r="D94" s="6"/>
      <c r="E94" s="6"/>
      <c r="F94" s="37"/>
      <c r="G94" s="6"/>
      <c r="H94" s="6"/>
    </row>
    <row r="95" customFormat="false" ht="15" hidden="false" customHeight="false" outlineLevel="0" collapsed="false">
      <c r="A95" s="38"/>
      <c r="B95" s="6"/>
      <c r="C95" s="6"/>
      <c r="D95" s="6"/>
      <c r="E95" s="6"/>
      <c r="F95" s="37"/>
      <c r="G95" s="6"/>
      <c r="H95" s="6"/>
    </row>
    <row r="96" customFormat="false" ht="15" hidden="false" customHeight="false" outlineLevel="0" collapsed="false">
      <c r="A96" s="38"/>
      <c r="B96" s="6"/>
      <c r="C96" s="6"/>
      <c r="D96" s="6"/>
      <c r="E96" s="6"/>
      <c r="F96" s="37"/>
      <c r="G96" s="6"/>
      <c r="H96" s="6"/>
    </row>
    <row r="97" customFormat="false" ht="15" hidden="false" customHeight="false" outlineLevel="0" collapsed="false">
      <c r="A97" s="38"/>
      <c r="B97" s="6"/>
      <c r="C97" s="6"/>
      <c r="D97" s="6"/>
      <c r="E97" s="6"/>
      <c r="F97" s="37"/>
      <c r="G97" s="6"/>
      <c r="H97" s="6"/>
    </row>
    <row r="98" customFormat="false" ht="15" hidden="false" customHeight="false" outlineLevel="0" collapsed="false">
      <c r="A98" s="38"/>
      <c r="B98" s="6"/>
      <c r="C98" s="6"/>
      <c r="D98" s="6"/>
      <c r="E98" s="6"/>
      <c r="F98" s="37"/>
      <c r="G98" s="6"/>
      <c r="H98" s="6"/>
    </row>
    <row r="99" customFormat="false" ht="15" hidden="false" customHeight="false" outlineLevel="0" collapsed="false">
      <c r="A99" s="38"/>
      <c r="B99" s="6"/>
      <c r="C99" s="6"/>
      <c r="D99" s="6"/>
      <c r="E99" s="6"/>
      <c r="F99" s="37"/>
      <c r="G99" s="6"/>
      <c r="H99" s="6"/>
    </row>
    <row r="100" customFormat="false" ht="15" hidden="false" customHeight="false" outlineLevel="0" collapsed="false">
      <c r="A100" s="38"/>
      <c r="B100" s="6"/>
      <c r="C100" s="6"/>
      <c r="D100" s="6"/>
      <c r="E100" s="6"/>
      <c r="F100" s="37"/>
      <c r="G100" s="6"/>
      <c r="H100" s="6"/>
    </row>
    <row r="101" customFormat="false" ht="15" hidden="false" customHeight="false" outlineLevel="0" collapsed="false">
      <c r="A101" s="38"/>
      <c r="B101" s="6"/>
      <c r="C101" s="6"/>
      <c r="D101" s="6"/>
      <c r="E101" s="6"/>
      <c r="F101" s="37"/>
      <c r="G101" s="6"/>
      <c r="H101" s="6"/>
    </row>
    <row r="102" customFormat="false" ht="15" hidden="false" customHeight="false" outlineLevel="0" collapsed="false">
      <c r="A102" s="38"/>
      <c r="B102" s="6"/>
      <c r="C102" s="6"/>
      <c r="D102" s="6"/>
      <c r="E102" s="6"/>
      <c r="F102" s="37"/>
      <c r="G102" s="6"/>
      <c r="H102" s="6"/>
    </row>
    <row r="103" customFormat="false" ht="15" hidden="false" customHeight="false" outlineLevel="0" collapsed="false">
      <c r="A103" s="38"/>
      <c r="B103" s="6"/>
      <c r="C103" s="6"/>
      <c r="D103" s="6"/>
      <c r="E103" s="6"/>
      <c r="F103" s="37"/>
      <c r="G103" s="6"/>
      <c r="H103" s="6"/>
    </row>
    <row r="104" customFormat="false" ht="15" hidden="false" customHeight="false" outlineLevel="0" collapsed="false">
      <c r="A104" s="38"/>
      <c r="B104" s="6"/>
      <c r="C104" s="6"/>
      <c r="D104" s="6"/>
      <c r="E104" s="6"/>
      <c r="F104" s="37"/>
      <c r="G104" s="6"/>
      <c r="H104" s="6"/>
    </row>
    <row r="105" customFormat="false" ht="15" hidden="false" customHeight="false" outlineLevel="0" collapsed="false">
      <c r="A105" s="38"/>
      <c r="B105" s="6"/>
      <c r="C105" s="6"/>
      <c r="D105" s="6"/>
      <c r="E105" s="6"/>
      <c r="F105" s="37"/>
      <c r="G105" s="6"/>
      <c r="H105" s="6"/>
    </row>
    <row r="106" customFormat="false" ht="15" hidden="false" customHeight="false" outlineLevel="0" collapsed="false">
      <c r="A106" s="38"/>
      <c r="B106" s="6"/>
      <c r="C106" s="6"/>
      <c r="D106" s="6"/>
      <c r="E106" s="6"/>
      <c r="F106" s="37"/>
      <c r="G106" s="6"/>
      <c r="H106" s="6"/>
    </row>
    <row r="107" customFormat="false" ht="15" hidden="false" customHeight="false" outlineLevel="0" collapsed="false">
      <c r="A107" s="38"/>
      <c r="B107" s="6"/>
      <c r="C107" s="6"/>
      <c r="D107" s="6"/>
      <c r="E107" s="6"/>
      <c r="F107" s="37"/>
      <c r="G107" s="6"/>
      <c r="H107" s="6"/>
    </row>
    <row r="108" customFormat="false" ht="15" hidden="false" customHeight="false" outlineLevel="0" collapsed="false">
      <c r="A108" s="38"/>
      <c r="B108" s="6"/>
      <c r="C108" s="6"/>
      <c r="D108" s="6"/>
      <c r="E108" s="6"/>
      <c r="F108" s="37"/>
      <c r="G108" s="6"/>
      <c r="H108" s="6"/>
    </row>
    <row r="109" customFormat="false" ht="15" hidden="false" customHeight="false" outlineLevel="0" collapsed="false">
      <c r="A109" s="38"/>
      <c r="B109" s="6"/>
      <c r="C109" s="6"/>
      <c r="D109" s="6"/>
      <c r="E109" s="6"/>
      <c r="F109" s="37"/>
      <c r="G109" s="6"/>
      <c r="H109" s="6"/>
    </row>
    <row r="110" customFormat="false" ht="15" hidden="false" customHeight="false" outlineLevel="0" collapsed="false">
      <c r="A110" s="38"/>
      <c r="B110" s="6"/>
      <c r="C110" s="6"/>
      <c r="D110" s="6"/>
      <c r="E110" s="6"/>
      <c r="F110" s="37"/>
      <c r="G110" s="6"/>
      <c r="H110" s="6"/>
    </row>
    <row r="111" customFormat="false" ht="15" hidden="false" customHeight="false" outlineLevel="0" collapsed="false">
      <c r="A111" s="38"/>
      <c r="B111" s="6"/>
      <c r="C111" s="6"/>
      <c r="D111" s="6"/>
      <c r="E111" s="6"/>
      <c r="F111" s="37"/>
      <c r="G111" s="6"/>
      <c r="H111" s="6"/>
    </row>
    <row r="112" customFormat="false" ht="15" hidden="false" customHeight="false" outlineLevel="0" collapsed="false">
      <c r="A112" s="38"/>
      <c r="B112" s="6"/>
      <c r="C112" s="6"/>
      <c r="D112" s="6"/>
      <c r="E112" s="6"/>
      <c r="F112" s="37"/>
      <c r="G112" s="6"/>
      <c r="H112" s="6"/>
    </row>
    <row r="113" customFormat="false" ht="15" hidden="false" customHeight="false" outlineLevel="0" collapsed="false">
      <c r="A113" s="38"/>
      <c r="B113" s="6"/>
      <c r="C113" s="6"/>
      <c r="D113" s="6"/>
      <c r="E113" s="6"/>
      <c r="F113" s="37"/>
      <c r="G113" s="6"/>
      <c r="H113" s="6"/>
    </row>
    <row r="114" customFormat="false" ht="15" hidden="false" customHeight="false" outlineLevel="0" collapsed="false">
      <c r="A114" s="38"/>
      <c r="B114" s="6"/>
      <c r="C114" s="6"/>
      <c r="D114" s="6"/>
      <c r="E114" s="6"/>
      <c r="F114" s="37"/>
      <c r="G114" s="6"/>
      <c r="H114" s="6"/>
    </row>
    <row r="115" customFormat="false" ht="15" hidden="false" customHeight="false" outlineLevel="0" collapsed="false">
      <c r="A115" s="38"/>
      <c r="B115" s="6"/>
      <c r="C115" s="6"/>
      <c r="D115" s="6"/>
      <c r="E115" s="6"/>
      <c r="F115" s="37"/>
      <c r="G115" s="6"/>
      <c r="H115" s="6"/>
    </row>
    <row r="116" customFormat="false" ht="15" hidden="false" customHeight="false" outlineLevel="0" collapsed="false">
      <c r="A116" s="38"/>
      <c r="B116" s="6"/>
      <c r="C116" s="6"/>
      <c r="D116" s="6"/>
      <c r="E116" s="6"/>
      <c r="F116" s="37"/>
      <c r="G116" s="6"/>
      <c r="H116" s="6"/>
    </row>
    <row r="117" customFormat="false" ht="15" hidden="false" customHeight="false" outlineLevel="0" collapsed="false">
      <c r="A117" s="38"/>
      <c r="B117" s="6"/>
      <c r="C117" s="6"/>
      <c r="D117" s="6"/>
      <c r="E117" s="6"/>
      <c r="F117" s="37"/>
      <c r="G117" s="6"/>
      <c r="H117" s="6"/>
    </row>
    <row r="118" customFormat="false" ht="15" hidden="false" customHeight="false" outlineLevel="0" collapsed="false">
      <c r="A118" s="38"/>
      <c r="B118" s="6"/>
      <c r="C118" s="6"/>
      <c r="D118" s="6"/>
      <c r="E118" s="6"/>
      <c r="F118" s="37"/>
      <c r="G118" s="6"/>
      <c r="H118" s="6"/>
    </row>
    <row r="119" customFormat="false" ht="15" hidden="false" customHeight="false" outlineLevel="0" collapsed="false">
      <c r="A119" s="38"/>
      <c r="B119" s="6"/>
      <c r="C119" s="6"/>
      <c r="D119" s="6"/>
      <c r="E119" s="6"/>
      <c r="F119" s="37"/>
      <c r="G119" s="6"/>
      <c r="H119" s="6"/>
    </row>
    <row r="120" customFormat="false" ht="15" hidden="false" customHeight="false" outlineLevel="0" collapsed="false">
      <c r="A120" s="38"/>
      <c r="B120" s="6"/>
      <c r="C120" s="6"/>
      <c r="D120" s="6"/>
      <c r="E120" s="6"/>
      <c r="F120" s="37"/>
      <c r="G120" s="6"/>
      <c r="H120" s="6"/>
    </row>
    <row r="121" customFormat="false" ht="15" hidden="false" customHeight="false" outlineLevel="0" collapsed="false">
      <c r="A121" s="38"/>
      <c r="B121" s="6"/>
      <c r="C121" s="6"/>
      <c r="D121" s="6"/>
      <c r="E121" s="6"/>
      <c r="F121" s="37"/>
      <c r="G121" s="6"/>
      <c r="H121" s="6"/>
    </row>
    <row r="122" customFormat="false" ht="15" hidden="false" customHeight="false" outlineLevel="0" collapsed="false">
      <c r="A122" s="38"/>
      <c r="B122" s="6"/>
      <c r="C122" s="6"/>
      <c r="D122" s="6"/>
      <c r="E122" s="6"/>
      <c r="F122" s="37"/>
      <c r="G122" s="6"/>
      <c r="H122" s="6"/>
    </row>
    <row r="123" customFormat="false" ht="15" hidden="false" customHeight="false" outlineLevel="0" collapsed="false">
      <c r="A123" s="38"/>
      <c r="B123" s="6"/>
      <c r="C123" s="6"/>
      <c r="D123" s="6"/>
      <c r="E123" s="6"/>
      <c r="F123" s="37"/>
      <c r="G123" s="6"/>
      <c r="H123" s="6"/>
    </row>
    <row r="124" customFormat="false" ht="15" hidden="false" customHeight="false" outlineLevel="0" collapsed="false">
      <c r="A124" s="38"/>
      <c r="B124" s="6"/>
      <c r="C124" s="6"/>
      <c r="D124" s="6"/>
      <c r="E124" s="6"/>
      <c r="F124" s="37"/>
      <c r="G124" s="6"/>
      <c r="H124" s="6"/>
    </row>
    <row r="125" customFormat="false" ht="15" hidden="false" customHeight="false" outlineLevel="0" collapsed="false">
      <c r="A125" s="38"/>
      <c r="B125" s="6"/>
      <c r="C125" s="6"/>
      <c r="D125" s="6"/>
      <c r="E125" s="6"/>
      <c r="F125" s="37"/>
      <c r="G125" s="6"/>
      <c r="H125" s="6"/>
    </row>
    <row r="126" customFormat="false" ht="15" hidden="false" customHeight="false" outlineLevel="0" collapsed="false">
      <c r="A126" s="38"/>
      <c r="B126" s="6"/>
      <c r="C126" s="6"/>
      <c r="D126" s="6"/>
      <c r="E126" s="6"/>
      <c r="F126" s="37"/>
      <c r="G126" s="6"/>
      <c r="H126" s="6"/>
    </row>
    <row r="127" customFormat="false" ht="15" hidden="false" customHeight="false" outlineLevel="0" collapsed="false">
      <c r="A127" s="38"/>
      <c r="B127" s="6"/>
      <c r="C127" s="6"/>
      <c r="D127" s="6"/>
      <c r="E127" s="6"/>
      <c r="F127" s="37"/>
      <c r="G127" s="6"/>
      <c r="H127" s="6"/>
    </row>
    <row r="128" customFormat="false" ht="15" hidden="false" customHeight="false" outlineLevel="0" collapsed="false">
      <c r="A128" s="38"/>
      <c r="B128" s="6"/>
      <c r="C128" s="6"/>
      <c r="D128" s="6"/>
      <c r="E128" s="6"/>
      <c r="F128" s="37"/>
      <c r="G128" s="6"/>
      <c r="H128" s="6"/>
    </row>
    <row r="129" customFormat="false" ht="15" hidden="false" customHeight="false" outlineLevel="0" collapsed="false">
      <c r="A129" s="38"/>
      <c r="B129" s="6"/>
      <c r="C129" s="6"/>
      <c r="D129" s="6"/>
      <c r="E129" s="6"/>
      <c r="F129" s="37"/>
      <c r="G129" s="6"/>
      <c r="H129" s="6"/>
    </row>
    <row r="130" customFormat="false" ht="15" hidden="false" customHeight="false" outlineLevel="0" collapsed="false">
      <c r="A130" s="38"/>
      <c r="B130" s="6"/>
      <c r="C130" s="6"/>
      <c r="D130" s="6"/>
      <c r="E130" s="6"/>
      <c r="F130" s="37"/>
      <c r="G130" s="6"/>
      <c r="H130" s="6"/>
    </row>
    <row r="131" customFormat="false" ht="15" hidden="false" customHeight="false" outlineLevel="0" collapsed="false">
      <c r="A131" s="38"/>
      <c r="B131" s="6"/>
      <c r="C131" s="6"/>
      <c r="D131" s="6"/>
      <c r="E131" s="6"/>
      <c r="F131" s="37"/>
      <c r="G131" s="6"/>
      <c r="H131" s="6"/>
    </row>
    <row r="132" customFormat="false" ht="15" hidden="false" customHeight="false" outlineLevel="0" collapsed="false">
      <c r="A132" s="38"/>
      <c r="B132" s="6"/>
      <c r="C132" s="6"/>
      <c r="D132" s="6"/>
      <c r="E132" s="6"/>
      <c r="F132" s="37"/>
      <c r="G132" s="6"/>
      <c r="H132" s="6"/>
    </row>
    <row r="133" customFormat="false" ht="15" hidden="false" customHeight="false" outlineLevel="0" collapsed="false">
      <c r="A133" s="38"/>
      <c r="B133" s="6"/>
      <c r="C133" s="6"/>
      <c r="D133" s="6"/>
      <c r="E133" s="6"/>
      <c r="F133" s="37"/>
      <c r="G133" s="6"/>
      <c r="H133" s="6"/>
    </row>
    <row r="134" customFormat="false" ht="15" hidden="false" customHeight="false" outlineLevel="0" collapsed="false">
      <c r="A134" s="38"/>
      <c r="B134" s="6"/>
      <c r="C134" s="6"/>
      <c r="D134" s="6"/>
      <c r="E134" s="6"/>
      <c r="F134" s="37"/>
      <c r="G134" s="6"/>
      <c r="H134" s="6"/>
    </row>
    <row r="135" customFormat="false" ht="15" hidden="false" customHeight="false" outlineLevel="0" collapsed="false">
      <c r="A135" s="38"/>
      <c r="B135" s="6"/>
      <c r="C135" s="6"/>
      <c r="D135" s="6"/>
      <c r="E135" s="6"/>
      <c r="F135" s="37"/>
      <c r="G135" s="6"/>
      <c r="H135" s="6"/>
    </row>
    <row r="136" customFormat="false" ht="15" hidden="false" customHeight="false" outlineLevel="0" collapsed="false">
      <c r="A136" s="38"/>
      <c r="B136" s="6"/>
      <c r="C136" s="6"/>
      <c r="D136" s="6"/>
      <c r="E136" s="6"/>
      <c r="F136" s="37"/>
      <c r="G136" s="6"/>
      <c r="H136" s="6"/>
    </row>
    <row r="137" customFormat="false" ht="15" hidden="false" customHeight="false" outlineLevel="0" collapsed="false">
      <c r="A137" s="38"/>
      <c r="B137" s="6"/>
      <c r="C137" s="6"/>
      <c r="D137" s="6"/>
      <c r="E137" s="6"/>
      <c r="F137" s="37"/>
      <c r="G137" s="6"/>
      <c r="H137" s="6"/>
    </row>
    <row r="138" customFormat="false" ht="15" hidden="false" customHeight="false" outlineLevel="0" collapsed="false">
      <c r="A138" s="38"/>
      <c r="B138" s="6"/>
      <c r="C138" s="6"/>
      <c r="D138" s="6"/>
      <c r="E138" s="6"/>
      <c r="F138" s="37"/>
      <c r="G138" s="6"/>
      <c r="H138" s="6"/>
    </row>
    <row r="139" customFormat="false" ht="15" hidden="false" customHeight="false" outlineLevel="0" collapsed="false">
      <c r="A139" s="38"/>
      <c r="B139" s="6"/>
      <c r="C139" s="6"/>
      <c r="D139" s="6"/>
      <c r="E139" s="6"/>
      <c r="F139" s="37"/>
      <c r="G139" s="6"/>
      <c r="H139" s="6"/>
    </row>
    <row r="140" customFormat="false" ht="15" hidden="false" customHeight="false" outlineLevel="0" collapsed="false">
      <c r="A140" s="38"/>
      <c r="B140" s="6"/>
      <c r="C140" s="6"/>
      <c r="D140" s="6"/>
      <c r="E140" s="6"/>
      <c r="F140" s="37"/>
      <c r="G140" s="6"/>
      <c r="H140" s="6"/>
    </row>
    <row r="141" customFormat="false" ht="15" hidden="false" customHeight="false" outlineLevel="0" collapsed="false">
      <c r="A141" s="38"/>
      <c r="B141" s="6"/>
      <c r="C141" s="6"/>
      <c r="D141" s="6"/>
      <c r="E141" s="6"/>
      <c r="F141" s="37"/>
      <c r="G141" s="6"/>
      <c r="H141" s="6"/>
    </row>
    <row r="142" customFormat="false" ht="15" hidden="false" customHeight="false" outlineLevel="0" collapsed="false">
      <c r="A142" s="38"/>
      <c r="B142" s="6"/>
      <c r="C142" s="6"/>
      <c r="D142" s="6"/>
      <c r="E142" s="6"/>
      <c r="F142" s="37"/>
      <c r="G142" s="6"/>
      <c r="H142" s="6"/>
    </row>
    <row r="143" customFormat="false" ht="15" hidden="false" customHeight="false" outlineLevel="0" collapsed="false">
      <c r="A143" s="38"/>
      <c r="B143" s="6"/>
      <c r="C143" s="6"/>
      <c r="D143" s="6"/>
      <c r="E143" s="6"/>
      <c r="F143" s="37"/>
      <c r="G143" s="6"/>
      <c r="H143" s="6"/>
    </row>
    <row r="144" customFormat="false" ht="15" hidden="false" customHeight="false" outlineLevel="0" collapsed="false">
      <c r="A144" s="38"/>
      <c r="B144" s="6"/>
      <c r="C144" s="6"/>
      <c r="D144" s="6"/>
      <c r="E144" s="6"/>
      <c r="F144" s="37"/>
      <c r="G144" s="6"/>
      <c r="H144" s="6"/>
    </row>
    <row r="145" customFormat="false" ht="15" hidden="false" customHeight="false" outlineLevel="0" collapsed="false">
      <c r="A145" s="38"/>
      <c r="B145" s="6"/>
      <c r="C145" s="6"/>
      <c r="D145" s="6"/>
      <c r="E145" s="6"/>
      <c r="F145" s="37"/>
      <c r="G145" s="6"/>
      <c r="H145" s="6"/>
    </row>
    <row r="146" customFormat="false" ht="15" hidden="false" customHeight="false" outlineLevel="0" collapsed="false">
      <c r="A146" s="38"/>
      <c r="B146" s="6"/>
      <c r="C146" s="6"/>
      <c r="D146" s="6"/>
      <c r="E146" s="6"/>
      <c r="F146" s="37"/>
      <c r="G146" s="6"/>
      <c r="H146" s="6"/>
    </row>
    <row r="147" customFormat="false" ht="15" hidden="false" customHeight="false" outlineLevel="0" collapsed="false">
      <c r="A147" s="38"/>
      <c r="B147" s="6"/>
      <c r="C147" s="6"/>
      <c r="D147" s="6"/>
      <c r="E147" s="6"/>
      <c r="F147" s="37"/>
      <c r="G147" s="6"/>
      <c r="H147" s="6"/>
    </row>
    <row r="148" customFormat="false" ht="15" hidden="false" customHeight="false" outlineLevel="0" collapsed="false">
      <c r="A148" s="38"/>
      <c r="B148" s="6"/>
      <c r="C148" s="6"/>
      <c r="D148" s="6"/>
      <c r="E148" s="6"/>
      <c r="F148" s="37"/>
      <c r="G148" s="6"/>
      <c r="H148" s="6"/>
    </row>
    <row r="149" customFormat="false" ht="15" hidden="false" customHeight="false" outlineLevel="0" collapsed="false">
      <c r="A149" s="38"/>
      <c r="B149" s="6"/>
      <c r="C149" s="6"/>
      <c r="D149" s="6"/>
      <c r="E149" s="6"/>
      <c r="F149" s="37"/>
      <c r="G149" s="6"/>
      <c r="H149" s="6"/>
    </row>
    <row r="150" customFormat="false" ht="15" hidden="false" customHeight="false" outlineLevel="0" collapsed="false">
      <c r="A150" s="38"/>
      <c r="B150" s="6"/>
      <c r="C150" s="6"/>
      <c r="D150" s="6"/>
      <c r="E150" s="6"/>
      <c r="F150" s="37"/>
      <c r="G150" s="6"/>
      <c r="H150" s="6"/>
    </row>
    <row r="151" customFormat="false" ht="15" hidden="false" customHeight="false" outlineLevel="0" collapsed="false">
      <c r="A151" s="38"/>
      <c r="B151" s="6"/>
      <c r="C151" s="6"/>
      <c r="D151" s="6"/>
      <c r="E151" s="6"/>
      <c r="F151" s="37"/>
      <c r="G151" s="6"/>
      <c r="H151" s="6"/>
    </row>
    <row r="152" customFormat="false" ht="15" hidden="false" customHeight="false" outlineLevel="0" collapsed="false">
      <c r="A152" s="38"/>
      <c r="B152" s="6"/>
      <c r="C152" s="6"/>
      <c r="D152" s="6"/>
      <c r="E152" s="6"/>
      <c r="F152" s="37"/>
      <c r="G152" s="6"/>
      <c r="H152" s="6"/>
    </row>
    <row r="153" customFormat="false" ht="15" hidden="false" customHeight="false" outlineLevel="0" collapsed="false">
      <c r="A153" s="38"/>
      <c r="B153" s="6"/>
      <c r="C153" s="6"/>
      <c r="D153" s="6"/>
      <c r="E153" s="6"/>
      <c r="F153" s="37"/>
      <c r="G153" s="6"/>
      <c r="H153" s="6"/>
    </row>
    <row r="154" customFormat="false" ht="15" hidden="false" customHeight="false" outlineLevel="0" collapsed="false">
      <c r="A154" s="38"/>
      <c r="B154" s="6"/>
      <c r="C154" s="6"/>
      <c r="D154" s="6"/>
      <c r="E154" s="6"/>
      <c r="F154" s="37"/>
      <c r="G154" s="6"/>
      <c r="H154" s="6"/>
    </row>
    <row r="155" customFormat="false" ht="15" hidden="false" customHeight="false" outlineLevel="0" collapsed="false">
      <c r="A155" s="38"/>
      <c r="B155" s="6"/>
      <c r="C155" s="6"/>
      <c r="D155" s="6"/>
      <c r="E155" s="6"/>
      <c r="F155" s="37"/>
      <c r="G155" s="6"/>
      <c r="H155" s="6"/>
    </row>
    <row r="156" customFormat="false" ht="15" hidden="false" customHeight="false" outlineLevel="0" collapsed="false">
      <c r="A156" s="38"/>
      <c r="B156" s="6"/>
      <c r="C156" s="6"/>
      <c r="D156" s="6"/>
      <c r="E156" s="6"/>
      <c r="F156" s="37"/>
      <c r="G156" s="6"/>
      <c r="H156" s="6"/>
    </row>
    <row r="157" customFormat="false" ht="15" hidden="false" customHeight="false" outlineLevel="0" collapsed="false">
      <c r="A157" s="38"/>
      <c r="B157" s="6"/>
      <c r="C157" s="6"/>
      <c r="D157" s="6"/>
      <c r="E157" s="6"/>
      <c r="F157" s="37"/>
      <c r="G157" s="6"/>
      <c r="H157" s="6"/>
    </row>
    <row r="158" customFormat="false" ht="15" hidden="false" customHeight="false" outlineLevel="0" collapsed="false">
      <c r="A158" s="38"/>
      <c r="B158" s="6"/>
      <c r="C158" s="6"/>
      <c r="D158" s="6"/>
      <c r="E158" s="6"/>
      <c r="F158" s="37"/>
      <c r="G158" s="6"/>
      <c r="H158" s="6"/>
    </row>
    <row r="159" customFormat="false" ht="15" hidden="false" customHeight="false" outlineLevel="0" collapsed="false">
      <c r="A159" s="38"/>
      <c r="B159" s="6"/>
      <c r="C159" s="6"/>
      <c r="D159" s="6"/>
      <c r="E159" s="6"/>
      <c r="F159" s="37"/>
      <c r="G159" s="6"/>
      <c r="H159" s="6"/>
    </row>
    <row r="160" customFormat="false" ht="15" hidden="false" customHeight="false" outlineLevel="0" collapsed="false">
      <c r="A160" s="38"/>
      <c r="B160" s="6"/>
      <c r="C160" s="6"/>
      <c r="D160" s="6"/>
      <c r="E160" s="6"/>
      <c r="F160" s="37"/>
      <c r="G160" s="6"/>
      <c r="H160" s="6"/>
    </row>
    <row r="161" customFormat="false" ht="15" hidden="false" customHeight="false" outlineLevel="0" collapsed="false">
      <c r="A161" s="38"/>
      <c r="B161" s="6"/>
      <c r="C161" s="6"/>
      <c r="D161" s="6"/>
      <c r="E161" s="6"/>
      <c r="F161" s="37"/>
      <c r="G161" s="6"/>
      <c r="H161" s="6"/>
    </row>
    <row r="162" customFormat="false" ht="15" hidden="false" customHeight="false" outlineLevel="0" collapsed="false">
      <c r="A162" s="38"/>
      <c r="B162" s="6"/>
      <c r="C162" s="6"/>
      <c r="D162" s="6"/>
      <c r="E162" s="6"/>
      <c r="F162" s="37"/>
      <c r="G162" s="6"/>
      <c r="H162" s="6"/>
    </row>
    <row r="163" customFormat="false" ht="15" hidden="false" customHeight="false" outlineLevel="0" collapsed="false">
      <c r="A163" s="38"/>
      <c r="B163" s="6"/>
      <c r="C163" s="6"/>
      <c r="D163" s="6"/>
      <c r="E163" s="6"/>
      <c r="F163" s="37"/>
      <c r="G163" s="6"/>
      <c r="H163" s="6"/>
    </row>
    <row r="164" customFormat="false" ht="15" hidden="false" customHeight="false" outlineLevel="0" collapsed="false">
      <c r="A164" s="38"/>
      <c r="B164" s="6"/>
      <c r="C164" s="6"/>
      <c r="D164" s="6"/>
      <c r="E164" s="6"/>
      <c r="F164" s="37"/>
      <c r="G164" s="6"/>
      <c r="H164" s="6"/>
    </row>
    <row r="165" customFormat="false" ht="15" hidden="false" customHeight="false" outlineLevel="0" collapsed="false">
      <c r="A165" s="38"/>
      <c r="B165" s="6"/>
      <c r="C165" s="6"/>
      <c r="D165" s="6"/>
      <c r="E165" s="6"/>
      <c r="F165" s="37"/>
      <c r="G165" s="6"/>
      <c r="H165" s="6"/>
    </row>
    <row r="166" customFormat="false" ht="15" hidden="false" customHeight="false" outlineLevel="0" collapsed="false">
      <c r="A166" s="38"/>
      <c r="B166" s="6"/>
      <c r="C166" s="6"/>
      <c r="D166" s="6"/>
      <c r="E166" s="6"/>
      <c r="F166" s="37"/>
      <c r="G166" s="6"/>
      <c r="H166" s="6"/>
    </row>
    <row r="167" customFormat="false" ht="15" hidden="false" customHeight="false" outlineLevel="0" collapsed="false">
      <c r="A167" s="38"/>
      <c r="B167" s="6"/>
      <c r="C167" s="6"/>
      <c r="D167" s="6"/>
      <c r="E167" s="6"/>
      <c r="F167" s="37"/>
      <c r="G167" s="6"/>
      <c r="H167" s="6"/>
    </row>
    <row r="168" customFormat="false" ht="15" hidden="false" customHeight="false" outlineLevel="0" collapsed="false">
      <c r="A168" s="38"/>
      <c r="B168" s="6"/>
      <c r="C168" s="6"/>
      <c r="D168" s="6"/>
      <c r="E168" s="6"/>
      <c r="F168" s="37"/>
      <c r="G168" s="6"/>
      <c r="H168" s="6"/>
    </row>
    <row r="169" customFormat="false" ht="15" hidden="false" customHeight="false" outlineLevel="0" collapsed="false">
      <c r="A169" s="38"/>
      <c r="B169" s="6"/>
      <c r="C169" s="6"/>
      <c r="D169" s="6"/>
      <c r="E169" s="6"/>
      <c r="F169" s="37"/>
      <c r="G169" s="6"/>
      <c r="H169" s="6"/>
    </row>
    <row r="170" customFormat="false" ht="15" hidden="false" customHeight="false" outlineLevel="0" collapsed="false">
      <c r="A170" s="38"/>
      <c r="B170" s="6"/>
      <c r="C170" s="6"/>
      <c r="D170" s="6"/>
      <c r="E170" s="6"/>
      <c r="F170" s="37"/>
      <c r="G170" s="6"/>
      <c r="H170" s="6"/>
    </row>
    <row r="171" customFormat="false" ht="15" hidden="false" customHeight="false" outlineLevel="0" collapsed="false">
      <c r="A171" s="38"/>
      <c r="B171" s="6"/>
      <c r="C171" s="6"/>
      <c r="D171" s="6"/>
      <c r="E171" s="6"/>
      <c r="F171" s="37"/>
      <c r="G171" s="6"/>
      <c r="H171" s="6"/>
    </row>
    <row r="172" customFormat="false" ht="15" hidden="false" customHeight="false" outlineLevel="0" collapsed="false">
      <c r="A172" s="38"/>
      <c r="B172" s="6"/>
      <c r="C172" s="6"/>
      <c r="D172" s="6"/>
      <c r="E172" s="6"/>
      <c r="F172" s="37"/>
      <c r="G172" s="6"/>
      <c r="H172" s="6"/>
    </row>
    <row r="173" customFormat="false" ht="15" hidden="false" customHeight="false" outlineLevel="0" collapsed="false">
      <c r="A173" s="38"/>
      <c r="B173" s="6"/>
      <c r="C173" s="6"/>
      <c r="D173" s="6"/>
      <c r="E173" s="6"/>
      <c r="F173" s="37"/>
      <c r="G173" s="6"/>
      <c r="H173" s="6"/>
    </row>
    <row r="174" customFormat="false" ht="15" hidden="false" customHeight="false" outlineLevel="0" collapsed="false">
      <c r="A174" s="38"/>
      <c r="B174" s="6"/>
      <c r="C174" s="6"/>
      <c r="D174" s="6"/>
      <c r="E174" s="6"/>
      <c r="F174" s="37"/>
      <c r="G174" s="6"/>
      <c r="H174" s="6"/>
    </row>
    <row r="175" customFormat="false" ht="15" hidden="false" customHeight="false" outlineLevel="0" collapsed="false">
      <c r="A175" s="38"/>
      <c r="B175" s="6"/>
      <c r="C175" s="6"/>
      <c r="D175" s="6"/>
      <c r="E175" s="6"/>
      <c r="F175" s="37"/>
      <c r="G175" s="6"/>
      <c r="H175" s="6"/>
    </row>
    <row r="176" customFormat="false" ht="15" hidden="false" customHeight="false" outlineLevel="0" collapsed="false">
      <c r="A176" s="38"/>
      <c r="B176" s="6"/>
      <c r="C176" s="6"/>
      <c r="D176" s="6"/>
      <c r="E176" s="6"/>
      <c r="F176" s="37"/>
      <c r="G176" s="6"/>
      <c r="H176" s="6"/>
    </row>
    <row r="177" customFormat="false" ht="15" hidden="false" customHeight="false" outlineLevel="0" collapsed="false">
      <c r="A177" s="38"/>
      <c r="B177" s="6"/>
      <c r="C177" s="6"/>
      <c r="D177" s="6"/>
      <c r="E177" s="6"/>
      <c r="F177" s="37"/>
      <c r="G177" s="6"/>
      <c r="H177" s="6"/>
    </row>
    <row r="178" customFormat="false" ht="15" hidden="false" customHeight="false" outlineLevel="0" collapsed="false">
      <c r="A178" s="38"/>
      <c r="B178" s="6"/>
      <c r="C178" s="6"/>
      <c r="D178" s="6"/>
      <c r="E178" s="6"/>
      <c r="F178" s="37"/>
      <c r="G178" s="6"/>
      <c r="H178" s="6"/>
    </row>
    <row r="179" customFormat="false" ht="15" hidden="false" customHeight="false" outlineLevel="0" collapsed="false">
      <c r="A179" s="38"/>
      <c r="B179" s="6"/>
      <c r="C179" s="6"/>
      <c r="D179" s="6"/>
      <c r="E179" s="6"/>
      <c r="F179" s="37"/>
      <c r="G179" s="6"/>
      <c r="H179" s="6"/>
    </row>
    <row r="180" customFormat="false" ht="15" hidden="false" customHeight="false" outlineLevel="0" collapsed="false">
      <c r="A180" s="38"/>
      <c r="B180" s="6"/>
      <c r="C180" s="6"/>
      <c r="D180" s="6"/>
      <c r="E180" s="6"/>
      <c r="F180" s="37"/>
      <c r="G180" s="6"/>
      <c r="H180" s="6"/>
    </row>
    <row r="181" customFormat="false" ht="15" hidden="false" customHeight="false" outlineLevel="0" collapsed="false">
      <c r="A181" s="38"/>
      <c r="B181" s="6"/>
      <c r="C181" s="6"/>
      <c r="D181" s="6"/>
      <c r="E181" s="6"/>
      <c r="F181" s="37"/>
      <c r="G181" s="6"/>
      <c r="H181" s="6"/>
    </row>
    <row r="182" customFormat="false" ht="15" hidden="false" customHeight="false" outlineLevel="0" collapsed="false">
      <c r="A182" s="38"/>
      <c r="B182" s="6"/>
      <c r="C182" s="6"/>
      <c r="D182" s="6"/>
      <c r="E182" s="6"/>
      <c r="F182" s="37"/>
      <c r="G182" s="6"/>
      <c r="H182" s="6"/>
    </row>
    <row r="183" customFormat="false" ht="15" hidden="false" customHeight="false" outlineLevel="0" collapsed="false">
      <c r="A183" s="38"/>
      <c r="B183" s="6"/>
      <c r="C183" s="6"/>
      <c r="D183" s="6"/>
      <c r="E183" s="6"/>
      <c r="F183" s="37"/>
      <c r="G183" s="6"/>
      <c r="H183" s="6"/>
    </row>
    <row r="184" customFormat="false" ht="15" hidden="false" customHeight="false" outlineLevel="0" collapsed="false">
      <c r="A184" s="38"/>
      <c r="B184" s="6"/>
      <c r="C184" s="6"/>
      <c r="D184" s="6"/>
      <c r="E184" s="6"/>
      <c r="F184" s="37"/>
      <c r="G184" s="6"/>
      <c r="H184" s="6"/>
    </row>
    <row r="185" customFormat="false" ht="15" hidden="false" customHeight="false" outlineLevel="0" collapsed="false">
      <c r="A185" s="38"/>
      <c r="B185" s="6"/>
      <c r="C185" s="6"/>
      <c r="D185" s="6"/>
      <c r="E185" s="6"/>
      <c r="F185" s="37"/>
      <c r="G185" s="6"/>
      <c r="H185" s="6"/>
    </row>
    <row r="186" customFormat="false" ht="15" hidden="false" customHeight="false" outlineLevel="0" collapsed="false">
      <c r="A186" s="38"/>
      <c r="B186" s="6"/>
      <c r="C186" s="6"/>
      <c r="D186" s="6"/>
      <c r="E186" s="6"/>
      <c r="F186" s="37"/>
      <c r="G186" s="6"/>
      <c r="H186" s="6"/>
    </row>
    <row r="187" customFormat="false" ht="15" hidden="false" customHeight="false" outlineLevel="0" collapsed="false">
      <c r="A187" s="38"/>
      <c r="B187" s="6"/>
      <c r="C187" s="6"/>
      <c r="D187" s="6"/>
      <c r="E187" s="6"/>
      <c r="F187" s="37"/>
      <c r="G187" s="6"/>
      <c r="H187" s="6"/>
    </row>
    <row r="188" customFormat="false" ht="15" hidden="false" customHeight="false" outlineLevel="0" collapsed="false">
      <c r="A188" s="38"/>
      <c r="B188" s="6"/>
      <c r="C188" s="6"/>
      <c r="D188" s="6"/>
      <c r="E188" s="6"/>
      <c r="F188" s="37"/>
      <c r="G188" s="6"/>
      <c r="H188" s="6"/>
    </row>
    <row r="189" customFormat="false" ht="15" hidden="false" customHeight="false" outlineLevel="0" collapsed="false">
      <c r="A189" s="38"/>
      <c r="B189" s="6"/>
      <c r="C189" s="6"/>
      <c r="D189" s="6"/>
      <c r="E189" s="6"/>
      <c r="F189" s="37"/>
      <c r="G189" s="6"/>
      <c r="H189" s="6"/>
    </row>
    <row r="190" customFormat="false" ht="15" hidden="false" customHeight="false" outlineLevel="0" collapsed="false">
      <c r="A190" s="38"/>
      <c r="B190" s="6"/>
      <c r="C190" s="6"/>
      <c r="D190" s="6"/>
      <c r="E190" s="6"/>
      <c r="F190" s="37"/>
      <c r="G190" s="6"/>
      <c r="H190" s="6"/>
    </row>
    <row r="191" customFormat="false" ht="15" hidden="false" customHeight="false" outlineLevel="0" collapsed="false">
      <c r="A191" s="38"/>
      <c r="B191" s="6"/>
      <c r="C191" s="6"/>
      <c r="D191" s="6"/>
      <c r="E191" s="6"/>
      <c r="F191" s="37"/>
      <c r="G191" s="6"/>
      <c r="H191" s="6"/>
    </row>
    <row r="192" customFormat="false" ht="15" hidden="false" customHeight="false" outlineLevel="0" collapsed="false">
      <c r="A192" s="38"/>
      <c r="B192" s="6"/>
      <c r="C192" s="6"/>
      <c r="D192" s="6"/>
      <c r="E192" s="6"/>
      <c r="F192" s="37"/>
      <c r="G192" s="6"/>
      <c r="H192" s="6"/>
    </row>
    <row r="193" customFormat="false" ht="15" hidden="false" customHeight="false" outlineLevel="0" collapsed="false">
      <c r="A193" s="38"/>
      <c r="B193" s="6"/>
      <c r="C193" s="6"/>
      <c r="D193" s="6"/>
      <c r="E193" s="6"/>
      <c r="F193" s="37"/>
      <c r="G193" s="6"/>
      <c r="H193" s="6"/>
    </row>
    <row r="194" customFormat="false" ht="15" hidden="false" customHeight="false" outlineLevel="0" collapsed="false">
      <c r="A194" s="38"/>
      <c r="B194" s="6"/>
      <c r="C194" s="6"/>
      <c r="D194" s="6"/>
      <c r="E194" s="6"/>
      <c r="F194" s="37"/>
      <c r="G194" s="6"/>
      <c r="H194" s="6"/>
    </row>
    <row r="195" customFormat="false" ht="15" hidden="false" customHeight="false" outlineLevel="0" collapsed="false">
      <c r="A195" s="38"/>
      <c r="B195" s="6"/>
      <c r="C195" s="6"/>
      <c r="D195" s="6"/>
      <c r="E195" s="6"/>
      <c r="F195" s="37"/>
      <c r="G195" s="6"/>
      <c r="H195" s="6"/>
    </row>
    <row r="196" customFormat="false" ht="15" hidden="false" customHeight="false" outlineLevel="0" collapsed="false">
      <c r="A196" s="38"/>
      <c r="B196" s="6"/>
      <c r="C196" s="6"/>
      <c r="D196" s="6"/>
      <c r="E196" s="6"/>
      <c r="F196" s="37"/>
      <c r="G196" s="6"/>
      <c r="H196" s="6"/>
    </row>
    <row r="197" customFormat="false" ht="15" hidden="false" customHeight="false" outlineLevel="0" collapsed="false">
      <c r="A197" s="38"/>
      <c r="B197" s="6"/>
      <c r="C197" s="6"/>
      <c r="D197" s="6"/>
      <c r="E197" s="6"/>
      <c r="F197" s="37"/>
      <c r="G197" s="6"/>
      <c r="H197" s="6"/>
    </row>
    <row r="198" customFormat="false" ht="15" hidden="false" customHeight="false" outlineLevel="0" collapsed="false">
      <c r="A198" s="38"/>
      <c r="B198" s="6"/>
      <c r="C198" s="6"/>
      <c r="D198" s="6"/>
      <c r="E198" s="6"/>
      <c r="F198" s="37"/>
      <c r="G198" s="6"/>
      <c r="H198" s="6"/>
    </row>
    <row r="199" customFormat="false" ht="15" hidden="false" customHeight="false" outlineLevel="0" collapsed="false">
      <c r="A199" s="38"/>
      <c r="B199" s="6"/>
      <c r="C199" s="6"/>
      <c r="D199" s="6"/>
      <c r="E199" s="6"/>
      <c r="F199" s="37"/>
      <c r="G199" s="6"/>
      <c r="H199" s="6"/>
    </row>
    <row r="200" customFormat="false" ht="15" hidden="false" customHeight="false" outlineLevel="0" collapsed="false">
      <c r="A200" s="38"/>
      <c r="B200" s="6"/>
      <c r="C200" s="6"/>
      <c r="D200" s="6"/>
      <c r="E200" s="6"/>
      <c r="F200" s="37"/>
      <c r="G200" s="6"/>
      <c r="H200" s="6"/>
    </row>
    <row r="201" customFormat="false" ht="15" hidden="false" customHeight="false" outlineLevel="0" collapsed="false">
      <c r="A201" s="38"/>
      <c r="B201" s="6"/>
      <c r="C201" s="6"/>
      <c r="D201" s="6"/>
      <c r="E201" s="6"/>
      <c r="F201" s="37"/>
      <c r="G201" s="6"/>
      <c r="H201" s="6"/>
    </row>
    <row r="202" customFormat="false" ht="15" hidden="false" customHeight="false" outlineLevel="0" collapsed="false">
      <c r="A202" s="38"/>
      <c r="B202" s="6"/>
      <c r="C202" s="6"/>
      <c r="D202" s="6"/>
      <c r="E202" s="6"/>
      <c r="F202" s="37"/>
      <c r="G202" s="6"/>
      <c r="H202" s="6"/>
    </row>
    <row r="203" customFormat="false" ht="15" hidden="false" customHeight="false" outlineLevel="0" collapsed="false">
      <c r="A203" s="38"/>
      <c r="B203" s="6"/>
      <c r="C203" s="6"/>
      <c r="D203" s="6"/>
      <c r="E203" s="6"/>
      <c r="F203" s="37"/>
      <c r="G203" s="6"/>
      <c r="H203" s="6"/>
    </row>
    <row r="204" customFormat="false" ht="15" hidden="false" customHeight="false" outlineLevel="0" collapsed="false">
      <c r="A204" s="38"/>
      <c r="B204" s="6"/>
      <c r="C204" s="6"/>
      <c r="D204" s="6"/>
      <c r="E204" s="6"/>
      <c r="F204" s="37"/>
      <c r="G204" s="6"/>
      <c r="H204" s="6"/>
    </row>
    <row r="205" customFormat="false" ht="15" hidden="false" customHeight="false" outlineLevel="0" collapsed="false">
      <c r="A205" s="38"/>
      <c r="B205" s="6"/>
      <c r="C205" s="6"/>
      <c r="D205" s="6"/>
      <c r="E205" s="6"/>
      <c r="F205" s="37"/>
      <c r="G205" s="6"/>
      <c r="H205" s="6"/>
    </row>
    <row r="206" customFormat="false" ht="15" hidden="false" customHeight="false" outlineLevel="0" collapsed="false">
      <c r="A206" s="38"/>
      <c r="B206" s="6"/>
      <c r="C206" s="6"/>
      <c r="D206" s="6"/>
      <c r="E206" s="6"/>
      <c r="F206" s="37"/>
      <c r="G206" s="6"/>
      <c r="H206" s="6"/>
    </row>
    <row r="207" customFormat="false" ht="15" hidden="false" customHeight="false" outlineLevel="0" collapsed="false">
      <c r="A207" s="38"/>
      <c r="B207" s="6"/>
      <c r="C207" s="6"/>
      <c r="D207" s="6"/>
      <c r="E207" s="6"/>
      <c r="F207" s="37"/>
      <c r="G207" s="6"/>
      <c r="H207" s="6"/>
    </row>
    <row r="208" customFormat="false" ht="15" hidden="false" customHeight="false" outlineLevel="0" collapsed="false">
      <c r="A208" s="38"/>
      <c r="B208" s="6"/>
      <c r="C208" s="6"/>
      <c r="D208" s="6"/>
      <c r="E208" s="6"/>
      <c r="F208" s="37"/>
      <c r="G208" s="6"/>
      <c r="H208" s="6"/>
    </row>
    <row r="209" customFormat="false" ht="15" hidden="false" customHeight="false" outlineLevel="0" collapsed="false">
      <c r="A209" s="38"/>
      <c r="B209" s="6"/>
      <c r="C209" s="6"/>
      <c r="D209" s="6"/>
      <c r="E209" s="6"/>
      <c r="F209" s="37"/>
      <c r="G209" s="6"/>
      <c r="H209" s="6"/>
    </row>
    <row r="210" customFormat="false" ht="15" hidden="false" customHeight="false" outlineLevel="0" collapsed="false">
      <c r="A210" s="38"/>
      <c r="B210" s="6"/>
      <c r="C210" s="6"/>
      <c r="D210" s="6"/>
      <c r="E210" s="6"/>
      <c r="F210" s="37"/>
      <c r="G210" s="6"/>
      <c r="H210" s="6"/>
    </row>
    <row r="211" customFormat="false" ht="15" hidden="false" customHeight="false" outlineLevel="0" collapsed="false">
      <c r="A211" s="38"/>
      <c r="B211" s="6"/>
      <c r="C211" s="6"/>
      <c r="D211" s="6"/>
      <c r="E211" s="6"/>
      <c r="F211" s="37"/>
      <c r="G211" s="6"/>
      <c r="H211" s="6"/>
    </row>
    <row r="212" customFormat="false" ht="15" hidden="false" customHeight="false" outlineLevel="0" collapsed="false">
      <c r="A212" s="38"/>
      <c r="B212" s="6"/>
      <c r="C212" s="6"/>
      <c r="D212" s="6"/>
      <c r="E212" s="6"/>
      <c r="F212" s="37"/>
      <c r="G212" s="6"/>
      <c r="H212" s="6"/>
    </row>
    <row r="213" customFormat="false" ht="15" hidden="false" customHeight="false" outlineLevel="0" collapsed="false">
      <c r="A213" s="38"/>
      <c r="B213" s="6"/>
      <c r="C213" s="6"/>
      <c r="D213" s="6"/>
      <c r="E213" s="6"/>
      <c r="F213" s="37"/>
      <c r="G213" s="6"/>
      <c r="H213" s="6"/>
    </row>
    <row r="214" customFormat="false" ht="15" hidden="false" customHeight="false" outlineLevel="0" collapsed="false">
      <c r="A214" s="38"/>
      <c r="B214" s="6"/>
      <c r="C214" s="6"/>
      <c r="D214" s="6"/>
      <c r="E214" s="6"/>
      <c r="F214" s="37"/>
      <c r="G214" s="6"/>
      <c r="H214" s="6"/>
    </row>
    <row r="215" customFormat="false" ht="15" hidden="false" customHeight="false" outlineLevel="0" collapsed="false">
      <c r="A215" s="38"/>
      <c r="B215" s="6"/>
      <c r="C215" s="6"/>
      <c r="D215" s="6"/>
      <c r="E215" s="6"/>
      <c r="F215" s="37"/>
      <c r="G215" s="6"/>
      <c r="H215" s="6"/>
    </row>
    <row r="216" customFormat="false" ht="15" hidden="false" customHeight="false" outlineLevel="0" collapsed="false">
      <c r="A216" s="38"/>
      <c r="B216" s="6"/>
      <c r="C216" s="6"/>
      <c r="D216" s="6"/>
      <c r="E216" s="6"/>
      <c r="F216" s="37"/>
      <c r="G216" s="6"/>
      <c r="H216" s="6"/>
    </row>
    <row r="217" customFormat="false" ht="15" hidden="false" customHeight="false" outlineLevel="0" collapsed="false">
      <c r="A217" s="38"/>
      <c r="B217" s="6"/>
      <c r="C217" s="6"/>
      <c r="D217" s="6"/>
      <c r="E217" s="6"/>
      <c r="F217" s="37"/>
      <c r="G217" s="6"/>
      <c r="H217" s="6"/>
    </row>
    <row r="218" customFormat="false" ht="15" hidden="false" customHeight="false" outlineLevel="0" collapsed="false">
      <c r="A218" s="38"/>
      <c r="B218" s="6"/>
      <c r="C218" s="6"/>
      <c r="D218" s="6"/>
      <c r="E218" s="6"/>
      <c r="F218" s="37"/>
      <c r="G218" s="6"/>
      <c r="H218" s="6"/>
    </row>
    <row r="219" customFormat="false" ht="15" hidden="false" customHeight="false" outlineLevel="0" collapsed="false">
      <c r="A219" s="38"/>
      <c r="B219" s="6"/>
      <c r="C219" s="6"/>
      <c r="D219" s="6"/>
      <c r="E219" s="6"/>
      <c r="F219" s="37"/>
      <c r="G219" s="6"/>
      <c r="H219" s="6"/>
    </row>
    <row r="220" customFormat="false" ht="15" hidden="false" customHeight="false" outlineLevel="0" collapsed="false">
      <c r="A220" s="38"/>
      <c r="B220" s="6"/>
      <c r="C220" s="6"/>
      <c r="D220" s="6"/>
      <c r="E220" s="6"/>
      <c r="F220" s="37"/>
      <c r="G220" s="6"/>
      <c r="H220" s="6"/>
    </row>
    <row r="221" customFormat="false" ht="15" hidden="false" customHeight="false" outlineLevel="0" collapsed="false">
      <c r="A221" s="38"/>
      <c r="B221" s="6"/>
      <c r="C221" s="6"/>
      <c r="D221" s="6"/>
      <c r="E221" s="6"/>
      <c r="F221" s="37"/>
      <c r="G221" s="6"/>
      <c r="H221" s="6"/>
    </row>
    <row r="222" customFormat="false" ht="15" hidden="false" customHeight="false" outlineLevel="0" collapsed="false">
      <c r="A222" s="38"/>
      <c r="B222" s="6"/>
      <c r="C222" s="6"/>
      <c r="D222" s="6"/>
      <c r="E222" s="6"/>
      <c r="F222" s="37"/>
      <c r="G222" s="6"/>
      <c r="H222" s="6"/>
    </row>
    <row r="223" customFormat="false" ht="15" hidden="false" customHeight="false" outlineLevel="0" collapsed="false">
      <c r="A223" s="38"/>
      <c r="B223" s="6"/>
      <c r="C223" s="6"/>
      <c r="D223" s="6"/>
      <c r="E223" s="6"/>
      <c r="F223" s="37"/>
      <c r="G223" s="6"/>
      <c r="H223" s="6"/>
    </row>
    <row r="224" customFormat="false" ht="15" hidden="false" customHeight="false" outlineLevel="0" collapsed="false">
      <c r="A224" s="38"/>
      <c r="B224" s="6"/>
      <c r="C224" s="6"/>
      <c r="D224" s="6"/>
      <c r="E224" s="6"/>
      <c r="F224" s="37"/>
      <c r="G224" s="6"/>
      <c r="H224" s="6"/>
    </row>
    <row r="225" customFormat="false" ht="15" hidden="false" customHeight="false" outlineLevel="0" collapsed="false">
      <c r="A225" s="38"/>
      <c r="B225" s="6"/>
      <c r="C225" s="6"/>
      <c r="D225" s="6"/>
      <c r="E225" s="6"/>
      <c r="F225" s="37"/>
      <c r="G225" s="6"/>
      <c r="H225" s="6"/>
    </row>
    <row r="226" customFormat="false" ht="15" hidden="false" customHeight="false" outlineLevel="0" collapsed="false">
      <c r="A226" s="38"/>
      <c r="B226" s="6"/>
      <c r="C226" s="6"/>
      <c r="D226" s="6"/>
      <c r="E226" s="6"/>
      <c r="F226" s="37"/>
      <c r="G226" s="6"/>
      <c r="H226" s="6"/>
    </row>
    <row r="227" customFormat="false" ht="15" hidden="false" customHeight="false" outlineLevel="0" collapsed="false">
      <c r="A227" s="38"/>
      <c r="B227" s="6"/>
      <c r="C227" s="6"/>
      <c r="D227" s="6"/>
      <c r="E227" s="6"/>
      <c r="F227" s="37"/>
      <c r="G227" s="6"/>
      <c r="H227" s="6"/>
    </row>
    <row r="228" customFormat="false" ht="15" hidden="false" customHeight="false" outlineLevel="0" collapsed="false">
      <c r="A228" s="38"/>
      <c r="B228" s="6"/>
      <c r="C228" s="6"/>
      <c r="D228" s="6"/>
      <c r="E228" s="6"/>
      <c r="F228" s="37"/>
      <c r="G228" s="6"/>
      <c r="H228" s="6"/>
    </row>
    <row r="229" customFormat="false" ht="15" hidden="false" customHeight="false" outlineLevel="0" collapsed="false">
      <c r="A229" s="38"/>
      <c r="B229" s="6"/>
      <c r="C229" s="6"/>
      <c r="D229" s="6"/>
      <c r="E229" s="6"/>
      <c r="F229" s="37"/>
      <c r="G229" s="6"/>
      <c r="H229" s="6"/>
    </row>
    <row r="230" customFormat="false" ht="15" hidden="false" customHeight="false" outlineLevel="0" collapsed="false">
      <c r="A230" s="38"/>
      <c r="B230" s="6"/>
      <c r="C230" s="6"/>
      <c r="D230" s="6"/>
      <c r="E230" s="6"/>
      <c r="F230" s="37"/>
      <c r="G230" s="6"/>
      <c r="H230" s="6"/>
    </row>
    <row r="231" customFormat="false" ht="15" hidden="false" customHeight="false" outlineLevel="0" collapsed="false">
      <c r="A231" s="38"/>
      <c r="B231" s="6"/>
      <c r="C231" s="6"/>
      <c r="D231" s="6"/>
      <c r="E231" s="6"/>
      <c r="F231" s="37"/>
      <c r="G231" s="6"/>
      <c r="H231" s="6"/>
    </row>
    <row r="232" customFormat="false" ht="15" hidden="false" customHeight="false" outlineLevel="0" collapsed="false">
      <c r="A232" s="38"/>
      <c r="B232" s="6"/>
      <c r="C232" s="6"/>
      <c r="D232" s="6"/>
      <c r="E232" s="6"/>
      <c r="F232" s="37"/>
      <c r="G232" s="6"/>
      <c r="H232" s="6"/>
    </row>
    <row r="233" customFormat="false" ht="15" hidden="false" customHeight="false" outlineLevel="0" collapsed="false">
      <c r="A233" s="38"/>
      <c r="B233" s="6"/>
      <c r="C233" s="6"/>
      <c r="D233" s="6"/>
      <c r="E233" s="6"/>
      <c r="F233" s="37"/>
      <c r="G233" s="6"/>
      <c r="H233" s="6"/>
    </row>
    <row r="234" customFormat="false" ht="15" hidden="false" customHeight="false" outlineLevel="0" collapsed="false">
      <c r="A234" s="38"/>
      <c r="B234" s="6"/>
      <c r="C234" s="6"/>
      <c r="D234" s="6"/>
      <c r="E234" s="6"/>
      <c r="F234" s="37"/>
      <c r="G234" s="6"/>
      <c r="H234" s="6"/>
    </row>
    <row r="235" customFormat="false" ht="15" hidden="false" customHeight="false" outlineLevel="0" collapsed="false">
      <c r="A235" s="38"/>
      <c r="B235" s="6"/>
      <c r="C235" s="6"/>
      <c r="D235" s="6"/>
      <c r="E235" s="6"/>
      <c r="F235" s="37"/>
      <c r="G235" s="6"/>
      <c r="H235" s="6"/>
    </row>
    <row r="236" customFormat="false" ht="15" hidden="false" customHeight="false" outlineLevel="0" collapsed="false">
      <c r="A236" s="38"/>
      <c r="B236" s="6"/>
      <c r="C236" s="6"/>
      <c r="D236" s="6"/>
      <c r="E236" s="6"/>
      <c r="F236" s="37"/>
      <c r="G236" s="6"/>
      <c r="H236" s="6"/>
    </row>
    <row r="237" customFormat="false" ht="15" hidden="false" customHeight="false" outlineLevel="0" collapsed="false">
      <c r="A237" s="38"/>
      <c r="B237" s="6"/>
      <c r="C237" s="6"/>
      <c r="D237" s="6"/>
      <c r="E237" s="6"/>
      <c r="F237" s="37"/>
      <c r="G237" s="6"/>
      <c r="H237" s="6"/>
    </row>
    <row r="238" customFormat="false" ht="15" hidden="false" customHeight="false" outlineLevel="0" collapsed="false">
      <c r="A238" s="38"/>
      <c r="B238" s="6"/>
      <c r="C238" s="6"/>
      <c r="D238" s="6"/>
      <c r="E238" s="6"/>
      <c r="F238" s="37"/>
      <c r="G238" s="6"/>
      <c r="H238" s="6"/>
    </row>
    <row r="239" customFormat="false" ht="15" hidden="false" customHeight="false" outlineLevel="0" collapsed="false">
      <c r="A239" s="38"/>
      <c r="B239" s="6"/>
      <c r="C239" s="6"/>
      <c r="D239" s="6"/>
      <c r="E239" s="6"/>
      <c r="F239" s="37"/>
      <c r="G239" s="6"/>
      <c r="H239" s="6"/>
    </row>
    <row r="240" customFormat="false" ht="15" hidden="false" customHeight="false" outlineLevel="0" collapsed="false">
      <c r="A240" s="38"/>
      <c r="B240" s="6"/>
      <c r="C240" s="6"/>
      <c r="D240" s="6"/>
      <c r="E240" s="6"/>
      <c r="F240" s="37"/>
      <c r="G240" s="6"/>
      <c r="H240" s="6"/>
    </row>
    <row r="241" customFormat="false" ht="15" hidden="false" customHeight="false" outlineLevel="0" collapsed="false">
      <c r="A241" s="38"/>
      <c r="B241" s="6"/>
      <c r="C241" s="6"/>
      <c r="D241" s="6"/>
      <c r="E241" s="6"/>
      <c r="F241" s="37"/>
      <c r="G241" s="6"/>
      <c r="H241" s="6"/>
    </row>
    <row r="242" customFormat="false" ht="15" hidden="false" customHeight="false" outlineLevel="0" collapsed="false">
      <c r="A242" s="38"/>
      <c r="B242" s="6"/>
      <c r="C242" s="6"/>
      <c r="D242" s="6"/>
      <c r="E242" s="6"/>
      <c r="F242" s="37"/>
      <c r="G242" s="6"/>
      <c r="H242" s="6"/>
    </row>
    <row r="243" customFormat="false" ht="15" hidden="false" customHeight="false" outlineLevel="0" collapsed="false">
      <c r="A243" s="38"/>
      <c r="B243" s="6"/>
      <c r="C243" s="6"/>
      <c r="D243" s="6"/>
      <c r="E243" s="6"/>
      <c r="F243" s="37"/>
      <c r="G243" s="6"/>
      <c r="H243" s="6"/>
    </row>
    <row r="244" customFormat="false" ht="15" hidden="false" customHeight="false" outlineLevel="0" collapsed="false">
      <c r="A244" s="38"/>
      <c r="B244" s="6"/>
      <c r="C244" s="6"/>
      <c r="D244" s="6"/>
      <c r="E244" s="6"/>
      <c r="F244" s="37"/>
      <c r="G244" s="6"/>
      <c r="H244" s="6"/>
    </row>
    <row r="245" customFormat="false" ht="15" hidden="false" customHeight="false" outlineLevel="0" collapsed="false">
      <c r="A245" s="38"/>
      <c r="B245" s="6"/>
      <c r="C245" s="6"/>
      <c r="D245" s="6"/>
      <c r="E245" s="6"/>
      <c r="F245" s="37"/>
      <c r="G245" s="6"/>
      <c r="H245" s="6"/>
    </row>
    <row r="246" customFormat="false" ht="15" hidden="false" customHeight="false" outlineLevel="0" collapsed="false">
      <c r="A246" s="38"/>
      <c r="B246" s="6"/>
      <c r="C246" s="6"/>
      <c r="D246" s="6"/>
      <c r="E246" s="6"/>
      <c r="F246" s="37"/>
      <c r="G246" s="6"/>
      <c r="H246" s="6"/>
    </row>
    <row r="247" customFormat="false" ht="15" hidden="false" customHeight="false" outlineLevel="0" collapsed="false">
      <c r="A247" s="38"/>
      <c r="B247" s="6"/>
      <c r="C247" s="6"/>
      <c r="D247" s="6"/>
      <c r="E247" s="6"/>
      <c r="F247" s="37"/>
      <c r="G247" s="6"/>
      <c r="H247" s="6"/>
    </row>
    <row r="248" customFormat="false" ht="15" hidden="false" customHeight="false" outlineLevel="0" collapsed="false">
      <c r="A248" s="38"/>
      <c r="B248" s="6"/>
      <c r="C248" s="6"/>
      <c r="D248" s="6"/>
      <c r="E248" s="6"/>
      <c r="F248" s="37"/>
      <c r="G248" s="6"/>
      <c r="H248" s="6"/>
    </row>
    <row r="249" customFormat="false" ht="15" hidden="false" customHeight="false" outlineLevel="0" collapsed="false">
      <c r="A249" s="38"/>
      <c r="B249" s="6"/>
      <c r="C249" s="6"/>
      <c r="D249" s="6"/>
      <c r="E249" s="6"/>
      <c r="F249" s="37"/>
      <c r="G249" s="6"/>
      <c r="H249" s="6"/>
    </row>
    <row r="250" customFormat="false" ht="15" hidden="false" customHeight="false" outlineLevel="0" collapsed="false">
      <c r="A250" s="38"/>
      <c r="B250" s="6"/>
      <c r="C250" s="6"/>
      <c r="D250" s="6"/>
      <c r="E250" s="6"/>
      <c r="F250" s="37"/>
      <c r="G250" s="6"/>
      <c r="H250" s="6"/>
    </row>
    <row r="251" customFormat="false" ht="15" hidden="false" customHeight="false" outlineLevel="0" collapsed="false">
      <c r="A251" s="38"/>
      <c r="B251" s="6"/>
      <c r="C251" s="6"/>
      <c r="D251" s="6"/>
      <c r="E251" s="6"/>
      <c r="F251" s="37"/>
      <c r="G251" s="6"/>
      <c r="H251" s="6"/>
    </row>
    <row r="252" customFormat="false" ht="15" hidden="false" customHeight="false" outlineLevel="0" collapsed="false">
      <c r="A252" s="38"/>
      <c r="B252" s="6"/>
      <c r="C252" s="6"/>
      <c r="D252" s="6"/>
      <c r="E252" s="6"/>
      <c r="F252" s="37"/>
      <c r="G252" s="6"/>
      <c r="H252" s="6"/>
    </row>
    <row r="253" customFormat="false" ht="15" hidden="false" customHeight="false" outlineLevel="0" collapsed="false">
      <c r="A253" s="38"/>
      <c r="B253" s="6"/>
      <c r="C253" s="6"/>
      <c r="D253" s="6"/>
      <c r="E253" s="6"/>
      <c r="F253" s="37"/>
      <c r="G253" s="6"/>
      <c r="H253" s="6"/>
    </row>
    <row r="254" customFormat="false" ht="15" hidden="false" customHeight="false" outlineLevel="0" collapsed="false">
      <c r="A254" s="38"/>
      <c r="B254" s="6"/>
      <c r="C254" s="6"/>
      <c r="D254" s="6"/>
      <c r="E254" s="6"/>
      <c r="F254" s="37"/>
      <c r="G254" s="6"/>
      <c r="H254" s="6"/>
    </row>
    <row r="255" customFormat="false" ht="15" hidden="false" customHeight="false" outlineLevel="0" collapsed="false">
      <c r="A255" s="38"/>
      <c r="B255" s="6"/>
      <c r="C255" s="6"/>
      <c r="D255" s="6"/>
      <c r="E255" s="6"/>
      <c r="F255" s="37"/>
      <c r="G255" s="6"/>
      <c r="H255" s="6"/>
    </row>
    <row r="256" customFormat="false" ht="15" hidden="false" customHeight="false" outlineLevel="0" collapsed="false">
      <c r="A256" s="38"/>
      <c r="B256" s="6"/>
      <c r="C256" s="6"/>
      <c r="D256" s="6"/>
      <c r="E256" s="6"/>
      <c r="F256" s="37"/>
      <c r="G256" s="6"/>
      <c r="H256" s="6"/>
    </row>
    <row r="257" customFormat="false" ht="15" hidden="false" customHeight="false" outlineLevel="0" collapsed="false">
      <c r="A257" s="38"/>
      <c r="B257" s="6"/>
      <c r="C257" s="6"/>
      <c r="D257" s="6"/>
      <c r="E257" s="6"/>
      <c r="F257" s="37"/>
      <c r="G257" s="6"/>
      <c r="H257" s="6"/>
    </row>
    <row r="258" customFormat="false" ht="15" hidden="false" customHeight="false" outlineLevel="0" collapsed="false">
      <c r="A258" s="38"/>
      <c r="B258" s="6"/>
      <c r="C258" s="6"/>
      <c r="D258" s="6"/>
      <c r="E258" s="6"/>
      <c r="F258" s="37"/>
      <c r="G258" s="6"/>
      <c r="H258" s="6"/>
    </row>
    <row r="259" customFormat="false" ht="15" hidden="false" customHeight="false" outlineLevel="0" collapsed="false">
      <c r="A259" s="38"/>
      <c r="B259" s="6"/>
      <c r="C259" s="6"/>
      <c r="D259" s="6"/>
      <c r="E259" s="6"/>
      <c r="F259" s="37"/>
      <c r="G259" s="6"/>
      <c r="H259" s="6"/>
    </row>
    <row r="260" customFormat="false" ht="15" hidden="false" customHeight="false" outlineLevel="0" collapsed="false">
      <c r="A260" s="38"/>
      <c r="B260" s="6"/>
      <c r="C260" s="6"/>
      <c r="D260" s="6"/>
      <c r="E260" s="6"/>
      <c r="F260" s="37"/>
      <c r="G260" s="6"/>
      <c r="H260" s="6"/>
    </row>
    <row r="261" customFormat="false" ht="15" hidden="false" customHeight="false" outlineLevel="0" collapsed="false">
      <c r="A261" s="38"/>
      <c r="B261" s="6"/>
      <c r="C261" s="6"/>
      <c r="D261" s="6"/>
      <c r="E261" s="6"/>
      <c r="F261" s="37"/>
      <c r="G261" s="6"/>
      <c r="H261" s="6"/>
    </row>
    <row r="262" customFormat="false" ht="15" hidden="false" customHeight="false" outlineLevel="0" collapsed="false">
      <c r="A262" s="38"/>
      <c r="B262" s="6"/>
      <c r="C262" s="6"/>
      <c r="D262" s="6"/>
      <c r="E262" s="6"/>
      <c r="F262" s="37"/>
      <c r="G262" s="6"/>
      <c r="H262" s="6"/>
    </row>
    <row r="263" customFormat="false" ht="15" hidden="false" customHeight="false" outlineLevel="0" collapsed="false">
      <c r="A263" s="38"/>
      <c r="B263" s="6"/>
      <c r="C263" s="6"/>
      <c r="D263" s="6"/>
      <c r="E263" s="6"/>
      <c r="F263" s="37"/>
      <c r="G263" s="6"/>
      <c r="H263" s="6"/>
    </row>
    <row r="264" customFormat="false" ht="15" hidden="false" customHeight="false" outlineLevel="0" collapsed="false">
      <c r="A264" s="38"/>
      <c r="B264" s="6"/>
      <c r="C264" s="6"/>
      <c r="D264" s="6"/>
      <c r="E264" s="6"/>
      <c r="F264" s="37"/>
      <c r="G264" s="6"/>
      <c r="H264" s="6"/>
    </row>
    <row r="265" customFormat="false" ht="15" hidden="false" customHeight="false" outlineLevel="0" collapsed="false">
      <c r="A265" s="38"/>
      <c r="B265" s="6"/>
      <c r="C265" s="6"/>
      <c r="D265" s="6"/>
      <c r="E265" s="6"/>
      <c r="F265" s="37"/>
      <c r="G265" s="6"/>
      <c r="H265" s="6"/>
    </row>
    <row r="266" customFormat="false" ht="15" hidden="false" customHeight="false" outlineLevel="0" collapsed="false">
      <c r="A266" s="38"/>
      <c r="B266" s="6"/>
      <c r="C266" s="6"/>
      <c r="D266" s="6"/>
      <c r="E266" s="6"/>
      <c r="F266" s="37"/>
      <c r="G266" s="6"/>
      <c r="H266" s="6"/>
    </row>
    <row r="267" customFormat="false" ht="15" hidden="false" customHeight="false" outlineLevel="0" collapsed="false">
      <c r="A267" s="38"/>
      <c r="B267" s="6"/>
      <c r="C267" s="6"/>
      <c r="D267" s="6"/>
      <c r="E267" s="6"/>
      <c r="F267" s="37"/>
      <c r="G267" s="6"/>
      <c r="H267" s="6"/>
    </row>
    <row r="268" customFormat="false" ht="15" hidden="false" customHeight="false" outlineLevel="0" collapsed="false">
      <c r="A268" s="38"/>
      <c r="B268" s="6"/>
      <c r="C268" s="6"/>
      <c r="D268" s="6"/>
      <c r="E268" s="6"/>
      <c r="F268" s="37"/>
      <c r="G268" s="6"/>
      <c r="H268" s="6"/>
    </row>
    <row r="269" customFormat="false" ht="15" hidden="false" customHeight="false" outlineLevel="0" collapsed="false">
      <c r="A269" s="38"/>
      <c r="B269" s="6"/>
      <c r="C269" s="6"/>
      <c r="D269" s="6"/>
      <c r="E269" s="6"/>
      <c r="F269" s="37"/>
      <c r="G269" s="6"/>
      <c r="H269" s="6"/>
    </row>
    <row r="270" customFormat="false" ht="15" hidden="false" customHeight="false" outlineLevel="0" collapsed="false">
      <c r="A270" s="38"/>
      <c r="B270" s="6"/>
      <c r="C270" s="6"/>
      <c r="D270" s="6"/>
      <c r="E270" s="6"/>
      <c r="F270" s="37"/>
      <c r="G270" s="6"/>
      <c r="H270" s="6"/>
    </row>
    <row r="271" customFormat="false" ht="15" hidden="false" customHeight="false" outlineLevel="0" collapsed="false">
      <c r="A271" s="38"/>
      <c r="B271" s="6"/>
      <c r="C271" s="6"/>
      <c r="D271" s="6"/>
      <c r="E271" s="6"/>
      <c r="F271" s="37"/>
      <c r="G271" s="6"/>
      <c r="H271" s="6"/>
    </row>
    <row r="272" customFormat="false" ht="15" hidden="false" customHeight="false" outlineLevel="0" collapsed="false">
      <c r="A272" s="38"/>
      <c r="B272" s="6"/>
      <c r="C272" s="6"/>
      <c r="D272" s="6"/>
      <c r="E272" s="6"/>
      <c r="F272" s="37"/>
      <c r="G272" s="6"/>
      <c r="H272" s="6"/>
    </row>
    <row r="273" customFormat="false" ht="15" hidden="false" customHeight="false" outlineLevel="0" collapsed="false">
      <c r="A273" s="38"/>
      <c r="B273" s="6"/>
      <c r="C273" s="6"/>
      <c r="D273" s="6"/>
      <c r="E273" s="6"/>
      <c r="F273" s="37"/>
      <c r="G273" s="6"/>
      <c r="H273" s="6"/>
    </row>
    <row r="274" customFormat="false" ht="15" hidden="false" customHeight="false" outlineLevel="0" collapsed="false">
      <c r="A274" s="38"/>
      <c r="B274" s="6"/>
      <c r="C274" s="6"/>
      <c r="D274" s="6"/>
      <c r="E274" s="6"/>
      <c r="F274" s="37"/>
      <c r="G274" s="6"/>
      <c r="H274" s="6"/>
    </row>
    <row r="275" customFormat="false" ht="15" hidden="false" customHeight="false" outlineLevel="0" collapsed="false">
      <c r="A275" s="38"/>
      <c r="B275" s="6"/>
      <c r="C275" s="6"/>
      <c r="D275" s="6"/>
      <c r="E275" s="6"/>
      <c r="F275" s="37"/>
      <c r="G275" s="6"/>
      <c r="H275" s="6"/>
    </row>
    <row r="276" customFormat="false" ht="15" hidden="false" customHeight="false" outlineLevel="0" collapsed="false">
      <c r="A276" s="38"/>
      <c r="B276" s="6"/>
      <c r="C276" s="6"/>
      <c r="D276" s="6"/>
      <c r="E276" s="6"/>
      <c r="F276" s="37"/>
      <c r="G276" s="6"/>
      <c r="H276" s="6"/>
    </row>
    <row r="277" customFormat="false" ht="15" hidden="false" customHeight="false" outlineLevel="0" collapsed="false">
      <c r="A277" s="38"/>
      <c r="B277" s="6"/>
      <c r="C277" s="6"/>
      <c r="D277" s="6"/>
      <c r="E277" s="6"/>
      <c r="F277" s="37"/>
      <c r="G277" s="6"/>
      <c r="H277" s="6"/>
    </row>
    <row r="278" customFormat="false" ht="15" hidden="false" customHeight="false" outlineLevel="0" collapsed="false">
      <c r="A278" s="38"/>
      <c r="B278" s="6"/>
      <c r="C278" s="6"/>
      <c r="D278" s="6"/>
      <c r="E278" s="6"/>
      <c r="F278" s="37"/>
      <c r="G278" s="6"/>
      <c r="H278" s="6"/>
    </row>
    <row r="279" customFormat="false" ht="15" hidden="false" customHeight="false" outlineLevel="0" collapsed="false">
      <c r="A279" s="38"/>
      <c r="B279" s="6"/>
      <c r="C279" s="6"/>
      <c r="D279" s="6"/>
      <c r="E279" s="6"/>
      <c r="F279" s="37"/>
      <c r="G279" s="6"/>
      <c r="H279" s="6"/>
    </row>
    <row r="280" customFormat="false" ht="15" hidden="false" customHeight="false" outlineLevel="0" collapsed="false">
      <c r="A280" s="38"/>
      <c r="B280" s="6"/>
      <c r="C280" s="6"/>
      <c r="D280" s="6"/>
      <c r="E280" s="6"/>
      <c r="F280" s="37"/>
      <c r="G280" s="6"/>
      <c r="H280" s="6"/>
    </row>
    <row r="281" customFormat="false" ht="15" hidden="false" customHeight="false" outlineLevel="0" collapsed="false">
      <c r="A281" s="38"/>
      <c r="B281" s="6"/>
      <c r="C281" s="6"/>
      <c r="D281" s="6"/>
      <c r="E281" s="6"/>
      <c r="F281" s="37"/>
      <c r="G281" s="6"/>
      <c r="H281" s="6"/>
    </row>
    <row r="282" customFormat="false" ht="15" hidden="false" customHeight="false" outlineLevel="0" collapsed="false">
      <c r="A282" s="38"/>
      <c r="B282" s="6"/>
      <c r="C282" s="6"/>
      <c r="D282" s="6"/>
      <c r="E282" s="6"/>
      <c r="F282" s="37"/>
      <c r="G282" s="6"/>
      <c r="H282" s="6"/>
    </row>
    <row r="283" customFormat="false" ht="15" hidden="false" customHeight="false" outlineLevel="0" collapsed="false">
      <c r="A283" s="38"/>
      <c r="B283" s="6"/>
      <c r="C283" s="6"/>
      <c r="D283" s="6"/>
      <c r="E283" s="6"/>
      <c r="F283" s="37"/>
      <c r="G283" s="6"/>
      <c r="H283" s="6"/>
    </row>
    <row r="284" customFormat="false" ht="15" hidden="false" customHeight="false" outlineLevel="0" collapsed="false">
      <c r="A284" s="38"/>
      <c r="B284" s="6"/>
      <c r="C284" s="6"/>
      <c r="D284" s="6"/>
      <c r="E284" s="6"/>
      <c r="F284" s="37"/>
      <c r="G284" s="6"/>
      <c r="H284" s="6"/>
    </row>
    <row r="285" customFormat="false" ht="15" hidden="false" customHeight="false" outlineLevel="0" collapsed="false">
      <c r="A285" s="38"/>
      <c r="B285" s="6"/>
      <c r="C285" s="6"/>
      <c r="D285" s="6"/>
      <c r="E285" s="6"/>
      <c r="F285" s="37"/>
      <c r="G285" s="6"/>
      <c r="H285" s="6"/>
    </row>
    <row r="286" customFormat="false" ht="15" hidden="false" customHeight="false" outlineLevel="0" collapsed="false">
      <c r="A286" s="38"/>
      <c r="B286" s="6"/>
      <c r="C286" s="6"/>
      <c r="D286" s="6"/>
      <c r="E286" s="6"/>
      <c r="F286" s="37"/>
      <c r="G286" s="6"/>
      <c r="H286" s="6"/>
    </row>
    <row r="287" customFormat="false" ht="15" hidden="false" customHeight="false" outlineLevel="0" collapsed="false">
      <c r="A287" s="38"/>
      <c r="B287" s="6"/>
      <c r="C287" s="6"/>
      <c r="D287" s="6"/>
      <c r="E287" s="6"/>
      <c r="F287" s="37"/>
      <c r="G287" s="6"/>
      <c r="H287" s="6"/>
    </row>
    <row r="288" customFormat="false" ht="15" hidden="false" customHeight="false" outlineLevel="0" collapsed="false">
      <c r="A288" s="38"/>
      <c r="B288" s="6"/>
      <c r="C288" s="6"/>
      <c r="D288" s="6"/>
      <c r="E288" s="6"/>
      <c r="F288" s="37"/>
      <c r="G288" s="6"/>
      <c r="H288" s="6"/>
    </row>
    <row r="289" customFormat="false" ht="15" hidden="false" customHeight="false" outlineLevel="0" collapsed="false">
      <c r="A289" s="38"/>
      <c r="B289" s="6"/>
      <c r="C289" s="6"/>
      <c r="D289" s="6"/>
      <c r="E289" s="6"/>
      <c r="F289" s="37"/>
      <c r="G289" s="6"/>
      <c r="H289" s="6"/>
    </row>
    <row r="290" customFormat="false" ht="15" hidden="false" customHeight="false" outlineLevel="0" collapsed="false">
      <c r="A290" s="38"/>
      <c r="B290" s="6"/>
      <c r="C290" s="6"/>
      <c r="D290" s="6"/>
      <c r="E290" s="6"/>
      <c r="F290" s="37"/>
      <c r="G290" s="6"/>
      <c r="H290" s="6"/>
    </row>
    <row r="291" customFormat="false" ht="15" hidden="false" customHeight="false" outlineLevel="0" collapsed="false">
      <c r="A291" s="38"/>
      <c r="B291" s="6"/>
      <c r="C291" s="6"/>
      <c r="D291" s="6"/>
      <c r="E291" s="6"/>
      <c r="F291" s="37"/>
      <c r="G291" s="6"/>
      <c r="H291" s="6"/>
    </row>
    <row r="292" customFormat="false" ht="15" hidden="false" customHeight="false" outlineLevel="0" collapsed="false">
      <c r="A292" s="38"/>
      <c r="B292" s="6"/>
      <c r="C292" s="6"/>
      <c r="D292" s="6"/>
      <c r="E292" s="6"/>
      <c r="F292" s="37"/>
      <c r="G292" s="6"/>
      <c r="H292" s="6"/>
    </row>
    <row r="293" customFormat="false" ht="15" hidden="false" customHeight="false" outlineLevel="0" collapsed="false">
      <c r="A293" s="38"/>
      <c r="B293" s="6"/>
      <c r="C293" s="6"/>
      <c r="D293" s="6"/>
      <c r="E293" s="6"/>
      <c r="F293" s="37"/>
      <c r="G293" s="6"/>
      <c r="H293" s="6"/>
    </row>
    <row r="294" customFormat="false" ht="15" hidden="false" customHeight="false" outlineLevel="0" collapsed="false">
      <c r="A294" s="38"/>
      <c r="B294" s="6"/>
      <c r="C294" s="6"/>
      <c r="D294" s="6"/>
      <c r="E294" s="6"/>
      <c r="F294" s="37"/>
      <c r="G294" s="6"/>
      <c r="H294" s="6"/>
    </row>
    <row r="295" customFormat="false" ht="15" hidden="false" customHeight="false" outlineLevel="0" collapsed="false">
      <c r="A295" s="38"/>
      <c r="B295" s="6"/>
      <c r="C295" s="6"/>
      <c r="D295" s="6"/>
      <c r="E295" s="6"/>
      <c r="F295" s="37"/>
      <c r="G295" s="6"/>
      <c r="H295" s="6"/>
    </row>
    <row r="296" customFormat="false" ht="15" hidden="false" customHeight="false" outlineLevel="0" collapsed="false">
      <c r="A296" s="38"/>
      <c r="B296" s="6"/>
      <c r="C296" s="6"/>
      <c r="D296" s="6"/>
      <c r="E296" s="6"/>
      <c r="F296" s="37"/>
      <c r="G296" s="6"/>
      <c r="H296" s="6"/>
    </row>
    <row r="297" customFormat="false" ht="15" hidden="false" customHeight="false" outlineLevel="0" collapsed="false">
      <c r="A297" s="38"/>
      <c r="B297" s="6"/>
      <c r="C297" s="6"/>
      <c r="D297" s="6"/>
      <c r="E297" s="6"/>
      <c r="F297" s="37"/>
      <c r="G297" s="6"/>
      <c r="H297" s="6"/>
    </row>
    <row r="298" customFormat="false" ht="15" hidden="false" customHeight="false" outlineLevel="0" collapsed="false">
      <c r="A298" s="38"/>
      <c r="B298" s="6"/>
      <c r="C298" s="6"/>
      <c r="D298" s="6"/>
      <c r="E298" s="6"/>
      <c r="F298" s="37"/>
      <c r="G298" s="6"/>
      <c r="H298" s="6"/>
    </row>
    <row r="299" customFormat="false" ht="15" hidden="false" customHeight="false" outlineLevel="0" collapsed="false">
      <c r="A299" s="38"/>
      <c r="B299" s="6"/>
      <c r="C299" s="6"/>
      <c r="D299" s="6"/>
      <c r="E299" s="6"/>
      <c r="F299" s="37"/>
      <c r="G299" s="6"/>
      <c r="H299" s="6"/>
    </row>
    <row r="300" customFormat="false" ht="15" hidden="false" customHeight="false" outlineLevel="0" collapsed="false">
      <c r="A300" s="38"/>
      <c r="B300" s="6"/>
      <c r="C300" s="6"/>
      <c r="D300" s="6"/>
      <c r="E300" s="6"/>
      <c r="F300" s="37"/>
      <c r="G300" s="6"/>
      <c r="H300" s="6"/>
    </row>
    <row r="301" customFormat="false" ht="15" hidden="false" customHeight="false" outlineLevel="0" collapsed="false">
      <c r="A301" s="38"/>
      <c r="B301" s="6"/>
      <c r="C301" s="6"/>
      <c r="D301" s="6"/>
      <c r="E301" s="6"/>
      <c r="F301" s="37"/>
      <c r="G301" s="6"/>
      <c r="H301" s="6"/>
    </row>
    <row r="302" customFormat="false" ht="15" hidden="false" customHeight="false" outlineLevel="0" collapsed="false">
      <c r="A302" s="38"/>
      <c r="B302" s="6"/>
      <c r="C302" s="6"/>
      <c r="D302" s="6"/>
      <c r="E302" s="6"/>
      <c r="F302" s="37"/>
      <c r="G302" s="6"/>
      <c r="H302" s="6"/>
    </row>
    <row r="303" customFormat="false" ht="15" hidden="false" customHeight="false" outlineLevel="0" collapsed="false">
      <c r="A303" s="38"/>
      <c r="B303" s="6"/>
      <c r="C303" s="6"/>
      <c r="D303" s="6"/>
      <c r="E303" s="6"/>
      <c r="F303" s="37"/>
      <c r="G303" s="6"/>
      <c r="H303" s="6"/>
    </row>
    <row r="304" customFormat="false" ht="15" hidden="false" customHeight="false" outlineLevel="0" collapsed="false">
      <c r="A304" s="38"/>
      <c r="B304" s="6"/>
      <c r="C304" s="6"/>
      <c r="D304" s="6"/>
      <c r="E304" s="6"/>
      <c r="F304" s="37"/>
      <c r="G304" s="6"/>
      <c r="H304" s="6"/>
    </row>
    <row r="305" customFormat="false" ht="15" hidden="false" customHeight="false" outlineLevel="0" collapsed="false">
      <c r="A305" s="38"/>
      <c r="B305" s="6"/>
      <c r="C305" s="6"/>
      <c r="D305" s="6"/>
      <c r="E305" s="6"/>
      <c r="F305" s="37"/>
      <c r="G305" s="6"/>
      <c r="H305" s="6"/>
    </row>
    <row r="306" customFormat="false" ht="15" hidden="false" customHeight="false" outlineLevel="0" collapsed="false">
      <c r="A306" s="38"/>
      <c r="B306" s="6"/>
      <c r="C306" s="6"/>
      <c r="D306" s="6"/>
      <c r="E306" s="6"/>
      <c r="F306" s="37"/>
      <c r="G306" s="6"/>
      <c r="H306" s="6"/>
    </row>
    <row r="307" customFormat="false" ht="15" hidden="false" customHeight="false" outlineLevel="0" collapsed="false">
      <c r="A307" s="38"/>
      <c r="B307" s="6"/>
      <c r="C307" s="6"/>
      <c r="D307" s="6"/>
      <c r="E307" s="6"/>
      <c r="F307" s="37"/>
      <c r="G307" s="6"/>
      <c r="H307" s="6"/>
    </row>
    <row r="308" customFormat="false" ht="15" hidden="false" customHeight="false" outlineLevel="0" collapsed="false">
      <c r="A308" s="38"/>
      <c r="B308" s="6"/>
      <c r="C308" s="6"/>
      <c r="D308" s="6"/>
      <c r="E308" s="6"/>
      <c r="F308" s="37"/>
      <c r="G308" s="6"/>
      <c r="H308" s="6"/>
    </row>
    <row r="309" customFormat="false" ht="15" hidden="false" customHeight="false" outlineLevel="0" collapsed="false">
      <c r="A309" s="38"/>
      <c r="B309" s="6"/>
      <c r="C309" s="6"/>
      <c r="D309" s="6"/>
      <c r="E309" s="6"/>
      <c r="F309" s="37"/>
      <c r="G309" s="6"/>
      <c r="H309" s="6"/>
    </row>
    <row r="310" customFormat="false" ht="15" hidden="false" customHeight="false" outlineLevel="0" collapsed="false">
      <c r="A310" s="38"/>
      <c r="B310" s="6"/>
      <c r="C310" s="6"/>
      <c r="D310" s="6"/>
      <c r="E310" s="6"/>
      <c r="F310" s="37"/>
      <c r="G310" s="6"/>
      <c r="H310" s="6"/>
    </row>
    <row r="311" customFormat="false" ht="15" hidden="false" customHeight="false" outlineLevel="0" collapsed="false">
      <c r="A311" s="38"/>
      <c r="B311" s="6"/>
      <c r="C311" s="6"/>
      <c r="D311" s="6"/>
      <c r="E311" s="6"/>
      <c r="F311" s="37"/>
      <c r="G311" s="6"/>
      <c r="H311" s="6"/>
    </row>
    <row r="312" customFormat="false" ht="15" hidden="false" customHeight="false" outlineLevel="0" collapsed="false">
      <c r="A312" s="38"/>
      <c r="B312" s="6"/>
      <c r="C312" s="6"/>
      <c r="D312" s="6"/>
      <c r="E312" s="6"/>
      <c r="F312" s="37"/>
      <c r="G312" s="6"/>
      <c r="H312" s="6"/>
    </row>
    <row r="313" customFormat="false" ht="15" hidden="false" customHeight="false" outlineLevel="0" collapsed="false">
      <c r="A313" s="38"/>
      <c r="B313" s="6"/>
      <c r="C313" s="6"/>
      <c r="D313" s="6"/>
      <c r="E313" s="6"/>
      <c r="F313" s="37"/>
      <c r="G313" s="6"/>
      <c r="H313" s="6"/>
    </row>
    <row r="314" customFormat="false" ht="15" hidden="false" customHeight="false" outlineLevel="0" collapsed="false">
      <c r="A314" s="38"/>
      <c r="B314" s="6"/>
      <c r="C314" s="6"/>
      <c r="D314" s="6"/>
      <c r="E314" s="6"/>
      <c r="F314" s="37"/>
      <c r="G314" s="6"/>
      <c r="H314" s="6"/>
    </row>
    <row r="315" customFormat="false" ht="15" hidden="false" customHeight="false" outlineLevel="0" collapsed="false">
      <c r="A315" s="38"/>
      <c r="B315" s="6"/>
      <c r="C315" s="6"/>
      <c r="D315" s="6"/>
      <c r="E315" s="6"/>
      <c r="F315" s="37"/>
      <c r="G315" s="6"/>
      <c r="H315" s="6"/>
    </row>
    <row r="316" customFormat="false" ht="15" hidden="false" customHeight="false" outlineLevel="0" collapsed="false">
      <c r="A316" s="38"/>
      <c r="B316" s="6"/>
      <c r="C316" s="6"/>
      <c r="D316" s="6"/>
      <c r="E316" s="6"/>
      <c r="F316" s="37"/>
      <c r="G316" s="6"/>
      <c r="H316" s="6"/>
    </row>
    <row r="317" customFormat="false" ht="15" hidden="false" customHeight="false" outlineLevel="0" collapsed="false">
      <c r="A317" s="38"/>
      <c r="B317" s="6"/>
      <c r="C317" s="6"/>
      <c r="D317" s="6"/>
      <c r="E317" s="6"/>
      <c r="F317" s="37"/>
      <c r="G317" s="6"/>
      <c r="H317" s="6"/>
    </row>
    <row r="318" customFormat="false" ht="15" hidden="false" customHeight="false" outlineLevel="0" collapsed="false">
      <c r="A318" s="38"/>
      <c r="B318" s="6"/>
      <c r="C318" s="6"/>
      <c r="D318" s="6"/>
      <c r="E318" s="6"/>
      <c r="F318" s="37"/>
      <c r="G318" s="6"/>
      <c r="H318" s="6"/>
    </row>
    <row r="319" customFormat="false" ht="15" hidden="false" customHeight="false" outlineLevel="0" collapsed="false">
      <c r="A319" s="38"/>
      <c r="B319" s="6"/>
      <c r="C319" s="6"/>
      <c r="D319" s="6"/>
      <c r="E319" s="6"/>
      <c r="F319" s="37"/>
      <c r="G319" s="6"/>
      <c r="H319" s="6"/>
    </row>
    <row r="320" customFormat="false" ht="15" hidden="false" customHeight="false" outlineLevel="0" collapsed="false">
      <c r="A320" s="38"/>
      <c r="B320" s="6"/>
      <c r="C320" s="6"/>
      <c r="D320" s="6"/>
      <c r="E320" s="6"/>
      <c r="F320" s="37"/>
      <c r="G320" s="6"/>
      <c r="H320" s="6"/>
    </row>
    <row r="321" customFormat="false" ht="15" hidden="false" customHeight="false" outlineLevel="0" collapsed="false">
      <c r="A321" s="38"/>
      <c r="B321" s="6"/>
      <c r="C321" s="6"/>
      <c r="D321" s="6"/>
      <c r="E321" s="6"/>
      <c r="F321" s="37"/>
      <c r="G321" s="6"/>
      <c r="H321" s="6"/>
    </row>
    <row r="322" customFormat="false" ht="15" hidden="false" customHeight="false" outlineLevel="0" collapsed="false">
      <c r="A322" s="38"/>
      <c r="B322" s="6"/>
      <c r="C322" s="6"/>
      <c r="D322" s="6"/>
      <c r="E322" s="6"/>
      <c r="F322" s="37"/>
      <c r="G322" s="6"/>
      <c r="H322" s="6"/>
    </row>
    <row r="323" customFormat="false" ht="15" hidden="false" customHeight="false" outlineLevel="0" collapsed="false">
      <c r="A323" s="38"/>
      <c r="B323" s="6"/>
      <c r="C323" s="6"/>
      <c r="D323" s="6"/>
      <c r="E323" s="6"/>
      <c r="F323" s="37"/>
      <c r="G323" s="6"/>
      <c r="H323" s="6"/>
    </row>
    <row r="324" customFormat="false" ht="15" hidden="false" customHeight="false" outlineLevel="0" collapsed="false">
      <c r="A324" s="38"/>
      <c r="B324" s="6"/>
      <c r="C324" s="6"/>
      <c r="D324" s="6"/>
      <c r="E324" s="6"/>
      <c r="F324" s="37"/>
      <c r="G324" s="6"/>
      <c r="H324" s="6"/>
    </row>
    <row r="325" customFormat="false" ht="15" hidden="false" customHeight="false" outlineLevel="0" collapsed="false">
      <c r="A325" s="38"/>
      <c r="B325" s="6"/>
      <c r="C325" s="6"/>
      <c r="D325" s="6"/>
      <c r="E325" s="6"/>
      <c r="F325" s="37"/>
      <c r="G325" s="6"/>
      <c r="H325" s="6"/>
    </row>
    <row r="326" customFormat="false" ht="15" hidden="false" customHeight="false" outlineLevel="0" collapsed="false">
      <c r="A326" s="38"/>
      <c r="B326" s="6"/>
      <c r="C326" s="6"/>
      <c r="D326" s="6"/>
      <c r="E326" s="6"/>
      <c r="F326" s="37"/>
      <c r="G326" s="6"/>
      <c r="H326" s="6"/>
    </row>
    <row r="327" customFormat="false" ht="15" hidden="false" customHeight="false" outlineLevel="0" collapsed="false">
      <c r="A327" s="38"/>
      <c r="B327" s="6"/>
      <c r="C327" s="6"/>
      <c r="D327" s="6"/>
      <c r="E327" s="6"/>
      <c r="F327" s="37"/>
      <c r="G327" s="6"/>
      <c r="H327" s="6"/>
    </row>
    <row r="328" customFormat="false" ht="15" hidden="false" customHeight="false" outlineLevel="0" collapsed="false">
      <c r="A328" s="38"/>
      <c r="B328" s="6"/>
      <c r="C328" s="6"/>
      <c r="D328" s="6"/>
      <c r="E328" s="6"/>
      <c r="F328" s="37"/>
      <c r="G328" s="6"/>
      <c r="H328" s="6"/>
    </row>
    <row r="329" customFormat="false" ht="15" hidden="false" customHeight="false" outlineLevel="0" collapsed="false">
      <c r="A329" s="38"/>
      <c r="B329" s="6"/>
      <c r="C329" s="6"/>
      <c r="D329" s="6"/>
      <c r="E329" s="6"/>
      <c r="F329" s="37"/>
      <c r="G329" s="6"/>
      <c r="H329" s="6"/>
    </row>
    <row r="330" customFormat="false" ht="15" hidden="false" customHeight="false" outlineLevel="0" collapsed="false">
      <c r="A330" s="38"/>
      <c r="B330" s="6"/>
      <c r="C330" s="6"/>
      <c r="D330" s="6"/>
      <c r="E330" s="6"/>
      <c r="F330" s="37"/>
      <c r="G330" s="6"/>
      <c r="H330" s="6"/>
    </row>
    <row r="331" customFormat="false" ht="15" hidden="false" customHeight="false" outlineLevel="0" collapsed="false">
      <c r="A331" s="38"/>
      <c r="B331" s="6"/>
      <c r="C331" s="6"/>
      <c r="D331" s="6"/>
      <c r="E331" s="6"/>
      <c r="F331" s="37"/>
      <c r="G331" s="6"/>
      <c r="H331" s="6"/>
    </row>
    <row r="332" customFormat="false" ht="15" hidden="false" customHeight="false" outlineLevel="0" collapsed="false">
      <c r="A332" s="38"/>
      <c r="B332" s="6"/>
      <c r="C332" s="6"/>
      <c r="D332" s="6"/>
      <c r="E332" s="6"/>
      <c r="F332" s="37"/>
      <c r="G332" s="6"/>
      <c r="H332" s="6"/>
    </row>
    <row r="333" customFormat="false" ht="15" hidden="false" customHeight="false" outlineLevel="0" collapsed="false">
      <c r="A333" s="38"/>
      <c r="B333" s="6"/>
      <c r="C333" s="6"/>
      <c r="D333" s="6"/>
      <c r="E333" s="6"/>
      <c r="F333" s="37"/>
      <c r="G333" s="6"/>
      <c r="H333" s="6"/>
    </row>
    <row r="334" customFormat="false" ht="15" hidden="false" customHeight="false" outlineLevel="0" collapsed="false">
      <c r="A334" s="38"/>
      <c r="B334" s="6"/>
      <c r="C334" s="6"/>
      <c r="D334" s="6"/>
      <c r="E334" s="6"/>
      <c r="F334" s="37"/>
      <c r="G334" s="6"/>
      <c r="H334" s="6"/>
    </row>
    <row r="335" customFormat="false" ht="15" hidden="false" customHeight="false" outlineLevel="0" collapsed="false">
      <c r="A335" s="38"/>
      <c r="B335" s="6"/>
      <c r="C335" s="6"/>
      <c r="D335" s="6"/>
      <c r="E335" s="6"/>
      <c r="F335" s="37"/>
      <c r="G335" s="6"/>
      <c r="H335" s="6"/>
    </row>
    <row r="336" customFormat="false" ht="15" hidden="false" customHeight="false" outlineLevel="0" collapsed="false">
      <c r="A336" s="38"/>
      <c r="B336" s="6"/>
      <c r="C336" s="6"/>
      <c r="D336" s="6"/>
      <c r="E336" s="6"/>
      <c r="F336" s="37"/>
      <c r="G336" s="6"/>
      <c r="H336" s="6"/>
    </row>
    <row r="337" customFormat="false" ht="15" hidden="false" customHeight="false" outlineLevel="0" collapsed="false">
      <c r="A337" s="38"/>
      <c r="B337" s="6"/>
      <c r="C337" s="6"/>
      <c r="D337" s="6"/>
      <c r="E337" s="6"/>
      <c r="F337" s="37"/>
      <c r="G337" s="6"/>
      <c r="H337" s="6"/>
    </row>
    <row r="338" customFormat="false" ht="15" hidden="false" customHeight="false" outlineLevel="0" collapsed="false">
      <c r="A338" s="38"/>
      <c r="B338" s="6"/>
      <c r="C338" s="6"/>
      <c r="D338" s="6"/>
      <c r="E338" s="6"/>
      <c r="F338" s="37"/>
      <c r="G338" s="6"/>
      <c r="H338" s="6"/>
    </row>
    <row r="339" customFormat="false" ht="15" hidden="false" customHeight="false" outlineLevel="0" collapsed="false">
      <c r="A339" s="38"/>
      <c r="B339" s="6"/>
      <c r="C339" s="6"/>
      <c r="D339" s="6"/>
      <c r="E339" s="6"/>
      <c r="F339" s="37"/>
      <c r="G339" s="6"/>
      <c r="H339" s="6"/>
    </row>
    <row r="340" customFormat="false" ht="15" hidden="false" customHeight="false" outlineLevel="0" collapsed="false">
      <c r="A340" s="38"/>
      <c r="B340" s="6"/>
      <c r="C340" s="6"/>
      <c r="D340" s="6"/>
      <c r="E340" s="6"/>
      <c r="F340" s="37"/>
      <c r="G340" s="6"/>
      <c r="H340" s="6"/>
    </row>
    <row r="341" customFormat="false" ht="15" hidden="false" customHeight="false" outlineLevel="0" collapsed="false">
      <c r="A341" s="38"/>
      <c r="B341" s="6"/>
      <c r="C341" s="6"/>
      <c r="D341" s="6"/>
      <c r="E341" s="6"/>
      <c r="F341" s="37"/>
      <c r="G341" s="6"/>
      <c r="H341" s="6"/>
    </row>
    <row r="342" customFormat="false" ht="15" hidden="false" customHeight="false" outlineLevel="0" collapsed="false">
      <c r="A342" s="38"/>
      <c r="B342" s="6"/>
      <c r="C342" s="6"/>
      <c r="D342" s="6"/>
      <c r="E342" s="6"/>
      <c r="F342" s="37"/>
      <c r="G342" s="6"/>
      <c r="H342" s="6"/>
    </row>
    <row r="343" customFormat="false" ht="15" hidden="false" customHeight="false" outlineLevel="0" collapsed="false">
      <c r="A343" s="38"/>
      <c r="B343" s="6"/>
      <c r="C343" s="6"/>
      <c r="D343" s="6"/>
      <c r="E343" s="6"/>
      <c r="F343" s="37"/>
      <c r="G343" s="6"/>
      <c r="H343" s="6"/>
    </row>
    <row r="344" customFormat="false" ht="15" hidden="false" customHeight="false" outlineLevel="0" collapsed="false">
      <c r="A344" s="38"/>
      <c r="B344" s="6"/>
      <c r="C344" s="6"/>
      <c r="D344" s="6"/>
      <c r="E344" s="6"/>
      <c r="F344" s="37"/>
      <c r="G344" s="6"/>
      <c r="H344" s="6"/>
    </row>
    <row r="345" customFormat="false" ht="15" hidden="false" customHeight="false" outlineLevel="0" collapsed="false">
      <c r="A345" s="38"/>
      <c r="B345" s="6"/>
      <c r="C345" s="6"/>
      <c r="D345" s="6"/>
      <c r="E345" s="6"/>
      <c r="F345" s="37"/>
      <c r="G345" s="6"/>
      <c r="H345" s="6"/>
    </row>
    <row r="346" customFormat="false" ht="15" hidden="false" customHeight="false" outlineLevel="0" collapsed="false">
      <c r="A346" s="38"/>
      <c r="B346" s="6"/>
      <c r="C346" s="6"/>
      <c r="D346" s="6"/>
      <c r="E346" s="6"/>
      <c r="F346" s="37"/>
      <c r="G346" s="6"/>
      <c r="H346" s="6"/>
    </row>
    <row r="347" customFormat="false" ht="15" hidden="false" customHeight="false" outlineLevel="0" collapsed="false">
      <c r="A347" s="38"/>
      <c r="B347" s="6"/>
      <c r="C347" s="6"/>
      <c r="D347" s="6"/>
      <c r="E347" s="6"/>
      <c r="F347" s="37"/>
      <c r="G347" s="6"/>
      <c r="H347" s="6"/>
    </row>
    <row r="348" customFormat="false" ht="15" hidden="false" customHeight="false" outlineLevel="0" collapsed="false">
      <c r="A348" s="38"/>
      <c r="B348" s="6"/>
      <c r="C348" s="6"/>
      <c r="D348" s="6"/>
      <c r="E348" s="6"/>
      <c r="F348" s="37"/>
      <c r="G348" s="6"/>
      <c r="H348" s="6"/>
    </row>
    <row r="349" customFormat="false" ht="15" hidden="false" customHeight="false" outlineLevel="0" collapsed="false">
      <c r="A349" s="38"/>
      <c r="B349" s="6"/>
      <c r="C349" s="6"/>
      <c r="D349" s="6"/>
      <c r="E349" s="6"/>
      <c r="F349" s="37"/>
      <c r="G349" s="6"/>
      <c r="H349" s="6"/>
    </row>
    <row r="350" customFormat="false" ht="15" hidden="false" customHeight="false" outlineLevel="0" collapsed="false">
      <c r="A350" s="38"/>
      <c r="B350" s="6"/>
      <c r="C350" s="6"/>
      <c r="D350" s="6"/>
      <c r="E350" s="6"/>
      <c r="F350" s="37"/>
      <c r="G350" s="6"/>
      <c r="H350" s="6"/>
    </row>
    <row r="351" customFormat="false" ht="15" hidden="false" customHeight="false" outlineLevel="0" collapsed="false">
      <c r="A351" s="38"/>
      <c r="B351" s="6"/>
      <c r="C351" s="6"/>
      <c r="D351" s="6"/>
      <c r="E351" s="6"/>
      <c r="F351" s="37"/>
      <c r="G351" s="6"/>
      <c r="H351" s="6"/>
    </row>
    <row r="352" customFormat="false" ht="15" hidden="false" customHeight="false" outlineLevel="0" collapsed="false">
      <c r="A352" s="38"/>
      <c r="B352" s="6"/>
      <c r="C352" s="6"/>
      <c r="D352" s="6"/>
      <c r="E352" s="6"/>
      <c r="F352" s="37"/>
      <c r="G352" s="6"/>
      <c r="H352" s="6"/>
    </row>
    <row r="353" customFormat="false" ht="15" hidden="false" customHeight="false" outlineLevel="0" collapsed="false">
      <c r="A353" s="38"/>
      <c r="B353" s="6"/>
      <c r="C353" s="6"/>
      <c r="D353" s="6"/>
      <c r="E353" s="6"/>
      <c r="F353" s="37"/>
      <c r="G353" s="6"/>
      <c r="H353" s="6"/>
    </row>
    <row r="354" customFormat="false" ht="15" hidden="false" customHeight="false" outlineLevel="0" collapsed="false">
      <c r="A354" s="38"/>
      <c r="B354" s="6"/>
      <c r="C354" s="6"/>
      <c r="D354" s="6"/>
      <c r="E354" s="6"/>
      <c r="F354" s="37"/>
      <c r="G354" s="6"/>
      <c r="H354" s="6"/>
    </row>
    <row r="355" customFormat="false" ht="15" hidden="false" customHeight="false" outlineLevel="0" collapsed="false">
      <c r="A355" s="38"/>
      <c r="B355" s="6"/>
      <c r="C355" s="6"/>
      <c r="D355" s="6"/>
      <c r="E355" s="6"/>
      <c r="F355" s="37"/>
      <c r="G355" s="6"/>
      <c r="H355" s="6"/>
    </row>
    <row r="356" customFormat="false" ht="15" hidden="false" customHeight="false" outlineLevel="0" collapsed="false">
      <c r="A356" s="38"/>
      <c r="B356" s="6"/>
      <c r="C356" s="6"/>
      <c r="D356" s="6"/>
      <c r="E356" s="6"/>
      <c r="F356" s="37"/>
      <c r="G356" s="6"/>
      <c r="H356" s="6"/>
    </row>
    <row r="357" customFormat="false" ht="15" hidden="false" customHeight="false" outlineLevel="0" collapsed="false">
      <c r="A357" s="38"/>
      <c r="B357" s="6"/>
      <c r="C357" s="6"/>
      <c r="D357" s="6"/>
      <c r="E357" s="6"/>
      <c r="F357" s="37"/>
      <c r="G357" s="6"/>
      <c r="H357" s="6"/>
    </row>
    <row r="358" customFormat="false" ht="15" hidden="false" customHeight="false" outlineLevel="0" collapsed="false">
      <c r="A358" s="38"/>
      <c r="B358" s="6"/>
      <c r="C358" s="6"/>
      <c r="D358" s="6"/>
      <c r="E358" s="6"/>
      <c r="F358" s="37"/>
      <c r="G358" s="6"/>
      <c r="H358" s="6"/>
    </row>
    <row r="359" customFormat="false" ht="15" hidden="false" customHeight="false" outlineLevel="0" collapsed="false">
      <c r="A359" s="38"/>
      <c r="B359" s="6"/>
      <c r="C359" s="6"/>
      <c r="D359" s="6"/>
      <c r="E359" s="6"/>
      <c r="F359" s="37"/>
      <c r="G359" s="6"/>
      <c r="H359" s="6"/>
    </row>
    <row r="360" customFormat="false" ht="15" hidden="false" customHeight="false" outlineLevel="0" collapsed="false">
      <c r="A360" s="38"/>
      <c r="B360" s="6"/>
      <c r="C360" s="6"/>
      <c r="D360" s="6"/>
      <c r="E360" s="6"/>
      <c r="F360" s="37"/>
      <c r="G360" s="6"/>
      <c r="H360" s="6"/>
    </row>
    <row r="361" customFormat="false" ht="15" hidden="false" customHeight="false" outlineLevel="0" collapsed="false">
      <c r="A361" s="38"/>
      <c r="B361" s="6"/>
      <c r="C361" s="6"/>
      <c r="D361" s="6"/>
      <c r="E361" s="6"/>
      <c r="F361" s="37"/>
      <c r="G361" s="6"/>
      <c r="H361" s="6"/>
    </row>
    <row r="362" customFormat="false" ht="15" hidden="false" customHeight="false" outlineLevel="0" collapsed="false">
      <c r="A362" s="38"/>
      <c r="B362" s="6"/>
      <c r="C362" s="6"/>
      <c r="D362" s="6"/>
      <c r="E362" s="6"/>
      <c r="F362" s="37"/>
      <c r="G362" s="6"/>
      <c r="H362" s="6"/>
    </row>
    <row r="363" customFormat="false" ht="15" hidden="false" customHeight="false" outlineLevel="0" collapsed="false">
      <c r="A363" s="38"/>
      <c r="B363" s="6"/>
      <c r="C363" s="6"/>
      <c r="D363" s="6"/>
      <c r="E363" s="6"/>
      <c r="F363" s="37"/>
      <c r="G363" s="6"/>
      <c r="H363" s="6"/>
    </row>
    <row r="364" customFormat="false" ht="15" hidden="false" customHeight="false" outlineLevel="0" collapsed="false">
      <c r="A364" s="38"/>
      <c r="B364" s="6"/>
      <c r="C364" s="6"/>
      <c r="D364" s="6"/>
      <c r="E364" s="6"/>
      <c r="F364" s="37"/>
      <c r="G364" s="6"/>
      <c r="H364" s="6"/>
    </row>
    <row r="365" customFormat="false" ht="15" hidden="false" customHeight="false" outlineLevel="0" collapsed="false">
      <c r="A365" s="38"/>
      <c r="B365" s="6"/>
      <c r="C365" s="6"/>
      <c r="D365" s="6"/>
      <c r="E365" s="6"/>
      <c r="F365" s="37"/>
      <c r="G365" s="6"/>
      <c r="H365" s="6"/>
    </row>
    <row r="366" customFormat="false" ht="15" hidden="false" customHeight="false" outlineLevel="0" collapsed="false">
      <c r="A366" s="38"/>
      <c r="B366" s="6"/>
      <c r="C366" s="6"/>
      <c r="D366" s="6"/>
      <c r="E366" s="6"/>
      <c r="F366" s="37"/>
      <c r="G366" s="6"/>
      <c r="H366" s="6"/>
    </row>
    <row r="367" customFormat="false" ht="15" hidden="false" customHeight="false" outlineLevel="0" collapsed="false">
      <c r="A367" s="38"/>
      <c r="B367" s="6"/>
      <c r="C367" s="6"/>
      <c r="D367" s="6"/>
      <c r="E367" s="6"/>
      <c r="F367" s="37"/>
      <c r="G367" s="6"/>
      <c r="H367" s="6"/>
    </row>
    <row r="368" customFormat="false" ht="15" hidden="false" customHeight="false" outlineLevel="0" collapsed="false">
      <c r="A368" s="38"/>
      <c r="B368" s="6"/>
      <c r="C368" s="6"/>
      <c r="D368" s="6"/>
      <c r="E368" s="6"/>
      <c r="F368" s="37"/>
      <c r="G368" s="6"/>
      <c r="H368" s="6"/>
    </row>
    <row r="369" customFormat="false" ht="15" hidden="false" customHeight="false" outlineLevel="0" collapsed="false">
      <c r="A369" s="38"/>
      <c r="B369" s="6"/>
      <c r="C369" s="6"/>
      <c r="D369" s="6"/>
      <c r="E369" s="6"/>
      <c r="F369" s="37"/>
      <c r="G369" s="6"/>
      <c r="H369" s="6"/>
    </row>
    <row r="370" customFormat="false" ht="15" hidden="false" customHeight="false" outlineLevel="0" collapsed="false">
      <c r="A370" s="38"/>
      <c r="B370" s="6"/>
      <c r="C370" s="6"/>
      <c r="D370" s="6"/>
      <c r="E370" s="6"/>
      <c r="F370" s="37"/>
      <c r="G370" s="6"/>
      <c r="H370" s="6"/>
    </row>
    <row r="371" customFormat="false" ht="15" hidden="false" customHeight="false" outlineLevel="0" collapsed="false">
      <c r="A371" s="38"/>
      <c r="B371" s="6"/>
      <c r="C371" s="6"/>
      <c r="D371" s="6"/>
      <c r="E371" s="6"/>
      <c r="F371" s="37"/>
      <c r="G371" s="6"/>
      <c r="H371" s="6"/>
    </row>
    <row r="372" customFormat="false" ht="15" hidden="false" customHeight="false" outlineLevel="0" collapsed="false">
      <c r="A372" s="38"/>
      <c r="B372" s="6"/>
      <c r="C372" s="6"/>
      <c r="D372" s="6"/>
      <c r="E372" s="6"/>
      <c r="F372" s="37"/>
      <c r="G372" s="6"/>
      <c r="H372" s="6"/>
    </row>
    <row r="373" customFormat="false" ht="15" hidden="false" customHeight="false" outlineLevel="0" collapsed="false">
      <c r="A373" s="38"/>
      <c r="B373" s="6"/>
      <c r="C373" s="6"/>
      <c r="D373" s="6"/>
      <c r="E373" s="6"/>
      <c r="F373" s="37"/>
      <c r="G373" s="6"/>
      <c r="H373" s="6"/>
    </row>
    <row r="374" customFormat="false" ht="15" hidden="false" customHeight="false" outlineLevel="0" collapsed="false">
      <c r="A374" s="38"/>
      <c r="B374" s="6"/>
      <c r="C374" s="6"/>
      <c r="D374" s="6"/>
      <c r="E374" s="6"/>
      <c r="F374" s="37"/>
      <c r="G374" s="6"/>
      <c r="H374" s="6"/>
    </row>
    <row r="375" customFormat="false" ht="15" hidden="false" customHeight="false" outlineLevel="0" collapsed="false">
      <c r="A375" s="38"/>
      <c r="B375" s="6"/>
      <c r="C375" s="6"/>
      <c r="D375" s="6"/>
      <c r="E375" s="6"/>
      <c r="F375" s="37"/>
      <c r="G375" s="6"/>
      <c r="H375" s="6"/>
    </row>
    <row r="376" customFormat="false" ht="15" hidden="false" customHeight="false" outlineLevel="0" collapsed="false">
      <c r="A376" s="38"/>
      <c r="B376" s="6"/>
      <c r="C376" s="6"/>
      <c r="D376" s="6"/>
      <c r="E376" s="6"/>
      <c r="F376" s="37"/>
      <c r="G376" s="6"/>
      <c r="H376" s="6"/>
    </row>
    <row r="377" customFormat="false" ht="15" hidden="false" customHeight="false" outlineLevel="0" collapsed="false">
      <c r="A377" s="38"/>
      <c r="B377" s="6"/>
      <c r="C377" s="6"/>
      <c r="D377" s="6"/>
      <c r="E377" s="6"/>
      <c r="F377" s="37"/>
      <c r="G377" s="6"/>
      <c r="H377" s="6"/>
    </row>
    <row r="378" customFormat="false" ht="15" hidden="false" customHeight="false" outlineLevel="0" collapsed="false">
      <c r="A378" s="38"/>
      <c r="B378" s="6"/>
      <c r="C378" s="6"/>
      <c r="D378" s="6"/>
      <c r="E378" s="6"/>
      <c r="F378" s="37"/>
      <c r="G378" s="6"/>
      <c r="H378" s="6"/>
    </row>
    <row r="379" customFormat="false" ht="15" hidden="false" customHeight="false" outlineLevel="0" collapsed="false">
      <c r="A379" s="38"/>
      <c r="B379" s="6"/>
      <c r="C379" s="6"/>
      <c r="D379" s="6"/>
      <c r="E379" s="6"/>
      <c r="F379" s="37"/>
      <c r="G379" s="6"/>
      <c r="H379" s="6"/>
    </row>
    <row r="380" customFormat="false" ht="15" hidden="false" customHeight="false" outlineLevel="0" collapsed="false">
      <c r="A380" s="38"/>
      <c r="B380" s="6"/>
      <c r="C380" s="6"/>
      <c r="D380" s="6"/>
      <c r="E380" s="6"/>
      <c r="F380" s="37"/>
      <c r="G380" s="6"/>
      <c r="H380" s="6"/>
    </row>
    <row r="381" customFormat="false" ht="15" hidden="false" customHeight="false" outlineLevel="0" collapsed="false">
      <c r="A381" s="38"/>
      <c r="B381" s="6"/>
      <c r="C381" s="6"/>
      <c r="D381" s="6"/>
      <c r="E381" s="6"/>
      <c r="F381" s="37"/>
      <c r="G381" s="6"/>
      <c r="H381" s="6"/>
    </row>
    <row r="382" customFormat="false" ht="15" hidden="false" customHeight="false" outlineLevel="0" collapsed="false">
      <c r="A382" s="38"/>
      <c r="B382" s="6"/>
      <c r="C382" s="6"/>
      <c r="D382" s="6"/>
      <c r="E382" s="6"/>
      <c r="F382" s="37"/>
      <c r="G382" s="6"/>
      <c r="H382" s="6"/>
    </row>
    <row r="383" customFormat="false" ht="15" hidden="false" customHeight="false" outlineLevel="0" collapsed="false">
      <c r="A383" s="38"/>
      <c r="B383" s="6"/>
      <c r="C383" s="6"/>
      <c r="D383" s="6"/>
      <c r="E383" s="6"/>
      <c r="F383" s="37"/>
      <c r="G383" s="6"/>
      <c r="H383" s="6"/>
    </row>
    <row r="384" customFormat="false" ht="15" hidden="false" customHeight="false" outlineLevel="0" collapsed="false">
      <c r="A384" s="38"/>
      <c r="B384" s="6"/>
      <c r="C384" s="6"/>
      <c r="D384" s="6"/>
      <c r="E384" s="6"/>
      <c r="F384" s="37"/>
      <c r="G384" s="6"/>
      <c r="H384" s="6"/>
    </row>
    <row r="385" customFormat="false" ht="15" hidden="false" customHeight="false" outlineLevel="0" collapsed="false">
      <c r="A385" s="38"/>
      <c r="B385" s="6"/>
      <c r="C385" s="6"/>
      <c r="D385" s="6"/>
      <c r="E385" s="6"/>
      <c r="F385" s="37"/>
      <c r="G385" s="6"/>
      <c r="H385" s="6"/>
    </row>
    <row r="386" customFormat="false" ht="15" hidden="false" customHeight="false" outlineLevel="0" collapsed="false">
      <c r="A386" s="38"/>
      <c r="B386" s="6"/>
      <c r="C386" s="6"/>
      <c r="D386" s="6"/>
      <c r="E386" s="6"/>
      <c r="F386" s="37"/>
      <c r="G386" s="6"/>
      <c r="H386" s="6"/>
    </row>
    <row r="387" customFormat="false" ht="15" hidden="false" customHeight="false" outlineLevel="0" collapsed="false">
      <c r="A387" s="38"/>
      <c r="B387" s="6"/>
      <c r="C387" s="6"/>
      <c r="D387" s="6"/>
      <c r="E387" s="6"/>
      <c r="F387" s="37"/>
      <c r="G387" s="6"/>
      <c r="H387" s="6"/>
    </row>
    <row r="388" customFormat="false" ht="15" hidden="false" customHeight="false" outlineLevel="0" collapsed="false">
      <c r="A388" s="38"/>
      <c r="B388" s="6"/>
      <c r="C388" s="6"/>
      <c r="D388" s="6"/>
      <c r="E388" s="6"/>
      <c r="F388" s="37"/>
      <c r="G388" s="6"/>
      <c r="H388" s="6"/>
    </row>
    <row r="389" customFormat="false" ht="15" hidden="false" customHeight="false" outlineLevel="0" collapsed="false">
      <c r="A389" s="38"/>
      <c r="B389" s="6"/>
      <c r="C389" s="6"/>
      <c r="D389" s="6"/>
      <c r="E389" s="6"/>
      <c r="F389" s="37"/>
      <c r="G389" s="6"/>
      <c r="H389" s="6"/>
    </row>
    <row r="390" customFormat="false" ht="15" hidden="false" customHeight="false" outlineLevel="0" collapsed="false">
      <c r="A390" s="38"/>
      <c r="B390" s="6"/>
      <c r="C390" s="6"/>
      <c r="D390" s="6"/>
      <c r="E390" s="6"/>
      <c r="F390" s="37"/>
      <c r="G390" s="6"/>
      <c r="H390" s="6"/>
    </row>
    <row r="391" customFormat="false" ht="15" hidden="false" customHeight="false" outlineLevel="0" collapsed="false">
      <c r="A391" s="38"/>
      <c r="B391" s="6"/>
      <c r="C391" s="6"/>
      <c r="D391" s="6"/>
      <c r="E391" s="6"/>
      <c r="F391" s="37"/>
      <c r="G391" s="6"/>
      <c r="H391" s="6"/>
    </row>
    <row r="392" customFormat="false" ht="15" hidden="false" customHeight="false" outlineLevel="0" collapsed="false">
      <c r="A392" s="38"/>
      <c r="B392" s="6"/>
      <c r="C392" s="6"/>
      <c r="D392" s="6"/>
      <c r="E392" s="6"/>
      <c r="F392" s="37"/>
      <c r="G392" s="6"/>
      <c r="H392" s="6"/>
    </row>
    <row r="393" customFormat="false" ht="15" hidden="false" customHeight="false" outlineLevel="0" collapsed="false">
      <c r="A393" s="38"/>
      <c r="B393" s="6"/>
      <c r="C393" s="6"/>
      <c r="D393" s="6"/>
      <c r="E393" s="6"/>
      <c r="F393" s="37"/>
      <c r="G393" s="6"/>
      <c r="H393" s="6"/>
    </row>
    <row r="394" customFormat="false" ht="15" hidden="false" customHeight="false" outlineLevel="0" collapsed="false">
      <c r="A394" s="38"/>
      <c r="B394" s="6"/>
      <c r="C394" s="6"/>
      <c r="D394" s="6"/>
      <c r="E394" s="6"/>
      <c r="F394" s="37"/>
      <c r="G394" s="6"/>
      <c r="H394" s="6"/>
    </row>
    <row r="395" customFormat="false" ht="15" hidden="false" customHeight="false" outlineLevel="0" collapsed="false">
      <c r="A395" s="38"/>
      <c r="B395" s="6"/>
      <c r="C395" s="6"/>
      <c r="D395" s="6"/>
      <c r="E395" s="6"/>
      <c r="F395" s="37"/>
      <c r="G395" s="6"/>
      <c r="H395" s="6"/>
    </row>
    <row r="396" customFormat="false" ht="15" hidden="false" customHeight="false" outlineLevel="0" collapsed="false">
      <c r="A396" s="38"/>
      <c r="B396" s="6"/>
      <c r="C396" s="6"/>
      <c r="D396" s="6"/>
      <c r="E396" s="6"/>
      <c r="F396" s="37"/>
      <c r="G396" s="6"/>
      <c r="H396" s="6"/>
    </row>
    <row r="397" customFormat="false" ht="15" hidden="false" customHeight="false" outlineLevel="0" collapsed="false">
      <c r="A397" s="38"/>
      <c r="B397" s="6"/>
      <c r="C397" s="6"/>
      <c r="D397" s="6"/>
      <c r="E397" s="6"/>
      <c r="F397" s="37"/>
      <c r="G397" s="6"/>
      <c r="H397" s="6"/>
    </row>
    <row r="398" customFormat="false" ht="15" hidden="false" customHeight="false" outlineLevel="0" collapsed="false">
      <c r="A398" s="38"/>
      <c r="B398" s="6"/>
      <c r="C398" s="6"/>
      <c r="D398" s="6"/>
      <c r="E398" s="6"/>
      <c r="F398" s="37"/>
      <c r="G398" s="6"/>
      <c r="H398" s="6"/>
    </row>
    <row r="399" customFormat="false" ht="15" hidden="false" customHeight="false" outlineLevel="0" collapsed="false">
      <c r="A399" s="38"/>
      <c r="B399" s="6"/>
      <c r="C399" s="6"/>
      <c r="D399" s="6"/>
      <c r="E399" s="6"/>
      <c r="F399" s="37"/>
      <c r="G399" s="6"/>
      <c r="H399" s="6"/>
    </row>
    <row r="400" customFormat="false" ht="15" hidden="false" customHeight="false" outlineLevel="0" collapsed="false">
      <c r="A400" s="38"/>
      <c r="B400" s="6"/>
      <c r="C400" s="6"/>
      <c r="D400" s="6"/>
      <c r="E400" s="6"/>
      <c r="F400" s="37"/>
      <c r="G400" s="6"/>
      <c r="H400" s="6"/>
    </row>
    <row r="401" customFormat="false" ht="15" hidden="false" customHeight="false" outlineLevel="0" collapsed="false">
      <c r="A401" s="38"/>
      <c r="B401" s="6"/>
      <c r="C401" s="6"/>
      <c r="D401" s="6"/>
      <c r="E401" s="6"/>
      <c r="F401" s="37"/>
      <c r="G401" s="6"/>
      <c r="H401" s="6"/>
    </row>
    <row r="402" customFormat="false" ht="15" hidden="false" customHeight="false" outlineLevel="0" collapsed="false">
      <c r="A402" s="38"/>
      <c r="B402" s="6"/>
      <c r="C402" s="6"/>
      <c r="D402" s="6"/>
      <c r="E402" s="6"/>
      <c r="F402" s="37"/>
      <c r="G402" s="6"/>
      <c r="H402" s="6"/>
    </row>
    <row r="403" customFormat="false" ht="15" hidden="false" customHeight="false" outlineLevel="0" collapsed="false">
      <c r="A403" s="38"/>
      <c r="B403" s="6"/>
      <c r="C403" s="6"/>
      <c r="D403" s="6"/>
      <c r="E403" s="6"/>
      <c r="F403" s="37"/>
      <c r="G403" s="6"/>
      <c r="H403" s="6"/>
    </row>
    <row r="404" customFormat="false" ht="15" hidden="false" customHeight="false" outlineLevel="0" collapsed="false">
      <c r="A404" s="38"/>
      <c r="B404" s="6"/>
      <c r="C404" s="6"/>
      <c r="D404" s="6"/>
      <c r="E404" s="6"/>
      <c r="F404" s="37"/>
      <c r="G404" s="6"/>
      <c r="H404" s="6"/>
    </row>
    <row r="405" customFormat="false" ht="15" hidden="false" customHeight="false" outlineLevel="0" collapsed="false">
      <c r="A405" s="38"/>
      <c r="B405" s="6"/>
      <c r="C405" s="6"/>
      <c r="D405" s="6"/>
      <c r="E405" s="6"/>
      <c r="F405" s="37"/>
      <c r="G405" s="6"/>
      <c r="H405" s="6"/>
    </row>
    <row r="406" customFormat="false" ht="15" hidden="false" customHeight="false" outlineLevel="0" collapsed="false">
      <c r="A406" s="38"/>
      <c r="B406" s="6"/>
      <c r="C406" s="6"/>
      <c r="D406" s="6"/>
      <c r="E406" s="6"/>
      <c r="F406" s="37"/>
      <c r="G406" s="6"/>
      <c r="H406" s="6"/>
    </row>
    <row r="407" customFormat="false" ht="15" hidden="false" customHeight="false" outlineLevel="0" collapsed="false">
      <c r="A407" s="38"/>
      <c r="B407" s="6"/>
      <c r="C407" s="6"/>
      <c r="D407" s="6"/>
      <c r="E407" s="6"/>
      <c r="F407" s="37"/>
      <c r="G407" s="6"/>
      <c r="H407" s="6"/>
    </row>
    <row r="408" customFormat="false" ht="15" hidden="false" customHeight="false" outlineLevel="0" collapsed="false">
      <c r="A408" s="38"/>
      <c r="B408" s="6"/>
      <c r="C408" s="6"/>
      <c r="D408" s="6"/>
      <c r="E408" s="6"/>
      <c r="F408" s="37"/>
      <c r="G408" s="6"/>
      <c r="H408" s="6"/>
    </row>
    <row r="409" customFormat="false" ht="15" hidden="false" customHeight="false" outlineLevel="0" collapsed="false">
      <c r="A409" s="38"/>
      <c r="B409" s="6"/>
      <c r="C409" s="6"/>
      <c r="D409" s="6"/>
      <c r="E409" s="6"/>
      <c r="F409" s="37"/>
      <c r="G409" s="6"/>
      <c r="H409" s="6"/>
    </row>
    <row r="410" customFormat="false" ht="15" hidden="false" customHeight="false" outlineLevel="0" collapsed="false">
      <c r="A410" s="38"/>
      <c r="B410" s="6"/>
      <c r="C410" s="6"/>
      <c r="D410" s="6"/>
      <c r="E410" s="6"/>
      <c r="F410" s="37"/>
      <c r="G410" s="6"/>
      <c r="H410" s="6"/>
    </row>
    <row r="411" customFormat="false" ht="15" hidden="false" customHeight="false" outlineLevel="0" collapsed="false">
      <c r="A411" s="38"/>
      <c r="B411" s="6"/>
      <c r="C411" s="6"/>
      <c r="D411" s="6"/>
      <c r="E411" s="6"/>
      <c r="F411" s="37"/>
      <c r="G411" s="6"/>
      <c r="H411" s="6"/>
    </row>
    <row r="412" customFormat="false" ht="15" hidden="false" customHeight="false" outlineLevel="0" collapsed="false">
      <c r="A412" s="38"/>
      <c r="B412" s="6"/>
      <c r="C412" s="6"/>
      <c r="D412" s="6"/>
      <c r="E412" s="6"/>
      <c r="F412" s="37"/>
      <c r="G412" s="6"/>
      <c r="H412" s="6"/>
    </row>
    <row r="413" customFormat="false" ht="15" hidden="false" customHeight="false" outlineLevel="0" collapsed="false">
      <c r="A413" s="38"/>
      <c r="B413" s="6"/>
      <c r="C413" s="6"/>
      <c r="D413" s="6"/>
      <c r="E413" s="6"/>
      <c r="F413" s="37"/>
      <c r="G413" s="6"/>
      <c r="H413" s="6"/>
    </row>
    <row r="414" customFormat="false" ht="15" hidden="false" customHeight="false" outlineLevel="0" collapsed="false">
      <c r="A414" s="38"/>
      <c r="B414" s="6"/>
      <c r="C414" s="6"/>
      <c r="D414" s="6"/>
      <c r="E414" s="6"/>
      <c r="F414" s="37"/>
      <c r="G414" s="6"/>
      <c r="H414" s="6"/>
    </row>
    <row r="415" customFormat="false" ht="15" hidden="false" customHeight="false" outlineLevel="0" collapsed="false">
      <c r="A415" s="38"/>
      <c r="B415" s="6"/>
      <c r="C415" s="6"/>
      <c r="D415" s="6"/>
      <c r="E415" s="6"/>
      <c r="F415" s="37"/>
      <c r="G415" s="6"/>
      <c r="H415" s="6"/>
    </row>
    <row r="416" customFormat="false" ht="15" hidden="false" customHeight="false" outlineLevel="0" collapsed="false">
      <c r="A416" s="38"/>
      <c r="B416" s="6"/>
      <c r="C416" s="6"/>
      <c r="D416" s="6"/>
      <c r="E416" s="6"/>
      <c r="F416" s="37"/>
      <c r="G416" s="6"/>
      <c r="H416" s="6"/>
    </row>
    <row r="417" customFormat="false" ht="15" hidden="false" customHeight="false" outlineLevel="0" collapsed="false">
      <c r="A417" s="38"/>
      <c r="B417" s="6"/>
      <c r="C417" s="6"/>
      <c r="D417" s="6"/>
      <c r="E417" s="6"/>
      <c r="F417" s="37"/>
      <c r="G417" s="6"/>
      <c r="H417" s="6"/>
    </row>
    <row r="418" customFormat="false" ht="15" hidden="false" customHeight="false" outlineLevel="0" collapsed="false">
      <c r="A418" s="38"/>
      <c r="B418" s="6"/>
      <c r="C418" s="6"/>
      <c r="D418" s="6"/>
      <c r="E418" s="6"/>
      <c r="F418" s="37"/>
      <c r="G418" s="6"/>
      <c r="H418" s="6"/>
    </row>
    <row r="419" customFormat="false" ht="15" hidden="false" customHeight="false" outlineLevel="0" collapsed="false">
      <c r="A419" s="38"/>
      <c r="B419" s="6"/>
      <c r="C419" s="6"/>
      <c r="D419" s="6"/>
      <c r="E419" s="6"/>
      <c r="F419" s="37"/>
      <c r="G419" s="6"/>
      <c r="H419" s="6"/>
    </row>
    <row r="420" customFormat="false" ht="15" hidden="false" customHeight="false" outlineLevel="0" collapsed="false">
      <c r="A420" s="38"/>
      <c r="B420" s="6"/>
      <c r="C420" s="6"/>
      <c r="D420" s="6"/>
      <c r="E420" s="6"/>
      <c r="F420" s="37"/>
      <c r="G420" s="6"/>
      <c r="H420" s="6"/>
    </row>
    <row r="421" customFormat="false" ht="15" hidden="false" customHeight="false" outlineLevel="0" collapsed="false">
      <c r="A421" s="38"/>
      <c r="B421" s="6"/>
      <c r="C421" s="6"/>
      <c r="D421" s="6"/>
      <c r="E421" s="6"/>
      <c r="F421" s="37"/>
      <c r="G421" s="6"/>
      <c r="H421" s="6"/>
    </row>
    <row r="422" customFormat="false" ht="15" hidden="false" customHeight="false" outlineLevel="0" collapsed="false">
      <c r="A422" s="38"/>
      <c r="B422" s="6"/>
      <c r="C422" s="6"/>
      <c r="D422" s="6"/>
      <c r="E422" s="6"/>
      <c r="F422" s="37"/>
      <c r="G422" s="6"/>
      <c r="H422" s="6"/>
    </row>
    <row r="423" customFormat="false" ht="15" hidden="false" customHeight="false" outlineLevel="0" collapsed="false">
      <c r="A423" s="38"/>
      <c r="B423" s="6"/>
      <c r="C423" s="6"/>
      <c r="D423" s="6"/>
      <c r="E423" s="6"/>
      <c r="F423" s="37"/>
      <c r="G423" s="6"/>
      <c r="H423" s="6"/>
    </row>
    <row r="424" customFormat="false" ht="15" hidden="false" customHeight="false" outlineLevel="0" collapsed="false">
      <c r="A424" s="38"/>
      <c r="B424" s="6"/>
      <c r="C424" s="6"/>
      <c r="D424" s="6"/>
      <c r="E424" s="6"/>
      <c r="F424" s="37"/>
      <c r="G424" s="6"/>
      <c r="H424" s="6"/>
    </row>
    <row r="425" customFormat="false" ht="15" hidden="false" customHeight="false" outlineLevel="0" collapsed="false">
      <c r="A425" s="38"/>
      <c r="B425" s="6"/>
      <c r="C425" s="6"/>
      <c r="D425" s="6"/>
      <c r="E425" s="6"/>
      <c r="F425" s="37"/>
      <c r="G425" s="6"/>
      <c r="H425" s="6"/>
    </row>
    <row r="426" customFormat="false" ht="15" hidden="false" customHeight="false" outlineLevel="0" collapsed="false">
      <c r="A426" s="38"/>
      <c r="B426" s="6"/>
      <c r="C426" s="6"/>
      <c r="D426" s="6"/>
      <c r="E426" s="6"/>
      <c r="F426" s="37"/>
      <c r="G426" s="6"/>
      <c r="H426" s="6"/>
    </row>
    <row r="427" customFormat="false" ht="15" hidden="false" customHeight="false" outlineLevel="0" collapsed="false">
      <c r="A427" s="38"/>
      <c r="B427" s="6"/>
      <c r="C427" s="6"/>
      <c r="D427" s="6"/>
      <c r="E427" s="6"/>
      <c r="F427" s="37"/>
      <c r="G427" s="6"/>
      <c r="H427" s="6"/>
    </row>
    <row r="428" customFormat="false" ht="15" hidden="false" customHeight="false" outlineLevel="0" collapsed="false">
      <c r="A428" s="38"/>
      <c r="B428" s="6"/>
      <c r="C428" s="6"/>
      <c r="D428" s="6"/>
      <c r="E428" s="6"/>
      <c r="F428" s="37"/>
      <c r="G428" s="6"/>
      <c r="H428" s="6"/>
    </row>
    <row r="429" customFormat="false" ht="15" hidden="false" customHeight="false" outlineLevel="0" collapsed="false">
      <c r="A429" s="38"/>
      <c r="B429" s="6"/>
      <c r="C429" s="6"/>
      <c r="D429" s="6"/>
      <c r="E429" s="6"/>
      <c r="F429" s="37"/>
      <c r="G429" s="6"/>
      <c r="H429" s="6"/>
    </row>
    <row r="430" customFormat="false" ht="15" hidden="false" customHeight="false" outlineLevel="0" collapsed="false">
      <c r="A430" s="38"/>
      <c r="B430" s="6"/>
      <c r="C430" s="6"/>
      <c r="D430" s="6"/>
      <c r="E430" s="6"/>
      <c r="F430" s="37"/>
      <c r="G430" s="6"/>
      <c r="H430" s="6"/>
    </row>
    <row r="431" customFormat="false" ht="15" hidden="false" customHeight="false" outlineLevel="0" collapsed="false">
      <c r="A431" s="38"/>
      <c r="B431" s="6"/>
      <c r="C431" s="6"/>
      <c r="D431" s="6"/>
      <c r="E431" s="6"/>
      <c r="F431" s="37"/>
      <c r="G431" s="6"/>
      <c r="H431" s="6"/>
    </row>
    <row r="432" customFormat="false" ht="15" hidden="false" customHeight="false" outlineLevel="0" collapsed="false">
      <c r="A432" s="38"/>
      <c r="B432" s="6"/>
      <c r="C432" s="6"/>
      <c r="D432" s="6"/>
      <c r="E432" s="6"/>
      <c r="F432" s="37"/>
      <c r="G432" s="6"/>
      <c r="H432" s="6"/>
    </row>
    <row r="433" customFormat="false" ht="15" hidden="false" customHeight="false" outlineLevel="0" collapsed="false">
      <c r="A433" s="38"/>
      <c r="B433" s="6"/>
      <c r="C433" s="6"/>
      <c r="D433" s="6"/>
      <c r="E433" s="6"/>
      <c r="F433" s="37"/>
      <c r="G433" s="6"/>
      <c r="H433" s="6"/>
    </row>
    <row r="434" customFormat="false" ht="15" hidden="false" customHeight="false" outlineLevel="0" collapsed="false">
      <c r="A434" s="38"/>
      <c r="B434" s="6"/>
      <c r="C434" s="6"/>
      <c r="D434" s="6"/>
      <c r="E434" s="6"/>
      <c r="F434" s="37"/>
      <c r="G434" s="6"/>
      <c r="H434" s="6"/>
    </row>
    <row r="435" customFormat="false" ht="15" hidden="false" customHeight="false" outlineLevel="0" collapsed="false">
      <c r="A435" s="38"/>
      <c r="B435" s="6"/>
      <c r="C435" s="6"/>
      <c r="D435" s="6"/>
      <c r="E435" s="6"/>
      <c r="F435" s="37"/>
      <c r="G435" s="6"/>
      <c r="H435" s="6"/>
    </row>
    <row r="436" customFormat="false" ht="15" hidden="false" customHeight="false" outlineLevel="0" collapsed="false">
      <c r="A436" s="38"/>
      <c r="B436" s="6"/>
      <c r="C436" s="6"/>
      <c r="D436" s="6"/>
      <c r="E436" s="6"/>
      <c r="F436" s="37"/>
      <c r="G436" s="6"/>
      <c r="H436" s="6"/>
    </row>
    <row r="437" customFormat="false" ht="15" hidden="false" customHeight="false" outlineLevel="0" collapsed="false">
      <c r="A437" s="38"/>
      <c r="B437" s="6"/>
      <c r="C437" s="6"/>
      <c r="D437" s="6"/>
      <c r="E437" s="6"/>
      <c r="F437" s="37"/>
      <c r="G437" s="6"/>
      <c r="H437" s="6"/>
    </row>
    <row r="438" customFormat="false" ht="15" hidden="false" customHeight="false" outlineLevel="0" collapsed="false">
      <c r="A438" s="38"/>
      <c r="B438" s="6"/>
      <c r="C438" s="6"/>
      <c r="D438" s="6"/>
      <c r="E438" s="6"/>
      <c r="F438" s="37"/>
      <c r="G438" s="6"/>
      <c r="H438" s="6"/>
    </row>
    <row r="439" customFormat="false" ht="15" hidden="false" customHeight="false" outlineLevel="0" collapsed="false">
      <c r="A439" s="38"/>
      <c r="B439" s="6"/>
      <c r="C439" s="6"/>
      <c r="D439" s="6"/>
      <c r="E439" s="6"/>
      <c r="F439" s="37"/>
      <c r="G439" s="6"/>
      <c r="H439" s="6"/>
    </row>
    <row r="440" customFormat="false" ht="15" hidden="false" customHeight="false" outlineLevel="0" collapsed="false">
      <c r="A440" s="38"/>
      <c r="B440" s="6"/>
      <c r="C440" s="6"/>
      <c r="D440" s="6"/>
      <c r="E440" s="6"/>
      <c r="F440" s="37"/>
      <c r="G440" s="6"/>
      <c r="H440" s="6"/>
    </row>
    <row r="441" customFormat="false" ht="15" hidden="false" customHeight="false" outlineLevel="0" collapsed="false">
      <c r="A441" s="38"/>
      <c r="B441" s="6"/>
      <c r="C441" s="6"/>
      <c r="D441" s="6"/>
      <c r="E441" s="6"/>
      <c r="F441" s="37"/>
      <c r="G441" s="6"/>
      <c r="H441" s="6"/>
    </row>
    <row r="442" customFormat="false" ht="15" hidden="false" customHeight="false" outlineLevel="0" collapsed="false">
      <c r="A442" s="38"/>
      <c r="B442" s="6"/>
      <c r="C442" s="6"/>
      <c r="D442" s="6"/>
      <c r="E442" s="6"/>
      <c r="F442" s="37"/>
      <c r="G442" s="6"/>
      <c r="H442" s="6"/>
    </row>
    <row r="443" customFormat="false" ht="15" hidden="false" customHeight="false" outlineLevel="0" collapsed="false">
      <c r="A443" s="38"/>
      <c r="B443" s="6"/>
      <c r="C443" s="6"/>
      <c r="D443" s="6"/>
      <c r="E443" s="6"/>
      <c r="F443" s="37"/>
      <c r="G443" s="6"/>
      <c r="H443" s="6"/>
    </row>
    <row r="444" customFormat="false" ht="15" hidden="false" customHeight="false" outlineLevel="0" collapsed="false">
      <c r="A444" s="38"/>
      <c r="B444" s="6"/>
      <c r="C444" s="6"/>
      <c r="D444" s="6"/>
      <c r="E444" s="6"/>
      <c r="F444" s="37"/>
      <c r="G444" s="6"/>
      <c r="H444" s="6"/>
    </row>
    <row r="445" customFormat="false" ht="15" hidden="false" customHeight="false" outlineLevel="0" collapsed="false">
      <c r="A445" s="38"/>
      <c r="B445" s="6"/>
      <c r="C445" s="6"/>
      <c r="D445" s="6"/>
      <c r="E445" s="6"/>
      <c r="F445" s="37"/>
      <c r="G445" s="6"/>
      <c r="H445" s="6"/>
    </row>
    <row r="446" customFormat="false" ht="15" hidden="false" customHeight="false" outlineLevel="0" collapsed="false">
      <c r="A446" s="38"/>
      <c r="B446" s="6"/>
      <c r="C446" s="6"/>
      <c r="D446" s="6"/>
      <c r="E446" s="6"/>
      <c r="F446" s="37"/>
      <c r="G446" s="6"/>
      <c r="H446" s="6"/>
    </row>
    <row r="447" customFormat="false" ht="15" hidden="false" customHeight="false" outlineLevel="0" collapsed="false">
      <c r="A447" s="38"/>
      <c r="B447" s="6"/>
      <c r="C447" s="6"/>
      <c r="D447" s="6"/>
      <c r="E447" s="6"/>
      <c r="F447" s="37"/>
      <c r="G447" s="6"/>
      <c r="H447" s="6"/>
    </row>
    <row r="448" customFormat="false" ht="15" hidden="false" customHeight="false" outlineLevel="0" collapsed="false">
      <c r="A448" s="38"/>
      <c r="B448" s="6"/>
      <c r="C448" s="6"/>
      <c r="D448" s="6"/>
      <c r="E448" s="6"/>
      <c r="F448" s="37"/>
      <c r="G448" s="6"/>
      <c r="H448" s="6"/>
    </row>
    <row r="449" customFormat="false" ht="15" hidden="false" customHeight="false" outlineLevel="0" collapsed="false">
      <c r="A449" s="38"/>
      <c r="B449" s="6"/>
      <c r="C449" s="6"/>
      <c r="D449" s="6"/>
      <c r="E449" s="6"/>
      <c r="F449" s="37"/>
      <c r="G449" s="6"/>
      <c r="H449" s="6"/>
    </row>
    <row r="450" customFormat="false" ht="15" hidden="false" customHeight="false" outlineLevel="0" collapsed="false">
      <c r="A450" s="38"/>
      <c r="B450" s="6"/>
      <c r="C450" s="6"/>
      <c r="D450" s="6"/>
      <c r="E450" s="6"/>
      <c r="F450" s="37"/>
      <c r="G450" s="6"/>
      <c r="H450" s="6"/>
    </row>
    <row r="451" customFormat="false" ht="15" hidden="false" customHeight="false" outlineLevel="0" collapsed="false">
      <c r="A451" s="38"/>
      <c r="B451" s="6"/>
      <c r="C451" s="6"/>
      <c r="D451" s="6"/>
      <c r="E451" s="6"/>
      <c r="F451" s="37"/>
      <c r="G451" s="6"/>
      <c r="H451" s="6"/>
    </row>
    <row r="452" customFormat="false" ht="15" hidden="false" customHeight="false" outlineLevel="0" collapsed="false">
      <c r="A452" s="38"/>
      <c r="B452" s="6"/>
      <c r="C452" s="6"/>
      <c r="D452" s="6"/>
      <c r="E452" s="6"/>
      <c r="F452" s="37"/>
      <c r="G452" s="6"/>
      <c r="H452" s="6"/>
    </row>
    <row r="453" customFormat="false" ht="15" hidden="false" customHeight="false" outlineLevel="0" collapsed="false">
      <c r="A453" s="38"/>
      <c r="B453" s="6"/>
      <c r="C453" s="6"/>
      <c r="D453" s="6"/>
      <c r="E453" s="6"/>
      <c r="F453" s="37"/>
      <c r="G453" s="6"/>
      <c r="H453" s="6"/>
    </row>
    <row r="454" customFormat="false" ht="15" hidden="false" customHeight="false" outlineLevel="0" collapsed="false">
      <c r="A454" s="38"/>
      <c r="B454" s="6"/>
      <c r="C454" s="6"/>
      <c r="D454" s="6"/>
      <c r="E454" s="6"/>
      <c r="F454" s="37"/>
      <c r="G454" s="6"/>
      <c r="H454" s="6"/>
    </row>
    <row r="455" customFormat="false" ht="15" hidden="false" customHeight="false" outlineLevel="0" collapsed="false">
      <c r="A455" s="38"/>
      <c r="B455" s="6"/>
      <c r="C455" s="6"/>
      <c r="D455" s="6"/>
      <c r="E455" s="6"/>
      <c r="F455" s="37"/>
      <c r="G455" s="6"/>
      <c r="H455" s="6"/>
    </row>
    <row r="456" customFormat="false" ht="15" hidden="false" customHeight="false" outlineLevel="0" collapsed="false">
      <c r="A456" s="38"/>
      <c r="B456" s="6"/>
      <c r="C456" s="6"/>
      <c r="D456" s="6"/>
      <c r="E456" s="6"/>
      <c r="F456" s="37"/>
      <c r="G456" s="6"/>
      <c r="H456" s="6"/>
    </row>
    <row r="457" customFormat="false" ht="15" hidden="false" customHeight="false" outlineLevel="0" collapsed="false">
      <c r="A457" s="38"/>
      <c r="B457" s="6"/>
      <c r="C457" s="6"/>
      <c r="D457" s="6"/>
      <c r="E457" s="6"/>
      <c r="F457" s="37"/>
      <c r="G457" s="6"/>
      <c r="H457" s="6"/>
    </row>
    <row r="458" customFormat="false" ht="15" hidden="false" customHeight="false" outlineLevel="0" collapsed="false">
      <c r="A458" s="38"/>
      <c r="B458" s="6"/>
      <c r="C458" s="6"/>
      <c r="D458" s="6"/>
      <c r="E458" s="6"/>
      <c r="F458" s="37"/>
      <c r="G458" s="6"/>
      <c r="H458" s="6"/>
    </row>
    <row r="459" customFormat="false" ht="15" hidden="false" customHeight="false" outlineLevel="0" collapsed="false">
      <c r="A459" s="38"/>
      <c r="B459" s="6"/>
      <c r="C459" s="6"/>
      <c r="D459" s="6"/>
      <c r="E459" s="6"/>
      <c r="F459" s="37"/>
      <c r="G459" s="6"/>
      <c r="H459" s="6"/>
    </row>
    <row r="460" customFormat="false" ht="15" hidden="false" customHeight="false" outlineLevel="0" collapsed="false">
      <c r="A460" s="38"/>
      <c r="B460" s="6"/>
      <c r="C460" s="6"/>
      <c r="D460" s="6"/>
      <c r="E460" s="6"/>
      <c r="F460" s="37"/>
      <c r="G460" s="6"/>
      <c r="H460" s="6"/>
    </row>
    <row r="461" customFormat="false" ht="15" hidden="false" customHeight="false" outlineLevel="0" collapsed="false">
      <c r="A461" s="38"/>
      <c r="B461" s="6"/>
      <c r="C461" s="6"/>
      <c r="D461" s="6"/>
      <c r="E461" s="6"/>
      <c r="F461" s="37"/>
      <c r="G461" s="6"/>
      <c r="H461" s="6"/>
    </row>
    <row r="462" customFormat="false" ht="15" hidden="false" customHeight="false" outlineLevel="0" collapsed="false">
      <c r="A462" s="38"/>
      <c r="B462" s="6"/>
      <c r="C462" s="6"/>
      <c r="D462" s="6"/>
      <c r="E462" s="6"/>
      <c r="F462" s="37"/>
      <c r="G462" s="6"/>
      <c r="H462" s="6"/>
    </row>
    <row r="463" customFormat="false" ht="15" hidden="false" customHeight="false" outlineLevel="0" collapsed="false">
      <c r="A463" s="38"/>
      <c r="B463" s="6"/>
      <c r="C463" s="6"/>
      <c r="D463" s="6"/>
      <c r="E463" s="6"/>
      <c r="F463" s="37"/>
      <c r="G463" s="6"/>
      <c r="H463" s="6"/>
    </row>
    <row r="464" customFormat="false" ht="15" hidden="false" customHeight="false" outlineLevel="0" collapsed="false">
      <c r="A464" s="38"/>
      <c r="B464" s="6"/>
      <c r="C464" s="6"/>
      <c r="D464" s="6"/>
      <c r="E464" s="6"/>
      <c r="F464" s="37"/>
      <c r="G464" s="6"/>
      <c r="H464" s="6"/>
    </row>
    <row r="465" customFormat="false" ht="15" hidden="false" customHeight="false" outlineLevel="0" collapsed="false">
      <c r="A465" s="38"/>
      <c r="B465" s="6"/>
      <c r="C465" s="6"/>
      <c r="D465" s="6"/>
      <c r="E465" s="6"/>
      <c r="F465" s="37"/>
      <c r="G465" s="6"/>
      <c r="H465" s="6"/>
    </row>
    <row r="466" customFormat="false" ht="15" hidden="false" customHeight="false" outlineLevel="0" collapsed="false">
      <c r="A466" s="38"/>
      <c r="B466" s="6"/>
      <c r="C466" s="6"/>
      <c r="D466" s="6"/>
      <c r="E466" s="6"/>
      <c r="F466" s="37"/>
      <c r="G466" s="6"/>
      <c r="H466" s="6"/>
    </row>
    <row r="467" customFormat="false" ht="15" hidden="false" customHeight="false" outlineLevel="0" collapsed="false">
      <c r="A467" s="38"/>
      <c r="B467" s="6"/>
      <c r="C467" s="6"/>
      <c r="D467" s="6"/>
      <c r="E467" s="6"/>
      <c r="F467" s="37"/>
      <c r="G467" s="6"/>
      <c r="H467" s="6"/>
    </row>
    <row r="468" customFormat="false" ht="15" hidden="false" customHeight="false" outlineLevel="0" collapsed="false">
      <c r="A468" s="38"/>
      <c r="B468" s="6"/>
      <c r="C468" s="6"/>
      <c r="D468" s="6"/>
      <c r="E468" s="6"/>
      <c r="F468" s="37"/>
      <c r="G468" s="6"/>
      <c r="H468" s="6"/>
    </row>
    <row r="469" customFormat="false" ht="15" hidden="false" customHeight="false" outlineLevel="0" collapsed="false">
      <c r="A469" s="38"/>
      <c r="B469" s="6"/>
      <c r="C469" s="6"/>
      <c r="D469" s="6"/>
      <c r="E469" s="6"/>
      <c r="F469" s="37"/>
      <c r="G469" s="6"/>
      <c r="H469" s="6"/>
    </row>
    <row r="470" customFormat="false" ht="15" hidden="false" customHeight="false" outlineLevel="0" collapsed="false">
      <c r="A470" s="38"/>
      <c r="B470" s="6"/>
      <c r="C470" s="6"/>
      <c r="D470" s="6"/>
      <c r="E470" s="6"/>
      <c r="F470" s="37"/>
      <c r="G470" s="6"/>
      <c r="H470" s="6"/>
    </row>
    <row r="471" customFormat="false" ht="15" hidden="false" customHeight="false" outlineLevel="0" collapsed="false">
      <c r="A471" s="38"/>
      <c r="B471" s="6"/>
      <c r="C471" s="6"/>
      <c r="D471" s="6"/>
      <c r="E471" s="6"/>
      <c r="F471" s="37"/>
      <c r="G471" s="6"/>
      <c r="H471" s="6"/>
    </row>
    <row r="472" customFormat="false" ht="15" hidden="false" customHeight="false" outlineLevel="0" collapsed="false">
      <c r="A472" s="38"/>
      <c r="B472" s="6"/>
      <c r="C472" s="6"/>
      <c r="D472" s="6"/>
      <c r="E472" s="6"/>
      <c r="F472" s="37"/>
      <c r="G472" s="6"/>
      <c r="H472" s="6"/>
    </row>
    <row r="473" customFormat="false" ht="15" hidden="false" customHeight="false" outlineLevel="0" collapsed="false">
      <c r="A473" s="38"/>
      <c r="B473" s="6"/>
      <c r="C473" s="6"/>
      <c r="D473" s="6"/>
      <c r="E473" s="6"/>
      <c r="F473" s="37"/>
      <c r="G473" s="6"/>
      <c r="H473" s="6"/>
    </row>
    <row r="474" customFormat="false" ht="15" hidden="false" customHeight="false" outlineLevel="0" collapsed="false">
      <c r="A474" s="38"/>
      <c r="B474" s="6"/>
      <c r="C474" s="6"/>
      <c r="D474" s="6"/>
      <c r="E474" s="6"/>
      <c r="F474" s="37"/>
      <c r="G474" s="6"/>
      <c r="H474" s="6"/>
    </row>
    <row r="475" customFormat="false" ht="15" hidden="false" customHeight="false" outlineLevel="0" collapsed="false">
      <c r="A475" s="38"/>
      <c r="B475" s="6"/>
      <c r="C475" s="6"/>
      <c r="D475" s="6"/>
      <c r="E475" s="6"/>
      <c r="F475" s="37"/>
      <c r="G475" s="6"/>
      <c r="H475" s="6"/>
    </row>
    <row r="476" customFormat="false" ht="15" hidden="false" customHeight="false" outlineLevel="0" collapsed="false">
      <c r="A476" s="38"/>
      <c r="B476" s="6"/>
      <c r="C476" s="6"/>
      <c r="D476" s="6"/>
      <c r="E476" s="6"/>
      <c r="F476" s="37"/>
      <c r="G476" s="6"/>
      <c r="H476" s="6"/>
    </row>
    <row r="477" customFormat="false" ht="15" hidden="false" customHeight="false" outlineLevel="0" collapsed="false">
      <c r="A477" s="38"/>
      <c r="B477" s="6"/>
      <c r="C477" s="6"/>
      <c r="D477" s="6"/>
      <c r="E477" s="6"/>
      <c r="F477" s="37"/>
      <c r="G477" s="6"/>
      <c r="H477" s="6"/>
    </row>
    <row r="478" customFormat="false" ht="15" hidden="false" customHeight="false" outlineLevel="0" collapsed="false">
      <c r="A478" s="38"/>
      <c r="B478" s="6"/>
      <c r="C478" s="6"/>
      <c r="D478" s="6"/>
      <c r="E478" s="6"/>
      <c r="F478" s="37"/>
      <c r="G478" s="6"/>
      <c r="H478" s="6"/>
    </row>
    <row r="479" customFormat="false" ht="15" hidden="false" customHeight="false" outlineLevel="0" collapsed="false">
      <c r="A479" s="38"/>
      <c r="B479" s="6"/>
      <c r="C479" s="6"/>
      <c r="D479" s="6"/>
      <c r="E479" s="6"/>
      <c r="F479" s="37"/>
      <c r="G479" s="6"/>
      <c r="H479" s="6"/>
    </row>
    <row r="480" customFormat="false" ht="15" hidden="false" customHeight="false" outlineLevel="0" collapsed="false">
      <c r="A480" s="38"/>
      <c r="B480" s="6"/>
      <c r="C480" s="6"/>
      <c r="D480" s="6"/>
      <c r="E480" s="6"/>
      <c r="F480" s="37"/>
      <c r="G480" s="6"/>
      <c r="H480" s="6"/>
    </row>
    <row r="481" customFormat="false" ht="15" hidden="false" customHeight="false" outlineLevel="0" collapsed="false">
      <c r="A481" s="38"/>
      <c r="B481" s="6"/>
      <c r="C481" s="6"/>
      <c r="D481" s="6"/>
      <c r="E481" s="6"/>
      <c r="F481" s="37"/>
      <c r="G481" s="6"/>
      <c r="H481" s="6"/>
    </row>
    <row r="482" customFormat="false" ht="15" hidden="false" customHeight="false" outlineLevel="0" collapsed="false">
      <c r="A482" s="38"/>
      <c r="B482" s="6"/>
      <c r="C482" s="6"/>
      <c r="D482" s="6"/>
      <c r="E482" s="6"/>
      <c r="F482" s="37"/>
      <c r="G482" s="6"/>
      <c r="H482" s="6"/>
    </row>
    <row r="483" customFormat="false" ht="15" hidden="false" customHeight="false" outlineLevel="0" collapsed="false">
      <c r="A483" s="38"/>
      <c r="B483" s="6"/>
      <c r="C483" s="6"/>
      <c r="D483" s="6"/>
      <c r="E483" s="6"/>
      <c r="F483" s="37"/>
      <c r="G483" s="6"/>
      <c r="H483" s="6"/>
    </row>
    <row r="484" customFormat="false" ht="15" hidden="false" customHeight="false" outlineLevel="0" collapsed="false">
      <c r="A484" s="38"/>
      <c r="B484" s="6"/>
      <c r="C484" s="6"/>
      <c r="D484" s="6"/>
      <c r="E484" s="6"/>
      <c r="F484" s="37"/>
      <c r="G484" s="6"/>
      <c r="H484" s="6"/>
    </row>
    <row r="485" customFormat="false" ht="15" hidden="false" customHeight="false" outlineLevel="0" collapsed="false">
      <c r="A485" s="38"/>
      <c r="B485" s="6"/>
      <c r="C485" s="6"/>
      <c r="D485" s="6"/>
      <c r="E485" s="6"/>
      <c r="F485" s="37"/>
      <c r="G485" s="6"/>
      <c r="H485" s="6"/>
    </row>
    <row r="486" customFormat="false" ht="15" hidden="false" customHeight="false" outlineLevel="0" collapsed="false">
      <c r="A486" s="38"/>
      <c r="B486" s="6"/>
      <c r="C486" s="6"/>
      <c r="D486" s="6"/>
      <c r="E486" s="6"/>
      <c r="F486" s="37"/>
      <c r="G486" s="6"/>
      <c r="H486" s="6"/>
    </row>
    <row r="487" customFormat="false" ht="15" hidden="false" customHeight="false" outlineLevel="0" collapsed="false">
      <c r="A487" s="38"/>
      <c r="B487" s="6"/>
      <c r="C487" s="6"/>
      <c r="D487" s="6"/>
      <c r="E487" s="6"/>
      <c r="F487" s="37"/>
      <c r="G487" s="6"/>
      <c r="H487" s="6"/>
    </row>
    <row r="488" customFormat="false" ht="15" hidden="false" customHeight="false" outlineLevel="0" collapsed="false">
      <c r="A488" s="38"/>
      <c r="B488" s="6"/>
      <c r="C488" s="6"/>
      <c r="D488" s="6"/>
      <c r="E488" s="6"/>
      <c r="F488" s="37"/>
      <c r="G488" s="6"/>
      <c r="H488" s="6"/>
    </row>
    <row r="489" customFormat="false" ht="15" hidden="false" customHeight="false" outlineLevel="0" collapsed="false">
      <c r="A489" s="38"/>
      <c r="B489" s="6"/>
      <c r="C489" s="6"/>
      <c r="D489" s="6"/>
      <c r="E489" s="6"/>
      <c r="F489" s="37"/>
      <c r="G489" s="6"/>
      <c r="H489" s="6"/>
    </row>
    <row r="490" customFormat="false" ht="15" hidden="false" customHeight="false" outlineLevel="0" collapsed="false">
      <c r="A490" s="38"/>
      <c r="B490" s="6"/>
      <c r="C490" s="6"/>
      <c r="D490" s="6"/>
      <c r="E490" s="6"/>
      <c r="F490" s="37"/>
      <c r="G490" s="6"/>
      <c r="H490" s="6"/>
    </row>
    <row r="491" customFormat="false" ht="15" hidden="false" customHeight="false" outlineLevel="0" collapsed="false">
      <c r="A491" s="38"/>
      <c r="B491" s="6"/>
      <c r="C491" s="6"/>
      <c r="D491" s="6"/>
      <c r="E491" s="6"/>
      <c r="F491" s="37"/>
      <c r="G491" s="6"/>
      <c r="H491" s="6"/>
    </row>
    <row r="492" customFormat="false" ht="15" hidden="false" customHeight="false" outlineLevel="0" collapsed="false">
      <c r="A492" s="38"/>
      <c r="B492" s="6"/>
      <c r="C492" s="6"/>
      <c r="D492" s="6"/>
      <c r="E492" s="6"/>
      <c r="F492" s="37"/>
      <c r="G492" s="6"/>
      <c r="H492" s="6"/>
    </row>
    <row r="493" customFormat="false" ht="15" hidden="false" customHeight="false" outlineLevel="0" collapsed="false">
      <c r="A493" s="38"/>
      <c r="B493" s="6"/>
      <c r="C493" s="6"/>
      <c r="D493" s="6"/>
      <c r="E493" s="6"/>
      <c r="F493" s="37"/>
      <c r="G493" s="6"/>
      <c r="H493" s="6"/>
    </row>
    <row r="494" customFormat="false" ht="15" hidden="false" customHeight="false" outlineLevel="0" collapsed="false">
      <c r="A494" s="38"/>
      <c r="B494" s="6"/>
      <c r="C494" s="6"/>
      <c r="D494" s="6"/>
      <c r="E494" s="6"/>
      <c r="F494" s="37"/>
      <c r="G494" s="6"/>
      <c r="H494" s="6"/>
    </row>
    <row r="495" customFormat="false" ht="15" hidden="false" customHeight="false" outlineLevel="0" collapsed="false">
      <c r="A495" s="38"/>
      <c r="B495" s="6"/>
      <c r="C495" s="6"/>
      <c r="D495" s="6"/>
      <c r="E495" s="6"/>
      <c r="F495" s="37"/>
      <c r="G495" s="6"/>
      <c r="H495" s="6"/>
    </row>
    <row r="496" customFormat="false" ht="15" hidden="false" customHeight="false" outlineLevel="0" collapsed="false">
      <c r="A496" s="38"/>
      <c r="B496" s="6"/>
      <c r="C496" s="6"/>
      <c r="D496" s="6"/>
      <c r="E496" s="6"/>
      <c r="F496" s="37"/>
      <c r="G496" s="6"/>
      <c r="H496" s="6"/>
    </row>
    <row r="497" customFormat="false" ht="15" hidden="false" customHeight="false" outlineLevel="0" collapsed="false">
      <c r="A497" s="38"/>
      <c r="B497" s="6"/>
      <c r="C497" s="6"/>
      <c r="D497" s="6"/>
      <c r="E497" s="6"/>
      <c r="F497" s="37"/>
      <c r="G497" s="6"/>
      <c r="H497" s="6"/>
    </row>
    <row r="498" customFormat="false" ht="15" hidden="false" customHeight="false" outlineLevel="0" collapsed="false">
      <c r="A498" s="38"/>
      <c r="B498" s="6"/>
      <c r="C498" s="6"/>
      <c r="D498" s="6"/>
      <c r="E498" s="6"/>
      <c r="F498" s="37"/>
      <c r="G498" s="6"/>
      <c r="H498" s="6"/>
    </row>
    <row r="499" customFormat="false" ht="15" hidden="false" customHeight="false" outlineLevel="0" collapsed="false">
      <c r="A499" s="38"/>
      <c r="B499" s="6"/>
      <c r="C499" s="6"/>
      <c r="D499" s="6"/>
      <c r="E499" s="6"/>
      <c r="F499" s="37"/>
      <c r="G499" s="6"/>
      <c r="H499" s="6"/>
    </row>
    <row r="500" customFormat="false" ht="15" hidden="false" customHeight="false" outlineLevel="0" collapsed="false">
      <c r="A500" s="38"/>
      <c r="B500" s="6"/>
      <c r="C500" s="6"/>
      <c r="D500" s="6"/>
      <c r="E500" s="6"/>
      <c r="F500" s="37"/>
      <c r="G500" s="6"/>
      <c r="H500" s="6"/>
    </row>
    <row r="501" customFormat="false" ht="15" hidden="false" customHeight="false" outlineLevel="0" collapsed="false">
      <c r="A501" s="38"/>
      <c r="B501" s="6"/>
      <c r="C501" s="6"/>
      <c r="D501" s="6"/>
      <c r="E501" s="6"/>
      <c r="F501" s="37"/>
      <c r="G501" s="6"/>
      <c r="H501" s="6"/>
    </row>
    <row r="502" customFormat="false" ht="15" hidden="false" customHeight="false" outlineLevel="0" collapsed="false">
      <c r="A502" s="38"/>
      <c r="B502" s="6"/>
      <c r="C502" s="6"/>
      <c r="D502" s="6"/>
      <c r="E502" s="6"/>
      <c r="F502" s="37"/>
      <c r="G502" s="6"/>
      <c r="H502" s="6"/>
    </row>
    <row r="503" customFormat="false" ht="15" hidden="false" customHeight="false" outlineLevel="0" collapsed="false">
      <c r="A503" s="38"/>
      <c r="B503" s="6"/>
      <c r="C503" s="6"/>
      <c r="D503" s="6"/>
      <c r="E503" s="6"/>
      <c r="F503" s="37"/>
      <c r="G503" s="6"/>
      <c r="H503" s="6"/>
    </row>
    <row r="504" customFormat="false" ht="15" hidden="false" customHeight="false" outlineLevel="0" collapsed="false">
      <c r="A504" s="38"/>
      <c r="B504" s="6"/>
      <c r="C504" s="6"/>
      <c r="D504" s="6"/>
      <c r="E504" s="6"/>
      <c r="F504" s="37"/>
      <c r="G504" s="6"/>
      <c r="H504" s="6"/>
    </row>
    <row r="505" customFormat="false" ht="15" hidden="false" customHeight="false" outlineLevel="0" collapsed="false">
      <c r="A505" s="38"/>
      <c r="B505" s="6"/>
      <c r="C505" s="6"/>
      <c r="D505" s="6"/>
      <c r="E505" s="6"/>
      <c r="F505" s="37"/>
      <c r="G505" s="6"/>
      <c r="H505" s="6"/>
    </row>
    <row r="506" customFormat="false" ht="15" hidden="false" customHeight="false" outlineLevel="0" collapsed="false">
      <c r="A506" s="38"/>
      <c r="B506" s="6"/>
      <c r="C506" s="6"/>
      <c r="D506" s="6"/>
      <c r="E506" s="6"/>
      <c r="F506" s="37"/>
      <c r="G506" s="6"/>
      <c r="H506" s="6"/>
    </row>
    <row r="507" customFormat="false" ht="15" hidden="false" customHeight="false" outlineLevel="0" collapsed="false">
      <c r="A507" s="38"/>
      <c r="B507" s="6"/>
      <c r="C507" s="6"/>
      <c r="D507" s="6"/>
      <c r="E507" s="6"/>
      <c r="F507" s="37"/>
      <c r="G507" s="6"/>
      <c r="H507" s="6"/>
    </row>
    <row r="508" customFormat="false" ht="15" hidden="false" customHeight="false" outlineLevel="0" collapsed="false">
      <c r="A508" s="38"/>
      <c r="B508" s="6"/>
      <c r="C508" s="6"/>
      <c r="D508" s="6"/>
      <c r="E508" s="6"/>
      <c r="F508" s="37"/>
      <c r="G508" s="6"/>
      <c r="H508" s="6"/>
    </row>
    <row r="509" customFormat="false" ht="15" hidden="false" customHeight="false" outlineLevel="0" collapsed="false">
      <c r="A509" s="38"/>
      <c r="B509" s="6"/>
      <c r="C509" s="6"/>
      <c r="D509" s="6"/>
      <c r="E509" s="6"/>
      <c r="F509" s="37"/>
      <c r="G509" s="6"/>
      <c r="H509" s="6"/>
    </row>
    <row r="510" customFormat="false" ht="15" hidden="false" customHeight="false" outlineLevel="0" collapsed="false">
      <c r="A510" s="38"/>
      <c r="B510" s="6"/>
      <c r="C510" s="6"/>
      <c r="D510" s="6"/>
      <c r="E510" s="6"/>
      <c r="F510" s="37"/>
      <c r="G510" s="6"/>
      <c r="H510" s="6"/>
    </row>
    <row r="511" customFormat="false" ht="15" hidden="false" customHeight="false" outlineLevel="0" collapsed="false">
      <c r="A511" s="38"/>
      <c r="B511" s="6"/>
      <c r="C511" s="6"/>
      <c r="D511" s="6"/>
      <c r="E511" s="6"/>
      <c r="F511" s="37"/>
      <c r="G511" s="6"/>
      <c r="H511" s="6"/>
    </row>
    <row r="512" customFormat="false" ht="15" hidden="false" customHeight="false" outlineLevel="0" collapsed="false">
      <c r="A512" s="38"/>
      <c r="B512" s="6"/>
      <c r="C512" s="6"/>
      <c r="D512" s="6"/>
      <c r="E512" s="6"/>
      <c r="F512" s="37"/>
      <c r="G512" s="6"/>
      <c r="H512" s="6"/>
    </row>
    <row r="513" customFormat="false" ht="15" hidden="false" customHeight="false" outlineLevel="0" collapsed="false">
      <c r="A513" s="38"/>
      <c r="B513" s="6"/>
      <c r="C513" s="6"/>
      <c r="D513" s="6"/>
      <c r="E513" s="6"/>
      <c r="F513" s="37"/>
      <c r="G513" s="6"/>
      <c r="H513" s="6"/>
    </row>
    <row r="514" customFormat="false" ht="15" hidden="false" customHeight="false" outlineLevel="0" collapsed="false">
      <c r="A514" s="38"/>
      <c r="B514" s="6"/>
      <c r="C514" s="6"/>
      <c r="D514" s="6"/>
      <c r="E514" s="6"/>
      <c r="F514" s="37"/>
      <c r="G514" s="6"/>
      <c r="H514" s="6"/>
    </row>
    <row r="515" customFormat="false" ht="15" hidden="false" customHeight="false" outlineLevel="0" collapsed="false">
      <c r="A515" s="38"/>
      <c r="B515" s="6"/>
      <c r="C515" s="6"/>
      <c r="D515" s="6"/>
      <c r="E515" s="6"/>
      <c r="F515" s="37"/>
      <c r="G515" s="6"/>
      <c r="H515" s="6"/>
    </row>
    <row r="516" customFormat="false" ht="15" hidden="false" customHeight="false" outlineLevel="0" collapsed="false">
      <c r="A516" s="38"/>
      <c r="B516" s="6"/>
      <c r="C516" s="6"/>
      <c r="D516" s="6"/>
      <c r="E516" s="6"/>
      <c r="F516" s="37"/>
      <c r="G516" s="6"/>
      <c r="H516" s="6"/>
    </row>
    <row r="517" customFormat="false" ht="15" hidden="false" customHeight="false" outlineLevel="0" collapsed="false">
      <c r="A517" s="38"/>
      <c r="B517" s="6"/>
      <c r="C517" s="6"/>
      <c r="D517" s="6"/>
      <c r="E517" s="6"/>
      <c r="F517" s="37"/>
      <c r="G517" s="6"/>
      <c r="H517" s="6"/>
    </row>
    <row r="518" customFormat="false" ht="15" hidden="false" customHeight="false" outlineLevel="0" collapsed="false">
      <c r="A518" s="38"/>
      <c r="B518" s="6"/>
      <c r="C518" s="6"/>
      <c r="D518" s="6"/>
      <c r="E518" s="6"/>
      <c r="F518" s="37"/>
      <c r="G518" s="6"/>
      <c r="H518" s="6"/>
    </row>
    <row r="519" customFormat="false" ht="15" hidden="false" customHeight="false" outlineLevel="0" collapsed="false">
      <c r="A519" s="38"/>
      <c r="B519" s="6"/>
      <c r="C519" s="6"/>
      <c r="D519" s="6"/>
      <c r="E519" s="6"/>
      <c r="F519" s="37"/>
      <c r="G519" s="6"/>
      <c r="H519" s="6"/>
    </row>
    <row r="520" customFormat="false" ht="15" hidden="false" customHeight="false" outlineLevel="0" collapsed="false">
      <c r="A520" s="38"/>
      <c r="B520" s="6"/>
      <c r="C520" s="6"/>
      <c r="D520" s="6"/>
      <c r="E520" s="6"/>
      <c r="F520" s="37"/>
      <c r="G520" s="6"/>
      <c r="H520" s="6"/>
    </row>
    <row r="521" customFormat="false" ht="15" hidden="false" customHeight="false" outlineLevel="0" collapsed="false">
      <c r="A521" s="38"/>
      <c r="B521" s="6"/>
      <c r="C521" s="6"/>
      <c r="D521" s="6"/>
      <c r="E521" s="6"/>
      <c r="F521" s="37"/>
      <c r="G521" s="6"/>
      <c r="H521" s="6"/>
    </row>
    <row r="522" customFormat="false" ht="15" hidden="false" customHeight="false" outlineLevel="0" collapsed="false">
      <c r="A522" s="38"/>
      <c r="B522" s="6"/>
      <c r="C522" s="6"/>
      <c r="D522" s="6"/>
      <c r="E522" s="6"/>
      <c r="F522" s="37"/>
      <c r="G522" s="6"/>
      <c r="H522" s="6"/>
    </row>
    <row r="523" customFormat="false" ht="15" hidden="false" customHeight="false" outlineLevel="0" collapsed="false">
      <c r="A523" s="38"/>
      <c r="B523" s="6"/>
      <c r="C523" s="6"/>
      <c r="D523" s="6"/>
      <c r="E523" s="6"/>
      <c r="F523" s="37"/>
      <c r="G523" s="6"/>
      <c r="H523" s="6"/>
    </row>
    <row r="524" customFormat="false" ht="15" hidden="false" customHeight="false" outlineLevel="0" collapsed="false">
      <c r="A524" s="38"/>
      <c r="B524" s="6"/>
      <c r="C524" s="6"/>
      <c r="D524" s="6"/>
      <c r="E524" s="6"/>
      <c r="F524" s="37"/>
      <c r="G524" s="6"/>
      <c r="H524" s="6"/>
    </row>
    <row r="525" customFormat="false" ht="15" hidden="false" customHeight="false" outlineLevel="0" collapsed="false">
      <c r="A525" s="38"/>
      <c r="B525" s="6"/>
      <c r="C525" s="6"/>
      <c r="D525" s="6"/>
      <c r="E525" s="6"/>
      <c r="F525" s="37"/>
      <c r="G525" s="6"/>
      <c r="H525" s="6"/>
    </row>
    <row r="526" customFormat="false" ht="15" hidden="false" customHeight="false" outlineLevel="0" collapsed="false">
      <c r="A526" s="38"/>
      <c r="B526" s="6"/>
      <c r="C526" s="6"/>
      <c r="D526" s="6"/>
      <c r="E526" s="6"/>
      <c r="F526" s="37"/>
      <c r="G526" s="6"/>
      <c r="H526" s="6"/>
    </row>
    <row r="527" customFormat="false" ht="15" hidden="false" customHeight="false" outlineLevel="0" collapsed="false">
      <c r="A527" s="38"/>
      <c r="B527" s="6"/>
      <c r="C527" s="6"/>
      <c r="D527" s="6"/>
      <c r="E527" s="6"/>
      <c r="F527" s="37"/>
      <c r="G527" s="6"/>
      <c r="H527" s="6"/>
    </row>
    <row r="528" customFormat="false" ht="15" hidden="false" customHeight="false" outlineLevel="0" collapsed="false">
      <c r="A528" s="38"/>
      <c r="B528" s="6"/>
      <c r="C528" s="6"/>
      <c r="D528" s="6"/>
      <c r="E528" s="6"/>
      <c r="F528" s="37"/>
      <c r="G528" s="6"/>
      <c r="H528" s="6"/>
    </row>
    <row r="529" customFormat="false" ht="15" hidden="false" customHeight="false" outlineLevel="0" collapsed="false">
      <c r="A529" s="38"/>
      <c r="B529" s="6"/>
      <c r="C529" s="6"/>
      <c r="D529" s="6"/>
      <c r="E529" s="6"/>
      <c r="F529" s="37"/>
      <c r="G529" s="6"/>
      <c r="H529" s="6"/>
    </row>
    <row r="530" customFormat="false" ht="15" hidden="false" customHeight="false" outlineLevel="0" collapsed="false">
      <c r="A530" s="38"/>
      <c r="B530" s="6"/>
      <c r="C530" s="6"/>
      <c r="D530" s="6"/>
      <c r="E530" s="6"/>
      <c r="F530" s="37"/>
      <c r="G530" s="6"/>
      <c r="H530" s="6"/>
    </row>
    <row r="531" customFormat="false" ht="15" hidden="false" customHeight="false" outlineLevel="0" collapsed="false">
      <c r="A531" s="38"/>
      <c r="B531" s="6"/>
      <c r="C531" s="6"/>
      <c r="D531" s="6"/>
      <c r="E531" s="6"/>
      <c r="F531" s="37"/>
      <c r="G531" s="6"/>
      <c r="H531" s="6"/>
    </row>
    <row r="532" customFormat="false" ht="15" hidden="false" customHeight="false" outlineLevel="0" collapsed="false">
      <c r="A532" s="38"/>
      <c r="B532" s="6"/>
      <c r="C532" s="6"/>
      <c r="D532" s="6"/>
      <c r="E532" s="6"/>
      <c r="F532" s="37"/>
      <c r="G532" s="6"/>
      <c r="H532" s="6"/>
    </row>
    <row r="533" customFormat="false" ht="15" hidden="false" customHeight="false" outlineLevel="0" collapsed="false">
      <c r="A533" s="38"/>
      <c r="B533" s="6"/>
      <c r="C533" s="6"/>
      <c r="D533" s="6"/>
      <c r="E533" s="6"/>
      <c r="F533" s="37"/>
      <c r="G533" s="6"/>
      <c r="H533" s="6"/>
    </row>
    <row r="534" customFormat="false" ht="15" hidden="false" customHeight="false" outlineLevel="0" collapsed="false">
      <c r="A534" s="38"/>
      <c r="B534" s="6"/>
      <c r="C534" s="6"/>
      <c r="D534" s="6"/>
      <c r="E534" s="6"/>
      <c r="F534" s="37"/>
      <c r="G534" s="6"/>
      <c r="H534" s="6"/>
    </row>
    <row r="535" customFormat="false" ht="15" hidden="false" customHeight="false" outlineLevel="0" collapsed="false">
      <c r="A535" s="38"/>
      <c r="B535" s="6"/>
      <c r="C535" s="6"/>
      <c r="D535" s="6"/>
      <c r="E535" s="6"/>
      <c r="F535" s="37"/>
      <c r="G535" s="6"/>
      <c r="H535" s="6"/>
    </row>
    <row r="536" customFormat="false" ht="15" hidden="false" customHeight="false" outlineLevel="0" collapsed="false">
      <c r="A536" s="38"/>
      <c r="B536" s="6"/>
      <c r="C536" s="6"/>
      <c r="D536" s="6"/>
      <c r="E536" s="6"/>
      <c r="F536" s="37"/>
      <c r="G536" s="6"/>
      <c r="H536" s="6"/>
    </row>
    <row r="537" customFormat="false" ht="15" hidden="false" customHeight="false" outlineLevel="0" collapsed="false">
      <c r="A537" s="38"/>
      <c r="B537" s="6"/>
      <c r="C537" s="6"/>
      <c r="D537" s="6"/>
      <c r="E537" s="6"/>
      <c r="F537" s="37"/>
      <c r="G537" s="6"/>
      <c r="H537" s="6"/>
    </row>
    <row r="538" customFormat="false" ht="15" hidden="false" customHeight="false" outlineLevel="0" collapsed="false">
      <c r="A538" s="38"/>
      <c r="B538" s="6"/>
      <c r="C538" s="6"/>
      <c r="D538" s="6"/>
      <c r="E538" s="6"/>
      <c r="F538" s="37"/>
      <c r="G538" s="6"/>
      <c r="H538" s="6"/>
    </row>
    <row r="539" customFormat="false" ht="15" hidden="false" customHeight="false" outlineLevel="0" collapsed="false">
      <c r="A539" s="38"/>
      <c r="B539" s="6"/>
      <c r="C539" s="6"/>
      <c r="D539" s="6"/>
      <c r="E539" s="6"/>
      <c r="F539" s="37"/>
      <c r="G539" s="6"/>
      <c r="H539" s="6"/>
    </row>
    <row r="540" customFormat="false" ht="15" hidden="false" customHeight="false" outlineLevel="0" collapsed="false">
      <c r="A540" s="38"/>
      <c r="B540" s="6"/>
      <c r="C540" s="6"/>
      <c r="D540" s="6"/>
      <c r="E540" s="6"/>
      <c r="F540" s="37"/>
      <c r="G540" s="6"/>
      <c r="H540" s="6"/>
    </row>
    <row r="541" customFormat="false" ht="15" hidden="false" customHeight="false" outlineLevel="0" collapsed="false">
      <c r="A541" s="38"/>
      <c r="B541" s="6"/>
      <c r="C541" s="6"/>
      <c r="D541" s="6"/>
      <c r="E541" s="6"/>
      <c r="F541" s="37"/>
      <c r="G541" s="6"/>
      <c r="H541" s="6"/>
    </row>
    <row r="542" customFormat="false" ht="15" hidden="false" customHeight="false" outlineLevel="0" collapsed="false">
      <c r="A542" s="38"/>
      <c r="B542" s="6"/>
      <c r="C542" s="6"/>
      <c r="D542" s="6"/>
      <c r="E542" s="6"/>
      <c r="F542" s="37"/>
      <c r="G542" s="6"/>
      <c r="H542" s="6"/>
    </row>
    <row r="543" customFormat="false" ht="15" hidden="false" customHeight="false" outlineLevel="0" collapsed="false">
      <c r="A543" s="38"/>
      <c r="B543" s="6"/>
      <c r="C543" s="6"/>
      <c r="D543" s="6"/>
      <c r="E543" s="6"/>
      <c r="F543" s="37"/>
      <c r="G543" s="6"/>
      <c r="H543" s="6"/>
    </row>
    <row r="544" customFormat="false" ht="15" hidden="false" customHeight="false" outlineLevel="0" collapsed="false">
      <c r="A544" s="38"/>
      <c r="B544" s="6"/>
      <c r="C544" s="6"/>
      <c r="D544" s="6"/>
      <c r="E544" s="6"/>
      <c r="F544" s="37"/>
      <c r="G544" s="6"/>
      <c r="H544" s="6"/>
    </row>
    <row r="545" customFormat="false" ht="15" hidden="false" customHeight="false" outlineLevel="0" collapsed="false">
      <c r="A545" s="38"/>
      <c r="B545" s="6"/>
      <c r="C545" s="6"/>
      <c r="D545" s="6"/>
      <c r="E545" s="6"/>
      <c r="F545" s="37"/>
      <c r="G545" s="6"/>
      <c r="H545" s="6"/>
    </row>
    <row r="546" customFormat="false" ht="15" hidden="false" customHeight="false" outlineLevel="0" collapsed="false">
      <c r="A546" s="38"/>
      <c r="B546" s="6"/>
      <c r="C546" s="6"/>
      <c r="D546" s="6"/>
      <c r="E546" s="6"/>
      <c r="F546" s="37"/>
      <c r="G546" s="6"/>
      <c r="H546" s="6"/>
    </row>
    <row r="547" customFormat="false" ht="15" hidden="false" customHeight="false" outlineLevel="0" collapsed="false">
      <c r="A547" s="38"/>
      <c r="B547" s="6"/>
      <c r="C547" s="6"/>
      <c r="D547" s="6"/>
      <c r="E547" s="6"/>
      <c r="F547" s="37"/>
      <c r="G547" s="6"/>
      <c r="H547" s="6"/>
    </row>
    <row r="548" customFormat="false" ht="15" hidden="false" customHeight="false" outlineLevel="0" collapsed="false">
      <c r="A548" s="38"/>
      <c r="B548" s="6"/>
      <c r="C548" s="6"/>
      <c r="D548" s="6"/>
      <c r="E548" s="6"/>
      <c r="F548" s="37"/>
      <c r="G548" s="6"/>
      <c r="H548" s="6"/>
    </row>
    <row r="549" customFormat="false" ht="15" hidden="false" customHeight="false" outlineLevel="0" collapsed="false">
      <c r="A549" s="38"/>
      <c r="B549" s="6"/>
      <c r="C549" s="6"/>
      <c r="D549" s="6"/>
      <c r="E549" s="6"/>
      <c r="F549" s="37"/>
      <c r="G549" s="6"/>
      <c r="H549" s="6"/>
    </row>
    <row r="550" customFormat="false" ht="15" hidden="false" customHeight="false" outlineLevel="0" collapsed="false">
      <c r="A550" s="38"/>
      <c r="B550" s="6"/>
      <c r="C550" s="6"/>
      <c r="D550" s="6"/>
      <c r="E550" s="6"/>
      <c r="F550" s="37"/>
      <c r="G550" s="6"/>
      <c r="H550" s="6"/>
    </row>
    <row r="551" customFormat="false" ht="15" hidden="false" customHeight="false" outlineLevel="0" collapsed="false">
      <c r="A551" s="38"/>
      <c r="B551" s="6"/>
      <c r="C551" s="6"/>
      <c r="D551" s="6"/>
      <c r="E551" s="6"/>
      <c r="F551" s="37"/>
      <c r="G551" s="6"/>
      <c r="H551" s="6"/>
    </row>
    <row r="552" customFormat="false" ht="15" hidden="false" customHeight="false" outlineLevel="0" collapsed="false">
      <c r="A552" s="38"/>
      <c r="B552" s="6"/>
      <c r="C552" s="6"/>
      <c r="D552" s="6"/>
      <c r="E552" s="6"/>
      <c r="F552" s="37"/>
      <c r="G552" s="6"/>
      <c r="H552" s="6"/>
    </row>
    <row r="553" customFormat="false" ht="15" hidden="false" customHeight="false" outlineLevel="0" collapsed="false">
      <c r="A553" s="38"/>
      <c r="B553" s="6"/>
      <c r="C553" s="6"/>
      <c r="D553" s="6"/>
      <c r="E553" s="6"/>
      <c r="F553" s="37"/>
      <c r="G553" s="6"/>
      <c r="H553" s="6"/>
    </row>
    <row r="554" customFormat="false" ht="15" hidden="false" customHeight="false" outlineLevel="0" collapsed="false">
      <c r="A554" s="38"/>
      <c r="B554" s="6"/>
      <c r="C554" s="6"/>
      <c r="D554" s="6"/>
      <c r="E554" s="6"/>
      <c r="F554" s="37"/>
      <c r="G554" s="6"/>
      <c r="H554" s="6"/>
    </row>
    <row r="555" customFormat="false" ht="15" hidden="false" customHeight="false" outlineLevel="0" collapsed="false">
      <c r="A555" s="38"/>
      <c r="B555" s="6"/>
      <c r="C555" s="6"/>
      <c r="D555" s="6"/>
      <c r="E555" s="6"/>
      <c r="F555" s="37"/>
      <c r="G555" s="6"/>
      <c r="H555" s="6"/>
    </row>
    <row r="556" customFormat="false" ht="15" hidden="false" customHeight="false" outlineLevel="0" collapsed="false">
      <c r="A556" s="38"/>
      <c r="B556" s="6"/>
      <c r="C556" s="6"/>
      <c r="D556" s="6"/>
      <c r="E556" s="6"/>
      <c r="F556" s="37"/>
      <c r="G556" s="6"/>
      <c r="H556" s="6"/>
    </row>
    <row r="557" customFormat="false" ht="15" hidden="false" customHeight="false" outlineLevel="0" collapsed="false">
      <c r="A557" s="38"/>
      <c r="B557" s="6"/>
      <c r="C557" s="6"/>
      <c r="D557" s="6"/>
      <c r="E557" s="6"/>
      <c r="F557" s="37"/>
      <c r="G557" s="6"/>
      <c r="H557" s="6"/>
    </row>
    <row r="558" customFormat="false" ht="15" hidden="false" customHeight="false" outlineLevel="0" collapsed="false">
      <c r="A558" s="38"/>
      <c r="B558" s="6"/>
      <c r="C558" s="6"/>
      <c r="D558" s="6"/>
      <c r="E558" s="6"/>
      <c r="F558" s="37"/>
      <c r="G558" s="6"/>
      <c r="H558" s="6"/>
    </row>
    <row r="559" customFormat="false" ht="15" hidden="false" customHeight="false" outlineLevel="0" collapsed="false">
      <c r="A559" s="38"/>
      <c r="B559" s="6"/>
      <c r="C559" s="6"/>
      <c r="D559" s="6"/>
      <c r="E559" s="6"/>
      <c r="F559" s="37"/>
      <c r="G559" s="6"/>
      <c r="H559" s="6"/>
    </row>
    <row r="560" customFormat="false" ht="15" hidden="false" customHeight="false" outlineLevel="0" collapsed="false">
      <c r="A560" s="38"/>
      <c r="B560" s="6"/>
      <c r="C560" s="6"/>
      <c r="D560" s="6"/>
      <c r="E560" s="6"/>
      <c r="F560" s="37"/>
      <c r="G560" s="6"/>
      <c r="H560" s="6"/>
    </row>
    <row r="561" customFormat="false" ht="15" hidden="false" customHeight="false" outlineLevel="0" collapsed="false">
      <c r="A561" s="38"/>
      <c r="B561" s="6"/>
      <c r="C561" s="6"/>
      <c r="D561" s="6"/>
      <c r="E561" s="6"/>
      <c r="F561" s="37"/>
      <c r="G561" s="6"/>
      <c r="H561" s="6"/>
    </row>
    <row r="562" customFormat="false" ht="15" hidden="false" customHeight="false" outlineLevel="0" collapsed="false">
      <c r="A562" s="38"/>
      <c r="B562" s="6"/>
      <c r="C562" s="6"/>
      <c r="D562" s="6"/>
      <c r="E562" s="6"/>
      <c r="F562" s="37"/>
      <c r="G562" s="6"/>
      <c r="H562" s="6"/>
    </row>
    <row r="563" customFormat="false" ht="15" hidden="false" customHeight="false" outlineLevel="0" collapsed="false">
      <c r="A563" s="38"/>
      <c r="B563" s="6"/>
      <c r="C563" s="6"/>
      <c r="D563" s="6"/>
      <c r="E563" s="6"/>
      <c r="F563" s="37"/>
      <c r="G563" s="6"/>
      <c r="H563" s="6"/>
    </row>
    <row r="564" customFormat="false" ht="15" hidden="false" customHeight="false" outlineLevel="0" collapsed="false">
      <c r="A564" s="38"/>
      <c r="B564" s="6"/>
      <c r="C564" s="6"/>
      <c r="D564" s="6"/>
      <c r="E564" s="6"/>
      <c r="F564" s="37"/>
      <c r="G564" s="6"/>
      <c r="H564" s="6"/>
    </row>
    <row r="565" customFormat="false" ht="15" hidden="false" customHeight="false" outlineLevel="0" collapsed="false">
      <c r="A565" s="38"/>
      <c r="B565" s="6"/>
      <c r="C565" s="6"/>
      <c r="D565" s="6"/>
      <c r="E565" s="6"/>
      <c r="F565" s="37"/>
      <c r="G565" s="6"/>
      <c r="H565" s="6"/>
    </row>
    <row r="566" customFormat="false" ht="15" hidden="false" customHeight="false" outlineLevel="0" collapsed="false">
      <c r="A566" s="38"/>
      <c r="B566" s="6"/>
      <c r="C566" s="6"/>
      <c r="D566" s="6"/>
      <c r="E566" s="6"/>
      <c r="F566" s="37"/>
      <c r="G566" s="6"/>
      <c r="H566" s="6"/>
    </row>
    <row r="567" customFormat="false" ht="15" hidden="false" customHeight="false" outlineLevel="0" collapsed="false">
      <c r="A567" s="38"/>
      <c r="B567" s="6"/>
      <c r="C567" s="6"/>
      <c r="D567" s="6"/>
      <c r="E567" s="6"/>
      <c r="F567" s="37"/>
      <c r="G567" s="6"/>
      <c r="H567" s="6"/>
    </row>
    <row r="568" customFormat="false" ht="15" hidden="false" customHeight="false" outlineLevel="0" collapsed="false">
      <c r="A568" s="38"/>
      <c r="B568" s="6"/>
      <c r="C568" s="6"/>
      <c r="D568" s="6"/>
      <c r="E568" s="6"/>
      <c r="F568" s="37"/>
      <c r="G568" s="6"/>
      <c r="H568" s="6"/>
    </row>
    <row r="569" customFormat="false" ht="15" hidden="false" customHeight="false" outlineLevel="0" collapsed="false">
      <c r="A569" s="38"/>
      <c r="B569" s="6"/>
      <c r="C569" s="6"/>
      <c r="D569" s="6"/>
      <c r="E569" s="6"/>
      <c r="F569" s="37"/>
      <c r="G569" s="6"/>
      <c r="H569" s="6"/>
    </row>
    <row r="570" customFormat="false" ht="15" hidden="false" customHeight="false" outlineLevel="0" collapsed="false">
      <c r="A570" s="38"/>
      <c r="B570" s="6"/>
      <c r="C570" s="6"/>
      <c r="D570" s="6"/>
      <c r="E570" s="6"/>
      <c r="F570" s="37"/>
      <c r="G570" s="6"/>
      <c r="H570" s="6"/>
    </row>
    <row r="571" customFormat="false" ht="15" hidden="false" customHeight="false" outlineLevel="0" collapsed="false">
      <c r="A571" s="38"/>
      <c r="B571" s="6"/>
      <c r="C571" s="6"/>
      <c r="D571" s="6"/>
      <c r="E571" s="6"/>
      <c r="F571" s="37"/>
      <c r="G571" s="6"/>
      <c r="H571" s="6"/>
    </row>
    <row r="572" customFormat="false" ht="15" hidden="false" customHeight="false" outlineLevel="0" collapsed="false">
      <c r="A572" s="38"/>
      <c r="B572" s="6"/>
      <c r="C572" s="6"/>
      <c r="D572" s="6"/>
      <c r="E572" s="6"/>
      <c r="F572" s="37"/>
      <c r="G572" s="6"/>
      <c r="H572" s="6"/>
    </row>
    <row r="573" customFormat="false" ht="15" hidden="false" customHeight="false" outlineLevel="0" collapsed="false">
      <c r="A573" s="38"/>
      <c r="B573" s="6"/>
      <c r="C573" s="6"/>
      <c r="D573" s="6"/>
      <c r="E573" s="6"/>
      <c r="F573" s="37"/>
      <c r="G573" s="6"/>
      <c r="H573" s="6"/>
    </row>
    <row r="574" customFormat="false" ht="15" hidden="false" customHeight="false" outlineLevel="0" collapsed="false">
      <c r="A574" s="38"/>
      <c r="B574" s="6"/>
      <c r="C574" s="6"/>
      <c r="D574" s="6"/>
      <c r="E574" s="6"/>
      <c r="F574" s="37"/>
      <c r="G574" s="6"/>
      <c r="H574" s="6"/>
    </row>
    <row r="575" customFormat="false" ht="15" hidden="false" customHeight="false" outlineLevel="0" collapsed="false">
      <c r="A575" s="38"/>
      <c r="B575" s="6"/>
      <c r="C575" s="6"/>
      <c r="D575" s="6"/>
      <c r="E575" s="6"/>
      <c r="F575" s="37"/>
      <c r="G575" s="6"/>
      <c r="H575" s="6"/>
    </row>
    <row r="576" customFormat="false" ht="15" hidden="false" customHeight="false" outlineLevel="0" collapsed="false">
      <c r="A576" s="38"/>
      <c r="B576" s="6"/>
      <c r="C576" s="6"/>
      <c r="D576" s="6"/>
      <c r="E576" s="6"/>
      <c r="F576" s="37"/>
      <c r="G576" s="6"/>
      <c r="H576" s="6"/>
    </row>
    <row r="577" customFormat="false" ht="15" hidden="false" customHeight="false" outlineLevel="0" collapsed="false">
      <c r="A577" s="38"/>
      <c r="B577" s="6"/>
      <c r="C577" s="6"/>
      <c r="D577" s="6"/>
      <c r="E577" s="6"/>
      <c r="F577" s="37"/>
      <c r="G577" s="6"/>
      <c r="H577" s="6"/>
    </row>
    <row r="578" customFormat="false" ht="15" hidden="false" customHeight="false" outlineLevel="0" collapsed="false">
      <c r="A578" s="38"/>
      <c r="B578" s="6"/>
      <c r="C578" s="6"/>
      <c r="D578" s="6"/>
      <c r="E578" s="6"/>
      <c r="F578" s="37"/>
      <c r="G578" s="6"/>
      <c r="H578" s="6"/>
    </row>
    <row r="579" customFormat="false" ht="15" hidden="false" customHeight="false" outlineLevel="0" collapsed="false">
      <c r="A579" s="38"/>
      <c r="B579" s="6"/>
      <c r="C579" s="6"/>
      <c r="D579" s="6"/>
      <c r="E579" s="6"/>
      <c r="F579" s="37"/>
      <c r="G579" s="6"/>
      <c r="H579" s="6"/>
    </row>
    <row r="580" customFormat="false" ht="15" hidden="false" customHeight="false" outlineLevel="0" collapsed="false">
      <c r="A580" s="38"/>
      <c r="B580" s="6"/>
      <c r="C580" s="6"/>
      <c r="D580" s="6"/>
      <c r="E580" s="6"/>
      <c r="F580" s="37"/>
      <c r="G580" s="6"/>
      <c r="H580" s="6"/>
    </row>
    <row r="581" customFormat="false" ht="15" hidden="false" customHeight="false" outlineLevel="0" collapsed="false">
      <c r="A581" s="38"/>
      <c r="B581" s="6"/>
      <c r="C581" s="6"/>
      <c r="D581" s="6"/>
      <c r="E581" s="6"/>
      <c r="F581" s="37"/>
      <c r="G581" s="6"/>
      <c r="H581" s="6"/>
    </row>
    <row r="582" customFormat="false" ht="15" hidden="false" customHeight="false" outlineLevel="0" collapsed="false">
      <c r="A582" s="38"/>
      <c r="B582" s="6"/>
      <c r="C582" s="6"/>
      <c r="D582" s="6"/>
      <c r="E582" s="6"/>
      <c r="F582" s="37"/>
      <c r="G582" s="6"/>
      <c r="H582" s="6"/>
    </row>
    <row r="583" customFormat="false" ht="15" hidden="false" customHeight="false" outlineLevel="0" collapsed="false">
      <c r="A583" s="38"/>
      <c r="B583" s="6"/>
      <c r="C583" s="6"/>
      <c r="D583" s="6"/>
      <c r="E583" s="6"/>
      <c r="F583" s="37"/>
      <c r="G583" s="6"/>
      <c r="H583" s="6"/>
    </row>
    <row r="584" customFormat="false" ht="15" hidden="false" customHeight="false" outlineLevel="0" collapsed="false">
      <c r="A584" s="38"/>
      <c r="B584" s="6"/>
      <c r="C584" s="6"/>
      <c r="D584" s="6"/>
      <c r="E584" s="6"/>
      <c r="F584" s="37"/>
      <c r="G584" s="6"/>
      <c r="H584" s="6"/>
    </row>
    <row r="585" customFormat="false" ht="15" hidden="false" customHeight="false" outlineLevel="0" collapsed="false">
      <c r="A585" s="38"/>
      <c r="B585" s="6"/>
      <c r="C585" s="6"/>
      <c r="D585" s="6"/>
      <c r="E585" s="6"/>
      <c r="F585" s="37"/>
      <c r="G585" s="6"/>
      <c r="H585" s="6"/>
    </row>
    <row r="586" customFormat="false" ht="15" hidden="false" customHeight="false" outlineLevel="0" collapsed="false">
      <c r="A586" s="38"/>
      <c r="B586" s="6"/>
      <c r="C586" s="6"/>
      <c r="D586" s="6"/>
      <c r="E586" s="6"/>
      <c r="F586" s="37"/>
      <c r="G586" s="6"/>
      <c r="H586" s="6"/>
    </row>
    <row r="587" customFormat="false" ht="15" hidden="false" customHeight="false" outlineLevel="0" collapsed="false">
      <c r="A587" s="38"/>
      <c r="B587" s="6"/>
      <c r="C587" s="6"/>
      <c r="D587" s="6"/>
      <c r="E587" s="6"/>
      <c r="F587" s="37"/>
      <c r="G587" s="6"/>
      <c r="H587" s="6"/>
    </row>
    <row r="588" customFormat="false" ht="15" hidden="false" customHeight="false" outlineLevel="0" collapsed="false">
      <c r="A588" s="38"/>
      <c r="B588" s="6"/>
      <c r="C588" s="6"/>
      <c r="D588" s="6"/>
      <c r="E588" s="6"/>
      <c r="F588" s="37"/>
      <c r="G588" s="6"/>
      <c r="H588" s="6"/>
    </row>
    <row r="589" customFormat="false" ht="15" hidden="false" customHeight="false" outlineLevel="0" collapsed="false">
      <c r="A589" s="38"/>
      <c r="B589" s="6"/>
      <c r="C589" s="6"/>
      <c r="D589" s="6"/>
      <c r="E589" s="6"/>
      <c r="F589" s="37"/>
      <c r="G589" s="6"/>
      <c r="H589" s="6"/>
    </row>
    <row r="590" customFormat="false" ht="15" hidden="false" customHeight="false" outlineLevel="0" collapsed="false">
      <c r="A590" s="38"/>
      <c r="B590" s="6"/>
      <c r="C590" s="6"/>
      <c r="D590" s="6"/>
      <c r="E590" s="6"/>
      <c r="F590" s="37"/>
      <c r="G590" s="6"/>
      <c r="H590" s="6"/>
    </row>
    <row r="591" customFormat="false" ht="15" hidden="false" customHeight="false" outlineLevel="0" collapsed="false">
      <c r="A591" s="38"/>
      <c r="B591" s="6"/>
      <c r="C591" s="6"/>
      <c r="D591" s="6"/>
      <c r="E591" s="6"/>
      <c r="F591" s="37"/>
      <c r="G591" s="6"/>
      <c r="H591" s="6"/>
    </row>
    <row r="592" customFormat="false" ht="15" hidden="false" customHeight="false" outlineLevel="0" collapsed="false">
      <c r="A592" s="38"/>
      <c r="B592" s="6"/>
      <c r="C592" s="6"/>
      <c r="D592" s="6"/>
      <c r="E592" s="6"/>
      <c r="F592" s="37"/>
      <c r="G592" s="6"/>
      <c r="H592" s="6"/>
    </row>
    <row r="593" customFormat="false" ht="15" hidden="false" customHeight="false" outlineLevel="0" collapsed="false">
      <c r="A593" s="38"/>
      <c r="B593" s="6"/>
      <c r="C593" s="6"/>
      <c r="D593" s="6"/>
      <c r="E593" s="6"/>
      <c r="F593" s="37"/>
      <c r="G593" s="6"/>
      <c r="H593" s="6"/>
    </row>
    <row r="594" customFormat="false" ht="15" hidden="false" customHeight="false" outlineLevel="0" collapsed="false">
      <c r="A594" s="38"/>
      <c r="B594" s="6"/>
      <c r="C594" s="6"/>
      <c r="D594" s="6"/>
      <c r="E594" s="6"/>
      <c r="F594" s="37"/>
      <c r="G594" s="6"/>
      <c r="H594" s="6"/>
    </row>
    <row r="595" customFormat="false" ht="15" hidden="false" customHeight="false" outlineLevel="0" collapsed="false">
      <c r="A595" s="38"/>
      <c r="B595" s="6"/>
      <c r="C595" s="6"/>
      <c r="D595" s="6"/>
      <c r="E595" s="6"/>
      <c r="F595" s="37"/>
      <c r="G595" s="6"/>
      <c r="H595" s="6"/>
    </row>
    <row r="596" customFormat="false" ht="15" hidden="false" customHeight="false" outlineLevel="0" collapsed="false">
      <c r="A596" s="38"/>
      <c r="B596" s="6"/>
      <c r="C596" s="6"/>
      <c r="D596" s="6"/>
      <c r="E596" s="6"/>
      <c r="F596" s="37"/>
      <c r="G596" s="6"/>
      <c r="H596" s="6"/>
    </row>
    <row r="597" customFormat="false" ht="15" hidden="false" customHeight="false" outlineLevel="0" collapsed="false">
      <c r="A597" s="38"/>
      <c r="B597" s="6"/>
      <c r="C597" s="6"/>
      <c r="D597" s="6"/>
      <c r="E597" s="6"/>
      <c r="F597" s="37"/>
      <c r="G597" s="6"/>
      <c r="H597" s="6"/>
    </row>
    <row r="598" customFormat="false" ht="15" hidden="false" customHeight="false" outlineLevel="0" collapsed="false">
      <c r="A598" s="38"/>
      <c r="B598" s="6"/>
      <c r="C598" s="6"/>
      <c r="D598" s="6"/>
      <c r="E598" s="6"/>
      <c r="F598" s="37"/>
      <c r="G598" s="6"/>
      <c r="H598" s="6"/>
    </row>
    <row r="599" customFormat="false" ht="15" hidden="false" customHeight="false" outlineLevel="0" collapsed="false">
      <c r="A599" s="38"/>
      <c r="B599" s="6"/>
      <c r="C599" s="6"/>
      <c r="D599" s="6"/>
      <c r="E599" s="6"/>
      <c r="F599" s="37"/>
      <c r="G599" s="6"/>
      <c r="H599" s="6"/>
    </row>
    <row r="600" customFormat="false" ht="15" hidden="false" customHeight="false" outlineLevel="0" collapsed="false">
      <c r="A600" s="38"/>
      <c r="B600" s="6"/>
      <c r="C600" s="6"/>
      <c r="D600" s="6"/>
      <c r="E600" s="6"/>
      <c r="F600" s="37"/>
      <c r="G600" s="6"/>
      <c r="H600" s="6"/>
    </row>
    <row r="601" customFormat="false" ht="15" hidden="false" customHeight="false" outlineLevel="0" collapsed="false">
      <c r="A601" s="38"/>
      <c r="B601" s="6"/>
      <c r="C601" s="6"/>
      <c r="D601" s="6"/>
      <c r="E601" s="6"/>
      <c r="F601" s="37"/>
      <c r="G601" s="6"/>
      <c r="H601" s="6"/>
    </row>
    <row r="602" customFormat="false" ht="15" hidden="false" customHeight="false" outlineLevel="0" collapsed="false">
      <c r="A602" s="38"/>
      <c r="B602" s="6"/>
      <c r="C602" s="6"/>
      <c r="D602" s="6"/>
      <c r="E602" s="6"/>
      <c r="F602" s="37"/>
      <c r="G602" s="6"/>
      <c r="H602" s="6"/>
    </row>
    <row r="603" customFormat="false" ht="15" hidden="false" customHeight="false" outlineLevel="0" collapsed="false">
      <c r="A603" s="38"/>
      <c r="B603" s="6"/>
      <c r="C603" s="6"/>
      <c r="D603" s="6"/>
      <c r="E603" s="6"/>
      <c r="F603" s="37"/>
      <c r="G603" s="6"/>
      <c r="H603" s="6"/>
    </row>
    <row r="604" customFormat="false" ht="15" hidden="false" customHeight="false" outlineLevel="0" collapsed="false">
      <c r="A604" s="38"/>
      <c r="B604" s="6"/>
      <c r="C604" s="6"/>
      <c r="D604" s="6"/>
      <c r="E604" s="6"/>
      <c r="F604" s="37"/>
      <c r="G604" s="6"/>
      <c r="H604" s="6"/>
    </row>
    <row r="605" customFormat="false" ht="15" hidden="false" customHeight="false" outlineLevel="0" collapsed="false">
      <c r="A605" s="38"/>
      <c r="B605" s="6"/>
      <c r="C605" s="6"/>
      <c r="D605" s="6"/>
      <c r="E605" s="6"/>
      <c r="F605" s="37"/>
      <c r="G605" s="6"/>
      <c r="H605" s="6"/>
    </row>
    <row r="606" customFormat="false" ht="15" hidden="false" customHeight="false" outlineLevel="0" collapsed="false">
      <c r="A606" s="38"/>
      <c r="B606" s="6"/>
      <c r="C606" s="6"/>
      <c r="D606" s="6"/>
      <c r="E606" s="6"/>
      <c r="F606" s="37"/>
      <c r="G606" s="6"/>
      <c r="H606" s="6"/>
    </row>
    <row r="607" customFormat="false" ht="15" hidden="false" customHeight="false" outlineLevel="0" collapsed="false">
      <c r="A607" s="38"/>
      <c r="B607" s="6"/>
      <c r="C607" s="6"/>
      <c r="D607" s="6"/>
      <c r="E607" s="6"/>
      <c r="F607" s="37"/>
      <c r="G607" s="6"/>
      <c r="H607" s="6"/>
    </row>
    <row r="608" customFormat="false" ht="15" hidden="false" customHeight="false" outlineLevel="0" collapsed="false">
      <c r="A608" s="38"/>
      <c r="B608" s="6"/>
      <c r="C608" s="6"/>
      <c r="D608" s="6"/>
      <c r="E608" s="6"/>
      <c r="F608" s="37"/>
      <c r="G608" s="6"/>
      <c r="H608" s="6"/>
    </row>
    <row r="609" customFormat="false" ht="15" hidden="false" customHeight="false" outlineLevel="0" collapsed="false">
      <c r="A609" s="38"/>
      <c r="B609" s="6"/>
      <c r="C609" s="6"/>
      <c r="D609" s="6"/>
      <c r="E609" s="6"/>
      <c r="F609" s="37"/>
      <c r="G609" s="6"/>
      <c r="H609" s="6"/>
    </row>
    <row r="610" customFormat="false" ht="15" hidden="false" customHeight="false" outlineLevel="0" collapsed="false">
      <c r="A610" s="38"/>
      <c r="B610" s="6"/>
      <c r="C610" s="6"/>
      <c r="D610" s="6"/>
      <c r="E610" s="6"/>
      <c r="F610" s="37"/>
      <c r="G610" s="6"/>
      <c r="H610" s="6"/>
    </row>
    <row r="611" customFormat="false" ht="15" hidden="false" customHeight="false" outlineLevel="0" collapsed="false">
      <c r="A611" s="38"/>
      <c r="B611" s="6"/>
      <c r="C611" s="6"/>
      <c r="D611" s="6"/>
      <c r="E611" s="6"/>
      <c r="F611" s="37"/>
      <c r="G611" s="6"/>
      <c r="H611" s="6"/>
    </row>
    <row r="612" customFormat="false" ht="15" hidden="false" customHeight="false" outlineLevel="0" collapsed="false">
      <c r="A612" s="38"/>
      <c r="B612" s="6"/>
      <c r="C612" s="6"/>
      <c r="D612" s="6"/>
      <c r="E612" s="6"/>
      <c r="F612" s="37"/>
      <c r="G612" s="6"/>
      <c r="H612" s="6"/>
    </row>
    <row r="613" customFormat="false" ht="15" hidden="false" customHeight="false" outlineLevel="0" collapsed="false">
      <c r="A613" s="38"/>
      <c r="B613" s="6"/>
      <c r="C613" s="6"/>
      <c r="D613" s="6"/>
      <c r="E613" s="6"/>
      <c r="F613" s="37"/>
      <c r="G613" s="6"/>
      <c r="H613" s="6"/>
    </row>
    <row r="614" customFormat="false" ht="15" hidden="false" customHeight="false" outlineLevel="0" collapsed="false">
      <c r="A614" s="38"/>
      <c r="B614" s="6"/>
      <c r="C614" s="6"/>
      <c r="D614" s="6"/>
      <c r="E614" s="6"/>
      <c r="F614" s="37"/>
      <c r="G614" s="6"/>
      <c r="H614" s="6"/>
    </row>
    <row r="615" customFormat="false" ht="15" hidden="false" customHeight="false" outlineLevel="0" collapsed="false">
      <c r="A615" s="38"/>
      <c r="B615" s="6"/>
      <c r="C615" s="6"/>
      <c r="D615" s="6"/>
      <c r="E615" s="6"/>
      <c r="F615" s="37"/>
      <c r="G615" s="6"/>
      <c r="H615" s="6"/>
    </row>
    <row r="616" customFormat="false" ht="15" hidden="false" customHeight="false" outlineLevel="0" collapsed="false">
      <c r="A616" s="38"/>
      <c r="B616" s="6"/>
      <c r="C616" s="6"/>
      <c r="D616" s="6"/>
      <c r="E616" s="6"/>
      <c r="F616" s="37"/>
      <c r="G616" s="6"/>
      <c r="H616" s="6"/>
    </row>
    <row r="617" customFormat="false" ht="15" hidden="false" customHeight="false" outlineLevel="0" collapsed="false">
      <c r="A617" s="38"/>
      <c r="B617" s="6"/>
      <c r="C617" s="6"/>
      <c r="D617" s="6"/>
      <c r="E617" s="6"/>
      <c r="F617" s="37"/>
      <c r="G617" s="6"/>
      <c r="H617" s="6"/>
    </row>
    <row r="618" customFormat="false" ht="15" hidden="false" customHeight="false" outlineLevel="0" collapsed="false">
      <c r="A618" s="38"/>
      <c r="B618" s="6"/>
      <c r="C618" s="6"/>
      <c r="D618" s="6"/>
      <c r="E618" s="6"/>
      <c r="F618" s="37"/>
      <c r="G618" s="6"/>
      <c r="H618" s="6"/>
    </row>
    <row r="619" customFormat="false" ht="15" hidden="false" customHeight="false" outlineLevel="0" collapsed="false">
      <c r="A619" s="38"/>
      <c r="B619" s="6"/>
      <c r="C619" s="6"/>
      <c r="D619" s="6"/>
      <c r="E619" s="6"/>
      <c r="F619" s="37"/>
      <c r="G619" s="6"/>
      <c r="H619" s="6"/>
    </row>
    <row r="620" customFormat="false" ht="15" hidden="false" customHeight="false" outlineLevel="0" collapsed="false">
      <c r="A620" s="38"/>
      <c r="B620" s="6"/>
      <c r="C620" s="6"/>
      <c r="D620" s="6"/>
      <c r="E620" s="6"/>
      <c r="F620" s="37"/>
      <c r="G620" s="6"/>
      <c r="H620" s="6"/>
    </row>
    <row r="621" customFormat="false" ht="15" hidden="false" customHeight="false" outlineLevel="0" collapsed="false">
      <c r="A621" s="38"/>
      <c r="B621" s="6"/>
      <c r="C621" s="6"/>
      <c r="D621" s="6"/>
      <c r="E621" s="6"/>
      <c r="F621" s="37"/>
      <c r="G621" s="6"/>
      <c r="H621" s="6"/>
    </row>
    <row r="622" customFormat="false" ht="15" hidden="false" customHeight="false" outlineLevel="0" collapsed="false">
      <c r="A622" s="38"/>
      <c r="B622" s="6"/>
      <c r="C622" s="6"/>
      <c r="D622" s="6"/>
      <c r="E622" s="6"/>
      <c r="F622" s="37"/>
      <c r="G622" s="6"/>
      <c r="H622" s="6"/>
    </row>
    <row r="623" customFormat="false" ht="15" hidden="false" customHeight="false" outlineLevel="0" collapsed="false">
      <c r="A623" s="38"/>
      <c r="B623" s="6"/>
      <c r="C623" s="6"/>
      <c r="D623" s="6"/>
      <c r="E623" s="6"/>
      <c r="F623" s="37"/>
      <c r="G623" s="6"/>
      <c r="H623" s="6"/>
    </row>
    <row r="624" customFormat="false" ht="15" hidden="false" customHeight="false" outlineLevel="0" collapsed="false">
      <c r="A624" s="38"/>
      <c r="B624" s="6"/>
      <c r="C624" s="6"/>
      <c r="D624" s="6"/>
      <c r="E624" s="6"/>
      <c r="F624" s="37"/>
      <c r="G624" s="6"/>
      <c r="H624" s="6"/>
    </row>
    <row r="625" customFormat="false" ht="15" hidden="false" customHeight="false" outlineLevel="0" collapsed="false">
      <c r="A625" s="38"/>
      <c r="B625" s="6"/>
      <c r="C625" s="6"/>
      <c r="D625" s="6"/>
      <c r="E625" s="6"/>
      <c r="F625" s="37"/>
      <c r="G625" s="6"/>
      <c r="H625" s="6"/>
    </row>
    <row r="626" customFormat="false" ht="15" hidden="false" customHeight="false" outlineLevel="0" collapsed="false">
      <c r="A626" s="38"/>
      <c r="B626" s="6"/>
      <c r="C626" s="6"/>
      <c r="D626" s="6"/>
      <c r="E626" s="6"/>
      <c r="F626" s="37"/>
      <c r="G626" s="6"/>
      <c r="H626" s="6"/>
    </row>
    <row r="627" customFormat="false" ht="15" hidden="false" customHeight="false" outlineLevel="0" collapsed="false">
      <c r="A627" s="38"/>
      <c r="B627" s="6"/>
      <c r="C627" s="6"/>
      <c r="D627" s="6"/>
      <c r="E627" s="6"/>
      <c r="F627" s="37"/>
      <c r="G627" s="6"/>
      <c r="H627" s="6"/>
    </row>
    <row r="628" customFormat="false" ht="15" hidden="false" customHeight="false" outlineLevel="0" collapsed="false">
      <c r="A628" s="38"/>
      <c r="B628" s="6"/>
      <c r="C628" s="6"/>
      <c r="D628" s="6"/>
      <c r="E628" s="6"/>
      <c r="F628" s="37"/>
      <c r="G628" s="6"/>
      <c r="H628" s="6"/>
    </row>
    <row r="629" customFormat="false" ht="15" hidden="false" customHeight="false" outlineLevel="0" collapsed="false">
      <c r="A629" s="38"/>
      <c r="B629" s="6"/>
      <c r="C629" s="6"/>
      <c r="D629" s="6"/>
      <c r="E629" s="6"/>
      <c r="F629" s="37"/>
      <c r="G629" s="6"/>
      <c r="H629" s="6"/>
    </row>
    <row r="630" customFormat="false" ht="15" hidden="false" customHeight="false" outlineLevel="0" collapsed="false">
      <c r="A630" s="38"/>
      <c r="B630" s="6"/>
      <c r="C630" s="6"/>
      <c r="D630" s="6"/>
      <c r="E630" s="6"/>
      <c r="F630" s="37"/>
      <c r="G630" s="6"/>
      <c r="H630" s="6"/>
    </row>
    <row r="631" customFormat="false" ht="15" hidden="false" customHeight="false" outlineLevel="0" collapsed="false">
      <c r="A631" s="38"/>
      <c r="B631" s="6"/>
      <c r="C631" s="6"/>
      <c r="D631" s="6"/>
      <c r="E631" s="6"/>
      <c r="F631" s="37"/>
      <c r="G631" s="6"/>
      <c r="H631" s="6"/>
    </row>
    <row r="632" customFormat="false" ht="15" hidden="false" customHeight="false" outlineLevel="0" collapsed="false">
      <c r="A632" s="38"/>
      <c r="B632" s="6"/>
      <c r="C632" s="6"/>
      <c r="D632" s="6"/>
      <c r="E632" s="6"/>
      <c r="F632" s="37"/>
      <c r="G632" s="6"/>
      <c r="H632" s="6"/>
    </row>
    <row r="633" customFormat="false" ht="15" hidden="false" customHeight="false" outlineLevel="0" collapsed="false">
      <c r="A633" s="38"/>
      <c r="B633" s="6"/>
      <c r="C633" s="6"/>
      <c r="D633" s="6"/>
      <c r="E633" s="6"/>
      <c r="F633" s="37"/>
      <c r="G633" s="6"/>
      <c r="H633" s="6"/>
    </row>
    <row r="634" customFormat="false" ht="15" hidden="false" customHeight="false" outlineLevel="0" collapsed="false">
      <c r="A634" s="38"/>
      <c r="B634" s="6"/>
      <c r="C634" s="6"/>
      <c r="D634" s="6"/>
      <c r="E634" s="6"/>
      <c r="F634" s="37"/>
      <c r="G634" s="6"/>
      <c r="H634" s="6"/>
    </row>
    <row r="635" customFormat="false" ht="15" hidden="false" customHeight="false" outlineLevel="0" collapsed="false">
      <c r="A635" s="38"/>
      <c r="B635" s="6"/>
      <c r="C635" s="6"/>
      <c r="D635" s="6"/>
      <c r="E635" s="6"/>
      <c r="F635" s="37"/>
      <c r="G635" s="6"/>
      <c r="H635" s="6"/>
    </row>
    <row r="636" customFormat="false" ht="15" hidden="false" customHeight="false" outlineLevel="0" collapsed="false">
      <c r="A636" s="38"/>
      <c r="B636" s="6"/>
      <c r="C636" s="6"/>
      <c r="D636" s="6"/>
      <c r="E636" s="6"/>
      <c r="F636" s="37"/>
      <c r="G636" s="6"/>
      <c r="H636" s="6"/>
    </row>
    <row r="637" customFormat="false" ht="15" hidden="false" customHeight="false" outlineLevel="0" collapsed="false">
      <c r="A637" s="38"/>
      <c r="B637" s="6"/>
      <c r="C637" s="6"/>
      <c r="D637" s="6"/>
      <c r="E637" s="6"/>
      <c r="F637" s="37"/>
      <c r="G637" s="6"/>
      <c r="H637" s="6"/>
    </row>
    <row r="638" customFormat="false" ht="15" hidden="false" customHeight="false" outlineLevel="0" collapsed="false">
      <c r="A638" s="38"/>
      <c r="B638" s="6"/>
      <c r="C638" s="6"/>
      <c r="D638" s="6"/>
      <c r="E638" s="6"/>
      <c r="F638" s="37"/>
      <c r="G638" s="6"/>
      <c r="H638" s="6"/>
    </row>
    <row r="639" customFormat="false" ht="15" hidden="false" customHeight="false" outlineLevel="0" collapsed="false">
      <c r="A639" s="38"/>
      <c r="B639" s="6"/>
      <c r="C639" s="6"/>
      <c r="D639" s="6"/>
      <c r="E639" s="6"/>
      <c r="F639" s="37"/>
      <c r="G639" s="6"/>
      <c r="H639" s="6"/>
    </row>
    <row r="640" customFormat="false" ht="15" hidden="false" customHeight="false" outlineLevel="0" collapsed="false">
      <c r="A640" s="38"/>
      <c r="B640" s="6"/>
      <c r="C640" s="6"/>
      <c r="D640" s="6"/>
      <c r="E640" s="6"/>
      <c r="F640" s="37"/>
      <c r="G640" s="6"/>
      <c r="H640" s="6"/>
    </row>
    <row r="641" customFormat="false" ht="15" hidden="false" customHeight="false" outlineLevel="0" collapsed="false">
      <c r="A641" s="38"/>
      <c r="B641" s="6"/>
      <c r="C641" s="6"/>
      <c r="D641" s="6"/>
      <c r="E641" s="6"/>
      <c r="F641" s="37"/>
      <c r="G641" s="6"/>
      <c r="H641" s="6"/>
    </row>
    <row r="642" customFormat="false" ht="15" hidden="false" customHeight="false" outlineLevel="0" collapsed="false">
      <c r="A642" s="38"/>
      <c r="B642" s="6"/>
      <c r="C642" s="6"/>
      <c r="D642" s="6"/>
      <c r="E642" s="6"/>
      <c r="F642" s="37"/>
      <c r="G642" s="6"/>
      <c r="H642" s="6"/>
    </row>
    <row r="643" customFormat="false" ht="15" hidden="false" customHeight="false" outlineLevel="0" collapsed="false">
      <c r="A643" s="38"/>
      <c r="B643" s="6"/>
      <c r="C643" s="6"/>
      <c r="D643" s="6"/>
      <c r="E643" s="6"/>
      <c r="F643" s="37"/>
      <c r="G643" s="6"/>
      <c r="H643" s="6"/>
    </row>
    <row r="644" customFormat="false" ht="15" hidden="false" customHeight="false" outlineLevel="0" collapsed="false">
      <c r="A644" s="38"/>
      <c r="B644" s="6"/>
      <c r="C644" s="6"/>
      <c r="D644" s="6"/>
      <c r="E644" s="6"/>
      <c r="F644" s="37"/>
      <c r="G644" s="6"/>
      <c r="H644" s="6"/>
    </row>
    <row r="645" customFormat="false" ht="15" hidden="false" customHeight="false" outlineLevel="0" collapsed="false">
      <c r="A645" s="38"/>
      <c r="B645" s="6"/>
      <c r="C645" s="6"/>
      <c r="D645" s="6"/>
      <c r="E645" s="6"/>
      <c r="F645" s="37"/>
      <c r="G645" s="6"/>
      <c r="H645" s="6"/>
    </row>
    <row r="646" customFormat="false" ht="15" hidden="false" customHeight="false" outlineLevel="0" collapsed="false">
      <c r="A646" s="38"/>
      <c r="B646" s="6"/>
      <c r="C646" s="6"/>
      <c r="D646" s="6"/>
      <c r="E646" s="6"/>
      <c r="F646" s="37"/>
      <c r="G646" s="6"/>
      <c r="H646" s="6"/>
    </row>
    <row r="647" customFormat="false" ht="15" hidden="false" customHeight="false" outlineLevel="0" collapsed="false">
      <c r="A647" s="38"/>
      <c r="B647" s="6"/>
      <c r="C647" s="6"/>
      <c r="D647" s="6"/>
      <c r="E647" s="6"/>
      <c r="F647" s="37"/>
      <c r="G647" s="6"/>
      <c r="H647" s="6"/>
    </row>
    <row r="648" customFormat="false" ht="15" hidden="false" customHeight="false" outlineLevel="0" collapsed="false">
      <c r="A648" s="38"/>
      <c r="B648" s="6"/>
      <c r="C648" s="6"/>
      <c r="D648" s="6"/>
      <c r="E648" s="6"/>
      <c r="F648" s="37"/>
      <c r="G648" s="6"/>
      <c r="H648" s="6"/>
    </row>
    <row r="649" customFormat="false" ht="15" hidden="false" customHeight="false" outlineLevel="0" collapsed="false">
      <c r="A649" s="38"/>
      <c r="B649" s="6"/>
      <c r="C649" s="6"/>
      <c r="D649" s="6"/>
      <c r="E649" s="6"/>
      <c r="F649" s="37"/>
      <c r="G649" s="6"/>
      <c r="H649" s="6"/>
    </row>
    <row r="650" customFormat="false" ht="15" hidden="false" customHeight="false" outlineLevel="0" collapsed="false">
      <c r="A650" s="38"/>
      <c r="B650" s="6"/>
      <c r="C650" s="6"/>
      <c r="D650" s="6"/>
      <c r="E650" s="6"/>
      <c r="F650" s="37"/>
      <c r="G650" s="6"/>
      <c r="H650" s="6"/>
    </row>
    <row r="651" customFormat="false" ht="15" hidden="false" customHeight="false" outlineLevel="0" collapsed="false">
      <c r="A651" s="38"/>
      <c r="B651" s="6"/>
      <c r="C651" s="6"/>
      <c r="D651" s="6"/>
      <c r="E651" s="6"/>
      <c r="F651" s="37"/>
      <c r="G651" s="6"/>
      <c r="H651" s="6"/>
    </row>
    <row r="652" customFormat="false" ht="15" hidden="false" customHeight="false" outlineLevel="0" collapsed="false">
      <c r="A652" s="38"/>
      <c r="B652" s="6"/>
      <c r="C652" s="6"/>
      <c r="D652" s="6"/>
      <c r="E652" s="6"/>
      <c r="F652" s="37"/>
      <c r="G652" s="6"/>
      <c r="H652" s="6"/>
    </row>
    <row r="653" customFormat="false" ht="15" hidden="false" customHeight="false" outlineLevel="0" collapsed="false">
      <c r="A653" s="38"/>
      <c r="B653" s="6"/>
      <c r="C653" s="6"/>
      <c r="D653" s="6"/>
      <c r="E653" s="6"/>
      <c r="F653" s="37"/>
      <c r="G653" s="6"/>
      <c r="H653" s="6"/>
    </row>
    <row r="654" customFormat="false" ht="15" hidden="false" customHeight="false" outlineLevel="0" collapsed="false">
      <c r="A654" s="38"/>
      <c r="B654" s="6"/>
      <c r="C654" s="6"/>
      <c r="D654" s="6"/>
      <c r="E654" s="6"/>
      <c r="F654" s="37"/>
      <c r="G654" s="6"/>
      <c r="H654" s="6"/>
    </row>
    <row r="655" customFormat="false" ht="15" hidden="false" customHeight="false" outlineLevel="0" collapsed="false">
      <c r="A655" s="38"/>
      <c r="B655" s="6"/>
      <c r="C655" s="6"/>
      <c r="D655" s="6"/>
      <c r="E655" s="6"/>
      <c r="F655" s="37"/>
      <c r="G655" s="6"/>
      <c r="H655" s="6"/>
    </row>
    <row r="656" customFormat="false" ht="15" hidden="false" customHeight="false" outlineLevel="0" collapsed="false">
      <c r="A656" s="38"/>
      <c r="B656" s="6"/>
      <c r="C656" s="6"/>
      <c r="D656" s="6"/>
      <c r="E656" s="6"/>
      <c r="F656" s="37"/>
      <c r="G656" s="6"/>
      <c r="H656" s="6"/>
    </row>
    <row r="657" customFormat="false" ht="15" hidden="false" customHeight="false" outlineLevel="0" collapsed="false">
      <c r="A657" s="38"/>
      <c r="B657" s="6"/>
      <c r="C657" s="6"/>
      <c r="D657" s="6"/>
      <c r="E657" s="6"/>
      <c r="F657" s="37"/>
      <c r="G657" s="6"/>
      <c r="H657" s="6"/>
    </row>
    <row r="658" customFormat="false" ht="15" hidden="false" customHeight="false" outlineLevel="0" collapsed="false">
      <c r="A658" s="38"/>
      <c r="B658" s="6"/>
      <c r="C658" s="6"/>
      <c r="D658" s="6"/>
      <c r="E658" s="6"/>
      <c r="F658" s="37"/>
      <c r="G658" s="6"/>
      <c r="H658" s="6"/>
    </row>
    <row r="659" customFormat="false" ht="15" hidden="false" customHeight="false" outlineLevel="0" collapsed="false">
      <c r="A659" s="38"/>
      <c r="B659" s="6"/>
      <c r="C659" s="6"/>
      <c r="D659" s="6"/>
      <c r="E659" s="6"/>
      <c r="F659" s="37"/>
      <c r="G659" s="6"/>
      <c r="H659" s="6"/>
    </row>
    <row r="660" customFormat="false" ht="15" hidden="false" customHeight="false" outlineLevel="0" collapsed="false">
      <c r="A660" s="38"/>
      <c r="B660" s="6"/>
      <c r="C660" s="6"/>
      <c r="D660" s="6"/>
      <c r="E660" s="6"/>
      <c r="F660" s="37"/>
      <c r="G660" s="6"/>
      <c r="H660" s="6"/>
    </row>
    <row r="661" customFormat="false" ht="15" hidden="false" customHeight="false" outlineLevel="0" collapsed="false">
      <c r="A661" s="38"/>
      <c r="B661" s="6"/>
      <c r="C661" s="6"/>
      <c r="D661" s="6"/>
      <c r="E661" s="6"/>
      <c r="F661" s="37"/>
      <c r="G661" s="6"/>
      <c r="H661" s="6"/>
    </row>
    <row r="662" customFormat="false" ht="15" hidden="false" customHeight="false" outlineLevel="0" collapsed="false">
      <c r="A662" s="38"/>
      <c r="B662" s="6"/>
      <c r="C662" s="6"/>
      <c r="D662" s="6"/>
      <c r="E662" s="6"/>
      <c r="F662" s="37"/>
      <c r="G662" s="6"/>
      <c r="H662" s="6"/>
    </row>
    <row r="663" customFormat="false" ht="15" hidden="false" customHeight="false" outlineLevel="0" collapsed="false">
      <c r="A663" s="38"/>
      <c r="B663" s="6"/>
      <c r="C663" s="6"/>
      <c r="D663" s="6"/>
      <c r="E663" s="6"/>
      <c r="F663" s="37"/>
      <c r="G663" s="6"/>
      <c r="H663" s="6"/>
    </row>
    <row r="664" customFormat="false" ht="15" hidden="false" customHeight="false" outlineLevel="0" collapsed="false">
      <c r="A664" s="38"/>
      <c r="B664" s="6"/>
      <c r="C664" s="6"/>
      <c r="D664" s="6"/>
      <c r="E664" s="6"/>
      <c r="F664" s="37"/>
      <c r="G664" s="6"/>
      <c r="H664" s="6"/>
    </row>
    <row r="665" customFormat="false" ht="15" hidden="false" customHeight="false" outlineLevel="0" collapsed="false">
      <c r="A665" s="38"/>
      <c r="B665" s="6"/>
      <c r="C665" s="6"/>
      <c r="D665" s="6"/>
      <c r="E665" s="6"/>
      <c r="F665" s="37"/>
      <c r="G665" s="6"/>
      <c r="H665" s="6"/>
    </row>
    <row r="666" customFormat="false" ht="15" hidden="false" customHeight="false" outlineLevel="0" collapsed="false">
      <c r="A666" s="38"/>
      <c r="B666" s="6"/>
      <c r="C666" s="6"/>
      <c r="D666" s="6"/>
      <c r="E666" s="6"/>
      <c r="F666" s="37"/>
      <c r="G666" s="6"/>
      <c r="H666" s="6"/>
    </row>
    <row r="667" customFormat="false" ht="15" hidden="false" customHeight="false" outlineLevel="0" collapsed="false">
      <c r="A667" s="38"/>
      <c r="B667" s="6"/>
      <c r="C667" s="6"/>
      <c r="D667" s="6"/>
      <c r="E667" s="6"/>
      <c r="F667" s="37"/>
      <c r="G667" s="6"/>
      <c r="H667" s="6"/>
    </row>
    <row r="668" customFormat="false" ht="15" hidden="false" customHeight="false" outlineLevel="0" collapsed="false">
      <c r="A668" s="38"/>
      <c r="B668" s="6"/>
      <c r="C668" s="6"/>
      <c r="D668" s="6"/>
      <c r="E668" s="6"/>
      <c r="F668" s="37"/>
      <c r="G668" s="6"/>
      <c r="H668" s="6"/>
    </row>
    <row r="669" customFormat="false" ht="15" hidden="false" customHeight="false" outlineLevel="0" collapsed="false">
      <c r="A669" s="38"/>
      <c r="B669" s="6"/>
      <c r="C669" s="6"/>
      <c r="D669" s="6"/>
      <c r="E669" s="6"/>
      <c r="F669" s="37"/>
      <c r="G669" s="6"/>
      <c r="H669" s="6"/>
    </row>
    <row r="670" customFormat="false" ht="15" hidden="false" customHeight="false" outlineLevel="0" collapsed="false">
      <c r="A670" s="38"/>
      <c r="B670" s="6"/>
      <c r="C670" s="6"/>
      <c r="D670" s="6"/>
      <c r="E670" s="6"/>
      <c r="F670" s="37"/>
      <c r="G670" s="6"/>
      <c r="H670" s="6"/>
    </row>
    <row r="671" customFormat="false" ht="15" hidden="false" customHeight="false" outlineLevel="0" collapsed="false">
      <c r="A671" s="38"/>
      <c r="B671" s="6"/>
      <c r="C671" s="6"/>
      <c r="D671" s="6"/>
      <c r="E671" s="6"/>
      <c r="F671" s="37"/>
      <c r="G671" s="6"/>
      <c r="H671" s="6"/>
    </row>
    <row r="672" customFormat="false" ht="15" hidden="false" customHeight="false" outlineLevel="0" collapsed="false">
      <c r="A672" s="38"/>
      <c r="B672" s="6"/>
      <c r="C672" s="6"/>
      <c r="D672" s="6"/>
      <c r="E672" s="6"/>
      <c r="F672" s="37"/>
      <c r="G672" s="6"/>
      <c r="H672" s="6"/>
    </row>
    <row r="673" customFormat="false" ht="15" hidden="false" customHeight="false" outlineLevel="0" collapsed="false">
      <c r="A673" s="38"/>
      <c r="B673" s="6"/>
      <c r="C673" s="6"/>
      <c r="D673" s="6"/>
      <c r="E673" s="6"/>
      <c r="F673" s="37"/>
      <c r="G673" s="6"/>
      <c r="H673" s="6"/>
    </row>
    <row r="674" customFormat="false" ht="15" hidden="false" customHeight="false" outlineLevel="0" collapsed="false">
      <c r="A674" s="38"/>
      <c r="B674" s="6"/>
      <c r="C674" s="6"/>
      <c r="D674" s="6"/>
      <c r="E674" s="6"/>
      <c r="F674" s="37"/>
      <c r="G674" s="6"/>
      <c r="H674" s="6"/>
    </row>
    <row r="675" customFormat="false" ht="15" hidden="false" customHeight="false" outlineLevel="0" collapsed="false">
      <c r="A675" s="38"/>
      <c r="B675" s="6"/>
      <c r="C675" s="6"/>
      <c r="D675" s="6"/>
      <c r="E675" s="6"/>
      <c r="F675" s="37"/>
      <c r="G675" s="6"/>
      <c r="H675" s="6"/>
    </row>
    <row r="676" customFormat="false" ht="15" hidden="false" customHeight="false" outlineLevel="0" collapsed="false">
      <c r="A676" s="38"/>
      <c r="B676" s="6"/>
      <c r="C676" s="6"/>
      <c r="D676" s="6"/>
      <c r="E676" s="6"/>
      <c r="F676" s="37"/>
      <c r="G676" s="6"/>
      <c r="H676" s="6"/>
    </row>
    <row r="677" customFormat="false" ht="15" hidden="false" customHeight="false" outlineLevel="0" collapsed="false">
      <c r="A677" s="38"/>
      <c r="B677" s="6"/>
      <c r="C677" s="6"/>
      <c r="D677" s="6"/>
      <c r="E677" s="6"/>
      <c r="F677" s="37"/>
      <c r="G677" s="6"/>
      <c r="H677" s="6"/>
    </row>
    <row r="678" customFormat="false" ht="15" hidden="false" customHeight="false" outlineLevel="0" collapsed="false">
      <c r="A678" s="38"/>
      <c r="B678" s="6"/>
      <c r="C678" s="6"/>
      <c r="D678" s="6"/>
      <c r="E678" s="6"/>
      <c r="F678" s="37"/>
      <c r="G678" s="6"/>
      <c r="H678" s="6"/>
    </row>
    <row r="679" customFormat="false" ht="15" hidden="false" customHeight="false" outlineLevel="0" collapsed="false">
      <c r="A679" s="38"/>
      <c r="B679" s="6"/>
      <c r="C679" s="6"/>
      <c r="D679" s="6"/>
      <c r="E679" s="6"/>
      <c r="F679" s="37"/>
      <c r="G679" s="6"/>
      <c r="H679" s="6"/>
    </row>
    <row r="680" customFormat="false" ht="15" hidden="false" customHeight="false" outlineLevel="0" collapsed="false">
      <c r="A680" s="38"/>
      <c r="B680" s="6"/>
      <c r="C680" s="6"/>
      <c r="D680" s="6"/>
      <c r="E680" s="6"/>
      <c r="F680" s="37"/>
      <c r="G680" s="6"/>
      <c r="H680" s="6"/>
    </row>
    <row r="681" customFormat="false" ht="15" hidden="false" customHeight="false" outlineLevel="0" collapsed="false">
      <c r="A681" s="38"/>
      <c r="B681" s="6"/>
      <c r="C681" s="6"/>
      <c r="D681" s="6"/>
      <c r="E681" s="6"/>
      <c r="F681" s="37"/>
      <c r="G681" s="6"/>
      <c r="H681" s="6"/>
    </row>
    <row r="682" customFormat="false" ht="15" hidden="false" customHeight="false" outlineLevel="0" collapsed="false">
      <c r="A682" s="38"/>
      <c r="B682" s="6"/>
      <c r="C682" s="6"/>
      <c r="D682" s="6"/>
      <c r="E682" s="6"/>
      <c r="F682" s="37"/>
      <c r="G682" s="6"/>
      <c r="H682" s="6"/>
    </row>
    <row r="683" customFormat="false" ht="15" hidden="false" customHeight="false" outlineLevel="0" collapsed="false">
      <c r="A683" s="38"/>
      <c r="B683" s="6"/>
      <c r="C683" s="6"/>
      <c r="D683" s="6"/>
      <c r="E683" s="6"/>
      <c r="F683" s="37"/>
      <c r="G683" s="6"/>
      <c r="H683" s="6"/>
    </row>
    <row r="684" customFormat="false" ht="15" hidden="false" customHeight="false" outlineLevel="0" collapsed="false">
      <c r="A684" s="38"/>
      <c r="B684" s="6"/>
      <c r="C684" s="6"/>
      <c r="D684" s="6"/>
      <c r="E684" s="6"/>
      <c r="F684" s="37"/>
      <c r="G684" s="6"/>
      <c r="H684" s="6"/>
    </row>
    <row r="685" customFormat="false" ht="15" hidden="false" customHeight="false" outlineLevel="0" collapsed="false">
      <c r="A685" s="38"/>
      <c r="B685" s="6"/>
      <c r="C685" s="6"/>
      <c r="D685" s="6"/>
      <c r="E685" s="6"/>
      <c r="F685" s="37"/>
      <c r="G685" s="6"/>
      <c r="H685" s="6"/>
    </row>
    <row r="686" customFormat="false" ht="15" hidden="false" customHeight="false" outlineLevel="0" collapsed="false">
      <c r="A686" s="38"/>
      <c r="B686" s="6"/>
      <c r="C686" s="6"/>
      <c r="D686" s="6"/>
      <c r="E686" s="6"/>
      <c r="F686" s="37"/>
      <c r="G686" s="6"/>
      <c r="H686" s="6"/>
    </row>
    <row r="687" customFormat="false" ht="15" hidden="false" customHeight="false" outlineLevel="0" collapsed="false">
      <c r="A687" s="38"/>
      <c r="B687" s="6"/>
      <c r="C687" s="6"/>
      <c r="D687" s="6"/>
      <c r="E687" s="6"/>
      <c r="F687" s="37"/>
      <c r="G687" s="6"/>
      <c r="H687" s="6"/>
    </row>
    <row r="688" customFormat="false" ht="15" hidden="false" customHeight="false" outlineLevel="0" collapsed="false">
      <c r="A688" s="38"/>
      <c r="B688" s="6"/>
      <c r="C688" s="6"/>
      <c r="D688" s="6"/>
      <c r="E688" s="6"/>
      <c r="F688" s="37"/>
      <c r="G688" s="6"/>
      <c r="H688" s="6"/>
    </row>
    <row r="689" customFormat="false" ht="15" hidden="false" customHeight="false" outlineLevel="0" collapsed="false">
      <c r="A689" s="38"/>
      <c r="B689" s="6"/>
      <c r="C689" s="6"/>
      <c r="D689" s="6"/>
      <c r="E689" s="6"/>
      <c r="F689" s="37"/>
      <c r="G689" s="6"/>
      <c r="H689" s="6"/>
    </row>
    <row r="690" customFormat="false" ht="15" hidden="false" customHeight="false" outlineLevel="0" collapsed="false">
      <c r="A690" s="38"/>
      <c r="B690" s="6"/>
      <c r="C690" s="6"/>
      <c r="D690" s="6"/>
      <c r="E690" s="6"/>
      <c r="F690" s="37"/>
      <c r="G690" s="6"/>
      <c r="H690" s="6"/>
    </row>
    <row r="691" customFormat="false" ht="15" hidden="false" customHeight="false" outlineLevel="0" collapsed="false">
      <c r="A691" s="38"/>
      <c r="B691" s="6"/>
      <c r="C691" s="6"/>
      <c r="D691" s="6"/>
      <c r="E691" s="6"/>
      <c r="F691" s="37"/>
      <c r="G691" s="6"/>
      <c r="H691" s="6"/>
    </row>
    <row r="692" customFormat="false" ht="15" hidden="false" customHeight="false" outlineLevel="0" collapsed="false">
      <c r="A692" s="38"/>
      <c r="B692" s="6"/>
      <c r="C692" s="6"/>
      <c r="D692" s="6"/>
      <c r="E692" s="6"/>
      <c r="F692" s="37"/>
      <c r="G692" s="6"/>
      <c r="H692" s="6"/>
    </row>
    <row r="693" customFormat="false" ht="15" hidden="false" customHeight="false" outlineLevel="0" collapsed="false">
      <c r="A693" s="38"/>
      <c r="B693" s="6"/>
      <c r="C693" s="6"/>
      <c r="D693" s="6"/>
      <c r="E693" s="6"/>
      <c r="F693" s="37"/>
      <c r="G693" s="6"/>
      <c r="H693" s="6"/>
    </row>
    <row r="694" customFormat="false" ht="15" hidden="false" customHeight="false" outlineLevel="0" collapsed="false">
      <c r="A694" s="38"/>
      <c r="B694" s="6"/>
      <c r="C694" s="6"/>
      <c r="D694" s="6"/>
      <c r="E694" s="6"/>
      <c r="F694" s="37"/>
      <c r="G694" s="6"/>
      <c r="H694" s="6"/>
    </row>
    <row r="695" customFormat="false" ht="15" hidden="false" customHeight="false" outlineLevel="0" collapsed="false">
      <c r="A695" s="38"/>
      <c r="B695" s="6"/>
      <c r="C695" s="6"/>
      <c r="D695" s="6"/>
      <c r="E695" s="6"/>
      <c r="F695" s="37"/>
      <c r="G695" s="6"/>
      <c r="H695" s="6"/>
    </row>
    <row r="696" customFormat="false" ht="15" hidden="false" customHeight="false" outlineLevel="0" collapsed="false">
      <c r="A696" s="38"/>
      <c r="B696" s="6"/>
      <c r="C696" s="6"/>
      <c r="D696" s="6"/>
      <c r="E696" s="6"/>
      <c r="F696" s="37"/>
      <c r="G696" s="6"/>
      <c r="H696" s="6"/>
    </row>
    <row r="697" customFormat="false" ht="15" hidden="false" customHeight="false" outlineLevel="0" collapsed="false">
      <c r="A697" s="38"/>
      <c r="B697" s="6"/>
      <c r="C697" s="6"/>
      <c r="D697" s="6"/>
      <c r="E697" s="6"/>
      <c r="F697" s="37"/>
      <c r="G697" s="6"/>
      <c r="H697" s="6"/>
    </row>
    <row r="698" customFormat="false" ht="15" hidden="false" customHeight="false" outlineLevel="0" collapsed="false">
      <c r="A698" s="38"/>
      <c r="B698" s="6"/>
      <c r="C698" s="6"/>
      <c r="D698" s="6"/>
      <c r="E698" s="6"/>
      <c r="F698" s="37"/>
      <c r="G698" s="6"/>
      <c r="H698" s="6"/>
    </row>
    <row r="699" customFormat="false" ht="15" hidden="false" customHeight="false" outlineLevel="0" collapsed="false">
      <c r="A699" s="38"/>
      <c r="B699" s="6"/>
      <c r="C699" s="6"/>
      <c r="D699" s="6"/>
      <c r="E699" s="6"/>
      <c r="F699" s="37"/>
      <c r="G699" s="6"/>
      <c r="H699" s="6"/>
    </row>
    <row r="700" customFormat="false" ht="15" hidden="false" customHeight="false" outlineLevel="0" collapsed="false">
      <c r="A700" s="38"/>
      <c r="B700" s="6"/>
      <c r="C700" s="6"/>
      <c r="D700" s="6"/>
      <c r="E700" s="6"/>
      <c r="F700" s="37"/>
      <c r="G700" s="6"/>
      <c r="H700" s="6"/>
    </row>
    <row r="701" customFormat="false" ht="15" hidden="false" customHeight="false" outlineLevel="0" collapsed="false">
      <c r="A701" s="38"/>
      <c r="B701" s="6"/>
      <c r="C701" s="6"/>
      <c r="D701" s="6"/>
      <c r="E701" s="6"/>
      <c r="F701" s="37"/>
      <c r="G701" s="6"/>
      <c r="H701" s="6"/>
    </row>
    <row r="702" customFormat="false" ht="15" hidden="false" customHeight="false" outlineLevel="0" collapsed="false">
      <c r="A702" s="38"/>
      <c r="B702" s="6"/>
      <c r="C702" s="6"/>
      <c r="D702" s="6"/>
      <c r="E702" s="6"/>
      <c r="F702" s="37"/>
      <c r="G702" s="6"/>
      <c r="H702" s="6"/>
    </row>
    <row r="703" customFormat="false" ht="15" hidden="false" customHeight="false" outlineLevel="0" collapsed="false">
      <c r="A703" s="38"/>
      <c r="B703" s="6"/>
      <c r="C703" s="6"/>
      <c r="D703" s="6"/>
      <c r="E703" s="6"/>
      <c r="F703" s="37"/>
      <c r="G703" s="6"/>
      <c r="H703" s="6"/>
    </row>
    <row r="704" customFormat="false" ht="15" hidden="false" customHeight="false" outlineLevel="0" collapsed="false">
      <c r="A704" s="38"/>
      <c r="B704" s="6"/>
      <c r="C704" s="6"/>
      <c r="D704" s="6"/>
      <c r="E704" s="6"/>
      <c r="F704" s="37"/>
      <c r="G704" s="6"/>
      <c r="H704" s="6"/>
    </row>
    <row r="705" customFormat="false" ht="15" hidden="false" customHeight="false" outlineLevel="0" collapsed="false">
      <c r="A705" s="38"/>
      <c r="B705" s="6"/>
      <c r="C705" s="6"/>
      <c r="D705" s="6"/>
      <c r="E705" s="6"/>
      <c r="F705" s="37"/>
      <c r="G705" s="6"/>
      <c r="H705" s="6"/>
    </row>
    <row r="706" customFormat="false" ht="15" hidden="false" customHeight="false" outlineLevel="0" collapsed="false">
      <c r="A706" s="38"/>
      <c r="B706" s="6"/>
      <c r="C706" s="6"/>
      <c r="D706" s="6"/>
      <c r="E706" s="6"/>
      <c r="F706" s="37"/>
      <c r="G706" s="6"/>
      <c r="H706" s="6"/>
    </row>
    <row r="707" customFormat="false" ht="15" hidden="false" customHeight="false" outlineLevel="0" collapsed="false">
      <c r="A707" s="38"/>
      <c r="B707" s="6"/>
      <c r="C707" s="6"/>
      <c r="D707" s="6"/>
      <c r="E707" s="6"/>
      <c r="F707" s="37"/>
      <c r="G707" s="6"/>
      <c r="H707" s="6"/>
    </row>
    <row r="708" customFormat="false" ht="15" hidden="false" customHeight="false" outlineLevel="0" collapsed="false">
      <c r="A708" s="38"/>
      <c r="B708" s="6"/>
      <c r="C708" s="6"/>
      <c r="D708" s="6"/>
      <c r="E708" s="6"/>
      <c r="F708" s="37"/>
      <c r="G708" s="6"/>
      <c r="H708" s="6"/>
    </row>
    <row r="709" customFormat="false" ht="15" hidden="false" customHeight="false" outlineLevel="0" collapsed="false">
      <c r="A709" s="38"/>
      <c r="B709" s="6"/>
      <c r="C709" s="6"/>
      <c r="D709" s="6"/>
      <c r="E709" s="6"/>
      <c r="F709" s="37"/>
      <c r="G709" s="6"/>
      <c r="H709" s="6"/>
    </row>
    <row r="710" customFormat="false" ht="15" hidden="false" customHeight="false" outlineLevel="0" collapsed="false">
      <c r="A710" s="38"/>
      <c r="B710" s="6"/>
      <c r="C710" s="6"/>
      <c r="D710" s="6"/>
      <c r="E710" s="6"/>
      <c r="F710" s="37"/>
      <c r="G710" s="6"/>
      <c r="H710" s="6"/>
    </row>
    <row r="711" customFormat="false" ht="15" hidden="false" customHeight="false" outlineLevel="0" collapsed="false">
      <c r="A711" s="38"/>
      <c r="B711" s="6"/>
      <c r="C711" s="6"/>
      <c r="D711" s="6"/>
      <c r="E711" s="6"/>
      <c r="F711" s="37"/>
      <c r="G711" s="6"/>
      <c r="H711" s="6"/>
    </row>
    <row r="712" customFormat="false" ht="15" hidden="false" customHeight="false" outlineLevel="0" collapsed="false">
      <c r="A712" s="38"/>
      <c r="B712" s="6"/>
      <c r="C712" s="6"/>
      <c r="D712" s="6"/>
      <c r="E712" s="6"/>
      <c r="F712" s="37"/>
      <c r="G712" s="6"/>
      <c r="H712" s="6"/>
    </row>
    <row r="713" customFormat="false" ht="15" hidden="false" customHeight="false" outlineLevel="0" collapsed="false">
      <c r="A713" s="38"/>
      <c r="B713" s="6"/>
      <c r="C713" s="6"/>
      <c r="D713" s="6"/>
      <c r="E713" s="6"/>
      <c r="F713" s="37"/>
      <c r="G713" s="6"/>
      <c r="H713" s="6"/>
    </row>
    <row r="714" customFormat="false" ht="15" hidden="false" customHeight="false" outlineLevel="0" collapsed="false">
      <c r="A714" s="38"/>
      <c r="B714" s="6"/>
      <c r="C714" s="6"/>
      <c r="D714" s="6"/>
      <c r="E714" s="6"/>
      <c r="F714" s="37"/>
      <c r="G714" s="6"/>
      <c r="H714" s="6"/>
    </row>
    <row r="715" customFormat="false" ht="15" hidden="false" customHeight="false" outlineLevel="0" collapsed="false">
      <c r="A715" s="38"/>
      <c r="B715" s="6"/>
      <c r="C715" s="6"/>
      <c r="D715" s="6"/>
      <c r="E715" s="6"/>
      <c r="F715" s="37"/>
      <c r="G715" s="6"/>
      <c r="H715" s="6"/>
    </row>
    <row r="716" customFormat="false" ht="15" hidden="false" customHeight="false" outlineLevel="0" collapsed="false">
      <c r="A716" s="38"/>
      <c r="B716" s="6"/>
      <c r="C716" s="6"/>
      <c r="D716" s="6"/>
      <c r="E716" s="6"/>
      <c r="F716" s="37"/>
      <c r="G716" s="6"/>
      <c r="H716" s="6"/>
    </row>
    <row r="717" customFormat="false" ht="15" hidden="false" customHeight="false" outlineLevel="0" collapsed="false">
      <c r="A717" s="38"/>
      <c r="B717" s="6"/>
      <c r="C717" s="6"/>
      <c r="D717" s="6"/>
      <c r="E717" s="6"/>
      <c r="F717" s="37"/>
      <c r="G717" s="6"/>
      <c r="H717" s="6"/>
    </row>
    <row r="718" customFormat="false" ht="15" hidden="false" customHeight="false" outlineLevel="0" collapsed="false">
      <c r="A718" s="38"/>
      <c r="B718" s="6"/>
      <c r="C718" s="6"/>
      <c r="D718" s="6"/>
      <c r="E718" s="6"/>
      <c r="F718" s="37"/>
      <c r="G718" s="6"/>
      <c r="H718" s="6"/>
    </row>
    <row r="719" customFormat="false" ht="15" hidden="false" customHeight="false" outlineLevel="0" collapsed="false">
      <c r="A719" s="38"/>
      <c r="B719" s="6"/>
      <c r="C719" s="6"/>
      <c r="D719" s="6"/>
      <c r="E719" s="6"/>
      <c r="F719" s="37"/>
      <c r="G719" s="6"/>
      <c r="H719" s="6"/>
    </row>
    <row r="720" customFormat="false" ht="15" hidden="false" customHeight="false" outlineLevel="0" collapsed="false">
      <c r="A720" s="38"/>
      <c r="B720" s="6"/>
      <c r="C720" s="6"/>
      <c r="D720" s="6"/>
      <c r="E720" s="6"/>
      <c r="F720" s="37"/>
      <c r="G720" s="6"/>
      <c r="H720" s="6"/>
    </row>
    <row r="721" customFormat="false" ht="15" hidden="false" customHeight="false" outlineLevel="0" collapsed="false">
      <c r="A721" s="38"/>
      <c r="B721" s="6"/>
      <c r="C721" s="6"/>
      <c r="D721" s="6"/>
      <c r="E721" s="6"/>
      <c r="F721" s="37"/>
      <c r="G721" s="6"/>
      <c r="H721" s="6"/>
    </row>
    <row r="722" customFormat="false" ht="15" hidden="false" customHeight="false" outlineLevel="0" collapsed="false">
      <c r="A722" s="38"/>
      <c r="B722" s="6"/>
      <c r="C722" s="6"/>
      <c r="D722" s="6"/>
      <c r="E722" s="6"/>
      <c r="F722" s="37"/>
      <c r="G722" s="6"/>
      <c r="H722" s="6"/>
    </row>
    <row r="723" customFormat="false" ht="15" hidden="false" customHeight="false" outlineLevel="0" collapsed="false">
      <c r="A723" s="38"/>
      <c r="B723" s="6"/>
      <c r="C723" s="6"/>
      <c r="D723" s="6"/>
      <c r="E723" s="6"/>
      <c r="F723" s="37"/>
      <c r="G723" s="6"/>
      <c r="H723" s="6"/>
    </row>
    <row r="724" customFormat="false" ht="15" hidden="false" customHeight="false" outlineLevel="0" collapsed="false">
      <c r="A724" s="38"/>
      <c r="B724" s="6"/>
      <c r="C724" s="6"/>
      <c r="D724" s="6"/>
      <c r="E724" s="6"/>
      <c r="F724" s="37"/>
      <c r="G724" s="6"/>
      <c r="H724" s="6"/>
    </row>
    <row r="725" customFormat="false" ht="15" hidden="false" customHeight="false" outlineLevel="0" collapsed="false">
      <c r="A725" s="38"/>
      <c r="B725" s="6"/>
      <c r="C725" s="6"/>
      <c r="D725" s="6"/>
      <c r="E725" s="6"/>
      <c r="F725" s="37"/>
      <c r="G725" s="6"/>
      <c r="H725" s="6"/>
    </row>
    <row r="726" customFormat="false" ht="15" hidden="false" customHeight="false" outlineLevel="0" collapsed="false">
      <c r="A726" s="38"/>
      <c r="B726" s="6"/>
      <c r="C726" s="6"/>
      <c r="D726" s="6"/>
      <c r="E726" s="6"/>
      <c r="F726" s="37"/>
      <c r="G726" s="6"/>
      <c r="H726" s="6"/>
    </row>
    <row r="727" customFormat="false" ht="15" hidden="false" customHeight="false" outlineLevel="0" collapsed="false">
      <c r="A727" s="38"/>
      <c r="B727" s="6"/>
      <c r="C727" s="6"/>
      <c r="D727" s="6"/>
      <c r="E727" s="6"/>
      <c r="F727" s="37"/>
      <c r="G727" s="6"/>
      <c r="H727" s="6"/>
    </row>
    <row r="728" customFormat="false" ht="15" hidden="false" customHeight="false" outlineLevel="0" collapsed="false">
      <c r="A728" s="38"/>
      <c r="B728" s="6"/>
      <c r="C728" s="6"/>
      <c r="D728" s="6"/>
      <c r="E728" s="6"/>
      <c r="F728" s="37"/>
      <c r="G728" s="6"/>
      <c r="H728" s="6"/>
    </row>
    <row r="729" customFormat="false" ht="15" hidden="false" customHeight="false" outlineLevel="0" collapsed="false">
      <c r="A729" s="38"/>
      <c r="B729" s="6"/>
      <c r="C729" s="6"/>
      <c r="D729" s="6"/>
      <c r="E729" s="6"/>
      <c r="F729" s="37"/>
      <c r="G729" s="6"/>
      <c r="H729" s="6"/>
    </row>
    <row r="730" customFormat="false" ht="15" hidden="false" customHeight="false" outlineLevel="0" collapsed="false">
      <c r="A730" s="38"/>
      <c r="B730" s="6"/>
      <c r="C730" s="6"/>
      <c r="D730" s="6"/>
      <c r="E730" s="6"/>
      <c r="F730" s="37"/>
      <c r="G730" s="6"/>
      <c r="H730" s="6"/>
    </row>
    <row r="731" customFormat="false" ht="15" hidden="false" customHeight="false" outlineLevel="0" collapsed="false">
      <c r="A731" s="38"/>
      <c r="B731" s="6"/>
      <c r="C731" s="6"/>
      <c r="D731" s="6"/>
      <c r="E731" s="6"/>
      <c r="F731" s="37"/>
      <c r="G731" s="6"/>
      <c r="H731" s="6"/>
    </row>
    <row r="732" customFormat="false" ht="15" hidden="false" customHeight="false" outlineLevel="0" collapsed="false">
      <c r="A732" s="38"/>
      <c r="B732" s="6"/>
      <c r="C732" s="6"/>
      <c r="D732" s="6"/>
      <c r="E732" s="6"/>
      <c r="F732" s="37"/>
      <c r="G732" s="6"/>
      <c r="H732" s="6"/>
    </row>
    <row r="733" customFormat="false" ht="15" hidden="false" customHeight="false" outlineLevel="0" collapsed="false">
      <c r="A733" s="38"/>
      <c r="B733" s="6"/>
      <c r="C733" s="6"/>
      <c r="D733" s="6"/>
      <c r="E733" s="6"/>
      <c r="F733" s="37"/>
      <c r="G733" s="6"/>
      <c r="H733" s="6"/>
    </row>
    <row r="734" customFormat="false" ht="15" hidden="false" customHeight="false" outlineLevel="0" collapsed="false">
      <c r="A734" s="38"/>
      <c r="B734" s="6"/>
      <c r="C734" s="6"/>
      <c r="D734" s="6"/>
      <c r="E734" s="6"/>
      <c r="F734" s="37"/>
      <c r="G734" s="6"/>
      <c r="H734" s="6"/>
    </row>
    <row r="735" customFormat="false" ht="15" hidden="false" customHeight="false" outlineLevel="0" collapsed="false">
      <c r="A735" s="38"/>
      <c r="B735" s="6"/>
      <c r="C735" s="6"/>
      <c r="D735" s="6"/>
      <c r="E735" s="6"/>
      <c r="F735" s="37"/>
      <c r="G735" s="6"/>
      <c r="H735" s="6"/>
    </row>
    <row r="736" customFormat="false" ht="15" hidden="false" customHeight="false" outlineLevel="0" collapsed="false">
      <c r="A736" s="38"/>
      <c r="B736" s="6"/>
      <c r="C736" s="6"/>
      <c r="D736" s="6"/>
      <c r="E736" s="6"/>
      <c r="F736" s="37"/>
      <c r="G736" s="6"/>
      <c r="H736" s="6"/>
    </row>
    <row r="737" customFormat="false" ht="15" hidden="false" customHeight="false" outlineLevel="0" collapsed="false">
      <c r="A737" s="38"/>
      <c r="B737" s="6"/>
      <c r="C737" s="6"/>
      <c r="D737" s="6"/>
      <c r="E737" s="6"/>
      <c r="F737" s="37"/>
      <c r="G737" s="6"/>
      <c r="H737" s="6"/>
    </row>
    <row r="738" customFormat="false" ht="15" hidden="false" customHeight="false" outlineLevel="0" collapsed="false">
      <c r="A738" s="38"/>
      <c r="B738" s="6"/>
      <c r="C738" s="6"/>
      <c r="D738" s="6"/>
      <c r="E738" s="6"/>
      <c r="F738" s="37"/>
      <c r="G738" s="6"/>
      <c r="H738" s="6"/>
    </row>
    <row r="739" customFormat="false" ht="15" hidden="false" customHeight="false" outlineLevel="0" collapsed="false">
      <c r="A739" s="38"/>
      <c r="B739" s="6"/>
      <c r="C739" s="6"/>
      <c r="D739" s="6"/>
      <c r="E739" s="6"/>
      <c r="F739" s="37"/>
      <c r="G739" s="6"/>
      <c r="H739" s="6"/>
    </row>
    <row r="740" customFormat="false" ht="15" hidden="false" customHeight="false" outlineLevel="0" collapsed="false">
      <c r="A740" s="38"/>
      <c r="B740" s="6"/>
      <c r="C740" s="6"/>
      <c r="D740" s="6"/>
      <c r="E740" s="6"/>
      <c r="F740" s="37"/>
      <c r="G740" s="6"/>
      <c r="H740" s="6"/>
    </row>
    <row r="741" customFormat="false" ht="15" hidden="false" customHeight="false" outlineLevel="0" collapsed="false">
      <c r="A741" s="38"/>
      <c r="B741" s="6"/>
      <c r="C741" s="6"/>
      <c r="D741" s="6"/>
      <c r="E741" s="6"/>
      <c r="F741" s="37"/>
      <c r="G741" s="6"/>
      <c r="H741" s="6"/>
    </row>
    <row r="742" customFormat="false" ht="15" hidden="false" customHeight="false" outlineLevel="0" collapsed="false">
      <c r="A742" s="38"/>
      <c r="B742" s="6"/>
      <c r="C742" s="6"/>
      <c r="D742" s="6"/>
      <c r="E742" s="6"/>
      <c r="F742" s="37"/>
      <c r="G742" s="6"/>
      <c r="H742" s="6"/>
    </row>
    <row r="743" customFormat="false" ht="15" hidden="false" customHeight="false" outlineLevel="0" collapsed="false">
      <c r="A743" s="38"/>
      <c r="B743" s="6"/>
      <c r="C743" s="6"/>
      <c r="D743" s="6"/>
      <c r="E743" s="6"/>
      <c r="F743" s="37"/>
      <c r="G743" s="6"/>
      <c r="H743" s="6"/>
    </row>
    <row r="744" customFormat="false" ht="15" hidden="false" customHeight="false" outlineLevel="0" collapsed="false">
      <c r="A744" s="38"/>
      <c r="B744" s="6"/>
      <c r="C744" s="6"/>
      <c r="D744" s="6"/>
      <c r="E744" s="6"/>
      <c r="F744" s="37"/>
      <c r="G744" s="6"/>
      <c r="H744" s="6"/>
    </row>
    <row r="745" customFormat="false" ht="15" hidden="false" customHeight="false" outlineLevel="0" collapsed="false">
      <c r="A745" s="38"/>
      <c r="B745" s="6"/>
      <c r="C745" s="6"/>
      <c r="D745" s="6"/>
      <c r="E745" s="6"/>
      <c r="F745" s="37"/>
      <c r="G745" s="6"/>
      <c r="H745" s="6"/>
    </row>
    <row r="746" customFormat="false" ht="15" hidden="false" customHeight="false" outlineLevel="0" collapsed="false">
      <c r="A746" s="38"/>
      <c r="B746" s="6"/>
      <c r="C746" s="6"/>
      <c r="D746" s="6"/>
      <c r="E746" s="6"/>
      <c r="F746" s="37"/>
      <c r="G746" s="6"/>
      <c r="H746" s="6"/>
    </row>
    <row r="747" customFormat="false" ht="15" hidden="false" customHeight="false" outlineLevel="0" collapsed="false">
      <c r="A747" s="38"/>
      <c r="B747" s="6"/>
      <c r="C747" s="6"/>
      <c r="D747" s="6"/>
      <c r="E747" s="6"/>
      <c r="F747" s="37"/>
      <c r="G747" s="6"/>
      <c r="H747" s="6"/>
    </row>
    <row r="748" customFormat="false" ht="15" hidden="false" customHeight="false" outlineLevel="0" collapsed="false">
      <c r="A748" s="38"/>
      <c r="B748" s="6"/>
      <c r="C748" s="6"/>
      <c r="D748" s="6"/>
      <c r="E748" s="6"/>
      <c r="F748" s="37"/>
      <c r="G748" s="6"/>
      <c r="H748" s="6"/>
    </row>
    <row r="749" customFormat="false" ht="15" hidden="false" customHeight="false" outlineLevel="0" collapsed="false">
      <c r="A749" s="38"/>
      <c r="B749" s="6"/>
      <c r="C749" s="6"/>
      <c r="D749" s="6"/>
      <c r="E749" s="6"/>
      <c r="F749" s="37"/>
      <c r="G749" s="6"/>
      <c r="H749" s="6"/>
    </row>
    <row r="750" customFormat="false" ht="15" hidden="false" customHeight="false" outlineLevel="0" collapsed="false">
      <c r="A750" s="38"/>
      <c r="B750" s="6"/>
      <c r="C750" s="6"/>
      <c r="D750" s="6"/>
      <c r="E750" s="6"/>
      <c r="F750" s="37"/>
      <c r="G750" s="6"/>
      <c r="H750" s="6"/>
    </row>
    <row r="751" customFormat="false" ht="15" hidden="false" customHeight="false" outlineLevel="0" collapsed="false">
      <c r="A751" s="38"/>
      <c r="B751" s="6"/>
      <c r="C751" s="6"/>
      <c r="D751" s="6"/>
      <c r="E751" s="6"/>
      <c r="F751" s="37"/>
      <c r="G751" s="6"/>
      <c r="H751" s="6"/>
    </row>
    <row r="752" customFormat="false" ht="15" hidden="false" customHeight="false" outlineLevel="0" collapsed="false">
      <c r="A752" s="38"/>
      <c r="B752" s="6"/>
      <c r="C752" s="6"/>
      <c r="D752" s="6"/>
      <c r="E752" s="6"/>
      <c r="F752" s="37"/>
      <c r="G752" s="6"/>
      <c r="H752" s="6"/>
    </row>
    <row r="753" customFormat="false" ht="15" hidden="false" customHeight="false" outlineLevel="0" collapsed="false">
      <c r="A753" s="38"/>
      <c r="B753" s="6"/>
      <c r="C753" s="6"/>
      <c r="D753" s="6"/>
      <c r="E753" s="6"/>
      <c r="F753" s="37"/>
      <c r="G753" s="6"/>
      <c r="H753" s="6"/>
    </row>
    <row r="754" customFormat="false" ht="15" hidden="false" customHeight="false" outlineLevel="0" collapsed="false">
      <c r="A754" s="38"/>
      <c r="B754" s="6"/>
      <c r="C754" s="6"/>
      <c r="D754" s="6"/>
      <c r="E754" s="6"/>
      <c r="F754" s="37"/>
      <c r="G754" s="6"/>
      <c r="H754" s="6"/>
    </row>
    <row r="755" customFormat="false" ht="15" hidden="false" customHeight="false" outlineLevel="0" collapsed="false">
      <c r="A755" s="38"/>
      <c r="B755" s="6"/>
      <c r="C755" s="6"/>
      <c r="D755" s="6"/>
      <c r="E755" s="6"/>
      <c r="F755" s="37"/>
      <c r="G755" s="6"/>
      <c r="H755" s="6"/>
    </row>
    <row r="756" customFormat="false" ht="15" hidden="false" customHeight="false" outlineLevel="0" collapsed="false">
      <c r="A756" s="38"/>
      <c r="B756" s="6"/>
      <c r="C756" s="6"/>
      <c r="D756" s="6"/>
      <c r="E756" s="6"/>
      <c r="F756" s="37"/>
      <c r="G756" s="6"/>
      <c r="H756" s="6"/>
    </row>
    <row r="757" customFormat="false" ht="15" hidden="false" customHeight="false" outlineLevel="0" collapsed="false">
      <c r="A757" s="38"/>
      <c r="B757" s="6"/>
      <c r="C757" s="6"/>
      <c r="D757" s="6"/>
      <c r="E757" s="6"/>
      <c r="F757" s="37"/>
      <c r="G757" s="6"/>
      <c r="H757" s="6"/>
    </row>
    <row r="758" customFormat="false" ht="15" hidden="false" customHeight="false" outlineLevel="0" collapsed="false">
      <c r="A758" s="38"/>
      <c r="B758" s="6"/>
      <c r="C758" s="6"/>
      <c r="D758" s="6"/>
      <c r="E758" s="6"/>
      <c r="F758" s="37"/>
      <c r="G758" s="6"/>
      <c r="H758" s="6"/>
    </row>
    <row r="759" customFormat="false" ht="15" hidden="false" customHeight="false" outlineLevel="0" collapsed="false">
      <c r="A759" s="38"/>
      <c r="B759" s="6"/>
      <c r="C759" s="6"/>
      <c r="D759" s="6"/>
      <c r="E759" s="6"/>
      <c r="F759" s="37"/>
      <c r="G759" s="6"/>
      <c r="H759" s="6"/>
    </row>
    <row r="760" customFormat="false" ht="15" hidden="false" customHeight="false" outlineLevel="0" collapsed="false">
      <c r="A760" s="38"/>
      <c r="B760" s="6"/>
      <c r="C760" s="6"/>
      <c r="D760" s="6"/>
      <c r="E760" s="6"/>
      <c r="F760" s="37"/>
      <c r="G760" s="6"/>
      <c r="H760" s="6"/>
    </row>
    <row r="761" customFormat="false" ht="15" hidden="false" customHeight="false" outlineLevel="0" collapsed="false">
      <c r="A761" s="38"/>
      <c r="B761" s="6"/>
      <c r="C761" s="6"/>
      <c r="D761" s="6"/>
      <c r="E761" s="6"/>
      <c r="F761" s="37"/>
      <c r="G761" s="6"/>
      <c r="H761" s="6"/>
    </row>
    <row r="762" customFormat="false" ht="15" hidden="false" customHeight="false" outlineLevel="0" collapsed="false">
      <c r="A762" s="38"/>
      <c r="B762" s="6"/>
      <c r="C762" s="6"/>
      <c r="D762" s="6"/>
      <c r="E762" s="6"/>
      <c r="F762" s="37"/>
      <c r="G762" s="6"/>
      <c r="H762" s="6"/>
    </row>
    <row r="763" customFormat="false" ht="15" hidden="false" customHeight="false" outlineLevel="0" collapsed="false">
      <c r="A763" s="38"/>
      <c r="B763" s="6"/>
      <c r="C763" s="6"/>
      <c r="D763" s="6"/>
      <c r="E763" s="6"/>
      <c r="F763" s="37"/>
      <c r="G763" s="6"/>
      <c r="H763" s="6"/>
    </row>
    <row r="764" customFormat="false" ht="15" hidden="false" customHeight="false" outlineLevel="0" collapsed="false">
      <c r="A764" s="38"/>
      <c r="B764" s="6"/>
      <c r="C764" s="6"/>
      <c r="D764" s="6"/>
      <c r="E764" s="6"/>
      <c r="F764" s="37"/>
      <c r="G764" s="6"/>
      <c r="H764" s="6"/>
    </row>
    <row r="765" customFormat="false" ht="15" hidden="false" customHeight="false" outlineLevel="0" collapsed="false">
      <c r="A765" s="38"/>
      <c r="B765" s="6"/>
      <c r="C765" s="6"/>
      <c r="D765" s="6"/>
      <c r="E765" s="6"/>
      <c r="F765" s="37"/>
      <c r="G765" s="6"/>
      <c r="H765" s="6"/>
    </row>
    <row r="766" customFormat="false" ht="15" hidden="false" customHeight="false" outlineLevel="0" collapsed="false">
      <c r="A766" s="38"/>
      <c r="B766" s="6"/>
      <c r="C766" s="6"/>
      <c r="D766" s="6"/>
      <c r="E766" s="6"/>
      <c r="F766" s="37"/>
      <c r="G766" s="6"/>
      <c r="H766" s="6"/>
    </row>
    <row r="767" customFormat="false" ht="15" hidden="false" customHeight="false" outlineLevel="0" collapsed="false">
      <c r="A767" s="38"/>
      <c r="B767" s="6"/>
      <c r="C767" s="6"/>
      <c r="D767" s="6"/>
      <c r="E767" s="6"/>
      <c r="F767" s="37"/>
      <c r="G767" s="6"/>
      <c r="H767" s="6"/>
    </row>
    <row r="768" customFormat="false" ht="15" hidden="false" customHeight="false" outlineLevel="0" collapsed="false">
      <c r="A768" s="38"/>
      <c r="B768" s="6"/>
      <c r="C768" s="6"/>
      <c r="D768" s="6"/>
      <c r="E768" s="6"/>
      <c r="F768" s="37"/>
      <c r="G768" s="6"/>
      <c r="H768" s="6"/>
    </row>
    <row r="769" customFormat="false" ht="15" hidden="false" customHeight="false" outlineLevel="0" collapsed="false">
      <c r="A769" s="38"/>
      <c r="B769" s="6"/>
      <c r="C769" s="6"/>
      <c r="D769" s="6"/>
      <c r="E769" s="6"/>
      <c r="F769" s="37"/>
      <c r="G769" s="6"/>
      <c r="H769" s="6"/>
    </row>
    <row r="770" customFormat="false" ht="15" hidden="false" customHeight="false" outlineLevel="0" collapsed="false">
      <c r="A770" s="38"/>
      <c r="B770" s="6"/>
      <c r="C770" s="6"/>
      <c r="D770" s="6"/>
      <c r="E770" s="6"/>
      <c r="F770" s="37"/>
      <c r="G770" s="6"/>
      <c r="H770" s="6"/>
    </row>
    <row r="771" customFormat="false" ht="15" hidden="false" customHeight="false" outlineLevel="0" collapsed="false">
      <c r="A771" s="38"/>
      <c r="B771" s="6"/>
      <c r="C771" s="6"/>
      <c r="D771" s="6"/>
      <c r="E771" s="6"/>
      <c r="F771" s="37"/>
      <c r="G771" s="6"/>
      <c r="H771" s="6"/>
    </row>
    <row r="772" customFormat="false" ht="15" hidden="false" customHeight="false" outlineLevel="0" collapsed="false">
      <c r="A772" s="38"/>
      <c r="B772" s="6"/>
      <c r="C772" s="6"/>
      <c r="D772" s="6"/>
      <c r="E772" s="6"/>
      <c r="F772" s="37"/>
      <c r="G772" s="6"/>
      <c r="H772" s="6"/>
    </row>
    <row r="773" customFormat="false" ht="15" hidden="false" customHeight="false" outlineLevel="0" collapsed="false">
      <c r="A773" s="38"/>
      <c r="B773" s="6"/>
      <c r="C773" s="6"/>
      <c r="D773" s="6"/>
      <c r="E773" s="6"/>
      <c r="F773" s="37"/>
      <c r="G773" s="6"/>
      <c r="H773" s="6"/>
    </row>
    <row r="774" customFormat="false" ht="15" hidden="false" customHeight="false" outlineLevel="0" collapsed="false">
      <c r="A774" s="38"/>
      <c r="B774" s="6"/>
      <c r="C774" s="6"/>
      <c r="D774" s="6"/>
      <c r="E774" s="6"/>
      <c r="F774" s="37"/>
      <c r="G774" s="6"/>
      <c r="H774" s="6"/>
    </row>
    <row r="775" customFormat="false" ht="15" hidden="false" customHeight="false" outlineLevel="0" collapsed="false">
      <c r="A775" s="38"/>
      <c r="B775" s="6"/>
      <c r="C775" s="6"/>
      <c r="D775" s="6"/>
      <c r="E775" s="6"/>
      <c r="F775" s="37"/>
      <c r="G775" s="6"/>
      <c r="H775" s="6"/>
    </row>
    <row r="776" customFormat="false" ht="15" hidden="false" customHeight="false" outlineLevel="0" collapsed="false">
      <c r="A776" s="38"/>
      <c r="B776" s="6"/>
      <c r="C776" s="6"/>
      <c r="D776" s="6"/>
      <c r="E776" s="6"/>
      <c r="F776" s="37"/>
      <c r="G776" s="6"/>
      <c r="H776" s="6"/>
    </row>
    <row r="777" customFormat="false" ht="15" hidden="false" customHeight="false" outlineLevel="0" collapsed="false">
      <c r="A777" s="38"/>
      <c r="B777" s="6"/>
      <c r="C777" s="6"/>
      <c r="D777" s="6"/>
      <c r="E777" s="6"/>
      <c r="F777" s="37"/>
      <c r="G777" s="6"/>
      <c r="H777" s="6"/>
    </row>
    <row r="778" customFormat="false" ht="15" hidden="false" customHeight="false" outlineLevel="0" collapsed="false">
      <c r="A778" s="38"/>
      <c r="B778" s="6"/>
      <c r="C778" s="6"/>
      <c r="D778" s="6"/>
      <c r="E778" s="6"/>
      <c r="F778" s="37"/>
      <c r="G778" s="6"/>
      <c r="H778" s="6"/>
    </row>
    <row r="779" customFormat="false" ht="15" hidden="false" customHeight="false" outlineLevel="0" collapsed="false">
      <c r="A779" s="38"/>
      <c r="B779" s="6"/>
      <c r="C779" s="6"/>
      <c r="D779" s="6"/>
      <c r="E779" s="6"/>
      <c r="F779" s="37"/>
      <c r="G779" s="6"/>
      <c r="H779" s="6"/>
    </row>
    <row r="780" customFormat="false" ht="15" hidden="false" customHeight="false" outlineLevel="0" collapsed="false">
      <c r="A780" s="38"/>
      <c r="B780" s="6"/>
      <c r="C780" s="6"/>
      <c r="D780" s="6"/>
      <c r="E780" s="6"/>
      <c r="F780" s="37"/>
      <c r="G780" s="6"/>
      <c r="H780" s="6"/>
    </row>
    <row r="781" customFormat="false" ht="15" hidden="false" customHeight="false" outlineLevel="0" collapsed="false">
      <c r="A781" s="38"/>
      <c r="B781" s="6"/>
      <c r="C781" s="6"/>
      <c r="D781" s="6"/>
      <c r="E781" s="6"/>
      <c r="F781" s="37"/>
      <c r="G781" s="6"/>
      <c r="H781" s="6"/>
    </row>
    <row r="782" customFormat="false" ht="15" hidden="false" customHeight="false" outlineLevel="0" collapsed="false">
      <c r="A782" s="38"/>
      <c r="B782" s="6"/>
      <c r="C782" s="6"/>
      <c r="D782" s="6"/>
      <c r="E782" s="6"/>
      <c r="F782" s="37"/>
      <c r="G782" s="6"/>
      <c r="H782" s="6"/>
    </row>
    <row r="783" customFormat="false" ht="15" hidden="false" customHeight="false" outlineLevel="0" collapsed="false">
      <c r="A783" s="38"/>
      <c r="B783" s="6"/>
      <c r="C783" s="6"/>
      <c r="D783" s="6"/>
      <c r="E783" s="6"/>
      <c r="F783" s="37"/>
      <c r="G783" s="6"/>
      <c r="H783" s="6"/>
    </row>
    <row r="784" customFormat="false" ht="15" hidden="false" customHeight="false" outlineLevel="0" collapsed="false">
      <c r="A784" s="38"/>
      <c r="B784" s="6"/>
      <c r="C784" s="6"/>
      <c r="D784" s="6"/>
      <c r="E784" s="6"/>
      <c r="F784" s="37"/>
      <c r="G784" s="6"/>
      <c r="H784" s="6"/>
    </row>
    <row r="785" customFormat="false" ht="15" hidden="false" customHeight="false" outlineLevel="0" collapsed="false">
      <c r="A785" s="38"/>
      <c r="B785" s="6"/>
      <c r="C785" s="6"/>
      <c r="D785" s="6"/>
      <c r="E785" s="6"/>
      <c r="F785" s="37"/>
      <c r="G785" s="6"/>
      <c r="H785" s="6"/>
    </row>
    <row r="786" customFormat="false" ht="15" hidden="false" customHeight="false" outlineLevel="0" collapsed="false">
      <c r="A786" s="38"/>
      <c r="B786" s="6"/>
      <c r="C786" s="6"/>
      <c r="D786" s="6"/>
      <c r="E786" s="6"/>
      <c r="F786" s="37"/>
      <c r="G786" s="6"/>
      <c r="H786" s="6"/>
    </row>
    <row r="787" customFormat="false" ht="15" hidden="false" customHeight="false" outlineLevel="0" collapsed="false">
      <c r="A787" s="38"/>
      <c r="B787" s="6"/>
      <c r="C787" s="6"/>
      <c r="D787" s="6"/>
      <c r="E787" s="6"/>
      <c r="F787" s="37"/>
      <c r="G787" s="6"/>
      <c r="H787" s="6"/>
    </row>
    <row r="788" customFormat="false" ht="15" hidden="false" customHeight="false" outlineLevel="0" collapsed="false">
      <c r="A788" s="38"/>
      <c r="B788" s="6"/>
      <c r="C788" s="6"/>
      <c r="D788" s="6"/>
      <c r="E788" s="6"/>
      <c r="F788" s="37"/>
      <c r="G788" s="6"/>
      <c r="H788" s="6"/>
    </row>
    <row r="789" customFormat="false" ht="15" hidden="false" customHeight="false" outlineLevel="0" collapsed="false">
      <c r="A789" s="38"/>
      <c r="B789" s="6"/>
      <c r="C789" s="6"/>
      <c r="D789" s="6"/>
      <c r="E789" s="6"/>
      <c r="F789" s="37"/>
      <c r="G789" s="6"/>
      <c r="H789" s="6"/>
    </row>
    <row r="790" customFormat="false" ht="15" hidden="false" customHeight="false" outlineLevel="0" collapsed="false">
      <c r="A790" s="38"/>
      <c r="B790" s="6"/>
      <c r="C790" s="6"/>
      <c r="D790" s="6"/>
      <c r="E790" s="6"/>
      <c r="F790" s="37"/>
      <c r="G790" s="6"/>
      <c r="H790" s="6"/>
    </row>
    <row r="791" customFormat="false" ht="15" hidden="false" customHeight="false" outlineLevel="0" collapsed="false">
      <c r="A791" s="38"/>
      <c r="B791" s="6"/>
      <c r="C791" s="6"/>
      <c r="D791" s="6"/>
      <c r="E791" s="6"/>
      <c r="F791" s="37"/>
      <c r="G791" s="6"/>
      <c r="H791" s="6"/>
    </row>
    <row r="792" customFormat="false" ht="15" hidden="false" customHeight="false" outlineLevel="0" collapsed="false">
      <c r="A792" s="38"/>
      <c r="B792" s="6"/>
      <c r="C792" s="6"/>
      <c r="D792" s="6"/>
      <c r="E792" s="6"/>
      <c r="F792" s="37"/>
      <c r="G792" s="6"/>
      <c r="H792" s="6"/>
    </row>
    <row r="793" customFormat="false" ht="15" hidden="false" customHeight="false" outlineLevel="0" collapsed="false">
      <c r="A793" s="38"/>
      <c r="B793" s="6"/>
      <c r="C793" s="6"/>
      <c r="D793" s="6"/>
      <c r="E793" s="6"/>
      <c r="F793" s="37"/>
      <c r="G793" s="6"/>
      <c r="H793" s="6"/>
    </row>
    <row r="794" customFormat="false" ht="15" hidden="false" customHeight="false" outlineLevel="0" collapsed="false">
      <c r="A794" s="38"/>
      <c r="B794" s="6"/>
      <c r="C794" s="6"/>
      <c r="D794" s="6"/>
      <c r="E794" s="6"/>
      <c r="F794" s="37"/>
      <c r="G794" s="6"/>
      <c r="H794" s="6"/>
    </row>
    <row r="795" customFormat="false" ht="15" hidden="false" customHeight="false" outlineLevel="0" collapsed="false">
      <c r="A795" s="38"/>
      <c r="B795" s="6"/>
      <c r="C795" s="6"/>
      <c r="D795" s="6"/>
      <c r="E795" s="6"/>
      <c r="F795" s="37"/>
      <c r="G795" s="6"/>
      <c r="H795" s="6"/>
    </row>
    <row r="796" customFormat="false" ht="15" hidden="false" customHeight="false" outlineLevel="0" collapsed="false">
      <c r="A796" s="38"/>
      <c r="B796" s="6"/>
      <c r="C796" s="6"/>
      <c r="D796" s="6"/>
      <c r="E796" s="6"/>
      <c r="F796" s="37"/>
      <c r="G796" s="6"/>
      <c r="H796" s="6"/>
    </row>
    <row r="797" customFormat="false" ht="15" hidden="false" customHeight="false" outlineLevel="0" collapsed="false">
      <c r="A797" s="38"/>
      <c r="B797" s="6"/>
      <c r="C797" s="6"/>
      <c r="D797" s="6"/>
      <c r="E797" s="6"/>
      <c r="F797" s="37"/>
      <c r="G797" s="6"/>
      <c r="H797" s="6"/>
    </row>
    <row r="798" customFormat="false" ht="15" hidden="false" customHeight="false" outlineLevel="0" collapsed="false">
      <c r="A798" s="38"/>
      <c r="B798" s="6"/>
      <c r="C798" s="6"/>
      <c r="D798" s="6"/>
      <c r="E798" s="6"/>
      <c r="F798" s="37"/>
      <c r="G798" s="6"/>
      <c r="H798" s="6"/>
    </row>
    <row r="799" customFormat="false" ht="15" hidden="false" customHeight="false" outlineLevel="0" collapsed="false">
      <c r="A799" s="38"/>
      <c r="B799" s="6"/>
      <c r="C799" s="6"/>
      <c r="D799" s="6"/>
      <c r="E799" s="6"/>
      <c r="F799" s="37"/>
      <c r="G799" s="6"/>
      <c r="H799" s="6"/>
    </row>
    <row r="800" customFormat="false" ht="15" hidden="false" customHeight="false" outlineLevel="0" collapsed="false">
      <c r="A800" s="38"/>
      <c r="B800" s="6"/>
      <c r="C800" s="6"/>
      <c r="D800" s="6"/>
      <c r="E800" s="6"/>
      <c r="F800" s="37"/>
      <c r="G800" s="6"/>
      <c r="H800" s="6"/>
    </row>
    <row r="801" customFormat="false" ht="15" hidden="false" customHeight="false" outlineLevel="0" collapsed="false">
      <c r="A801" s="38"/>
      <c r="B801" s="6"/>
      <c r="C801" s="6"/>
      <c r="D801" s="6"/>
      <c r="E801" s="6"/>
      <c r="F801" s="37"/>
      <c r="G801" s="6"/>
      <c r="H801" s="6"/>
    </row>
    <row r="802" customFormat="false" ht="15" hidden="false" customHeight="false" outlineLevel="0" collapsed="false">
      <c r="A802" s="38"/>
      <c r="B802" s="6"/>
      <c r="C802" s="6"/>
      <c r="D802" s="6"/>
      <c r="E802" s="6"/>
      <c r="F802" s="37"/>
      <c r="G802" s="6"/>
      <c r="H802" s="6"/>
    </row>
    <row r="803" customFormat="false" ht="15" hidden="false" customHeight="false" outlineLevel="0" collapsed="false">
      <c r="A803" s="38"/>
      <c r="B803" s="6"/>
      <c r="C803" s="6"/>
      <c r="D803" s="6"/>
      <c r="E803" s="6"/>
      <c r="F803" s="37"/>
      <c r="G803" s="6"/>
      <c r="H803" s="6"/>
    </row>
    <row r="804" customFormat="false" ht="15" hidden="false" customHeight="false" outlineLevel="0" collapsed="false">
      <c r="A804" s="38"/>
      <c r="B804" s="6"/>
      <c r="C804" s="6"/>
      <c r="D804" s="6"/>
      <c r="E804" s="6"/>
      <c r="F804" s="37"/>
      <c r="G804" s="6"/>
      <c r="H804" s="6"/>
    </row>
    <row r="805" customFormat="false" ht="15" hidden="false" customHeight="false" outlineLevel="0" collapsed="false">
      <c r="A805" s="38"/>
      <c r="B805" s="6"/>
      <c r="C805" s="6"/>
      <c r="D805" s="6"/>
      <c r="E805" s="6"/>
      <c r="F805" s="37"/>
      <c r="G805" s="6"/>
      <c r="H805" s="6"/>
    </row>
    <row r="806" customFormat="false" ht="15" hidden="false" customHeight="false" outlineLevel="0" collapsed="false">
      <c r="A806" s="38"/>
      <c r="B806" s="6"/>
      <c r="C806" s="6"/>
      <c r="D806" s="6"/>
      <c r="E806" s="6"/>
      <c r="F806" s="37"/>
      <c r="G806" s="6"/>
      <c r="H806" s="6"/>
    </row>
    <row r="807" customFormat="false" ht="15" hidden="false" customHeight="false" outlineLevel="0" collapsed="false">
      <c r="A807" s="38"/>
      <c r="B807" s="6"/>
      <c r="C807" s="6"/>
      <c r="D807" s="6"/>
      <c r="E807" s="6"/>
      <c r="F807" s="37"/>
      <c r="G807" s="6"/>
      <c r="H807" s="6"/>
    </row>
    <row r="808" customFormat="false" ht="15" hidden="false" customHeight="false" outlineLevel="0" collapsed="false">
      <c r="A808" s="38"/>
      <c r="B808" s="6"/>
      <c r="C808" s="6"/>
      <c r="D808" s="6"/>
      <c r="E808" s="6"/>
      <c r="F808" s="37"/>
      <c r="G808" s="6"/>
      <c r="H808" s="6"/>
    </row>
    <row r="809" customFormat="false" ht="15" hidden="false" customHeight="false" outlineLevel="0" collapsed="false">
      <c r="A809" s="38"/>
      <c r="B809" s="6"/>
      <c r="C809" s="6"/>
      <c r="D809" s="6"/>
      <c r="E809" s="6"/>
      <c r="F809" s="37"/>
      <c r="G809" s="6"/>
      <c r="H809" s="6"/>
    </row>
    <row r="810" customFormat="false" ht="15" hidden="false" customHeight="false" outlineLevel="0" collapsed="false">
      <c r="A810" s="38"/>
      <c r="B810" s="6"/>
      <c r="C810" s="6"/>
      <c r="D810" s="6"/>
      <c r="E810" s="6"/>
      <c r="F810" s="37"/>
      <c r="G810" s="6"/>
      <c r="H810" s="6"/>
    </row>
    <row r="811" customFormat="false" ht="15" hidden="false" customHeight="false" outlineLevel="0" collapsed="false">
      <c r="A811" s="38"/>
      <c r="B811" s="6"/>
      <c r="C811" s="6"/>
      <c r="D811" s="6"/>
      <c r="E811" s="6"/>
      <c r="F811" s="37"/>
      <c r="G811" s="6"/>
      <c r="H811" s="6"/>
    </row>
    <row r="812" customFormat="false" ht="15" hidden="false" customHeight="false" outlineLevel="0" collapsed="false">
      <c r="A812" s="38"/>
      <c r="B812" s="6"/>
      <c r="C812" s="6"/>
      <c r="D812" s="6"/>
      <c r="E812" s="6"/>
      <c r="F812" s="37"/>
      <c r="G812" s="6"/>
      <c r="H812" s="6"/>
    </row>
    <row r="813" customFormat="false" ht="15" hidden="false" customHeight="false" outlineLevel="0" collapsed="false">
      <c r="A813" s="38"/>
      <c r="B813" s="6"/>
      <c r="C813" s="6"/>
      <c r="D813" s="6"/>
      <c r="E813" s="6"/>
      <c r="F813" s="37"/>
      <c r="G813" s="6"/>
      <c r="H813" s="6"/>
    </row>
    <row r="814" customFormat="false" ht="15" hidden="false" customHeight="false" outlineLevel="0" collapsed="false">
      <c r="A814" s="38"/>
      <c r="B814" s="6"/>
      <c r="C814" s="6"/>
      <c r="D814" s="6"/>
      <c r="E814" s="6"/>
      <c r="F814" s="37"/>
      <c r="G814" s="6"/>
      <c r="H814" s="6"/>
    </row>
    <row r="815" customFormat="false" ht="15" hidden="false" customHeight="false" outlineLevel="0" collapsed="false">
      <c r="A815" s="38"/>
      <c r="B815" s="6"/>
      <c r="C815" s="6"/>
      <c r="D815" s="6"/>
      <c r="E815" s="6"/>
      <c r="F815" s="37"/>
      <c r="G815" s="6"/>
      <c r="H815" s="6"/>
    </row>
    <row r="816" customFormat="false" ht="15" hidden="false" customHeight="false" outlineLevel="0" collapsed="false">
      <c r="A816" s="38"/>
      <c r="B816" s="6"/>
      <c r="C816" s="6"/>
      <c r="D816" s="6"/>
      <c r="E816" s="6"/>
      <c r="F816" s="37"/>
      <c r="G816" s="6"/>
      <c r="H816" s="6"/>
    </row>
    <row r="817" customFormat="false" ht="15" hidden="false" customHeight="false" outlineLevel="0" collapsed="false">
      <c r="A817" s="38"/>
      <c r="B817" s="6"/>
      <c r="C817" s="6"/>
      <c r="D817" s="6"/>
      <c r="E817" s="6"/>
      <c r="F817" s="37"/>
      <c r="G817" s="6"/>
      <c r="H817" s="6"/>
    </row>
    <row r="818" customFormat="false" ht="15" hidden="false" customHeight="false" outlineLevel="0" collapsed="false">
      <c r="A818" s="38"/>
      <c r="B818" s="6"/>
      <c r="C818" s="6"/>
      <c r="D818" s="6"/>
      <c r="E818" s="6"/>
      <c r="F818" s="37"/>
      <c r="G818" s="6"/>
      <c r="H818" s="6"/>
    </row>
    <row r="819" customFormat="false" ht="15" hidden="false" customHeight="false" outlineLevel="0" collapsed="false">
      <c r="A819" s="38"/>
      <c r="B819" s="6"/>
      <c r="C819" s="6"/>
      <c r="D819" s="6"/>
      <c r="E819" s="6"/>
      <c r="F819" s="37"/>
      <c r="G819" s="6"/>
      <c r="H819" s="6"/>
    </row>
    <row r="820" customFormat="false" ht="15" hidden="false" customHeight="false" outlineLevel="0" collapsed="false">
      <c r="A820" s="38"/>
      <c r="B820" s="6"/>
      <c r="C820" s="6"/>
      <c r="D820" s="6"/>
      <c r="E820" s="6"/>
      <c r="F820" s="37"/>
      <c r="G820" s="6"/>
      <c r="H820" s="6"/>
    </row>
    <row r="821" customFormat="false" ht="15" hidden="false" customHeight="false" outlineLevel="0" collapsed="false">
      <c r="A821" s="38"/>
      <c r="B821" s="6"/>
      <c r="C821" s="6"/>
      <c r="D821" s="6"/>
      <c r="E821" s="6"/>
      <c r="F821" s="37"/>
      <c r="G821" s="6"/>
      <c r="H821" s="6"/>
    </row>
    <row r="822" customFormat="false" ht="15" hidden="false" customHeight="false" outlineLevel="0" collapsed="false">
      <c r="A822" s="38"/>
      <c r="B822" s="6"/>
      <c r="C822" s="6"/>
      <c r="D822" s="6"/>
      <c r="E822" s="6"/>
      <c r="F822" s="37"/>
      <c r="G822" s="6"/>
      <c r="H822" s="6"/>
    </row>
    <row r="823" customFormat="false" ht="15" hidden="false" customHeight="false" outlineLevel="0" collapsed="false">
      <c r="A823" s="38"/>
      <c r="B823" s="6"/>
      <c r="C823" s="6"/>
      <c r="D823" s="6"/>
      <c r="E823" s="6"/>
      <c r="F823" s="37"/>
      <c r="G823" s="6"/>
      <c r="H823" s="6"/>
    </row>
    <row r="824" customFormat="false" ht="15" hidden="false" customHeight="false" outlineLevel="0" collapsed="false">
      <c r="A824" s="38"/>
      <c r="B824" s="6"/>
      <c r="C824" s="6"/>
      <c r="D824" s="6"/>
      <c r="E824" s="6"/>
      <c r="F824" s="37"/>
      <c r="G824" s="6"/>
      <c r="H824" s="6"/>
    </row>
    <row r="825" customFormat="false" ht="15" hidden="false" customHeight="false" outlineLevel="0" collapsed="false">
      <c r="A825" s="38"/>
      <c r="B825" s="6"/>
      <c r="C825" s="6"/>
      <c r="D825" s="6"/>
      <c r="E825" s="6"/>
      <c r="F825" s="37"/>
      <c r="G825" s="6"/>
      <c r="H825" s="6"/>
    </row>
    <row r="826" customFormat="false" ht="15" hidden="false" customHeight="false" outlineLevel="0" collapsed="false">
      <c r="A826" s="38"/>
      <c r="B826" s="6"/>
      <c r="C826" s="6"/>
      <c r="D826" s="6"/>
      <c r="E826" s="6"/>
      <c r="F826" s="37"/>
      <c r="G826" s="6"/>
      <c r="H826" s="6"/>
    </row>
    <row r="827" customFormat="false" ht="15" hidden="false" customHeight="false" outlineLevel="0" collapsed="false">
      <c r="A827" s="38"/>
      <c r="B827" s="6"/>
      <c r="C827" s="6"/>
      <c r="D827" s="6"/>
      <c r="E827" s="6"/>
      <c r="F827" s="37"/>
      <c r="G827" s="6"/>
      <c r="H827" s="6"/>
    </row>
    <row r="828" customFormat="false" ht="15" hidden="false" customHeight="false" outlineLevel="0" collapsed="false">
      <c r="A828" s="38"/>
      <c r="B828" s="6"/>
      <c r="C828" s="6"/>
      <c r="D828" s="6"/>
      <c r="E828" s="6"/>
      <c r="F828" s="37"/>
      <c r="G828" s="6"/>
      <c r="H828" s="6"/>
    </row>
    <row r="829" customFormat="false" ht="15" hidden="false" customHeight="false" outlineLevel="0" collapsed="false">
      <c r="A829" s="38"/>
      <c r="B829" s="6"/>
      <c r="C829" s="6"/>
      <c r="D829" s="6"/>
      <c r="E829" s="6"/>
      <c r="F829" s="37"/>
      <c r="G829" s="6"/>
      <c r="H829" s="6"/>
    </row>
    <row r="830" customFormat="false" ht="15" hidden="false" customHeight="false" outlineLevel="0" collapsed="false">
      <c r="A830" s="38"/>
      <c r="B830" s="6"/>
      <c r="C830" s="6"/>
      <c r="D830" s="6"/>
      <c r="E830" s="6"/>
      <c r="F830" s="37"/>
      <c r="G830" s="6"/>
      <c r="H830" s="6"/>
    </row>
    <row r="831" customFormat="false" ht="15" hidden="false" customHeight="false" outlineLevel="0" collapsed="false">
      <c r="A831" s="38"/>
      <c r="B831" s="6"/>
      <c r="C831" s="6"/>
      <c r="D831" s="6"/>
      <c r="E831" s="6"/>
      <c r="F831" s="37"/>
      <c r="G831" s="6"/>
      <c r="H831" s="6"/>
    </row>
    <row r="832" customFormat="false" ht="15" hidden="false" customHeight="false" outlineLevel="0" collapsed="false">
      <c r="A832" s="38"/>
      <c r="B832" s="6"/>
      <c r="C832" s="6"/>
      <c r="D832" s="6"/>
      <c r="E832" s="6"/>
      <c r="F832" s="37"/>
      <c r="G832" s="6"/>
      <c r="H832" s="6"/>
    </row>
    <row r="833" customFormat="false" ht="15" hidden="false" customHeight="false" outlineLevel="0" collapsed="false">
      <c r="A833" s="38"/>
      <c r="B833" s="6"/>
      <c r="C833" s="6"/>
      <c r="D833" s="6"/>
      <c r="E833" s="6"/>
      <c r="F833" s="37"/>
      <c r="G833" s="6"/>
      <c r="H833" s="6"/>
    </row>
    <row r="834" customFormat="false" ht="15" hidden="false" customHeight="false" outlineLevel="0" collapsed="false">
      <c r="A834" s="38"/>
      <c r="B834" s="6"/>
      <c r="C834" s="6"/>
      <c r="D834" s="6"/>
      <c r="E834" s="6"/>
      <c r="F834" s="37"/>
      <c r="G834" s="6"/>
      <c r="H834" s="6"/>
    </row>
    <row r="835" customFormat="false" ht="15" hidden="false" customHeight="false" outlineLevel="0" collapsed="false">
      <c r="A835" s="38"/>
      <c r="B835" s="6"/>
      <c r="C835" s="6"/>
      <c r="D835" s="6"/>
      <c r="E835" s="6"/>
      <c r="F835" s="37"/>
      <c r="G835" s="6"/>
      <c r="H835" s="6"/>
    </row>
    <row r="836" customFormat="false" ht="15" hidden="false" customHeight="false" outlineLevel="0" collapsed="false">
      <c r="A836" s="38"/>
      <c r="B836" s="6"/>
      <c r="C836" s="6"/>
      <c r="D836" s="6"/>
      <c r="E836" s="6"/>
      <c r="F836" s="37"/>
      <c r="G836" s="6"/>
      <c r="H836" s="6"/>
    </row>
    <row r="837" customFormat="false" ht="15" hidden="false" customHeight="false" outlineLevel="0" collapsed="false">
      <c r="A837" s="38"/>
      <c r="B837" s="6"/>
      <c r="C837" s="6"/>
      <c r="D837" s="6"/>
      <c r="E837" s="6"/>
      <c r="F837" s="37"/>
      <c r="G837" s="6"/>
      <c r="H837" s="6"/>
    </row>
    <row r="838" customFormat="false" ht="15" hidden="false" customHeight="false" outlineLevel="0" collapsed="false">
      <c r="A838" s="38"/>
      <c r="B838" s="6"/>
      <c r="C838" s="6"/>
      <c r="D838" s="6"/>
      <c r="E838" s="6"/>
      <c r="F838" s="37"/>
      <c r="G838" s="6"/>
      <c r="H838" s="6"/>
    </row>
    <row r="839" customFormat="false" ht="15" hidden="false" customHeight="false" outlineLevel="0" collapsed="false">
      <c r="A839" s="38"/>
      <c r="B839" s="6"/>
      <c r="C839" s="6"/>
      <c r="D839" s="6"/>
      <c r="E839" s="6"/>
      <c r="F839" s="37"/>
      <c r="G839" s="6"/>
      <c r="H839" s="6"/>
    </row>
    <row r="840" customFormat="false" ht="15" hidden="false" customHeight="false" outlineLevel="0" collapsed="false">
      <c r="A840" s="38"/>
      <c r="B840" s="6"/>
      <c r="C840" s="6"/>
      <c r="D840" s="6"/>
      <c r="E840" s="6"/>
      <c r="F840" s="37"/>
      <c r="G840" s="6"/>
      <c r="H840" s="6"/>
    </row>
    <row r="841" customFormat="false" ht="15" hidden="false" customHeight="false" outlineLevel="0" collapsed="false">
      <c r="A841" s="38"/>
      <c r="B841" s="6"/>
      <c r="C841" s="6"/>
      <c r="D841" s="6"/>
      <c r="E841" s="6"/>
      <c r="F841" s="37"/>
      <c r="G841" s="6"/>
      <c r="H841" s="6"/>
    </row>
    <row r="842" customFormat="false" ht="15" hidden="false" customHeight="false" outlineLevel="0" collapsed="false">
      <c r="A842" s="38"/>
      <c r="B842" s="6"/>
      <c r="C842" s="6"/>
      <c r="D842" s="6"/>
      <c r="E842" s="6"/>
      <c r="F842" s="37"/>
      <c r="G842" s="6"/>
      <c r="H842" s="6"/>
    </row>
    <row r="843" customFormat="false" ht="15" hidden="false" customHeight="false" outlineLevel="0" collapsed="false">
      <c r="A843" s="38"/>
      <c r="B843" s="6"/>
      <c r="C843" s="6"/>
      <c r="D843" s="6"/>
      <c r="E843" s="6"/>
      <c r="F843" s="37"/>
      <c r="G843" s="6"/>
      <c r="H843" s="6"/>
    </row>
    <row r="844" customFormat="false" ht="15" hidden="false" customHeight="false" outlineLevel="0" collapsed="false">
      <c r="A844" s="38"/>
      <c r="B844" s="6"/>
      <c r="C844" s="6"/>
      <c r="D844" s="6"/>
      <c r="E844" s="6"/>
      <c r="F844" s="37"/>
      <c r="G844" s="6"/>
      <c r="H844" s="6"/>
    </row>
    <row r="845" customFormat="false" ht="15" hidden="false" customHeight="false" outlineLevel="0" collapsed="false">
      <c r="A845" s="38"/>
      <c r="B845" s="6"/>
      <c r="C845" s="6"/>
      <c r="D845" s="6"/>
      <c r="E845" s="6"/>
      <c r="F845" s="37"/>
      <c r="G845" s="6"/>
      <c r="H845" s="6"/>
    </row>
    <row r="846" customFormat="false" ht="15" hidden="false" customHeight="false" outlineLevel="0" collapsed="false">
      <c r="A846" s="38"/>
      <c r="B846" s="6"/>
      <c r="C846" s="6"/>
      <c r="D846" s="6"/>
      <c r="E846" s="6"/>
      <c r="F846" s="37"/>
      <c r="G846" s="6"/>
      <c r="H846" s="6"/>
    </row>
    <row r="847" customFormat="false" ht="15" hidden="false" customHeight="false" outlineLevel="0" collapsed="false">
      <c r="A847" s="38"/>
      <c r="B847" s="6"/>
      <c r="C847" s="6"/>
      <c r="D847" s="6"/>
      <c r="E847" s="6"/>
      <c r="F847" s="37"/>
      <c r="G847" s="6"/>
      <c r="H847" s="6"/>
    </row>
    <row r="848" customFormat="false" ht="15" hidden="false" customHeight="false" outlineLevel="0" collapsed="false">
      <c r="A848" s="38"/>
      <c r="B848" s="6"/>
      <c r="C848" s="6"/>
      <c r="D848" s="6"/>
      <c r="E848" s="6"/>
      <c r="F848" s="37"/>
      <c r="G848" s="6"/>
      <c r="H848" s="6"/>
    </row>
    <row r="849" customFormat="false" ht="15" hidden="false" customHeight="false" outlineLevel="0" collapsed="false">
      <c r="A849" s="38"/>
      <c r="B849" s="6"/>
      <c r="C849" s="6"/>
      <c r="D849" s="6"/>
      <c r="E849" s="6"/>
      <c r="F849" s="37"/>
      <c r="G849" s="6"/>
      <c r="H849" s="6"/>
    </row>
    <row r="850" customFormat="false" ht="15" hidden="false" customHeight="false" outlineLevel="0" collapsed="false">
      <c r="A850" s="38"/>
      <c r="B850" s="6"/>
      <c r="C850" s="6"/>
      <c r="D850" s="6"/>
      <c r="E850" s="6"/>
      <c r="F850" s="37"/>
      <c r="G850" s="6"/>
      <c r="H850" s="6"/>
    </row>
    <row r="851" customFormat="false" ht="15" hidden="false" customHeight="false" outlineLevel="0" collapsed="false">
      <c r="A851" s="38"/>
      <c r="B851" s="6"/>
      <c r="C851" s="6"/>
      <c r="D851" s="6"/>
      <c r="E851" s="6"/>
      <c r="F851" s="37"/>
      <c r="G851" s="6"/>
      <c r="H851" s="6"/>
    </row>
    <row r="852" customFormat="false" ht="15" hidden="false" customHeight="false" outlineLevel="0" collapsed="false">
      <c r="A852" s="38"/>
      <c r="B852" s="6"/>
      <c r="C852" s="6"/>
      <c r="D852" s="6"/>
      <c r="E852" s="6"/>
      <c r="F852" s="37"/>
      <c r="G852" s="6"/>
      <c r="H852" s="6"/>
    </row>
    <row r="853" customFormat="false" ht="15" hidden="false" customHeight="false" outlineLevel="0" collapsed="false">
      <c r="A853" s="38"/>
      <c r="B853" s="6"/>
      <c r="C853" s="6"/>
      <c r="D853" s="6"/>
      <c r="E853" s="6"/>
      <c r="F853" s="37"/>
      <c r="G853" s="6"/>
      <c r="H853" s="6"/>
    </row>
    <row r="854" customFormat="false" ht="15" hidden="false" customHeight="false" outlineLevel="0" collapsed="false">
      <c r="A854" s="38"/>
      <c r="B854" s="6"/>
      <c r="C854" s="6"/>
      <c r="D854" s="6"/>
      <c r="E854" s="6"/>
      <c r="F854" s="37"/>
      <c r="G854" s="6"/>
      <c r="H854" s="6"/>
    </row>
    <row r="855" customFormat="false" ht="15" hidden="false" customHeight="false" outlineLevel="0" collapsed="false">
      <c r="A855" s="38"/>
      <c r="B855" s="6"/>
      <c r="C855" s="6"/>
      <c r="D855" s="6"/>
      <c r="E855" s="6"/>
      <c r="F855" s="37"/>
      <c r="G855" s="6"/>
      <c r="H855" s="6"/>
    </row>
    <row r="856" customFormat="false" ht="15" hidden="false" customHeight="false" outlineLevel="0" collapsed="false">
      <c r="A856" s="38"/>
      <c r="B856" s="6"/>
      <c r="C856" s="6"/>
      <c r="D856" s="6"/>
      <c r="E856" s="6"/>
      <c r="F856" s="37"/>
      <c r="G856" s="6"/>
      <c r="H856" s="6"/>
    </row>
    <row r="857" customFormat="false" ht="15" hidden="false" customHeight="false" outlineLevel="0" collapsed="false">
      <c r="A857" s="38"/>
      <c r="B857" s="6"/>
      <c r="C857" s="6"/>
      <c r="D857" s="6"/>
      <c r="E857" s="6"/>
      <c r="F857" s="37"/>
      <c r="G857" s="6"/>
      <c r="H857" s="6"/>
    </row>
    <row r="858" customFormat="false" ht="15" hidden="false" customHeight="false" outlineLevel="0" collapsed="false">
      <c r="A858" s="38"/>
      <c r="B858" s="6"/>
      <c r="C858" s="6"/>
      <c r="D858" s="6"/>
      <c r="E858" s="6"/>
      <c r="F858" s="37"/>
      <c r="G858" s="6"/>
      <c r="H858" s="6"/>
    </row>
    <row r="859" customFormat="false" ht="15" hidden="false" customHeight="false" outlineLevel="0" collapsed="false">
      <c r="A859" s="38"/>
      <c r="B859" s="6"/>
      <c r="C859" s="6"/>
      <c r="D859" s="6"/>
      <c r="E859" s="6"/>
      <c r="F859" s="37"/>
      <c r="G859" s="6"/>
      <c r="H859" s="6"/>
    </row>
    <row r="860" customFormat="false" ht="15" hidden="false" customHeight="false" outlineLevel="0" collapsed="false">
      <c r="A860" s="38"/>
      <c r="B860" s="6"/>
      <c r="C860" s="6"/>
      <c r="D860" s="6"/>
      <c r="E860" s="6"/>
      <c r="F860" s="37"/>
      <c r="G860" s="6"/>
      <c r="H860" s="6"/>
    </row>
    <row r="861" customFormat="false" ht="15" hidden="false" customHeight="false" outlineLevel="0" collapsed="false">
      <c r="A861" s="38"/>
      <c r="B861" s="6"/>
      <c r="C861" s="6"/>
      <c r="D861" s="6"/>
      <c r="E861" s="6"/>
      <c r="F861" s="37"/>
      <c r="G861" s="6"/>
      <c r="H861" s="6"/>
    </row>
    <row r="862" customFormat="false" ht="15" hidden="false" customHeight="false" outlineLevel="0" collapsed="false">
      <c r="A862" s="38"/>
      <c r="B862" s="6"/>
      <c r="C862" s="6"/>
      <c r="D862" s="6"/>
      <c r="E862" s="6"/>
      <c r="F862" s="37"/>
      <c r="G862" s="6"/>
      <c r="H862" s="6"/>
    </row>
    <row r="863" customFormat="false" ht="15" hidden="false" customHeight="false" outlineLevel="0" collapsed="false">
      <c r="A863" s="38"/>
      <c r="B863" s="6"/>
      <c r="C863" s="6"/>
      <c r="D863" s="6"/>
      <c r="E863" s="6"/>
      <c r="F863" s="37"/>
      <c r="G863" s="6"/>
      <c r="H863" s="6"/>
    </row>
    <row r="864" customFormat="false" ht="15" hidden="false" customHeight="false" outlineLevel="0" collapsed="false">
      <c r="A864" s="38"/>
      <c r="B864" s="6"/>
      <c r="C864" s="6"/>
      <c r="D864" s="6"/>
      <c r="E864" s="6"/>
      <c r="F864" s="37"/>
      <c r="G864" s="6"/>
      <c r="H864" s="6"/>
    </row>
    <row r="865" customFormat="false" ht="15" hidden="false" customHeight="false" outlineLevel="0" collapsed="false">
      <c r="A865" s="38"/>
      <c r="B865" s="6"/>
      <c r="C865" s="6"/>
      <c r="D865" s="6"/>
      <c r="E865" s="6"/>
      <c r="F865" s="37"/>
      <c r="G865" s="6"/>
      <c r="H865" s="6"/>
    </row>
    <row r="866" customFormat="false" ht="15" hidden="false" customHeight="false" outlineLevel="0" collapsed="false">
      <c r="A866" s="38"/>
      <c r="B866" s="6"/>
      <c r="C866" s="6"/>
      <c r="D866" s="6"/>
      <c r="E866" s="6"/>
      <c r="F866" s="37"/>
      <c r="G866" s="6"/>
      <c r="H866" s="6"/>
    </row>
    <row r="867" customFormat="false" ht="15" hidden="false" customHeight="false" outlineLevel="0" collapsed="false">
      <c r="A867" s="38"/>
      <c r="B867" s="6"/>
      <c r="C867" s="6"/>
      <c r="D867" s="6"/>
      <c r="E867" s="6"/>
      <c r="F867" s="37"/>
      <c r="G867" s="6"/>
      <c r="H867" s="6"/>
    </row>
    <row r="868" customFormat="false" ht="15" hidden="false" customHeight="false" outlineLevel="0" collapsed="false">
      <c r="A868" s="38"/>
      <c r="B868" s="6"/>
      <c r="C868" s="6"/>
      <c r="D868" s="6"/>
      <c r="E868" s="6"/>
      <c r="F868" s="37"/>
      <c r="G868" s="6"/>
      <c r="H868" s="6"/>
    </row>
    <row r="869" customFormat="false" ht="15" hidden="false" customHeight="false" outlineLevel="0" collapsed="false">
      <c r="A869" s="38"/>
      <c r="B869" s="6"/>
      <c r="C869" s="6"/>
      <c r="D869" s="6"/>
      <c r="E869" s="6"/>
      <c r="F869" s="37"/>
      <c r="G869" s="6"/>
      <c r="H869" s="6"/>
    </row>
    <row r="870" customFormat="false" ht="15" hidden="false" customHeight="false" outlineLevel="0" collapsed="false">
      <c r="A870" s="38"/>
      <c r="B870" s="6"/>
      <c r="C870" s="6"/>
      <c r="D870" s="6"/>
      <c r="E870" s="6"/>
      <c r="F870" s="37"/>
      <c r="G870" s="6"/>
      <c r="H870" s="6"/>
    </row>
    <row r="871" customFormat="false" ht="15" hidden="false" customHeight="false" outlineLevel="0" collapsed="false">
      <c r="A871" s="38"/>
      <c r="B871" s="6"/>
      <c r="C871" s="6"/>
      <c r="D871" s="6"/>
      <c r="E871" s="6"/>
      <c r="F871" s="37"/>
      <c r="G871" s="6"/>
      <c r="H871" s="6"/>
    </row>
    <row r="872" customFormat="false" ht="15" hidden="false" customHeight="false" outlineLevel="0" collapsed="false">
      <c r="A872" s="38"/>
      <c r="B872" s="6"/>
      <c r="C872" s="6"/>
      <c r="D872" s="6"/>
      <c r="E872" s="6"/>
      <c r="F872" s="37"/>
      <c r="G872" s="6"/>
      <c r="H872" s="6"/>
    </row>
    <row r="873" customFormat="false" ht="15" hidden="false" customHeight="false" outlineLevel="0" collapsed="false">
      <c r="A873" s="38"/>
      <c r="B873" s="6"/>
      <c r="C873" s="6"/>
      <c r="D873" s="6"/>
      <c r="E873" s="6"/>
      <c r="F873" s="37"/>
      <c r="G873" s="6"/>
      <c r="H873" s="6"/>
    </row>
    <row r="874" customFormat="false" ht="15" hidden="false" customHeight="false" outlineLevel="0" collapsed="false">
      <c r="A874" s="38"/>
      <c r="B874" s="6"/>
      <c r="C874" s="6"/>
      <c r="D874" s="6"/>
      <c r="E874" s="6"/>
      <c r="F874" s="37"/>
      <c r="G874" s="6"/>
      <c r="H874" s="6"/>
    </row>
    <row r="875" customFormat="false" ht="15" hidden="false" customHeight="false" outlineLevel="0" collapsed="false">
      <c r="A875" s="38"/>
      <c r="B875" s="6"/>
      <c r="C875" s="6"/>
      <c r="D875" s="6"/>
      <c r="E875" s="6"/>
      <c r="F875" s="37"/>
      <c r="G875" s="6"/>
      <c r="H875" s="6"/>
    </row>
    <row r="876" customFormat="false" ht="15" hidden="false" customHeight="false" outlineLevel="0" collapsed="false">
      <c r="A876" s="38"/>
      <c r="B876" s="6"/>
      <c r="C876" s="6"/>
      <c r="D876" s="6"/>
      <c r="E876" s="6"/>
      <c r="F876" s="37"/>
      <c r="G876" s="6"/>
      <c r="H876" s="6"/>
    </row>
    <row r="877" customFormat="false" ht="15" hidden="false" customHeight="false" outlineLevel="0" collapsed="false">
      <c r="A877" s="38"/>
      <c r="B877" s="6"/>
      <c r="C877" s="6"/>
      <c r="D877" s="6"/>
      <c r="E877" s="6"/>
      <c r="F877" s="37"/>
      <c r="G877" s="6"/>
      <c r="H877" s="6"/>
    </row>
    <row r="878" customFormat="false" ht="15" hidden="false" customHeight="false" outlineLevel="0" collapsed="false">
      <c r="A878" s="38"/>
      <c r="B878" s="6"/>
      <c r="C878" s="6"/>
      <c r="D878" s="6"/>
      <c r="E878" s="6"/>
      <c r="F878" s="37"/>
      <c r="G878" s="6"/>
      <c r="H878" s="6"/>
    </row>
    <row r="879" customFormat="false" ht="15" hidden="false" customHeight="false" outlineLevel="0" collapsed="false">
      <c r="A879" s="38"/>
      <c r="B879" s="6"/>
      <c r="C879" s="6"/>
      <c r="D879" s="6"/>
      <c r="E879" s="6"/>
      <c r="F879" s="37"/>
      <c r="G879" s="6"/>
      <c r="H879" s="6"/>
    </row>
    <row r="880" customFormat="false" ht="15" hidden="false" customHeight="false" outlineLevel="0" collapsed="false">
      <c r="A880" s="38"/>
      <c r="B880" s="6"/>
      <c r="C880" s="6"/>
      <c r="D880" s="6"/>
      <c r="E880" s="6"/>
      <c r="F880" s="37"/>
      <c r="G880" s="6"/>
      <c r="H880" s="6"/>
    </row>
    <row r="881" customFormat="false" ht="15" hidden="false" customHeight="false" outlineLevel="0" collapsed="false">
      <c r="A881" s="38"/>
      <c r="B881" s="6"/>
      <c r="C881" s="6"/>
      <c r="D881" s="6"/>
      <c r="E881" s="6"/>
      <c r="F881" s="37"/>
      <c r="G881" s="6"/>
      <c r="H881" s="6"/>
    </row>
    <row r="882" customFormat="false" ht="15" hidden="false" customHeight="false" outlineLevel="0" collapsed="false">
      <c r="A882" s="38"/>
      <c r="B882" s="6"/>
      <c r="C882" s="6"/>
      <c r="D882" s="6"/>
      <c r="E882" s="6"/>
      <c r="F882" s="37"/>
      <c r="G882" s="6"/>
      <c r="H882" s="6"/>
    </row>
    <row r="883" customFormat="false" ht="15" hidden="false" customHeight="false" outlineLevel="0" collapsed="false">
      <c r="A883" s="38"/>
      <c r="B883" s="6"/>
      <c r="C883" s="6"/>
      <c r="D883" s="6"/>
      <c r="E883" s="6"/>
      <c r="F883" s="37"/>
      <c r="G883" s="6"/>
      <c r="H883" s="6"/>
    </row>
    <row r="884" customFormat="false" ht="15" hidden="false" customHeight="false" outlineLevel="0" collapsed="false">
      <c r="A884" s="38"/>
      <c r="B884" s="6"/>
      <c r="C884" s="6"/>
      <c r="D884" s="6"/>
      <c r="E884" s="6"/>
      <c r="F884" s="37"/>
      <c r="G884" s="6"/>
      <c r="H884" s="6"/>
    </row>
    <row r="885" customFormat="false" ht="15" hidden="false" customHeight="false" outlineLevel="0" collapsed="false">
      <c r="A885" s="38"/>
      <c r="B885" s="6"/>
      <c r="C885" s="6"/>
      <c r="D885" s="6"/>
      <c r="E885" s="6"/>
      <c r="F885" s="37"/>
      <c r="G885" s="6"/>
      <c r="H885" s="6"/>
    </row>
    <row r="886" customFormat="false" ht="15" hidden="false" customHeight="false" outlineLevel="0" collapsed="false">
      <c r="A886" s="38"/>
      <c r="B886" s="6"/>
      <c r="C886" s="6"/>
      <c r="D886" s="6"/>
      <c r="E886" s="6"/>
      <c r="F886" s="37"/>
      <c r="G886" s="6"/>
      <c r="H886" s="6"/>
    </row>
    <row r="887" customFormat="false" ht="15" hidden="false" customHeight="false" outlineLevel="0" collapsed="false">
      <c r="A887" s="38"/>
      <c r="B887" s="6"/>
      <c r="C887" s="6"/>
      <c r="D887" s="6"/>
      <c r="E887" s="6"/>
      <c r="F887" s="37"/>
      <c r="G887" s="6"/>
      <c r="H887" s="6"/>
    </row>
    <row r="888" customFormat="false" ht="15" hidden="false" customHeight="false" outlineLevel="0" collapsed="false">
      <c r="A888" s="38"/>
      <c r="B888" s="6"/>
      <c r="C888" s="6"/>
      <c r="D888" s="6"/>
      <c r="E888" s="6"/>
      <c r="F888" s="37"/>
      <c r="G888" s="6"/>
      <c r="H888" s="6"/>
    </row>
    <row r="889" customFormat="false" ht="15" hidden="false" customHeight="false" outlineLevel="0" collapsed="false">
      <c r="A889" s="38"/>
      <c r="B889" s="6"/>
      <c r="C889" s="6"/>
      <c r="D889" s="6"/>
      <c r="E889" s="6"/>
      <c r="F889" s="37"/>
      <c r="G889" s="6"/>
      <c r="H889" s="6"/>
    </row>
    <row r="890" customFormat="false" ht="15" hidden="false" customHeight="false" outlineLevel="0" collapsed="false">
      <c r="A890" s="38"/>
      <c r="B890" s="6"/>
      <c r="C890" s="6"/>
      <c r="D890" s="6"/>
      <c r="E890" s="6"/>
      <c r="F890" s="37"/>
      <c r="G890" s="6"/>
      <c r="H890" s="6"/>
    </row>
    <row r="891" customFormat="false" ht="15" hidden="false" customHeight="false" outlineLevel="0" collapsed="false">
      <c r="A891" s="38"/>
      <c r="B891" s="6"/>
      <c r="C891" s="6"/>
      <c r="D891" s="6"/>
      <c r="E891" s="6"/>
      <c r="F891" s="37"/>
      <c r="G891" s="6"/>
      <c r="H891" s="6"/>
    </row>
    <row r="892" customFormat="false" ht="15" hidden="false" customHeight="false" outlineLevel="0" collapsed="false">
      <c r="A892" s="38"/>
      <c r="B892" s="6"/>
      <c r="C892" s="6"/>
      <c r="D892" s="6"/>
      <c r="E892" s="6"/>
      <c r="F892" s="37"/>
      <c r="G892" s="6"/>
      <c r="H892" s="6"/>
    </row>
    <row r="893" customFormat="false" ht="15" hidden="false" customHeight="false" outlineLevel="0" collapsed="false">
      <c r="A893" s="38"/>
      <c r="B893" s="6"/>
      <c r="C893" s="6"/>
      <c r="D893" s="6"/>
      <c r="E893" s="6"/>
      <c r="F893" s="37"/>
      <c r="G893" s="6"/>
      <c r="H893" s="6"/>
    </row>
    <row r="894" customFormat="false" ht="15" hidden="false" customHeight="false" outlineLevel="0" collapsed="false">
      <c r="A894" s="38"/>
      <c r="B894" s="6"/>
      <c r="C894" s="6"/>
      <c r="D894" s="6"/>
      <c r="E894" s="6"/>
      <c r="F894" s="37"/>
      <c r="G894" s="6"/>
      <c r="H894" s="6"/>
    </row>
    <row r="895" customFormat="false" ht="15" hidden="false" customHeight="false" outlineLevel="0" collapsed="false">
      <c r="A895" s="38"/>
      <c r="B895" s="6"/>
      <c r="C895" s="6"/>
      <c r="D895" s="6"/>
      <c r="E895" s="6"/>
      <c r="F895" s="37"/>
      <c r="G895" s="6"/>
      <c r="H895" s="6"/>
    </row>
    <row r="896" customFormat="false" ht="15" hidden="false" customHeight="false" outlineLevel="0" collapsed="false">
      <c r="A896" s="38"/>
      <c r="B896" s="6"/>
      <c r="C896" s="6"/>
      <c r="D896" s="6"/>
      <c r="E896" s="6"/>
      <c r="F896" s="37"/>
      <c r="G896" s="6"/>
      <c r="H896" s="6"/>
    </row>
    <row r="897" customFormat="false" ht="15" hidden="false" customHeight="false" outlineLevel="0" collapsed="false">
      <c r="A897" s="38"/>
      <c r="B897" s="6"/>
      <c r="C897" s="6"/>
      <c r="D897" s="6"/>
      <c r="E897" s="6"/>
      <c r="F897" s="37"/>
      <c r="G897" s="6"/>
      <c r="H897" s="6"/>
    </row>
    <row r="898" customFormat="false" ht="15" hidden="false" customHeight="false" outlineLevel="0" collapsed="false">
      <c r="A898" s="38"/>
      <c r="B898" s="6"/>
      <c r="C898" s="6"/>
      <c r="D898" s="6"/>
      <c r="E898" s="6"/>
      <c r="F898" s="37"/>
      <c r="G898" s="6"/>
      <c r="H898" s="6"/>
    </row>
    <row r="899" customFormat="false" ht="15" hidden="false" customHeight="false" outlineLevel="0" collapsed="false">
      <c r="A899" s="38"/>
      <c r="B899" s="6"/>
      <c r="C899" s="6"/>
      <c r="D899" s="6"/>
      <c r="E899" s="6"/>
      <c r="F899" s="37"/>
      <c r="G899" s="6"/>
      <c r="H899" s="6"/>
    </row>
    <row r="900" customFormat="false" ht="15" hidden="false" customHeight="false" outlineLevel="0" collapsed="false">
      <c r="A900" s="38"/>
      <c r="B900" s="6"/>
      <c r="C900" s="6"/>
      <c r="D900" s="6"/>
      <c r="E900" s="6"/>
      <c r="F900" s="37"/>
      <c r="G900" s="6"/>
      <c r="H900" s="6"/>
    </row>
    <row r="901" customFormat="false" ht="15" hidden="false" customHeight="false" outlineLevel="0" collapsed="false">
      <c r="A901" s="38"/>
      <c r="B901" s="6"/>
      <c r="C901" s="6"/>
      <c r="D901" s="6"/>
      <c r="E901" s="6"/>
      <c r="F901" s="37"/>
      <c r="G901" s="6"/>
      <c r="H901" s="6"/>
    </row>
    <row r="902" customFormat="false" ht="15" hidden="false" customHeight="false" outlineLevel="0" collapsed="false">
      <c r="A902" s="38"/>
      <c r="B902" s="6"/>
      <c r="C902" s="6"/>
      <c r="D902" s="6"/>
      <c r="E902" s="6"/>
      <c r="F902" s="37"/>
      <c r="G902" s="6"/>
      <c r="H902" s="6"/>
    </row>
    <row r="903" customFormat="false" ht="15" hidden="false" customHeight="false" outlineLevel="0" collapsed="false">
      <c r="A903" s="38"/>
      <c r="B903" s="6"/>
      <c r="C903" s="6"/>
      <c r="D903" s="6"/>
      <c r="E903" s="6"/>
      <c r="F903" s="37"/>
      <c r="G903" s="6"/>
      <c r="H903" s="6"/>
    </row>
    <row r="904" customFormat="false" ht="15" hidden="false" customHeight="false" outlineLevel="0" collapsed="false">
      <c r="A904" s="38"/>
      <c r="B904" s="6"/>
      <c r="C904" s="6"/>
      <c r="D904" s="6"/>
      <c r="E904" s="6"/>
      <c r="F904" s="37"/>
      <c r="G904" s="6"/>
      <c r="H904" s="6"/>
    </row>
    <row r="905" customFormat="false" ht="15" hidden="false" customHeight="false" outlineLevel="0" collapsed="false">
      <c r="A905" s="38"/>
      <c r="B905" s="6"/>
      <c r="C905" s="6"/>
      <c r="D905" s="6"/>
      <c r="E905" s="6"/>
      <c r="F905" s="37"/>
      <c r="G905" s="6"/>
      <c r="H905" s="6"/>
    </row>
    <row r="906" customFormat="false" ht="15" hidden="false" customHeight="false" outlineLevel="0" collapsed="false">
      <c r="A906" s="38"/>
      <c r="B906" s="6"/>
      <c r="C906" s="6"/>
      <c r="D906" s="6"/>
      <c r="E906" s="6"/>
      <c r="F906" s="37"/>
      <c r="G906" s="6"/>
      <c r="H906" s="6"/>
    </row>
    <row r="907" customFormat="false" ht="15" hidden="false" customHeight="false" outlineLevel="0" collapsed="false">
      <c r="A907" s="38"/>
      <c r="B907" s="6"/>
      <c r="C907" s="6"/>
      <c r="D907" s="6"/>
      <c r="E907" s="6"/>
      <c r="F907" s="37"/>
      <c r="G907" s="6"/>
      <c r="H907" s="6"/>
    </row>
    <row r="908" customFormat="false" ht="15" hidden="false" customHeight="false" outlineLevel="0" collapsed="false">
      <c r="A908" s="38"/>
      <c r="B908" s="6"/>
      <c r="C908" s="6"/>
      <c r="D908" s="6"/>
      <c r="E908" s="6"/>
      <c r="F908" s="37"/>
      <c r="G908" s="6"/>
      <c r="H908" s="6"/>
    </row>
    <row r="909" customFormat="false" ht="15" hidden="false" customHeight="false" outlineLevel="0" collapsed="false">
      <c r="A909" s="38"/>
      <c r="B909" s="6"/>
      <c r="C909" s="6"/>
      <c r="D909" s="6"/>
      <c r="E909" s="6"/>
      <c r="F909" s="37"/>
      <c r="G909" s="6"/>
      <c r="H909" s="6"/>
    </row>
    <row r="910" customFormat="false" ht="15" hidden="false" customHeight="false" outlineLevel="0" collapsed="false">
      <c r="A910" s="38"/>
      <c r="B910" s="6"/>
      <c r="C910" s="6"/>
      <c r="D910" s="6"/>
      <c r="E910" s="6"/>
      <c r="F910" s="37"/>
      <c r="G910" s="6"/>
      <c r="H910" s="6"/>
    </row>
    <row r="911" customFormat="false" ht="15" hidden="false" customHeight="false" outlineLevel="0" collapsed="false">
      <c r="A911" s="38"/>
      <c r="B911" s="6"/>
      <c r="C911" s="6"/>
      <c r="D911" s="6"/>
      <c r="E911" s="6"/>
      <c r="F911" s="37"/>
      <c r="G911" s="6"/>
      <c r="H911" s="6"/>
    </row>
    <row r="912" customFormat="false" ht="15" hidden="false" customHeight="false" outlineLevel="0" collapsed="false">
      <c r="A912" s="38"/>
      <c r="B912" s="6"/>
      <c r="C912" s="6"/>
      <c r="D912" s="6"/>
      <c r="E912" s="6"/>
      <c r="F912" s="37"/>
      <c r="G912" s="6"/>
      <c r="H912" s="6"/>
    </row>
    <row r="913" customFormat="false" ht="15" hidden="false" customHeight="false" outlineLevel="0" collapsed="false">
      <c r="A913" s="38"/>
      <c r="B913" s="6"/>
      <c r="C913" s="6"/>
      <c r="D913" s="6"/>
      <c r="E913" s="6"/>
      <c r="F913" s="37"/>
      <c r="G913" s="6"/>
      <c r="H913" s="6"/>
    </row>
    <row r="914" customFormat="false" ht="15" hidden="false" customHeight="false" outlineLevel="0" collapsed="false">
      <c r="A914" s="38"/>
      <c r="B914" s="6"/>
      <c r="C914" s="6"/>
      <c r="D914" s="6"/>
      <c r="E914" s="6"/>
      <c r="F914" s="37"/>
      <c r="G914" s="6"/>
      <c r="H914" s="6"/>
    </row>
    <row r="915" customFormat="false" ht="15" hidden="false" customHeight="false" outlineLevel="0" collapsed="false">
      <c r="A915" s="38"/>
      <c r="B915" s="6"/>
      <c r="C915" s="6"/>
      <c r="D915" s="6"/>
      <c r="E915" s="6"/>
      <c r="F915" s="37"/>
      <c r="G915" s="6"/>
      <c r="H915" s="6"/>
    </row>
    <row r="916" customFormat="false" ht="15" hidden="false" customHeight="false" outlineLevel="0" collapsed="false">
      <c r="A916" s="38"/>
      <c r="B916" s="6"/>
      <c r="C916" s="6"/>
      <c r="D916" s="6"/>
      <c r="E916" s="6"/>
      <c r="F916" s="37"/>
      <c r="G916" s="6"/>
      <c r="H916" s="6"/>
    </row>
    <row r="917" customFormat="false" ht="15" hidden="false" customHeight="false" outlineLevel="0" collapsed="false">
      <c r="A917" s="38"/>
      <c r="B917" s="6"/>
      <c r="C917" s="6"/>
      <c r="D917" s="6"/>
      <c r="E917" s="6"/>
      <c r="F917" s="37"/>
      <c r="G917" s="6"/>
      <c r="H917" s="6"/>
    </row>
    <row r="918" customFormat="false" ht="15" hidden="false" customHeight="false" outlineLevel="0" collapsed="false">
      <c r="A918" s="38"/>
      <c r="B918" s="6"/>
      <c r="C918" s="6"/>
      <c r="D918" s="6"/>
      <c r="E918" s="6"/>
      <c r="F918" s="37"/>
      <c r="G918" s="6"/>
      <c r="H918" s="6"/>
    </row>
    <row r="919" customFormat="false" ht="15" hidden="false" customHeight="false" outlineLevel="0" collapsed="false">
      <c r="A919" s="38"/>
      <c r="B919" s="6"/>
      <c r="C919" s="6"/>
      <c r="D919" s="6"/>
      <c r="E919" s="6"/>
      <c r="F919" s="37"/>
      <c r="G919" s="6"/>
      <c r="H919" s="6"/>
    </row>
    <row r="920" customFormat="false" ht="15" hidden="false" customHeight="false" outlineLevel="0" collapsed="false">
      <c r="A920" s="38"/>
      <c r="B920" s="6"/>
      <c r="C920" s="6"/>
      <c r="D920" s="6"/>
      <c r="E920" s="6"/>
      <c r="F920" s="37"/>
      <c r="G920" s="6"/>
      <c r="H920" s="6"/>
    </row>
    <row r="921" customFormat="false" ht="15" hidden="false" customHeight="false" outlineLevel="0" collapsed="false">
      <c r="A921" s="38"/>
      <c r="B921" s="6"/>
      <c r="C921" s="6"/>
      <c r="D921" s="6"/>
      <c r="E921" s="6"/>
      <c r="F921" s="37"/>
      <c r="G921" s="6"/>
      <c r="H921" s="6"/>
    </row>
    <row r="922" customFormat="false" ht="15" hidden="false" customHeight="false" outlineLevel="0" collapsed="false">
      <c r="A922" s="38"/>
      <c r="B922" s="6"/>
      <c r="C922" s="6"/>
      <c r="D922" s="6"/>
      <c r="E922" s="6"/>
      <c r="F922" s="37"/>
      <c r="G922" s="6"/>
      <c r="H922" s="6"/>
    </row>
    <row r="923" customFormat="false" ht="15" hidden="false" customHeight="false" outlineLevel="0" collapsed="false">
      <c r="A923" s="38"/>
      <c r="B923" s="6"/>
      <c r="C923" s="6"/>
      <c r="D923" s="6"/>
      <c r="E923" s="6"/>
      <c r="F923" s="37"/>
      <c r="G923" s="6"/>
      <c r="H923" s="6"/>
    </row>
    <row r="924" customFormat="false" ht="15" hidden="false" customHeight="false" outlineLevel="0" collapsed="false">
      <c r="A924" s="38"/>
      <c r="B924" s="6"/>
      <c r="C924" s="6"/>
      <c r="D924" s="6"/>
      <c r="E924" s="6"/>
      <c r="F924" s="37"/>
      <c r="G924" s="6"/>
      <c r="H924" s="6"/>
    </row>
    <row r="925" customFormat="false" ht="15" hidden="false" customHeight="false" outlineLevel="0" collapsed="false">
      <c r="A925" s="38"/>
      <c r="B925" s="6"/>
      <c r="C925" s="6"/>
      <c r="D925" s="6"/>
      <c r="E925" s="6"/>
      <c r="F925" s="37"/>
      <c r="G925" s="6"/>
      <c r="H925" s="6"/>
    </row>
    <row r="926" customFormat="false" ht="15" hidden="false" customHeight="false" outlineLevel="0" collapsed="false">
      <c r="A926" s="38"/>
      <c r="B926" s="6"/>
      <c r="C926" s="6"/>
      <c r="D926" s="6"/>
      <c r="E926" s="6"/>
      <c r="F926" s="37"/>
      <c r="G926" s="6"/>
      <c r="H926" s="6"/>
    </row>
    <row r="927" customFormat="false" ht="15" hidden="false" customHeight="false" outlineLevel="0" collapsed="false">
      <c r="A927" s="38"/>
      <c r="B927" s="6"/>
      <c r="C927" s="6"/>
      <c r="D927" s="6"/>
      <c r="E927" s="6"/>
      <c r="F927" s="37"/>
      <c r="G927" s="6"/>
      <c r="H927" s="6"/>
    </row>
    <row r="928" customFormat="false" ht="15" hidden="false" customHeight="false" outlineLevel="0" collapsed="false">
      <c r="A928" s="38"/>
      <c r="B928" s="6"/>
      <c r="C928" s="6"/>
      <c r="D928" s="6"/>
      <c r="E928" s="6"/>
      <c r="F928" s="37"/>
      <c r="G928" s="6"/>
      <c r="H928" s="6"/>
    </row>
    <row r="929" customFormat="false" ht="15" hidden="false" customHeight="false" outlineLevel="0" collapsed="false">
      <c r="A929" s="38"/>
      <c r="B929" s="6"/>
      <c r="C929" s="6"/>
      <c r="D929" s="6"/>
      <c r="E929" s="6"/>
      <c r="F929" s="37"/>
      <c r="G929" s="6"/>
      <c r="H929" s="6"/>
    </row>
    <row r="930" customFormat="false" ht="15" hidden="false" customHeight="false" outlineLevel="0" collapsed="false">
      <c r="A930" s="38"/>
      <c r="B930" s="6"/>
      <c r="C930" s="6"/>
      <c r="D930" s="6"/>
      <c r="E930" s="6"/>
      <c r="F930" s="37"/>
      <c r="G930" s="6"/>
      <c r="H930" s="6"/>
    </row>
    <row r="931" customFormat="false" ht="15" hidden="false" customHeight="false" outlineLevel="0" collapsed="false">
      <c r="A931" s="38"/>
      <c r="B931" s="6"/>
      <c r="C931" s="6"/>
      <c r="D931" s="6"/>
      <c r="E931" s="6"/>
      <c r="F931" s="37"/>
      <c r="G931" s="6"/>
      <c r="H931" s="6"/>
    </row>
    <row r="932" customFormat="false" ht="15" hidden="false" customHeight="false" outlineLevel="0" collapsed="false">
      <c r="A932" s="38"/>
      <c r="B932" s="6"/>
      <c r="C932" s="6"/>
      <c r="D932" s="6"/>
      <c r="E932" s="6"/>
      <c r="F932" s="37"/>
      <c r="G932" s="6"/>
      <c r="H932" s="6"/>
    </row>
    <row r="933" customFormat="false" ht="15" hidden="false" customHeight="false" outlineLevel="0" collapsed="false">
      <c r="A933" s="38"/>
      <c r="B933" s="6"/>
      <c r="C933" s="6"/>
      <c r="D933" s="6"/>
      <c r="E933" s="6"/>
      <c r="F933" s="37"/>
      <c r="G933" s="6"/>
      <c r="H933" s="6"/>
    </row>
    <row r="934" customFormat="false" ht="15" hidden="false" customHeight="false" outlineLevel="0" collapsed="false">
      <c r="A934" s="38"/>
      <c r="B934" s="6"/>
      <c r="C934" s="6"/>
      <c r="D934" s="6"/>
      <c r="E934" s="6"/>
      <c r="F934" s="37"/>
      <c r="G934" s="6"/>
      <c r="H934" s="6"/>
    </row>
    <row r="935" customFormat="false" ht="15" hidden="false" customHeight="false" outlineLevel="0" collapsed="false">
      <c r="A935" s="38"/>
      <c r="B935" s="6"/>
      <c r="C935" s="6"/>
      <c r="D935" s="6"/>
      <c r="E935" s="6"/>
      <c r="F935" s="37"/>
      <c r="G935" s="6"/>
      <c r="H935" s="6"/>
    </row>
    <row r="936" customFormat="false" ht="15" hidden="false" customHeight="false" outlineLevel="0" collapsed="false">
      <c r="A936" s="38"/>
      <c r="B936" s="6"/>
      <c r="C936" s="6"/>
      <c r="D936" s="6"/>
      <c r="E936" s="6"/>
      <c r="F936" s="37"/>
      <c r="G936" s="6"/>
      <c r="H936" s="6"/>
    </row>
    <row r="937" customFormat="false" ht="15" hidden="false" customHeight="false" outlineLevel="0" collapsed="false">
      <c r="A937" s="38"/>
      <c r="B937" s="6"/>
      <c r="C937" s="6"/>
      <c r="D937" s="6"/>
      <c r="E937" s="6"/>
      <c r="F937" s="37"/>
      <c r="G937" s="6"/>
      <c r="H937" s="6"/>
    </row>
    <row r="938" customFormat="false" ht="15" hidden="false" customHeight="false" outlineLevel="0" collapsed="false">
      <c r="A938" s="38"/>
      <c r="B938" s="6"/>
      <c r="C938" s="6"/>
      <c r="D938" s="6"/>
      <c r="E938" s="6"/>
      <c r="F938" s="37"/>
      <c r="G938" s="6"/>
      <c r="H938" s="6"/>
    </row>
    <row r="939" customFormat="false" ht="15" hidden="false" customHeight="false" outlineLevel="0" collapsed="false">
      <c r="A939" s="38"/>
      <c r="B939" s="6"/>
      <c r="C939" s="6"/>
      <c r="D939" s="6"/>
      <c r="E939" s="6"/>
      <c r="F939" s="37"/>
      <c r="G939" s="6"/>
      <c r="H939" s="6"/>
    </row>
    <row r="940" customFormat="false" ht="15" hidden="false" customHeight="false" outlineLevel="0" collapsed="false">
      <c r="A940" s="38"/>
      <c r="B940" s="6"/>
      <c r="C940" s="6"/>
      <c r="D940" s="6"/>
      <c r="E940" s="6"/>
      <c r="F940" s="37"/>
      <c r="G940" s="6"/>
      <c r="H940" s="6"/>
    </row>
    <row r="941" customFormat="false" ht="15" hidden="false" customHeight="false" outlineLevel="0" collapsed="false">
      <c r="A941" s="38"/>
      <c r="B941" s="6"/>
      <c r="C941" s="6"/>
      <c r="D941" s="6"/>
      <c r="E941" s="6"/>
      <c r="F941" s="37"/>
      <c r="G941" s="6"/>
      <c r="H941" s="6"/>
    </row>
    <row r="942" customFormat="false" ht="15" hidden="false" customHeight="false" outlineLevel="0" collapsed="false">
      <c r="A942" s="38"/>
      <c r="B942" s="6"/>
      <c r="C942" s="6"/>
      <c r="D942" s="6"/>
      <c r="E942" s="6"/>
      <c r="F942" s="37"/>
      <c r="G942" s="6"/>
      <c r="H942" s="6"/>
    </row>
    <row r="943" customFormat="false" ht="15" hidden="false" customHeight="false" outlineLevel="0" collapsed="false">
      <c r="A943" s="38"/>
      <c r="B943" s="6"/>
      <c r="C943" s="6"/>
      <c r="D943" s="6"/>
      <c r="E943" s="6"/>
      <c r="F943" s="37"/>
      <c r="G943" s="6"/>
      <c r="H943" s="6"/>
    </row>
    <row r="944" customFormat="false" ht="15" hidden="false" customHeight="false" outlineLevel="0" collapsed="false">
      <c r="A944" s="38"/>
      <c r="B944" s="6"/>
      <c r="C944" s="6"/>
      <c r="D944" s="6"/>
      <c r="E944" s="6"/>
      <c r="F944" s="37"/>
      <c r="G944" s="6"/>
      <c r="H944" s="6"/>
    </row>
    <row r="945" customFormat="false" ht="15" hidden="false" customHeight="false" outlineLevel="0" collapsed="false">
      <c r="A945" s="38"/>
      <c r="B945" s="6"/>
      <c r="C945" s="6"/>
      <c r="D945" s="6"/>
      <c r="E945" s="6"/>
      <c r="F945" s="37"/>
      <c r="G945" s="6"/>
      <c r="H945" s="6"/>
    </row>
    <row r="946" customFormat="false" ht="15" hidden="false" customHeight="false" outlineLevel="0" collapsed="false">
      <c r="A946" s="38"/>
      <c r="B946" s="6"/>
      <c r="C946" s="6"/>
      <c r="D946" s="6"/>
      <c r="E946" s="6"/>
      <c r="F946" s="37"/>
      <c r="G946" s="6"/>
      <c r="H946" s="6"/>
    </row>
    <row r="947" customFormat="false" ht="15" hidden="false" customHeight="false" outlineLevel="0" collapsed="false">
      <c r="A947" s="38"/>
      <c r="B947" s="6"/>
      <c r="C947" s="6"/>
      <c r="D947" s="6"/>
      <c r="E947" s="6"/>
      <c r="F947" s="37"/>
      <c r="G947" s="6"/>
      <c r="H947" s="6"/>
    </row>
    <row r="948" customFormat="false" ht="15" hidden="false" customHeight="false" outlineLevel="0" collapsed="false">
      <c r="A948" s="38"/>
      <c r="B948" s="6"/>
      <c r="C948" s="6"/>
      <c r="D948" s="6"/>
      <c r="E948" s="6"/>
      <c r="F948" s="37"/>
      <c r="G948" s="6"/>
      <c r="H948" s="6"/>
    </row>
    <row r="949" customFormat="false" ht="15" hidden="false" customHeight="false" outlineLevel="0" collapsed="false">
      <c r="A949" s="38"/>
      <c r="B949" s="6"/>
      <c r="C949" s="6"/>
      <c r="D949" s="6"/>
      <c r="E949" s="6"/>
      <c r="F949" s="37"/>
      <c r="G949" s="6"/>
      <c r="H949" s="6"/>
    </row>
    <row r="950" customFormat="false" ht="15" hidden="false" customHeight="false" outlineLevel="0" collapsed="false">
      <c r="A950" s="38"/>
      <c r="B950" s="6"/>
      <c r="C950" s="6"/>
      <c r="D950" s="6"/>
      <c r="E950" s="6"/>
      <c r="F950" s="37"/>
      <c r="G950" s="6"/>
      <c r="H950" s="6"/>
    </row>
    <row r="951" customFormat="false" ht="15" hidden="false" customHeight="false" outlineLevel="0" collapsed="false">
      <c r="A951" s="38"/>
      <c r="B951" s="6"/>
      <c r="C951" s="6"/>
      <c r="D951" s="6"/>
      <c r="E951" s="6"/>
      <c r="F951" s="37"/>
      <c r="G951" s="6"/>
      <c r="H951" s="6"/>
    </row>
    <row r="952" customFormat="false" ht="15" hidden="false" customHeight="false" outlineLevel="0" collapsed="false">
      <c r="A952" s="38"/>
      <c r="B952" s="6"/>
      <c r="C952" s="6"/>
      <c r="D952" s="6"/>
      <c r="E952" s="6"/>
      <c r="F952" s="37"/>
      <c r="G952" s="6"/>
      <c r="H952" s="6"/>
    </row>
    <row r="953" customFormat="false" ht="15" hidden="false" customHeight="false" outlineLevel="0" collapsed="false">
      <c r="A953" s="38"/>
      <c r="B953" s="6"/>
      <c r="C953" s="6"/>
      <c r="D953" s="6"/>
      <c r="E953" s="6"/>
      <c r="F953" s="37"/>
      <c r="G953" s="6"/>
      <c r="H953" s="6"/>
    </row>
    <row r="954" customFormat="false" ht="15" hidden="false" customHeight="false" outlineLevel="0" collapsed="false">
      <c r="A954" s="38"/>
      <c r="B954" s="6"/>
      <c r="C954" s="6"/>
      <c r="D954" s="6"/>
      <c r="E954" s="6"/>
      <c r="F954" s="37"/>
      <c r="G954" s="6"/>
      <c r="H954" s="6"/>
    </row>
    <row r="955" customFormat="false" ht="15" hidden="false" customHeight="false" outlineLevel="0" collapsed="false">
      <c r="A955" s="38"/>
      <c r="B955" s="6"/>
      <c r="C955" s="6"/>
      <c r="D955" s="6"/>
      <c r="E955" s="6"/>
      <c r="F955" s="37"/>
      <c r="G955" s="6"/>
      <c r="H955" s="6"/>
    </row>
    <row r="956" customFormat="false" ht="15" hidden="false" customHeight="false" outlineLevel="0" collapsed="false">
      <c r="A956" s="38"/>
      <c r="B956" s="6"/>
      <c r="C956" s="6"/>
      <c r="D956" s="6"/>
      <c r="E956" s="6"/>
      <c r="F956" s="37"/>
      <c r="G956" s="6"/>
      <c r="H956" s="6"/>
    </row>
    <row r="957" customFormat="false" ht="15" hidden="false" customHeight="false" outlineLevel="0" collapsed="false">
      <c r="A957" s="38"/>
      <c r="B957" s="6"/>
      <c r="C957" s="6"/>
      <c r="D957" s="6"/>
      <c r="E957" s="6"/>
      <c r="F957" s="37"/>
      <c r="G957" s="6"/>
      <c r="H957" s="6"/>
    </row>
    <row r="958" customFormat="false" ht="15" hidden="false" customHeight="false" outlineLevel="0" collapsed="false">
      <c r="A958" s="38"/>
      <c r="B958" s="6"/>
      <c r="C958" s="6"/>
      <c r="D958" s="6"/>
      <c r="E958" s="6"/>
      <c r="F958" s="37"/>
      <c r="G958" s="6"/>
      <c r="H958" s="6"/>
    </row>
    <row r="959" customFormat="false" ht="15" hidden="false" customHeight="false" outlineLevel="0" collapsed="false">
      <c r="A959" s="38"/>
      <c r="B959" s="6"/>
      <c r="C959" s="6"/>
      <c r="D959" s="6"/>
      <c r="E959" s="6"/>
      <c r="F959" s="37"/>
      <c r="G959" s="6"/>
      <c r="H959" s="6"/>
    </row>
    <row r="960" customFormat="false" ht="15" hidden="false" customHeight="false" outlineLevel="0" collapsed="false">
      <c r="A960" s="38"/>
      <c r="B960" s="6"/>
      <c r="C960" s="6"/>
      <c r="D960" s="6"/>
      <c r="E960" s="6"/>
      <c r="F960" s="37"/>
      <c r="G960" s="6"/>
      <c r="H960" s="6"/>
    </row>
    <row r="961" customFormat="false" ht="15" hidden="false" customHeight="false" outlineLevel="0" collapsed="false">
      <c r="A961" s="38"/>
      <c r="B961" s="6"/>
      <c r="C961" s="6"/>
      <c r="D961" s="6"/>
      <c r="E961" s="6"/>
      <c r="F961" s="37"/>
      <c r="G961" s="6"/>
      <c r="H961" s="6"/>
    </row>
    <row r="962" customFormat="false" ht="15" hidden="false" customHeight="false" outlineLevel="0" collapsed="false">
      <c r="A962" s="38"/>
      <c r="B962" s="6"/>
      <c r="C962" s="6"/>
      <c r="D962" s="6"/>
      <c r="E962" s="6"/>
      <c r="F962" s="37"/>
      <c r="G962" s="6"/>
      <c r="H962" s="6"/>
    </row>
    <row r="963" customFormat="false" ht="15" hidden="false" customHeight="false" outlineLevel="0" collapsed="false">
      <c r="A963" s="38"/>
      <c r="B963" s="6"/>
      <c r="C963" s="6"/>
      <c r="D963" s="6"/>
      <c r="E963" s="6"/>
      <c r="F963" s="37"/>
      <c r="G963" s="6"/>
      <c r="H963" s="6"/>
    </row>
    <row r="964" customFormat="false" ht="15" hidden="false" customHeight="false" outlineLevel="0" collapsed="false">
      <c r="A964" s="38"/>
      <c r="B964" s="6"/>
      <c r="C964" s="6"/>
      <c r="D964" s="6"/>
      <c r="E964" s="6"/>
      <c r="F964" s="37"/>
      <c r="G964" s="6"/>
      <c r="H964" s="6"/>
    </row>
    <row r="965" customFormat="false" ht="15" hidden="false" customHeight="false" outlineLevel="0" collapsed="false">
      <c r="A965" s="38"/>
      <c r="B965" s="6"/>
      <c r="C965" s="6"/>
      <c r="D965" s="6"/>
      <c r="E965" s="6"/>
      <c r="F965" s="37"/>
      <c r="G965" s="6"/>
      <c r="H965" s="6"/>
    </row>
    <row r="966" customFormat="false" ht="15" hidden="false" customHeight="false" outlineLevel="0" collapsed="false">
      <c r="A966" s="38"/>
      <c r="B966" s="6"/>
      <c r="C966" s="6"/>
      <c r="D966" s="6"/>
      <c r="E966" s="6"/>
      <c r="F966" s="37"/>
      <c r="G966" s="6"/>
      <c r="H966" s="6"/>
    </row>
    <row r="967" customFormat="false" ht="15" hidden="false" customHeight="false" outlineLevel="0" collapsed="false">
      <c r="A967" s="38"/>
      <c r="B967" s="6"/>
      <c r="C967" s="6"/>
      <c r="D967" s="6"/>
      <c r="E967" s="6"/>
      <c r="F967" s="37"/>
      <c r="G967" s="6"/>
      <c r="H967" s="6"/>
    </row>
    <row r="968" customFormat="false" ht="15" hidden="false" customHeight="false" outlineLevel="0" collapsed="false">
      <c r="A968" s="38"/>
      <c r="B968" s="6"/>
      <c r="C968" s="6"/>
      <c r="D968" s="6"/>
      <c r="E968" s="6"/>
      <c r="F968" s="37"/>
      <c r="G968" s="6"/>
      <c r="H968" s="6"/>
    </row>
    <row r="969" customFormat="false" ht="15" hidden="false" customHeight="false" outlineLevel="0" collapsed="false">
      <c r="A969" s="38"/>
      <c r="B969" s="6"/>
      <c r="C969" s="6"/>
      <c r="D969" s="6"/>
      <c r="E969" s="6"/>
      <c r="F969" s="37"/>
      <c r="G969" s="6"/>
      <c r="H969" s="6"/>
    </row>
    <row r="970" customFormat="false" ht="15" hidden="false" customHeight="false" outlineLevel="0" collapsed="false">
      <c r="A970" s="38"/>
      <c r="B970" s="6"/>
      <c r="C970" s="6"/>
      <c r="D970" s="6"/>
      <c r="E970" s="6"/>
      <c r="F970" s="37"/>
      <c r="G970" s="6"/>
      <c r="H970" s="6"/>
    </row>
    <row r="971" customFormat="false" ht="15" hidden="false" customHeight="false" outlineLevel="0" collapsed="false">
      <c r="A971" s="38"/>
      <c r="B971" s="6"/>
      <c r="C971" s="6"/>
      <c r="D971" s="6"/>
      <c r="E971" s="6"/>
      <c r="F971" s="37"/>
      <c r="G971" s="6"/>
      <c r="H971" s="6"/>
    </row>
    <row r="972" customFormat="false" ht="15" hidden="false" customHeight="false" outlineLevel="0" collapsed="false">
      <c r="A972" s="38"/>
      <c r="B972" s="6"/>
      <c r="C972" s="6"/>
      <c r="D972" s="6"/>
      <c r="E972" s="6"/>
      <c r="F972" s="37"/>
      <c r="G972" s="6"/>
      <c r="H972" s="6"/>
    </row>
    <row r="973" customFormat="false" ht="15" hidden="false" customHeight="false" outlineLevel="0" collapsed="false">
      <c r="A973" s="38"/>
      <c r="B973" s="6"/>
      <c r="C973" s="6"/>
      <c r="D973" s="6"/>
      <c r="E973" s="6"/>
      <c r="F973" s="37"/>
      <c r="G973" s="6"/>
      <c r="H973" s="6"/>
    </row>
    <row r="974" customFormat="false" ht="15" hidden="false" customHeight="false" outlineLevel="0" collapsed="false">
      <c r="A974" s="38"/>
      <c r="B974" s="6"/>
      <c r="C974" s="6"/>
      <c r="D974" s="6"/>
      <c r="E974" s="6"/>
      <c r="F974" s="37"/>
      <c r="G974" s="6"/>
      <c r="H974" s="6"/>
    </row>
    <row r="975" customFormat="false" ht="15" hidden="false" customHeight="false" outlineLevel="0" collapsed="false">
      <c r="A975" s="38"/>
      <c r="B975" s="6"/>
      <c r="C975" s="6"/>
      <c r="D975" s="6"/>
      <c r="E975" s="6"/>
      <c r="F975" s="37"/>
      <c r="G975" s="6"/>
      <c r="H975" s="6"/>
    </row>
    <row r="976" customFormat="false" ht="15" hidden="false" customHeight="false" outlineLevel="0" collapsed="false">
      <c r="A976" s="38"/>
      <c r="B976" s="6"/>
      <c r="C976" s="6"/>
      <c r="D976" s="6"/>
      <c r="E976" s="6"/>
      <c r="F976" s="37"/>
      <c r="G976" s="6"/>
      <c r="H976" s="6"/>
    </row>
    <row r="977" customFormat="false" ht="15" hidden="false" customHeight="false" outlineLevel="0" collapsed="false">
      <c r="A977" s="38"/>
      <c r="B977" s="6"/>
      <c r="C977" s="6"/>
      <c r="D977" s="6"/>
      <c r="E977" s="6"/>
      <c r="F977" s="37"/>
      <c r="G977" s="6"/>
      <c r="H977" s="6"/>
    </row>
    <row r="978" customFormat="false" ht="15" hidden="false" customHeight="false" outlineLevel="0" collapsed="false">
      <c r="A978" s="38"/>
      <c r="B978" s="6"/>
      <c r="C978" s="6"/>
      <c r="D978" s="6"/>
      <c r="E978" s="6"/>
      <c r="F978" s="37"/>
      <c r="G978" s="6"/>
      <c r="H978" s="6"/>
    </row>
    <row r="979" customFormat="false" ht="15" hidden="false" customHeight="false" outlineLevel="0" collapsed="false">
      <c r="A979" s="38"/>
      <c r="B979" s="6"/>
      <c r="C979" s="6"/>
      <c r="D979" s="6"/>
      <c r="E979" s="6"/>
      <c r="F979" s="37"/>
      <c r="G979" s="6"/>
      <c r="H979" s="6"/>
    </row>
    <row r="980" customFormat="false" ht="15" hidden="false" customHeight="false" outlineLevel="0" collapsed="false">
      <c r="A980" s="38"/>
      <c r="B980" s="6"/>
      <c r="C980" s="6"/>
      <c r="D980" s="6"/>
      <c r="E980" s="6"/>
      <c r="F980" s="37"/>
      <c r="G980" s="6"/>
      <c r="H980" s="6"/>
    </row>
    <row r="981" customFormat="false" ht="15" hidden="false" customHeight="false" outlineLevel="0" collapsed="false">
      <c r="A981" s="38"/>
      <c r="B981" s="6"/>
      <c r="C981" s="6"/>
      <c r="D981" s="6"/>
      <c r="E981" s="6"/>
      <c r="F981" s="37"/>
      <c r="G981" s="6"/>
      <c r="H981" s="6"/>
    </row>
    <row r="982" customFormat="false" ht="15" hidden="false" customHeight="false" outlineLevel="0" collapsed="false">
      <c r="A982" s="38"/>
      <c r="B982" s="6"/>
      <c r="C982" s="6"/>
      <c r="D982" s="6"/>
      <c r="E982" s="6"/>
      <c r="F982" s="37"/>
      <c r="G982" s="6"/>
      <c r="H982" s="6"/>
    </row>
    <row r="983" customFormat="false" ht="15" hidden="false" customHeight="false" outlineLevel="0" collapsed="false">
      <c r="A983" s="38"/>
      <c r="B983" s="6"/>
      <c r="C983" s="6"/>
      <c r="D983" s="6"/>
      <c r="E983" s="6"/>
      <c r="F983" s="37"/>
      <c r="G983" s="6"/>
      <c r="H983" s="6"/>
    </row>
    <row r="984" customFormat="false" ht="15" hidden="false" customHeight="false" outlineLevel="0" collapsed="false">
      <c r="A984" s="38"/>
      <c r="B984" s="6"/>
      <c r="C984" s="6"/>
      <c r="D984" s="6"/>
      <c r="E984" s="6"/>
      <c r="F984" s="37"/>
      <c r="G984" s="6"/>
      <c r="H984" s="6"/>
    </row>
    <row r="985" customFormat="false" ht="15" hidden="false" customHeight="false" outlineLevel="0" collapsed="false">
      <c r="A985" s="38"/>
      <c r="B985" s="6"/>
      <c r="C985" s="6"/>
      <c r="D985" s="6"/>
      <c r="E985" s="6"/>
      <c r="F985" s="37"/>
      <c r="G985" s="6"/>
      <c r="H985" s="6"/>
    </row>
    <row r="986" customFormat="false" ht="15" hidden="false" customHeight="false" outlineLevel="0" collapsed="false">
      <c r="A986" s="38"/>
      <c r="B986" s="6"/>
      <c r="C986" s="6"/>
      <c r="D986" s="6"/>
      <c r="E986" s="6"/>
      <c r="F986" s="37"/>
      <c r="G986" s="6"/>
      <c r="H986" s="6"/>
    </row>
    <row r="987" customFormat="false" ht="15" hidden="false" customHeight="false" outlineLevel="0" collapsed="false">
      <c r="A987" s="38"/>
      <c r="B987" s="6"/>
      <c r="C987" s="6"/>
      <c r="D987" s="6"/>
      <c r="E987" s="6"/>
      <c r="F987" s="37"/>
      <c r="G987" s="6"/>
      <c r="H987" s="6"/>
    </row>
    <row r="988" customFormat="false" ht="15" hidden="false" customHeight="false" outlineLevel="0" collapsed="false">
      <c r="A988" s="38"/>
      <c r="B988" s="6"/>
      <c r="C988" s="6"/>
      <c r="D988" s="6"/>
      <c r="E988" s="6"/>
      <c r="F988" s="37"/>
      <c r="G988" s="6"/>
      <c r="H988" s="6"/>
    </row>
    <row r="989" customFormat="false" ht="15" hidden="false" customHeight="false" outlineLevel="0" collapsed="false">
      <c r="A989" s="38"/>
      <c r="B989" s="6"/>
      <c r="C989" s="6"/>
      <c r="D989" s="6"/>
      <c r="E989" s="6"/>
      <c r="F989" s="37"/>
      <c r="G989" s="6"/>
      <c r="H989" s="6"/>
    </row>
    <row r="990" customFormat="false" ht="15" hidden="false" customHeight="false" outlineLevel="0" collapsed="false">
      <c r="A990" s="38"/>
      <c r="B990" s="6"/>
      <c r="C990" s="6"/>
      <c r="D990" s="6"/>
      <c r="E990" s="6"/>
      <c r="F990" s="37"/>
      <c r="G990" s="6"/>
      <c r="H990" s="6"/>
    </row>
    <row r="991" customFormat="false" ht="15" hidden="false" customHeight="false" outlineLevel="0" collapsed="false">
      <c r="A991" s="38"/>
      <c r="B991" s="6"/>
      <c r="C991" s="6"/>
      <c r="D991" s="6"/>
      <c r="E991" s="6"/>
      <c r="F991" s="37"/>
      <c r="G991" s="6"/>
      <c r="H991" s="6"/>
    </row>
    <row r="992" customFormat="false" ht="15" hidden="false" customHeight="false" outlineLevel="0" collapsed="false">
      <c r="A992" s="38"/>
      <c r="B992" s="6"/>
      <c r="C992" s="6"/>
      <c r="D992" s="6"/>
      <c r="E992" s="6"/>
      <c r="F992" s="37"/>
      <c r="G992" s="6"/>
      <c r="H992" s="6"/>
    </row>
    <row r="993" customFormat="false" ht="15" hidden="false" customHeight="false" outlineLevel="0" collapsed="false">
      <c r="A993" s="38"/>
      <c r="B993" s="6"/>
      <c r="C993" s="6"/>
      <c r="D993" s="6"/>
      <c r="E993" s="6"/>
      <c r="F993" s="37"/>
      <c r="G993" s="6"/>
      <c r="H993" s="6"/>
    </row>
    <row r="994" customFormat="false" ht="15" hidden="false" customHeight="false" outlineLevel="0" collapsed="false">
      <c r="A994" s="38"/>
      <c r="B994" s="6"/>
      <c r="C994" s="6"/>
      <c r="D994" s="6"/>
      <c r="E994" s="6"/>
      <c r="F994" s="37"/>
      <c r="G994" s="6"/>
      <c r="H994" s="6"/>
    </row>
    <row r="995" customFormat="false" ht="15" hidden="false" customHeight="false" outlineLevel="0" collapsed="false">
      <c r="A995" s="38"/>
      <c r="B995" s="6"/>
      <c r="C995" s="6"/>
      <c r="D995" s="6"/>
      <c r="E995" s="6"/>
      <c r="F995" s="37"/>
      <c r="G995" s="6"/>
      <c r="H995" s="6"/>
    </row>
    <row r="996" customFormat="false" ht="15" hidden="false" customHeight="false" outlineLevel="0" collapsed="false">
      <c r="A996" s="38"/>
      <c r="B996" s="6"/>
      <c r="C996" s="6"/>
      <c r="D996" s="6"/>
      <c r="E996" s="6"/>
      <c r="F996" s="37"/>
      <c r="G996" s="6"/>
      <c r="H996" s="6"/>
    </row>
    <row r="997" customFormat="false" ht="15" hidden="false" customHeight="false" outlineLevel="0" collapsed="false">
      <c r="A997" s="38"/>
      <c r="B997" s="6"/>
      <c r="C997" s="6"/>
      <c r="D997" s="6"/>
      <c r="E997" s="6"/>
      <c r="F997" s="37"/>
      <c r="G997" s="6"/>
      <c r="H997" s="6"/>
    </row>
    <row r="998" customFormat="false" ht="15" hidden="false" customHeight="false" outlineLevel="0" collapsed="false">
      <c r="A998" s="38"/>
      <c r="B998" s="6"/>
      <c r="C998" s="6"/>
      <c r="D998" s="6"/>
      <c r="E998" s="6"/>
      <c r="F998" s="37"/>
      <c r="G998" s="6"/>
      <c r="H998" s="6"/>
    </row>
    <row r="999" customFormat="false" ht="15" hidden="false" customHeight="false" outlineLevel="0" collapsed="false">
      <c r="A999" s="38"/>
      <c r="B999" s="6"/>
      <c r="C999" s="6"/>
      <c r="D999" s="6"/>
      <c r="E999" s="6"/>
      <c r="F999" s="37"/>
      <c r="G999" s="6"/>
      <c r="H999" s="6"/>
    </row>
    <row r="1000" customFormat="false" ht="15" hidden="false" customHeight="false" outlineLevel="0" collapsed="false">
      <c r="A1000" s="38"/>
      <c r="B1000" s="6"/>
      <c r="C1000" s="6"/>
      <c r="D1000" s="6"/>
      <c r="E1000" s="6"/>
      <c r="F1000" s="37"/>
      <c r="G1000" s="6"/>
      <c r="H1000" s="6"/>
    </row>
    <row r="1001" customFormat="false" ht="15" hidden="false" customHeight="false" outlineLevel="0" collapsed="false">
      <c r="A1001" s="38"/>
      <c r="B1001" s="6"/>
      <c r="C1001" s="6"/>
      <c r="D1001" s="6"/>
      <c r="E1001" s="6"/>
      <c r="F1001" s="37"/>
      <c r="G1001" s="6"/>
      <c r="H1001" s="6"/>
    </row>
    <row r="1002" customFormat="false" ht="15" hidden="false" customHeight="false" outlineLevel="0" collapsed="false">
      <c r="A1002" s="38"/>
      <c r="B1002" s="6"/>
      <c r="C1002" s="6"/>
      <c r="D1002" s="6"/>
      <c r="E1002" s="6"/>
      <c r="F1002" s="37"/>
      <c r="G1002" s="6"/>
      <c r="H1002" s="6"/>
    </row>
    <row r="1003" customFormat="false" ht="15" hidden="false" customHeight="false" outlineLevel="0" collapsed="false">
      <c r="A1003" s="38"/>
      <c r="B1003" s="6"/>
      <c r="C1003" s="6"/>
      <c r="D1003" s="6"/>
      <c r="E1003" s="6"/>
      <c r="F1003" s="37"/>
      <c r="G1003" s="6"/>
      <c r="H1003" s="6"/>
    </row>
    <row r="1004" customFormat="false" ht="15" hidden="false" customHeight="false" outlineLevel="0" collapsed="false">
      <c r="A1004" s="38"/>
      <c r="B1004" s="6"/>
      <c r="C1004" s="6"/>
      <c r="D1004" s="6"/>
      <c r="E1004" s="6"/>
      <c r="F1004" s="37"/>
      <c r="G1004" s="6"/>
      <c r="H1004" s="6"/>
    </row>
  </sheetData>
  <autoFilter ref="A4:H1004"/>
  <dataValidations count="4">
    <dataValidation allowBlank="true" errorStyle="stop" operator="between" showDropDown="false" showErrorMessage="true" showInputMessage="false" sqref="B5:B1004" type="list">
      <formula1>Properties!$A$5:$A$24</formula1>
      <formula2>0</formula2>
    </dataValidation>
    <dataValidation allowBlank="true" errorStyle="stop" operator="between" showDropDown="false" showErrorMessage="true" showInputMessage="false" sqref="C5:C1004" type="list">
      <formula1>Settings!$H$4:$H$18</formula1>
      <formula2>0</formula2>
    </dataValidation>
    <dataValidation allowBlank="true" errorStyle="stop" operator="between" showDropDown="false" showErrorMessage="true" showInputMessage="false" sqref="G5:G1004" type="list">
      <formula1>Settings!$J$14:$J$20</formula1>
      <formula2>0</formula2>
    </dataValidation>
    <dataValidation allowBlank="true" errorStyle="stop" operator="between" showDropDown="false" showErrorMessage="true" showInputMessage="false" sqref="H5:H1004"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6B64"/>
    <pageSetUpPr fitToPage="false"/>
  </sheetPr>
  <dimension ref="A1:L10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3" min="3" style="0" width="10"/>
    <col collapsed="false" customWidth="true" hidden="false" outlineLevel="0" max="5" min="4" style="0" width="9"/>
    <col collapsed="false" customWidth="true" hidden="false" outlineLevel="0" max="6" min="6" style="0" width="10"/>
    <col collapsed="false" customWidth="true" hidden="false" outlineLevel="0" max="7" min="7" style="0" width="11"/>
    <col collapsed="false" customWidth="true" hidden="false" outlineLevel="0" max="9" min="8" style="0" width="10"/>
    <col collapsed="false" customWidth="true" hidden="false" outlineLevel="0" max="10" min="10" style="0" width="11"/>
    <col collapsed="false" customWidth="true" hidden="false" outlineLevel="0" max="11" min="11" style="0" width="20"/>
    <col collapsed="false" customWidth="true" hidden="false" outlineLevel="0" max="12" min="12" style="0" width="13"/>
  </cols>
  <sheetData>
    <row r="1" customFormat="false" ht="30" hidden="false" customHeight="true" outlineLevel="0" collapsed="false">
      <c r="A1" s="1" t="s">
        <v>158</v>
      </c>
    </row>
    <row r="2" customFormat="false" ht="15" hidden="false" customHeight="false" outlineLevel="0" collapsed="false">
      <c r="A2" s="2" t="s">
        <v>159</v>
      </c>
    </row>
    <row r="4" customFormat="false" ht="15" hidden="false" customHeight="false" outlineLevel="0" collapsed="false">
      <c r="A4" s="4" t="s">
        <v>160</v>
      </c>
      <c r="B4" s="49" t="n">
        <f aca="false">SUM(J7:J106)</f>
        <v>16.3</v>
      </c>
      <c r="D4" s="50" t="str">
        <f aca="false">COUNTIF(G7:G106,"Reorder")&amp;" item(s) to reorder"</f>
        <v>3 item(s) to reorder</v>
      </c>
    </row>
    <row r="6" customFormat="false" ht="31.5" hidden="false" customHeight="true" outlineLevel="0" collapsed="false">
      <c r="A6" s="16" t="s">
        <v>161</v>
      </c>
      <c r="B6" s="16" t="s">
        <v>162</v>
      </c>
      <c r="C6" s="16" t="s">
        <v>163</v>
      </c>
      <c r="D6" s="16" t="s">
        <v>164</v>
      </c>
      <c r="E6" s="16" t="s">
        <v>165</v>
      </c>
      <c r="F6" s="16" t="s">
        <v>166</v>
      </c>
      <c r="G6" s="16" t="s">
        <v>105</v>
      </c>
      <c r="H6" s="16" t="s">
        <v>167</v>
      </c>
      <c r="I6" s="16" t="s">
        <v>168</v>
      </c>
      <c r="J6" s="16" t="s">
        <v>169</v>
      </c>
      <c r="K6" s="16" t="s">
        <v>170</v>
      </c>
      <c r="L6" s="16" t="s">
        <v>171</v>
      </c>
    </row>
    <row r="7" customFormat="false" ht="15" hidden="false" customHeight="false" outlineLevel="0" collapsed="false">
      <c r="A7" s="6" t="s">
        <v>172</v>
      </c>
      <c r="B7" s="6"/>
      <c r="C7" s="6" t="s">
        <v>173</v>
      </c>
      <c r="D7" s="11" t="n">
        <v>24</v>
      </c>
      <c r="E7" s="11" t="n">
        <v>30</v>
      </c>
      <c r="F7" s="11" t="n">
        <v>12</v>
      </c>
      <c r="G7" s="8" t="str">
        <f aca="false">IF(OR(A7="",E7=""),"",IF(E7&lt;=F7,"Reorder","OK"))</f>
        <v>OK</v>
      </c>
      <c r="H7" s="18" t="str">
        <f aca="false">IF(G7="Reorder",MAX(0,D7-E7),"")</f>
        <v/>
      </c>
      <c r="I7" s="37" t="n">
        <v>0.55</v>
      </c>
      <c r="J7" s="41" t="str">
        <f aca="false">IF(H7="","",H7*N(I7))</f>
        <v/>
      </c>
      <c r="K7" s="6" t="s">
        <v>174</v>
      </c>
      <c r="L7" s="38"/>
    </row>
    <row r="8" customFormat="false" ht="15" hidden="false" customHeight="false" outlineLevel="0" collapsed="false">
      <c r="A8" s="6" t="s">
        <v>175</v>
      </c>
      <c r="B8" s="6"/>
      <c r="C8" s="6" t="s">
        <v>173</v>
      </c>
      <c r="D8" s="11" t="n">
        <v>8</v>
      </c>
      <c r="E8" s="11" t="n">
        <v>10</v>
      </c>
      <c r="F8" s="11" t="n">
        <v>4</v>
      </c>
      <c r="G8" s="8" t="str">
        <f aca="false">IF(OR(A8="",E8=""),"",IF(E8&lt;=F8,"Reorder","OK"))</f>
        <v>OK</v>
      </c>
      <c r="H8" s="18" t="str">
        <f aca="false">IF(G8="Reorder",MAX(0,D8-E8),"")</f>
        <v/>
      </c>
      <c r="I8" s="37" t="n">
        <v>1.1</v>
      </c>
      <c r="J8" s="41" t="str">
        <f aca="false">IF(H8="","",H8*N(I8))</f>
        <v/>
      </c>
      <c r="K8" s="6" t="s">
        <v>174</v>
      </c>
      <c r="L8" s="38"/>
    </row>
    <row r="9" customFormat="false" ht="15" hidden="false" customHeight="false" outlineLevel="0" collapsed="false">
      <c r="A9" s="6" t="s">
        <v>176</v>
      </c>
      <c r="B9" s="6"/>
      <c r="C9" s="6" t="s">
        <v>177</v>
      </c>
      <c r="D9" s="11" t="n">
        <v>40</v>
      </c>
      <c r="E9" s="11" t="n">
        <v>18</v>
      </c>
      <c r="F9" s="11" t="n">
        <v>20</v>
      </c>
      <c r="G9" s="8" t="str">
        <f aca="false">IF(OR(A9="",E9=""),"",IF(E9&lt;=F9,"Reorder","OK"))</f>
        <v>Reorder</v>
      </c>
      <c r="H9" s="18" t="n">
        <f aca="false">IF(G9="Reorder",MAX(0,D9-E9),"")</f>
        <v>22</v>
      </c>
      <c r="I9" s="37" t="n">
        <v>0.45</v>
      </c>
      <c r="J9" s="41" t="n">
        <f aca="false">IF(H9="","",H9*N(I9))</f>
        <v>9.9</v>
      </c>
      <c r="K9" s="6" t="s">
        <v>178</v>
      </c>
      <c r="L9" s="38"/>
    </row>
    <row r="10" customFormat="false" ht="15" hidden="false" customHeight="false" outlineLevel="0" collapsed="false">
      <c r="A10" s="6" t="s">
        <v>179</v>
      </c>
      <c r="B10" s="6"/>
      <c r="C10" s="6" t="s">
        <v>180</v>
      </c>
      <c r="D10" s="11" t="n">
        <v>2</v>
      </c>
      <c r="E10" s="11" t="n">
        <v>2</v>
      </c>
      <c r="F10" s="11" t="n">
        <v>1</v>
      </c>
      <c r="G10" s="8" t="str">
        <f aca="false">IF(OR(A10="",E10=""),"",IF(E10&lt;=F10,"Reorder","OK"))</f>
        <v>OK</v>
      </c>
      <c r="H10" s="18" t="str">
        <f aca="false">IF(G10="Reorder",MAX(0,D10-E10),"")</f>
        <v/>
      </c>
      <c r="I10" s="37" t="n">
        <v>3.5</v>
      </c>
      <c r="J10" s="41" t="str">
        <f aca="false">IF(H10="","",H10*N(I10))</f>
        <v/>
      </c>
      <c r="K10" s="6" t="s">
        <v>181</v>
      </c>
      <c r="L10" s="38"/>
    </row>
    <row r="11" customFormat="false" ht="15" hidden="false" customHeight="false" outlineLevel="0" collapsed="false">
      <c r="A11" s="6" t="s">
        <v>182</v>
      </c>
      <c r="B11" s="6"/>
      <c r="C11" s="6" t="s">
        <v>177</v>
      </c>
      <c r="D11" s="11" t="n">
        <v>30</v>
      </c>
      <c r="E11" s="11" t="n">
        <v>24</v>
      </c>
      <c r="F11" s="11" t="n">
        <v>10</v>
      </c>
      <c r="G11" s="8" t="str">
        <f aca="false">IF(OR(A11="",E11=""),"",IF(E11&lt;=F11,"Reorder","OK"))</f>
        <v>OK</v>
      </c>
      <c r="H11" s="18" t="str">
        <f aca="false">IF(G11="Reorder",MAX(0,D11-E11),"")</f>
        <v/>
      </c>
      <c r="I11" s="37" t="n">
        <v>0.3</v>
      </c>
      <c r="J11" s="41" t="str">
        <f aca="false">IF(H11="","",H11*N(I11))</f>
        <v/>
      </c>
      <c r="K11" s="6" t="s">
        <v>174</v>
      </c>
      <c r="L11" s="38"/>
    </row>
    <row r="12" customFormat="false" ht="15" hidden="false" customHeight="false" outlineLevel="0" collapsed="false">
      <c r="A12" s="6" t="s">
        <v>183</v>
      </c>
      <c r="B12" s="6"/>
      <c r="C12" s="6" t="s">
        <v>177</v>
      </c>
      <c r="D12" s="11" t="n">
        <v>40</v>
      </c>
      <c r="E12" s="11" t="n">
        <v>35</v>
      </c>
      <c r="F12" s="11" t="n">
        <v>15</v>
      </c>
      <c r="G12" s="8" t="str">
        <f aca="false">IF(OR(A12="",E12=""),"",IF(E12&lt;=F12,"Reorder","OK"))</f>
        <v>OK</v>
      </c>
      <c r="H12" s="18" t="str">
        <f aca="false">IF(G12="Reorder",MAX(0,D12-E12),"")</f>
        <v/>
      </c>
      <c r="I12" s="37" t="n">
        <v>0.28</v>
      </c>
      <c r="J12" s="41" t="str">
        <f aca="false">IF(H12="","",H12*N(I12))</f>
        <v/>
      </c>
      <c r="K12" s="6" t="s">
        <v>174</v>
      </c>
      <c r="L12" s="38"/>
    </row>
    <row r="13" customFormat="false" ht="15" hidden="false" customHeight="false" outlineLevel="0" collapsed="false">
      <c r="A13" s="6" t="s">
        <v>184</v>
      </c>
      <c r="B13" s="6"/>
      <c r="C13" s="6" t="s">
        <v>185</v>
      </c>
      <c r="D13" s="11" t="n">
        <v>40</v>
      </c>
      <c r="E13" s="11" t="n">
        <v>16</v>
      </c>
      <c r="F13" s="11" t="n">
        <v>15</v>
      </c>
      <c r="G13" s="8" t="str">
        <f aca="false">IF(OR(A13="",E13=""),"",IF(E13&lt;=F13,"Reorder","OK"))</f>
        <v>OK</v>
      </c>
      <c r="H13" s="18" t="str">
        <f aca="false">IF(G13="Reorder",MAX(0,D13-E13),"")</f>
        <v/>
      </c>
      <c r="I13" s="37" t="n">
        <v>0.2</v>
      </c>
      <c r="J13" s="41" t="str">
        <f aca="false">IF(H13="","",H13*N(I13))</f>
        <v/>
      </c>
      <c r="K13" s="6" t="s">
        <v>174</v>
      </c>
      <c r="L13" s="38"/>
    </row>
    <row r="14" customFormat="false" ht="15" hidden="false" customHeight="false" outlineLevel="0" collapsed="false">
      <c r="A14" s="6" t="s">
        <v>186</v>
      </c>
      <c r="B14" s="6"/>
      <c r="C14" s="6" t="s">
        <v>187</v>
      </c>
      <c r="D14" s="11" t="n">
        <v>12</v>
      </c>
      <c r="E14" s="11" t="n">
        <v>9</v>
      </c>
      <c r="F14" s="11" t="n">
        <v>6</v>
      </c>
      <c r="G14" s="8" t="str">
        <f aca="false">IF(OR(A14="",E14=""),"",IF(E14&lt;=F14,"Reorder","OK"))</f>
        <v>OK</v>
      </c>
      <c r="H14" s="18" t="str">
        <f aca="false">IF(G14="Reorder",MAX(0,D14-E14),"")</f>
        <v/>
      </c>
      <c r="I14" s="37" t="n">
        <v>1.25</v>
      </c>
      <c r="J14" s="41" t="str">
        <f aca="false">IF(H14="","",H14*N(I14))</f>
        <v/>
      </c>
      <c r="K14" s="6" t="s">
        <v>178</v>
      </c>
      <c r="L14" s="38"/>
    </row>
    <row r="15" customFormat="false" ht="15" hidden="false" customHeight="false" outlineLevel="0" collapsed="false">
      <c r="A15" s="6" t="s">
        <v>188</v>
      </c>
      <c r="B15" s="6"/>
      <c r="C15" s="6" t="s">
        <v>180</v>
      </c>
      <c r="D15" s="11" t="n">
        <v>3</v>
      </c>
      <c r="E15" s="11" t="n">
        <v>3</v>
      </c>
      <c r="F15" s="11" t="n">
        <v>1</v>
      </c>
      <c r="G15" s="8" t="str">
        <f aca="false">IF(OR(A15="",E15=""),"",IF(E15&lt;=F15,"Reorder","OK"))</f>
        <v>OK</v>
      </c>
      <c r="H15" s="18" t="str">
        <f aca="false">IF(G15="Reorder",MAX(0,D15-E15),"")</f>
        <v/>
      </c>
      <c r="I15" s="37" t="n">
        <v>4.25</v>
      </c>
      <c r="J15" s="41" t="str">
        <f aca="false">IF(H15="","",H15*N(I15))</f>
        <v/>
      </c>
      <c r="K15" s="6" t="s">
        <v>181</v>
      </c>
      <c r="L15" s="38"/>
    </row>
    <row r="16" customFormat="false" ht="15" hidden="false" customHeight="false" outlineLevel="0" collapsed="false">
      <c r="A16" s="6" t="s">
        <v>189</v>
      </c>
      <c r="B16" s="6"/>
      <c r="C16" s="6" t="s">
        <v>190</v>
      </c>
      <c r="D16" s="11" t="n">
        <v>2</v>
      </c>
      <c r="E16" s="11" t="n">
        <v>1</v>
      </c>
      <c r="F16" s="11" t="n">
        <v>1</v>
      </c>
      <c r="G16" s="8" t="str">
        <f aca="false">IF(OR(A16="",E16=""),"",IF(E16&lt;=F16,"Reorder","OK"))</f>
        <v>Reorder</v>
      </c>
      <c r="H16" s="18" t="n">
        <f aca="false">IF(G16="Reorder",MAX(0,D16-E16),"")</f>
        <v>1</v>
      </c>
      <c r="I16" s="37" t="n">
        <v>4</v>
      </c>
      <c r="J16" s="41" t="n">
        <f aca="false">IF(H16="","",H16*N(I16))</f>
        <v>4</v>
      </c>
      <c r="K16" s="6" t="s">
        <v>181</v>
      </c>
      <c r="L16" s="38"/>
    </row>
    <row r="17" customFormat="false" ht="15" hidden="false" customHeight="false" outlineLevel="0" collapsed="false">
      <c r="A17" s="6" t="s">
        <v>191</v>
      </c>
      <c r="B17" s="6"/>
      <c r="C17" s="6" t="s">
        <v>192</v>
      </c>
      <c r="D17" s="11" t="n">
        <v>4</v>
      </c>
      <c r="E17" s="11" t="n">
        <v>4</v>
      </c>
      <c r="F17" s="11" t="n">
        <v>2</v>
      </c>
      <c r="G17" s="8" t="str">
        <f aca="false">IF(OR(A17="",E17=""),"",IF(E17&lt;=F17,"Reorder","OK"))</f>
        <v>OK</v>
      </c>
      <c r="H17" s="18" t="str">
        <f aca="false">IF(G17="Reorder",MAX(0,D17-E17),"")</f>
        <v/>
      </c>
      <c r="I17" s="37" t="n">
        <v>2.5</v>
      </c>
      <c r="J17" s="41" t="str">
        <f aca="false">IF(H17="","",H17*N(I17))</f>
        <v/>
      </c>
      <c r="K17" s="6" t="s">
        <v>193</v>
      </c>
      <c r="L17" s="38"/>
    </row>
    <row r="18" customFormat="false" ht="15" hidden="false" customHeight="false" outlineLevel="0" collapsed="false">
      <c r="A18" s="6" t="s">
        <v>194</v>
      </c>
      <c r="B18" s="6"/>
      <c r="C18" s="6" t="s">
        <v>195</v>
      </c>
      <c r="D18" s="11" t="n">
        <v>8</v>
      </c>
      <c r="E18" s="11" t="n">
        <v>4</v>
      </c>
      <c r="F18" s="11" t="n">
        <v>4</v>
      </c>
      <c r="G18" s="8" t="str">
        <f aca="false">IF(OR(A18="",E18=""),"",IF(E18&lt;=F18,"Reorder","OK"))</f>
        <v>Reorder</v>
      </c>
      <c r="H18" s="18" t="n">
        <f aca="false">IF(G18="Reorder",MAX(0,D18-E18),"")</f>
        <v>4</v>
      </c>
      <c r="I18" s="37" t="n">
        <v>0.6</v>
      </c>
      <c r="J18" s="41" t="n">
        <f aca="false">IF(H18="","",H18*N(I18))</f>
        <v>2.4</v>
      </c>
      <c r="K18" s="6" t="s">
        <v>178</v>
      </c>
      <c r="L18" s="38"/>
    </row>
    <row r="19" customFormat="false" ht="15" hidden="false" customHeight="false" outlineLevel="0" collapsed="false">
      <c r="A19" s="6"/>
      <c r="B19" s="6"/>
      <c r="C19" s="6"/>
      <c r="D19" s="11"/>
      <c r="E19" s="11"/>
      <c r="F19" s="11"/>
      <c r="G19" s="8" t="str">
        <f aca="false">IF(OR(A19="",E19=""),"",IF(E19&lt;=F19,"Reorder","OK"))</f>
        <v/>
      </c>
      <c r="H19" s="18" t="str">
        <f aca="false">IF(G19="Reorder",MAX(0,D19-E19),"")</f>
        <v/>
      </c>
      <c r="I19" s="37"/>
      <c r="J19" s="41" t="str">
        <f aca="false">IF(H19="","",H19*N(I19))</f>
        <v/>
      </c>
      <c r="K19" s="6"/>
      <c r="L19" s="38"/>
    </row>
    <row r="20" customFormat="false" ht="15" hidden="false" customHeight="false" outlineLevel="0" collapsed="false">
      <c r="A20" s="6"/>
      <c r="B20" s="6"/>
      <c r="C20" s="6"/>
      <c r="D20" s="11"/>
      <c r="E20" s="11"/>
      <c r="F20" s="11"/>
      <c r="G20" s="8" t="str">
        <f aca="false">IF(OR(A20="",E20=""),"",IF(E20&lt;=F20,"Reorder","OK"))</f>
        <v/>
      </c>
      <c r="H20" s="18" t="str">
        <f aca="false">IF(G20="Reorder",MAX(0,D20-E20),"")</f>
        <v/>
      </c>
      <c r="I20" s="37"/>
      <c r="J20" s="41" t="str">
        <f aca="false">IF(H20="","",H20*N(I20))</f>
        <v/>
      </c>
      <c r="K20" s="6"/>
      <c r="L20" s="38"/>
    </row>
    <row r="21" customFormat="false" ht="15" hidden="false" customHeight="false" outlineLevel="0" collapsed="false">
      <c r="A21" s="6"/>
      <c r="B21" s="6"/>
      <c r="C21" s="6"/>
      <c r="D21" s="11"/>
      <c r="E21" s="11"/>
      <c r="F21" s="11"/>
      <c r="G21" s="8" t="str">
        <f aca="false">IF(OR(A21="",E21=""),"",IF(E21&lt;=F21,"Reorder","OK"))</f>
        <v/>
      </c>
      <c r="H21" s="18" t="str">
        <f aca="false">IF(G21="Reorder",MAX(0,D21-E21),"")</f>
        <v/>
      </c>
      <c r="I21" s="37"/>
      <c r="J21" s="41" t="str">
        <f aca="false">IF(H21="","",H21*N(I21))</f>
        <v/>
      </c>
      <c r="K21" s="6"/>
      <c r="L21" s="38"/>
    </row>
    <row r="22" customFormat="false" ht="15" hidden="false" customHeight="false" outlineLevel="0" collapsed="false">
      <c r="A22" s="6"/>
      <c r="B22" s="6"/>
      <c r="C22" s="6"/>
      <c r="D22" s="11"/>
      <c r="E22" s="11"/>
      <c r="F22" s="11"/>
      <c r="G22" s="8" t="str">
        <f aca="false">IF(OR(A22="",E22=""),"",IF(E22&lt;=F22,"Reorder","OK"))</f>
        <v/>
      </c>
      <c r="H22" s="18" t="str">
        <f aca="false">IF(G22="Reorder",MAX(0,D22-E22),"")</f>
        <v/>
      </c>
      <c r="I22" s="37"/>
      <c r="J22" s="41" t="str">
        <f aca="false">IF(H22="","",H22*N(I22))</f>
        <v/>
      </c>
      <c r="K22" s="6"/>
      <c r="L22" s="38"/>
    </row>
    <row r="23" customFormat="false" ht="15" hidden="false" customHeight="false" outlineLevel="0" collapsed="false">
      <c r="A23" s="6"/>
      <c r="B23" s="6"/>
      <c r="C23" s="6"/>
      <c r="D23" s="11"/>
      <c r="E23" s="11"/>
      <c r="F23" s="11"/>
      <c r="G23" s="8" t="str">
        <f aca="false">IF(OR(A23="",E23=""),"",IF(E23&lt;=F23,"Reorder","OK"))</f>
        <v/>
      </c>
      <c r="H23" s="18" t="str">
        <f aca="false">IF(G23="Reorder",MAX(0,D23-E23),"")</f>
        <v/>
      </c>
      <c r="I23" s="37"/>
      <c r="J23" s="41" t="str">
        <f aca="false">IF(H23="","",H23*N(I23))</f>
        <v/>
      </c>
      <c r="K23" s="6"/>
      <c r="L23" s="38"/>
    </row>
    <row r="24" customFormat="false" ht="15" hidden="false" customHeight="false" outlineLevel="0" collapsed="false">
      <c r="A24" s="6"/>
      <c r="B24" s="6"/>
      <c r="C24" s="6"/>
      <c r="D24" s="11"/>
      <c r="E24" s="11"/>
      <c r="F24" s="11"/>
      <c r="G24" s="8" t="str">
        <f aca="false">IF(OR(A24="",E24=""),"",IF(E24&lt;=F24,"Reorder","OK"))</f>
        <v/>
      </c>
      <c r="H24" s="18" t="str">
        <f aca="false">IF(G24="Reorder",MAX(0,D24-E24),"")</f>
        <v/>
      </c>
      <c r="I24" s="37"/>
      <c r="J24" s="41" t="str">
        <f aca="false">IF(H24="","",H24*N(I24))</f>
        <v/>
      </c>
      <c r="K24" s="6"/>
      <c r="L24" s="38"/>
    </row>
    <row r="25" customFormat="false" ht="15" hidden="false" customHeight="false" outlineLevel="0" collapsed="false">
      <c r="A25" s="6"/>
      <c r="B25" s="6"/>
      <c r="C25" s="6"/>
      <c r="D25" s="11"/>
      <c r="E25" s="11"/>
      <c r="F25" s="11"/>
      <c r="G25" s="8" t="str">
        <f aca="false">IF(OR(A25="",E25=""),"",IF(E25&lt;=F25,"Reorder","OK"))</f>
        <v/>
      </c>
      <c r="H25" s="18" t="str">
        <f aca="false">IF(G25="Reorder",MAX(0,D25-E25),"")</f>
        <v/>
      </c>
      <c r="I25" s="37"/>
      <c r="J25" s="41" t="str">
        <f aca="false">IF(H25="","",H25*N(I25))</f>
        <v/>
      </c>
      <c r="K25" s="6"/>
      <c r="L25" s="38"/>
    </row>
    <row r="26" customFormat="false" ht="15" hidden="false" customHeight="false" outlineLevel="0" collapsed="false">
      <c r="A26" s="6"/>
      <c r="B26" s="6"/>
      <c r="C26" s="6"/>
      <c r="D26" s="11"/>
      <c r="E26" s="11"/>
      <c r="F26" s="11"/>
      <c r="G26" s="8" t="str">
        <f aca="false">IF(OR(A26="",E26=""),"",IF(E26&lt;=F26,"Reorder","OK"))</f>
        <v/>
      </c>
      <c r="H26" s="18" t="str">
        <f aca="false">IF(G26="Reorder",MAX(0,D26-E26),"")</f>
        <v/>
      </c>
      <c r="I26" s="37"/>
      <c r="J26" s="41" t="str">
        <f aca="false">IF(H26="","",H26*N(I26))</f>
        <v/>
      </c>
      <c r="K26" s="6"/>
      <c r="L26" s="38"/>
    </row>
    <row r="27" customFormat="false" ht="15" hidden="false" customHeight="false" outlineLevel="0" collapsed="false">
      <c r="A27" s="6"/>
      <c r="B27" s="6"/>
      <c r="C27" s="6"/>
      <c r="D27" s="11"/>
      <c r="E27" s="11"/>
      <c r="F27" s="11"/>
      <c r="G27" s="8" t="str">
        <f aca="false">IF(OR(A27="",E27=""),"",IF(E27&lt;=F27,"Reorder","OK"))</f>
        <v/>
      </c>
      <c r="H27" s="18" t="str">
        <f aca="false">IF(G27="Reorder",MAX(0,D27-E27),"")</f>
        <v/>
      </c>
      <c r="I27" s="37"/>
      <c r="J27" s="41" t="str">
        <f aca="false">IF(H27="","",H27*N(I27))</f>
        <v/>
      </c>
      <c r="K27" s="6"/>
      <c r="L27" s="38"/>
    </row>
    <row r="28" customFormat="false" ht="15" hidden="false" customHeight="false" outlineLevel="0" collapsed="false">
      <c r="A28" s="6"/>
      <c r="B28" s="6"/>
      <c r="C28" s="6"/>
      <c r="D28" s="11"/>
      <c r="E28" s="11"/>
      <c r="F28" s="11"/>
      <c r="G28" s="8" t="str">
        <f aca="false">IF(OR(A28="",E28=""),"",IF(E28&lt;=F28,"Reorder","OK"))</f>
        <v/>
      </c>
      <c r="H28" s="18" t="str">
        <f aca="false">IF(G28="Reorder",MAX(0,D28-E28),"")</f>
        <v/>
      </c>
      <c r="I28" s="37"/>
      <c r="J28" s="41" t="str">
        <f aca="false">IF(H28="","",H28*N(I28))</f>
        <v/>
      </c>
      <c r="K28" s="6"/>
      <c r="L28" s="38"/>
    </row>
    <row r="29" customFormat="false" ht="15" hidden="false" customHeight="false" outlineLevel="0" collapsed="false">
      <c r="A29" s="6"/>
      <c r="B29" s="6"/>
      <c r="C29" s="6"/>
      <c r="D29" s="11"/>
      <c r="E29" s="11"/>
      <c r="F29" s="11"/>
      <c r="G29" s="8" t="str">
        <f aca="false">IF(OR(A29="",E29=""),"",IF(E29&lt;=F29,"Reorder","OK"))</f>
        <v/>
      </c>
      <c r="H29" s="18" t="str">
        <f aca="false">IF(G29="Reorder",MAX(0,D29-E29),"")</f>
        <v/>
      </c>
      <c r="I29" s="37"/>
      <c r="J29" s="41" t="str">
        <f aca="false">IF(H29="","",H29*N(I29))</f>
        <v/>
      </c>
      <c r="K29" s="6"/>
      <c r="L29" s="38"/>
    </row>
    <row r="30" customFormat="false" ht="15" hidden="false" customHeight="false" outlineLevel="0" collapsed="false">
      <c r="A30" s="6"/>
      <c r="B30" s="6"/>
      <c r="C30" s="6"/>
      <c r="D30" s="11"/>
      <c r="E30" s="11"/>
      <c r="F30" s="11"/>
      <c r="G30" s="8" t="str">
        <f aca="false">IF(OR(A30="",E30=""),"",IF(E30&lt;=F30,"Reorder","OK"))</f>
        <v/>
      </c>
      <c r="H30" s="18" t="str">
        <f aca="false">IF(G30="Reorder",MAX(0,D30-E30),"")</f>
        <v/>
      </c>
      <c r="I30" s="37"/>
      <c r="J30" s="41" t="str">
        <f aca="false">IF(H30="","",H30*N(I30))</f>
        <v/>
      </c>
      <c r="K30" s="6"/>
      <c r="L30" s="38"/>
    </row>
    <row r="31" customFormat="false" ht="15" hidden="false" customHeight="false" outlineLevel="0" collapsed="false">
      <c r="A31" s="6"/>
      <c r="B31" s="6"/>
      <c r="C31" s="6"/>
      <c r="D31" s="11"/>
      <c r="E31" s="11"/>
      <c r="F31" s="11"/>
      <c r="G31" s="8" t="str">
        <f aca="false">IF(OR(A31="",E31=""),"",IF(E31&lt;=F31,"Reorder","OK"))</f>
        <v/>
      </c>
      <c r="H31" s="18" t="str">
        <f aca="false">IF(G31="Reorder",MAX(0,D31-E31),"")</f>
        <v/>
      </c>
      <c r="I31" s="37"/>
      <c r="J31" s="41" t="str">
        <f aca="false">IF(H31="","",H31*N(I31))</f>
        <v/>
      </c>
      <c r="K31" s="6"/>
      <c r="L31" s="38"/>
    </row>
    <row r="32" customFormat="false" ht="15" hidden="false" customHeight="false" outlineLevel="0" collapsed="false">
      <c r="A32" s="6"/>
      <c r="B32" s="6"/>
      <c r="C32" s="6"/>
      <c r="D32" s="11"/>
      <c r="E32" s="11"/>
      <c r="F32" s="11"/>
      <c r="G32" s="8" t="str">
        <f aca="false">IF(OR(A32="",E32=""),"",IF(E32&lt;=F32,"Reorder","OK"))</f>
        <v/>
      </c>
      <c r="H32" s="18" t="str">
        <f aca="false">IF(G32="Reorder",MAX(0,D32-E32),"")</f>
        <v/>
      </c>
      <c r="I32" s="37"/>
      <c r="J32" s="41" t="str">
        <f aca="false">IF(H32="","",H32*N(I32))</f>
        <v/>
      </c>
      <c r="K32" s="6"/>
      <c r="L32" s="38"/>
    </row>
    <row r="33" customFormat="false" ht="15" hidden="false" customHeight="false" outlineLevel="0" collapsed="false">
      <c r="A33" s="6"/>
      <c r="B33" s="6"/>
      <c r="C33" s="6"/>
      <c r="D33" s="11"/>
      <c r="E33" s="11"/>
      <c r="F33" s="11"/>
      <c r="G33" s="8" t="str">
        <f aca="false">IF(OR(A33="",E33=""),"",IF(E33&lt;=F33,"Reorder","OK"))</f>
        <v/>
      </c>
      <c r="H33" s="18" t="str">
        <f aca="false">IF(G33="Reorder",MAX(0,D33-E33),"")</f>
        <v/>
      </c>
      <c r="I33" s="37"/>
      <c r="J33" s="41" t="str">
        <f aca="false">IF(H33="","",H33*N(I33))</f>
        <v/>
      </c>
      <c r="K33" s="6"/>
      <c r="L33" s="38"/>
    </row>
    <row r="34" customFormat="false" ht="15" hidden="false" customHeight="false" outlineLevel="0" collapsed="false">
      <c r="A34" s="6"/>
      <c r="B34" s="6"/>
      <c r="C34" s="6"/>
      <c r="D34" s="11"/>
      <c r="E34" s="11"/>
      <c r="F34" s="11"/>
      <c r="G34" s="8" t="str">
        <f aca="false">IF(OR(A34="",E34=""),"",IF(E34&lt;=F34,"Reorder","OK"))</f>
        <v/>
      </c>
      <c r="H34" s="18" t="str">
        <f aca="false">IF(G34="Reorder",MAX(0,D34-E34),"")</f>
        <v/>
      </c>
      <c r="I34" s="37"/>
      <c r="J34" s="41" t="str">
        <f aca="false">IF(H34="","",H34*N(I34))</f>
        <v/>
      </c>
      <c r="K34" s="6"/>
      <c r="L34" s="38"/>
    </row>
    <row r="35" customFormat="false" ht="15" hidden="false" customHeight="false" outlineLevel="0" collapsed="false">
      <c r="A35" s="6"/>
      <c r="B35" s="6"/>
      <c r="C35" s="6"/>
      <c r="D35" s="11"/>
      <c r="E35" s="11"/>
      <c r="F35" s="11"/>
      <c r="G35" s="8" t="str">
        <f aca="false">IF(OR(A35="",E35=""),"",IF(E35&lt;=F35,"Reorder","OK"))</f>
        <v/>
      </c>
      <c r="H35" s="18" t="str">
        <f aca="false">IF(G35="Reorder",MAX(0,D35-E35),"")</f>
        <v/>
      </c>
      <c r="I35" s="37"/>
      <c r="J35" s="41" t="str">
        <f aca="false">IF(H35="","",H35*N(I35))</f>
        <v/>
      </c>
      <c r="K35" s="6"/>
      <c r="L35" s="38"/>
    </row>
    <row r="36" customFormat="false" ht="15" hidden="false" customHeight="false" outlineLevel="0" collapsed="false">
      <c r="A36" s="6"/>
      <c r="B36" s="6"/>
      <c r="C36" s="6"/>
      <c r="D36" s="11"/>
      <c r="E36" s="11"/>
      <c r="F36" s="11"/>
      <c r="G36" s="8" t="str">
        <f aca="false">IF(OR(A36="",E36=""),"",IF(E36&lt;=F36,"Reorder","OK"))</f>
        <v/>
      </c>
      <c r="H36" s="18" t="str">
        <f aca="false">IF(G36="Reorder",MAX(0,D36-E36),"")</f>
        <v/>
      </c>
      <c r="I36" s="37"/>
      <c r="J36" s="41" t="str">
        <f aca="false">IF(H36="","",H36*N(I36))</f>
        <v/>
      </c>
      <c r="K36" s="6"/>
      <c r="L36" s="38"/>
    </row>
    <row r="37" customFormat="false" ht="15" hidden="false" customHeight="false" outlineLevel="0" collapsed="false">
      <c r="A37" s="6"/>
      <c r="B37" s="6"/>
      <c r="C37" s="6"/>
      <c r="D37" s="11"/>
      <c r="E37" s="11"/>
      <c r="F37" s="11"/>
      <c r="G37" s="8" t="str">
        <f aca="false">IF(OR(A37="",E37=""),"",IF(E37&lt;=F37,"Reorder","OK"))</f>
        <v/>
      </c>
      <c r="H37" s="18" t="str">
        <f aca="false">IF(G37="Reorder",MAX(0,D37-E37),"")</f>
        <v/>
      </c>
      <c r="I37" s="37"/>
      <c r="J37" s="41" t="str">
        <f aca="false">IF(H37="","",H37*N(I37))</f>
        <v/>
      </c>
      <c r="K37" s="6"/>
      <c r="L37" s="38"/>
    </row>
    <row r="38" customFormat="false" ht="15" hidden="false" customHeight="false" outlineLevel="0" collapsed="false">
      <c r="A38" s="6"/>
      <c r="B38" s="6"/>
      <c r="C38" s="6"/>
      <c r="D38" s="11"/>
      <c r="E38" s="11"/>
      <c r="F38" s="11"/>
      <c r="G38" s="8" t="str">
        <f aca="false">IF(OR(A38="",E38=""),"",IF(E38&lt;=F38,"Reorder","OK"))</f>
        <v/>
      </c>
      <c r="H38" s="18" t="str">
        <f aca="false">IF(G38="Reorder",MAX(0,D38-E38),"")</f>
        <v/>
      </c>
      <c r="I38" s="37"/>
      <c r="J38" s="41" t="str">
        <f aca="false">IF(H38="","",H38*N(I38))</f>
        <v/>
      </c>
      <c r="K38" s="6"/>
      <c r="L38" s="38"/>
    </row>
    <row r="39" customFormat="false" ht="15" hidden="false" customHeight="false" outlineLevel="0" collapsed="false">
      <c r="A39" s="6"/>
      <c r="B39" s="6"/>
      <c r="C39" s="6"/>
      <c r="D39" s="11"/>
      <c r="E39" s="11"/>
      <c r="F39" s="11"/>
      <c r="G39" s="8" t="str">
        <f aca="false">IF(OR(A39="",E39=""),"",IF(E39&lt;=F39,"Reorder","OK"))</f>
        <v/>
      </c>
      <c r="H39" s="18" t="str">
        <f aca="false">IF(G39="Reorder",MAX(0,D39-E39),"")</f>
        <v/>
      </c>
      <c r="I39" s="37"/>
      <c r="J39" s="41" t="str">
        <f aca="false">IF(H39="","",H39*N(I39))</f>
        <v/>
      </c>
      <c r="K39" s="6"/>
      <c r="L39" s="38"/>
    </row>
    <row r="40" customFormat="false" ht="15" hidden="false" customHeight="false" outlineLevel="0" collapsed="false">
      <c r="A40" s="6"/>
      <c r="B40" s="6"/>
      <c r="C40" s="6"/>
      <c r="D40" s="11"/>
      <c r="E40" s="11"/>
      <c r="F40" s="11"/>
      <c r="G40" s="8" t="str">
        <f aca="false">IF(OR(A40="",E40=""),"",IF(E40&lt;=F40,"Reorder","OK"))</f>
        <v/>
      </c>
      <c r="H40" s="18" t="str">
        <f aca="false">IF(G40="Reorder",MAX(0,D40-E40),"")</f>
        <v/>
      </c>
      <c r="I40" s="37"/>
      <c r="J40" s="41" t="str">
        <f aca="false">IF(H40="","",H40*N(I40))</f>
        <v/>
      </c>
      <c r="K40" s="6"/>
      <c r="L40" s="38"/>
    </row>
    <row r="41" customFormat="false" ht="15" hidden="false" customHeight="false" outlineLevel="0" collapsed="false">
      <c r="A41" s="6"/>
      <c r="B41" s="6"/>
      <c r="C41" s="6"/>
      <c r="D41" s="11"/>
      <c r="E41" s="11"/>
      <c r="F41" s="11"/>
      <c r="G41" s="8" t="str">
        <f aca="false">IF(OR(A41="",E41=""),"",IF(E41&lt;=F41,"Reorder","OK"))</f>
        <v/>
      </c>
      <c r="H41" s="18" t="str">
        <f aca="false">IF(G41="Reorder",MAX(0,D41-E41),"")</f>
        <v/>
      </c>
      <c r="I41" s="37"/>
      <c r="J41" s="41" t="str">
        <f aca="false">IF(H41="","",H41*N(I41))</f>
        <v/>
      </c>
      <c r="K41" s="6"/>
      <c r="L41" s="38"/>
    </row>
    <row r="42" customFormat="false" ht="15" hidden="false" customHeight="false" outlineLevel="0" collapsed="false">
      <c r="A42" s="6"/>
      <c r="B42" s="6"/>
      <c r="C42" s="6"/>
      <c r="D42" s="11"/>
      <c r="E42" s="11"/>
      <c r="F42" s="11"/>
      <c r="G42" s="8" t="str">
        <f aca="false">IF(OR(A42="",E42=""),"",IF(E42&lt;=F42,"Reorder","OK"))</f>
        <v/>
      </c>
      <c r="H42" s="18" t="str">
        <f aca="false">IF(G42="Reorder",MAX(0,D42-E42),"")</f>
        <v/>
      </c>
      <c r="I42" s="37"/>
      <c r="J42" s="41" t="str">
        <f aca="false">IF(H42="","",H42*N(I42))</f>
        <v/>
      </c>
      <c r="K42" s="6"/>
      <c r="L42" s="38"/>
    </row>
    <row r="43" customFormat="false" ht="15" hidden="false" customHeight="false" outlineLevel="0" collapsed="false">
      <c r="A43" s="6"/>
      <c r="B43" s="6"/>
      <c r="C43" s="6"/>
      <c r="D43" s="11"/>
      <c r="E43" s="11"/>
      <c r="F43" s="11"/>
      <c r="G43" s="8" t="str">
        <f aca="false">IF(OR(A43="",E43=""),"",IF(E43&lt;=F43,"Reorder","OK"))</f>
        <v/>
      </c>
      <c r="H43" s="18" t="str">
        <f aca="false">IF(G43="Reorder",MAX(0,D43-E43),"")</f>
        <v/>
      </c>
      <c r="I43" s="37"/>
      <c r="J43" s="41" t="str">
        <f aca="false">IF(H43="","",H43*N(I43))</f>
        <v/>
      </c>
      <c r="K43" s="6"/>
      <c r="L43" s="38"/>
    </row>
    <row r="44" customFormat="false" ht="15" hidden="false" customHeight="false" outlineLevel="0" collapsed="false">
      <c r="A44" s="6"/>
      <c r="B44" s="6"/>
      <c r="C44" s="6"/>
      <c r="D44" s="11"/>
      <c r="E44" s="11"/>
      <c r="F44" s="11"/>
      <c r="G44" s="8" t="str">
        <f aca="false">IF(OR(A44="",E44=""),"",IF(E44&lt;=F44,"Reorder","OK"))</f>
        <v/>
      </c>
      <c r="H44" s="18" t="str">
        <f aca="false">IF(G44="Reorder",MAX(0,D44-E44),"")</f>
        <v/>
      </c>
      <c r="I44" s="37"/>
      <c r="J44" s="41" t="str">
        <f aca="false">IF(H44="","",H44*N(I44))</f>
        <v/>
      </c>
      <c r="K44" s="6"/>
      <c r="L44" s="38"/>
    </row>
    <row r="45" customFormat="false" ht="15" hidden="false" customHeight="false" outlineLevel="0" collapsed="false">
      <c r="A45" s="6"/>
      <c r="B45" s="6"/>
      <c r="C45" s="6"/>
      <c r="D45" s="11"/>
      <c r="E45" s="11"/>
      <c r="F45" s="11"/>
      <c r="G45" s="8" t="str">
        <f aca="false">IF(OR(A45="",E45=""),"",IF(E45&lt;=F45,"Reorder","OK"))</f>
        <v/>
      </c>
      <c r="H45" s="18" t="str">
        <f aca="false">IF(G45="Reorder",MAX(0,D45-E45),"")</f>
        <v/>
      </c>
      <c r="I45" s="37"/>
      <c r="J45" s="41" t="str">
        <f aca="false">IF(H45="","",H45*N(I45))</f>
        <v/>
      </c>
      <c r="K45" s="6"/>
      <c r="L45" s="38"/>
    </row>
    <row r="46" customFormat="false" ht="15" hidden="false" customHeight="false" outlineLevel="0" collapsed="false">
      <c r="A46" s="6"/>
      <c r="B46" s="6"/>
      <c r="C46" s="6"/>
      <c r="D46" s="11"/>
      <c r="E46" s="11"/>
      <c r="F46" s="11"/>
      <c r="G46" s="8" t="str">
        <f aca="false">IF(OR(A46="",E46=""),"",IF(E46&lt;=F46,"Reorder","OK"))</f>
        <v/>
      </c>
      <c r="H46" s="18" t="str">
        <f aca="false">IF(G46="Reorder",MAX(0,D46-E46),"")</f>
        <v/>
      </c>
      <c r="I46" s="37"/>
      <c r="J46" s="41" t="str">
        <f aca="false">IF(H46="","",H46*N(I46))</f>
        <v/>
      </c>
      <c r="K46" s="6"/>
      <c r="L46" s="38"/>
    </row>
    <row r="47" customFormat="false" ht="15" hidden="false" customHeight="false" outlineLevel="0" collapsed="false">
      <c r="A47" s="6"/>
      <c r="B47" s="6"/>
      <c r="C47" s="6"/>
      <c r="D47" s="11"/>
      <c r="E47" s="11"/>
      <c r="F47" s="11"/>
      <c r="G47" s="8" t="str">
        <f aca="false">IF(OR(A47="",E47=""),"",IF(E47&lt;=F47,"Reorder","OK"))</f>
        <v/>
      </c>
      <c r="H47" s="18" t="str">
        <f aca="false">IF(G47="Reorder",MAX(0,D47-E47),"")</f>
        <v/>
      </c>
      <c r="I47" s="37"/>
      <c r="J47" s="41" t="str">
        <f aca="false">IF(H47="","",H47*N(I47))</f>
        <v/>
      </c>
      <c r="K47" s="6"/>
      <c r="L47" s="38"/>
    </row>
    <row r="48" customFormat="false" ht="15" hidden="false" customHeight="false" outlineLevel="0" collapsed="false">
      <c r="A48" s="6"/>
      <c r="B48" s="6"/>
      <c r="C48" s="6"/>
      <c r="D48" s="11"/>
      <c r="E48" s="11"/>
      <c r="F48" s="11"/>
      <c r="G48" s="8" t="str">
        <f aca="false">IF(OR(A48="",E48=""),"",IF(E48&lt;=F48,"Reorder","OK"))</f>
        <v/>
      </c>
      <c r="H48" s="18" t="str">
        <f aca="false">IF(G48="Reorder",MAX(0,D48-E48),"")</f>
        <v/>
      </c>
      <c r="I48" s="37"/>
      <c r="J48" s="41" t="str">
        <f aca="false">IF(H48="","",H48*N(I48))</f>
        <v/>
      </c>
      <c r="K48" s="6"/>
      <c r="L48" s="38"/>
    </row>
    <row r="49" customFormat="false" ht="15" hidden="false" customHeight="false" outlineLevel="0" collapsed="false">
      <c r="A49" s="6"/>
      <c r="B49" s="6"/>
      <c r="C49" s="6"/>
      <c r="D49" s="11"/>
      <c r="E49" s="11"/>
      <c r="F49" s="11"/>
      <c r="G49" s="8" t="str">
        <f aca="false">IF(OR(A49="",E49=""),"",IF(E49&lt;=F49,"Reorder","OK"))</f>
        <v/>
      </c>
      <c r="H49" s="18" t="str">
        <f aca="false">IF(G49="Reorder",MAX(0,D49-E49),"")</f>
        <v/>
      </c>
      <c r="I49" s="37"/>
      <c r="J49" s="41" t="str">
        <f aca="false">IF(H49="","",H49*N(I49))</f>
        <v/>
      </c>
      <c r="K49" s="6"/>
      <c r="L49" s="38"/>
    </row>
    <row r="50" customFormat="false" ht="15" hidden="false" customHeight="false" outlineLevel="0" collapsed="false">
      <c r="A50" s="6"/>
      <c r="B50" s="6"/>
      <c r="C50" s="6"/>
      <c r="D50" s="11"/>
      <c r="E50" s="11"/>
      <c r="F50" s="11"/>
      <c r="G50" s="8" t="str">
        <f aca="false">IF(OR(A50="",E50=""),"",IF(E50&lt;=F50,"Reorder","OK"))</f>
        <v/>
      </c>
      <c r="H50" s="18" t="str">
        <f aca="false">IF(G50="Reorder",MAX(0,D50-E50),"")</f>
        <v/>
      </c>
      <c r="I50" s="37"/>
      <c r="J50" s="41" t="str">
        <f aca="false">IF(H50="","",H50*N(I50))</f>
        <v/>
      </c>
      <c r="K50" s="6"/>
      <c r="L50" s="38"/>
    </row>
    <row r="51" customFormat="false" ht="15" hidden="false" customHeight="false" outlineLevel="0" collapsed="false">
      <c r="A51" s="6"/>
      <c r="B51" s="6"/>
      <c r="C51" s="6"/>
      <c r="D51" s="11"/>
      <c r="E51" s="11"/>
      <c r="F51" s="11"/>
      <c r="G51" s="8" t="str">
        <f aca="false">IF(OR(A51="",E51=""),"",IF(E51&lt;=F51,"Reorder","OK"))</f>
        <v/>
      </c>
      <c r="H51" s="18" t="str">
        <f aca="false">IF(G51="Reorder",MAX(0,D51-E51),"")</f>
        <v/>
      </c>
      <c r="I51" s="37"/>
      <c r="J51" s="41" t="str">
        <f aca="false">IF(H51="","",H51*N(I51))</f>
        <v/>
      </c>
      <c r="K51" s="6"/>
      <c r="L51" s="38"/>
    </row>
    <row r="52" customFormat="false" ht="15" hidden="false" customHeight="false" outlineLevel="0" collapsed="false">
      <c r="A52" s="6"/>
      <c r="B52" s="6"/>
      <c r="C52" s="6"/>
      <c r="D52" s="11"/>
      <c r="E52" s="11"/>
      <c r="F52" s="11"/>
      <c r="G52" s="8" t="str">
        <f aca="false">IF(OR(A52="",E52=""),"",IF(E52&lt;=F52,"Reorder","OK"))</f>
        <v/>
      </c>
      <c r="H52" s="18" t="str">
        <f aca="false">IF(G52="Reorder",MAX(0,D52-E52),"")</f>
        <v/>
      </c>
      <c r="I52" s="37"/>
      <c r="J52" s="41" t="str">
        <f aca="false">IF(H52="","",H52*N(I52))</f>
        <v/>
      </c>
      <c r="K52" s="6"/>
      <c r="L52" s="38"/>
    </row>
    <row r="53" customFormat="false" ht="15" hidden="false" customHeight="false" outlineLevel="0" collapsed="false">
      <c r="A53" s="6"/>
      <c r="B53" s="6"/>
      <c r="C53" s="6"/>
      <c r="D53" s="11"/>
      <c r="E53" s="11"/>
      <c r="F53" s="11"/>
      <c r="G53" s="8" t="str">
        <f aca="false">IF(OR(A53="",E53=""),"",IF(E53&lt;=F53,"Reorder","OK"))</f>
        <v/>
      </c>
      <c r="H53" s="18" t="str">
        <f aca="false">IF(G53="Reorder",MAX(0,D53-E53),"")</f>
        <v/>
      </c>
      <c r="I53" s="37"/>
      <c r="J53" s="41" t="str">
        <f aca="false">IF(H53="","",H53*N(I53))</f>
        <v/>
      </c>
      <c r="K53" s="6"/>
      <c r="L53" s="38"/>
    </row>
    <row r="54" customFormat="false" ht="15" hidden="false" customHeight="false" outlineLevel="0" collapsed="false">
      <c r="A54" s="6"/>
      <c r="B54" s="6"/>
      <c r="C54" s="6"/>
      <c r="D54" s="11"/>
      <c r="E54" s="11"/>
      <c r="F54" s="11"/>
      <c r="G54" s="8" t="str">
        <f aca="false">IF(OR(A54="",E54=""),"",IF(E54&lt;=F54,"Reorder","OK"))</f>
        <v/>
      </c>
      <c r="H54" s="18" t="str">
        <f aca="false">IF(G54="Reorder",MAX(0,D54-E54),"")</f>
        <v/>
      </c>
      <c r="I54" s="37"/>
      <c r="J54" s="41" t="str">
        <f aca="false">IF(H54="","",H54*N(I54))</f>
        <v/>
      </c>
      <c r="K54" s="6"/>
      <c r="L54" s="38"/>
    </row>
    <row r="55" customFormat="false" ht="15" hidden="false" customHeight="false" outlineLevel="0" collapsed="false">
      <c r="A55" s="6"/>
      <c r="B55" s="6"/>
      <c r="C55" s="6"/>
      <c r="D55" s="11"/>
      <c r="E55" s="11"/>
      <c r="F55" s="11"/>
      <c r="G55" s="8" t="str">
        <f aca="false">IF(OR(A55="",E55=""),"",IF(E55&lt;=F55,"Reorder","OK"))</f>
        <v/>
      </c>
      <c r="H55" s="18" t="str">
        <f aca="false">IF(G55="Reorder",MAX(0,D55-E55),"")</f>
        <v/>
      </c>
      <c r="I55" s="37"/>
      <c r="J55" s="41" t="str">
        <f aca="false">IF(H55="","",H55*N(I55))</f>
        <v/>
      </c>
      <c r="K55" s="6"/>
      <c r="L55" s="38"/>
    </row>
    <row r="56" customFormat="false" ht="15" hidden="false" customHeight="false" outlineLevel="0" collapsed="false">
      <c r="A56" s="6"/>
      <c r="B56" s="6"/>
      <c r="C56" s="6"/>
      <c r="D56" s="11"/>
      <c r="E56" s="11"/>
      <c r="F56" s="11"/>
      <c r="G56" s="8" t="str">
        <f aca="false">IF(OR(A56="",E56=""),"",IF(E56&lt;=F56,"Reorder","OK"))</f>
        <v/>
      </c>
      <c r="H56" s="18" t="str">
        <f aca="false">IF(G56="Reorder",MAX(0,D56-E56),"")</f>
        <v/>
      </c>
      <c r="I56" s="37"/>
      <c r="J56" s="41" t="str">
        <f aca="false">IF(H56="","",H56*N(I56))</f>
        <v/>
      </c>
      <c r="K56" s="6"/>
      <c r="L56" s="38"/>
    </row>
    <row r="57" customFormat="false" ht="15" hidden="false" customHeight="false" outlineLevel="0" collapsed="false">
      <c r="A57" s="6"/>
      <c r="B57" s="6"/>
      <c r="C57" s="6"/>
      <c r="D57" s="11"/>
      <c r="E57" s="11"/>
      <c r="F57" s="11"/>
      <c r="G57" s="8" t="str">
        <f aca="false">IF(OR(A57="",E57=""),"",IF(E57&lt;=F57,"Reorder","OK"))</f>
        <v/>
      </c>
      <c r="H57" s="18" t="str">
        <f aca="false">IF(G57="Reorder",MAX(0,D57-E57),"")</f>
        <v/>
      </c>
      <c r="I57" s="37"/>
      <c r="J57" s="41" t="str">
        <f aca="false">IF(H57="","",H57*N(I57))</f>
        <v/>
      </c>
      <c r="K57" s="6"/>
      <c r="L57" s="38"/>
    </row>
    <row r="58" customFormat="false" ht="15" hidden="false" customHeight="false" outlineLevel="0" collapsed="false">
      <c r="A58" s="6"/>
      <c r="B58" s="6"/>
      <c r="C58" s="6"/>
      <c r="D58" s="11"/>
      <c r="E58" s="11"/>
      <c r="F58" s="11"/>
      <c r="G58" s="8" t="str">
        <f aca="false">IF(OR(A58="",E58=""),"",IF(E58&lt;=F58,"Reorder","OK"))</f>
        <v/>
      </c>
      <c r="H58" s="18" t="str">
        <f aca="false">IF(G58="Reorder",MAX(0,D58-E58),"")</f>
        <v/>
      </c>
      <c r="I58" s="37"/>
      <c r="J58" s="41" t="str">
        <f aca="false">IF(H58="","",H58*N(I58))</f>
        <v/>
      </c>
      <c r="K58" s="6"/>
      <c r="L58" s="38"/>
    </row>
    <row r="59" customFormat="false" ht="15" hidden="false" customHeight="false" outlineLevel="0" collapsed="false">
      <c r="A59" s="6"/>
      <c r="B59" s="6"/>
      <c r="C59" s="6"/>
      <c r="D59" s="11"/>
      <c r="E59" s="11"/>
      <c r="F59" s="11"/>
      <c r="G59" s="8" t="str">
        <f aca="false">IF(OR(A59="",E59=""),"",IF(E59&lt;=F59,"Reorder","OK"))</f>
        <v/>
      </c>
      <c r="H59" s="18" t="str">
        <f aca="false">IF(G59="Reorder",MAX(0,D59-E59),"")</f>
        <v/>
      </c>
      <c r="I59" s="37"/>
      <c r="J59" s="41" t="str">
        <f aca="false">IF(H59="","",H59*N(I59))</f>
        <v/>
      </c>
      <c r="K59" s="6"/>
      <c r="L59" s="38"/>
    </row>
    <row r="60" customFormat="false" ht="15" hidden="false" customHeight="false" outlineLevel="0" collapsed="false">
      <c r="A60" s="6"/>
      <c r="B60" s="6"/>
      <c r="C60" s="6"/>
      <c r="D60" s="11"/>
      <c r="E60" s="11"/>
      <c r="F60" s="11"/>
      <c r="G60" s="8" t="str">
        <f aca="false">IF(OR(A60="",E60=""),"",IF(E60&lt;=F60,"Reorder","OK"))</f>
        <v/>
      </c>
      <c r="H60" s="18" t="str">
        <f aca="false">IF(G60="Reorder",MAX(0,D60-E60),"")</f>
        <v/>
      </c>
      <c r="I60" s="37"/>
      <c r="J60" s="41" t="str">
        <f aca="false">IF(H60="","",H60*N(I60))</f>
        <v/>
      </c>
      <c r="K60" s="6"/>
      <c r="L60" s="38"/>
    </row>
    <row r="61" customFormat="false" ht="15" hidden="false" customHeight="false" outlineLevel="0" collapsed="false">
      <c r="A61" s="6"/>
      <c r="B61" s="6"/>
      <c r="C61" s="6"/>
      <c r="D61" s="11"/>
      <c r="E61" s="11"/>
      <c r="F61" s="11"/>
      <c r="G61" s="8" t="str">
        <f aca="false">IF(OR(A61="",E61=""),"",IF(E61&lt;=F61,"Reorder","OK"))</f>
        <v/>
      </c>
      <c r="H61" s="18" t="str">
        <f aca="false">IF(G61="Reorder",MAX(0,D61-E61),"")</f>
        <v/>
      </c>
      <c r="I61" s="37"/>
      <c r="J61" s="41" t="str">
        <f aca="false">IF(H61="","",H61*N(I61))</f>
        <v/>
      </c>
      <c r="K61" s="6"/>
      <c r="L61" s="38"/>
    </row>
    <row r="62" customFormat="false" ht="15" hidden="false" customHeight="false" outlineLevel="0" collapsed="false">
      <c r="A62" s="6"/>
      <c r="B62" s="6"/>
      <c r="C62" s="6"/>
      <c r="D62" s="11"/>
      <c r="E62" s="11"/>
      <c r="F62" s="11"/>
      <c r="G62" s="8" t="str">
        <f aca="false">IF(OR(A62="",E62=""),"",IF(E62&lt;=F62,"Reorder","OK"))</f>
        <v/>
      </c>
      <c r="H62" s="18" t="str">
        <f aca="false">IF(G62="Reorder",MAX(0,D62-E62),"")</f>
        <v/>
      </c>
      <c r="I62" s="37"/>
      <c r="J62" s="41" t="str">
        <f aca="false">IF(H62="","",H62*N(I62))</f>
        <v/>
      </c>
      <c r="K62" s="6"/>
      <c r="L62" s="38"/>
    </row>
    <row r="63" customFormat="false" ht="15" hidden="false" customHeight="false" outlineLevel="0" collapsed="false">
      <c r="A63" s="6"/>
      <c r="B63" s="6"/>
      <c r="C63" s="6"/>
      <c r="D63" s="11"/>
      <c r="E63" s="11"/>
      <c r="F63" s="11"/>
      <c r="G63" s="8" t="str">
        <f aca="false">IF(OR(A63="",E63=""),"",IF(E63&lt;=F63,"Reorder","OK"))</f>
        <v/>
      </c>
      <c r="H63" s="18" t="str">
        <f aca="false">IF(G63="Reorder",MAX(0,D63-E63),"")</f>
        <v/>
      </c>
      <c r="I63" s="37"/>
      <c r="J63" s="41" t="str">
        <f aca="false">IF(H63="","",H63*N(I63))</f>
        <v/>
      </c>
      <c r="K63" s="6"/>
      <c r="L63" s="38"/>
    </row>
    <row r="64" customFormat="false" ht="15" hidden="false" customHeight="false" outlineLevel="0" collapsed="false">
      <c r="A64" s="6"/>
      <c r="B64" s="6"/>
      <c r="C64" s="6"/>
      <c r="D64" s="11"/>
      <c r="E64" s="11"/>
      <c r="F64" s="11"/>
      <c r="G64" s="8" t="str">
        <f aca="false">IF(OR(A64="",E64=""),"",IF(E64&lt;=F64,"Reorder","OK"))</f>
        <v/>
      </c>
      <c r="H64" s="18" t="str">
        <f aca="false">IF(G64="Reorder",MAX(0,D64-E64),"")</f>
        <v/>
      </c>
      <c r="I64" s="37"/>
      <c r="J64" s="41" t="str">
        <f aca="false">IF(H64="","",H64*N(I64))</f>
        <v/>
      </c>
      <c r="K64" s="6"/>
      <c r="L64" s="38"/>
    </row>
    <row r="65" customFormat="false" ht="15" hidden="false" customHeight="false" outlineLevel="0" collapsed="false">
      <c r="A65" s="6"/>
      <c r="B65" s="6"/>
      <c r="C65" s="6"/>
      <c r="D65" s="11"/>
      <c r="E65" s="11"/>
      <c r="F65" s="11"/>
      <c r="G65" s="8" t="str">
        <f aca="false">IF(OR(A65="",E65=""),"",IF(E65&lt;=F65,"Reorder","OK"))</f>
        <v/>
      </c>
      <c r="H65" s="18" t="str">
        <f aca="false">IF(G65="Reorder",MAX(0,D65-E65),"")</f>
        <v/>
      </c>
      <c r="I65" s="37"/>
      <c r="J65" s="41" t="str">
        <f aca="false">IF(H65="","",H65*N(I65))</f>
        <v/>
      </c>
      <c r="K65" s="6"/>
      <c r="L65" s="38"/>
    </row>
    <row r="66" customFormat="false" ht="15" hidden="false" customHeight="false" outlineLevel="0" collapsed="false">
      <c r="A66" s="6"/>
      <c r="B66" s="6"/>
      <c r="C66" s="6"/>
      <c r="D66" s="11"/>
      <c r="E66" s="11"/>
      <c r="F66" s="11"/>
      <c r="G66" s="8" t="str">
        <f aca="false">IF(OR(A66="",E66=""),"",IF(E66&lt;=F66,"Reorder","OK"))</f>
        <v/>
      </c>
      <c r="H66" s="18" t="str">
        <f aca="false">IF(G66="Reorder",MAX(0,D66-E66),"")</f>
        <v/>
      </c>
      <c r="I66" s="37"/>
      <c r="J66" s="41" t="str">
        <f aca="false">IF(H66="","",H66*N(I66))</f>
        <v/>
      </c>
      <c r="K66" s="6"/>
      <c r="L66" s="38"/>
    </row>
    <row r="67" customFormat="false" ht="15" hidden="false" customHeight="false" outlineLevel="0" collapsed="false">
      <c r="A67" s="6"/>
      <c r="B67" s="6"/>
      <c r="C67" s="6"/>
      <c r="D67" s="11"/>
      <c r="E67" s="11"/>
      <c r="F67" s="11"/>
      <c r="G67" s="8" t="str">
        <f aca="false">IF(OR(A67="",E67=""),"",IF(E67&lt;=F67,"Reorder","OK"))</f>
        <v/>
      </c>
      <c r="H67" s="18" t="str">
        <f aca="false">IF(G67="Reorder",MAX(0,D67-E67),"")</f>
        <v/>
      </c>
      <c r="I67" s="37"/>
      <c r="J67" s="41" t="str">
        <f aca="false">IF(H67="","",H67*N(I67))</f>
        <v/>
      </c>
      <c r="K67" s="6"/>
      <c r="L67" s="38"/>
    </row>
    <row r="68" customFormat="false" ht="15" hidden="false" customHeight="false" outlineLevel="0" collapsed="false">
      <c r="A68" s="6"/>
      <c r="B68" s="6"/>
      <c r="C68" s="6"/>
      <c r="D68" s="11"/>
      <c r="E68" s="11"/>
      <c r="F68" s="11"/>
      <c r="G68" s="8" t="str">
        <f aca="false">IF(OR(A68="",E68=""),"",IF(E68&lt;=F68,"Reorder","OK"))</f>
        <v/>
      </c>
      <c r="H68" s="18" t="str">
        <f aca="false">IF(G68="Reorder",MAX(0,D68-E68),"")</f>
        <v/>
      </c>
      <c r="I68" s="37"/>
      <c r="J68" s="41" t="str">
        <f aca="false">IF(H68="","",H68*N(I68))</f>
        <v/>
      </c>
      <c r="K68" s="6"/>
      <c r="L68" s="38"/>
    </row>
    <row r="69" customFormat="false" ht="15" hidden="false" customHeight="false" outlineLevel="0" collapsed="false">
      <c r="A69" s="6"/>
      <c r="B69" s="6"/>
      <c r="C69" s="6"/>
      <c r="D69" s="11"/>
      <c r="E69" s="11"/>
      <c r="F69" s="11"/>
      <c r="G69" s="8" t="str">
        <f aca="false">IF(OR(A69="",E69=""),"",IF(E69&lt;=F69,"Reorder","OK"))</f>
        <v/>
      </c>
      <c r="H69" s="18" t="str">
        <f aca="false">IF(G69="Reorder",MAX(0,D69-E69),"")</f>
        <v/>
      </c>
      <c r="I69" s="37"/>
      <c r="J69" s="41" t="str">
        <f aca="false">IF(H69="","",H69*N(I69))</f>
        <v/>
      </c>
      <c r="K69" s="6"/>
      <c r="L69" s="38"/>
    </row>
    <row r="70" customFormat="false" ht="15" hidden="false" customHeight="false" outlineLevel="0" collapsed="false">
      <c r="A70" s="6"/>
      <c r="B70" s="6"/>
      <c r="C70" s="6"/>
      <c r="D70" s="11"/>
      <c r="E70" s="11"/>
      <c r="F70" s="11"/>
      <c r="G70" s="8" t="str">
        <f aca="false">IF(OR(A70="",E70=""),"",IF(E70&lt;=F70,"Reorder","OK"))</f>
        <v/>
      </c>
      <c r="H70" s="18" t="str">
        <f aca="false">IF(G70="Reorder",MAX(0,D70-E70),"")</f>
        <v/>
      </c>
      <c r="I70" s="37"/>
      <c r="J70" s="41" t="str">
        <f aca="false">IF(H70="","",H70*N(I70))</f>
        <v/>
      </c>
      <c r="K70" s="6"/>
      <c r="L70" s="38"/>
    </row>
    <row r="71" customFormat="false" ht="15" hidden="false" customHeight="false" outlineLevel="0" collapsed="false">
      <c r="A71" s="6"/>
      <c r="B71" s="6"/>
      <c r="C71" s="6"/>
      <c r="D71" s="11"/>
      <c r="E71" s="11"/>
      <c r="F71" s="11"/>
      <c r="G71" s="8" t="str">
        <f aca="false">IF(OR(A71="",E71=""),"",IF(E71&lt;=F71,"Reorder","OK"))</f>
        <v/>
      </c>
      <c r="H71" s="18" t="str">
        <f aca="false">IF(G71="Reorder",MAX(0,D71-E71),"")</f>
        <v/>
      </c>
      <c r="I71" s="37"/>
      <c r="J71" s="41" t="str">
        <f aca="false">IF(H71="","",H71*N(I71))</f>
        <v/>
      </c>
      <c r="K71" s="6"/>
      <c r="L71" s="38"/>
    </row>
    <row r="72" customFormat="false" ht="15" hidden="false" customHeight="false" outlineLevel="0" collapsed="false">
      <c r="A72" s="6"/>
      <c r="B72" s="6"/>
      <c r="C72" s="6"/>
      <c r="D72" s="11"/>
      <c r="E72" s="11"/>
      <c r="F72" s="11"/>
      <c r="G72" s="8" t="str">
        <f aca="false">IF(OR(A72="",E72=""),"",IF(E72&lt;=F72,"Reorder","OK"))</f>
        <v/>
      </c>
      <c r="H72" s="18" t="str">
        <f aca="false">IF(G72="Reorder",MAX(0,D72-E72),"")</f>
        <v/>
      </c>
      <c r="I72" s="37"/>
      <c r="J72" s="41" t="str">
        <f aca="false">IF(H72="","",H72*N(I72))</f>
        <v/>
      </c>
      <c r="K72" s="6"/>
      <c r="L72" s="38"/>
    </row>
    <row r="73" customFormat="false" ht="15" hidden="false" customHeight="false" outlineLevel="0" collapsed="false">
      <c r="A73" s="6"/>
      <c r="B73" s="6"/>
      <c r="C73" s="6"/>
      <c r="D73" s="11"/>
      <c r="E73" s="11"/>
      <c r="F73" s="11"/>
      <c r="G73" s="8" t="str">
        <f aca="false">IF(OR(A73="",E73=""),"",IF(E73&lt;=F73,"Reorder","OK"))</f>
        <v/>
      </c>
      <c r="H73" s="18" t="str">
        <f aca="false">IF(G73="Reorder",MAX(0,D73-E73),"")</f>
        <v/>
      </c>
      <c r="I73" s="37"/>
      <c r="J73" s="41" t="str">
        <f aca="false">IF(H73="","",H73*N(I73))</f>
        <v/>
      </c>
      <c r="K73" s="6"/>
      <c r="L73" s="38"/>
    </row>
    <row r="74" customFormat="false" ht="15" hidden="false" customHeight="false" outlineLevel="0" collapsed="false">
      <c r="A74" s="6"/>
      <c r="B74" s="6"/>
      <c r="C74" s="6"/>
      <c r="D74" s="11"/>
      <c r="E74" s="11"/>
      <c r="F74" s="11"/>
      <c r="G74" s="8" t="str">
        <f aca="false">IF(OR(A74="",E74=""),"",IF(E74&lt;=F74,"Reorder","OK"))</f>
        <v/>
      </c>
      <c r="H74" s="18" t="str">
        <f aca="false">IF(G74="Reorder",MAX(0,D74-E74),"")</f>
        <v/>
      </c>
      <c r="I74" s="37"/>
      <c r="J74" s="41" t="str">
        <f aca="false">IF(H74="","",H74*N(I74))</f>
        <v/>
      </c>
      <c r="K74" s="6"/>
      <c r="L74" s="38"/>
    </row>
    <row r="75" customFormat="false" ht="15" hidden="false" customHeight="false" outlineLevel="0" collapsed="false">
      <c r="A75" s="6"/>
      <c r="B75" s="6"/>
      <c r="C75" s="6"/>
      <c r="D75" s="11"/>
      <c r="E75" s="11"/>
      <c r="F75" s="11"/>
      <c r="G75" s="8" t="str">
        <f aca="false">IF(OR(A75="",E75=""),"",IF(E75&lt;=F75,"Reorder","OK"))</f>
        <v/>
      </c>
      <c r="H75" s="18" t="str">
        <f aca="false">IF(G75="Reorder",MAX(0,D75-E75),"")</f>
        <v/>
      </c>
      <c r="I75" s="37"/>
      <c r="J75" s="41" t="str">
        <f aca="false">IF(H75="","",H75*N(I75))</f>
        <v/>
      </c>
      <c r="K75" s="6"/>
      <c r="L75" s="38"/>
    </row>
    <row r="76" customFormat="false" ht="15" hidden="false" customHeight="false" outlineLevel="0" collapsed="false">
      <c r="A76" s="6"/>
      <c r="B76" s="6"/>
      <c r="C76" s="6"/>
      <c r="D76" s="11"/>
      <c r="E76" s="11"/>
      <c r="F76" s="11"/>
      <c r="G76" s="8" t="str">
        <f aca="false">IF(OR(A76="",E76=""),"",IF(E76&lt;=F76,"Reorder","OK"))</f>
        <v/>
      </c>
      <c r="H76" s="18" t="str">
        <f aca="false">IF(G76="Reorder",MAX(0,D76-E76),"")</f>
        <v/>
      </c>
      <c r="I76" s="37"/>
      <c r="J76" s="41" t="str">
        <f aca="false">IF(H76="","",H76*N(I76))</f>
        <v/>
      </c>
      <c r="K76" s="6"/>
      <c r="L76" s="38"/>
    </row>
    <row r="77" customFormat="false" ht="15" hidden="false" customHeight="false" outlineLevel="0" collapsed="false">
      <c r="A77" s="6"/>
      <c r="B77" s="6"/>
      <c r="C77" s="6"/>
      <c r="D77" s="11"/>
      <c r="E77" s="11"/>
      <c r="F77" s="11"/>
      <c r="G77" s="8" t="str">
        <f aca="false">IF(OR(A77="",E77=""),"",IF(E77&lt;=F77,"Reorder","OK"))</f>
        <v/>
      </c>
      <c r="H77" s="18" t="str">
        <f aca="false">IF(G77="Reorder",MAX(0,D77-E77),"")</f>
        <v/>
      </c>
      <c r="I77" s="37"/>
      <c r="J77" s="41" t="str">
        <f aca="false">IF(H77="","",H77*N(I77))</f>
        <v/>
      </c>
      <c r="K77" s="6"/>
      <c r="L77" s="38"/>
    </row>
    <row r="78" customFormat="false" ht="15" hidden="false" customHeight="false" outlineLevel="0" collapsed="false">
      <c r="A78" s="6"/>
      <c r="B78" s="6"/>
      <c r="C78" s="6"/>
      <c r="D78" s="11"/>
      <c r="E78" s="11"/>
      <c r="F78" s="11"/>
      <c r="G78" s="8" t="str">
        <f aca="false">IF(OR(A78="",E78=""),"",IF(E78&lt;=F78,"Reorder","OK"))</f>
        <v/>
      </c>
      <c r="H78" s="18" t="str">
        <f aca="false">IF(G78="Reorder",MAX(0,D78-E78),"")</f>
        <v/>
      </c>
      <c r="I78" s="37"/>
      <c r="J78" s="41" t="str">
        <f aca="false">IF(H78="","",H78*N(I78))</f>
        <v/>
      </c>
      <c r="K78" s="6"/>
      <c r="L78" s="38"/>
    </row>
    <row r="79" customFormat="false" ht="15" hidden="false" customHeight="false" outlineLevel="0" collapsed="false">
      <c r="A79" s="6"/>
      <c r="B79" s="6"/>
      <c r="C79" s="6"/>
      <c r="D79" s="11"/>
      <c r="E79" s="11"/>
      <c r="F79" s="11"/>
      <c r="G79" s="8" t="str">
        <f aca="false">IF(OR(A79="",E79=""),"",IF(E79&lt;=F79,"Reorder","OK"))</f>
        <v/>
      </c>
      <c r="H79" s="18" t="str">
        <f aca="false">IF(G79="Reorder",MAX(0,D79-E79),"")</f>
        <v/>
      </c>
      <c r="I79" s="37"/>
      <c r="J79" s="41" t="str">
        <f aca="false">IF(H79="","",H79*N(I79))</f>
        <v/>
      </c>
      <c r="K79" s="6"/>
      <c r="L79" s="38"/>
    </row>
    <row r="80" customFormat="false" ht="15" hidden="false" customHeight="false" outlineLevel="0" collapsed="false">
      <c r="A80" s="6"/>
      <c r="B80" s="6"/>
      <c r="C80" s="6"/>
      <c r="D80" s="11"/>
      <c r="E80" s="11"/>
      <c r="F80" s="11"/>
      <c r="G80" s="8" t="str">
        <f aca="false">IF(OR(A80="",E80=""),"",IF(E80&lt;=F80,"Reorder","OK"))</f>
        <v/>
      </c>
      <c r="H80" s="18" t="str">
        <f aca="false">IF(G80="Reorder",MAX(0,D80-E80),"")</f>
        <v/>
      </c>
      <c r="I80" s="37"/>
      <c r="J80" s="41" t="str">
        <f aca="false">IF(H80="","",H80*N(I80))</f>
        <v/>
      </c>
      <c r="K80" s="6"/>
      <c r="L80" s="38"/>
    </row>
    <row r="81" customFormat="false" ht="15" hidden="false" customHeight="false" outlineLevel="0" collapsed="false">
      <c r="A81" s="6"/>
      <c r="B81" s="6"/>
      <c r="C81" s="6"/>
      <c r="D81" s="11"/>
      <c r="E81" s="11"/>
      <c r="F81" s="11"/>
      <c r="G81" s="8" t="str">
        <f aca="false">IF(OR(A81="",E81=""),"",IF(E81&lt;=F81,"Reorder","OK"))</f>
        <v/>
      </c>
      <c r="H81" s="18" t="str">
        <f aca="false">IF(G81="Reorder",MAX(0,D81-E81),"")</f>
        <v/>
      </c>
      <c r="I81" s="37"/>
      <c r="J81" s="41" t="str">
        <f aca="false">IF(H81="","",H81*N(I81))</f>
        <v/>
      </c>
      <c r="K81" s="6"/>
      <c r="L81" s="38"/>
    </row>
    <row r="82" customFormat="false" ht="15" hidden="false" customHeight="false" outlineLevel="0" collapsed="false">
      <c r="A82" s="6"/>
      <c r="B82" s="6"/>
      <c r="C82" s="6"/>
      <c r="D82" s="11"/>
      <c r="E82" s="11"/>
      <c r="F82" s="11"/>
      <c r="G82" s="8" t="str">
        <f aca="false">IF(OR(A82="",E82=""),"",IF(E82&lt;=F82,"Reorder","OK"))</f>
        <v/>
      </c>
      <c r="H82" s="18" t="str">
        <f aca="false">IF(G82="Reorder",MAX(0,D82-E82),"")</f>
        <v/>
      </c>
      <c r="I82" s="37"/>
      <c r="J82" s="41" t="str">
        <f aca="false">IF(H82="","",H82*N(I82))</f>
        <v/>
      </c>
      <c r="K82" s="6"/>
      <c r="L82" s="38"/>
    </row>
    <row r="83" customFormat="false" ht="15" hidden="false" customHeight="false" outlineLevel="0" collapsed="false">
      <c r="A83" s="6"/>
      <c r="B83" s="6"/>
      <c r="C83" s="6"/>
      <c r="D83" s="11"/>
      <c r="E83" s="11"/>
      <c r="F83" s="11"/>
      <c r="G83" s="8" t="str">
        <f aca="false">IF(OR(A83="",E83=""),"",IF(E83&lt;=F83,"Reorder","OK"))</f>
        <v/>
      </c>
      <c r="H83" s="18" t="str">
        <f aca="false">IF(G83="Reorder",MAX(0,D83-E83),"")</f>
        <v/>
      </c>
      <c r="I83" s="37"/>
      <c r="J83" s="41" t="str">
        <f aca="false">IF(H83="","",H83*N(I83))</f>
        <v/>
      </c>
      <c r="K83" s="6"/>
      <c r="L83" s="38"/>
    </row>
    <row r="84" customFormat="false" ht="15" hidden="false" customHeight="false" outlineLevel="0" collapsed="false">
      <c r="A84" s="6"/>
      <c r="B84" s="6"/>
      <c r="C84" s="6"/>
      <c r="D84" s="11"/>
      <c r="E84" s="11"/>
      <c r="F84" s="11"/>
      <c r="G84" s="8" t="str">
        <f aca="false">IF(OR(A84="",E84=""),"",IF(E84&lt;=F84,"Reorder","OK"))</f>
        <v/>
      </c>
      <c r="H84" s="18" t="str">
        <f aca="false">IF(G84="Reorder",MAX(0,D84-E84),"")</f>
        <v/>
      </c>
      <c r="I84" s="37"/>
      <c r="J84" s="41" t="str">
        <f aca="false">IF(H84="","",H84*N(I84))</f>
        <v/>
      </c>
      <c r="K84" s="6"/>
      <c r="L84" s="38"/>
    </row>
    <row r="85" customFormat="false" ht="15" hidden="false" customHeight="false" outlineLevel="0" collapsed="false">
      <c r="A85" s="6"/>
      <c r="B85" s="6"/>
      <c r="C85" s="6"/>
      <c r="D85" s="11"/>
      <c r="E85" s="11"/>
      <c r="F85" s="11"/>
      <c r="G85" s="8" t="str">
        <f aca="false">IF(OR(A85="",E85=""),"",IF(E85&lt;=F85,"Reorder","OK"))</f>
        <v/>
      </c>
      <c r="H85" s="18" t="str">
        <f aca="false">IF(G85="Reorder",MAX(0,D85-E85),"")</f>
        <v/>
      </c>
      <c r="I85" s="37"/>
      <c r="J85" s="41" t="str">
        <f aca="false">IF(H85="","",H85*N(I85))</f>
        <v/>
      </c>
      <c r="K85" s="6"/>
      <c r="L85" s="38"/>
    </row>
    <row r="86" customFormat="false" ht="15" hidden="false" customHeight="false" outlineLevel="0" collapsed="false">
      <c r="A86" s="6"/>
      <c r="B86" s="6"/>
      <c r="C86" s="6"/>
      <c r="D86" s="11"/>
      <c r="E86" s="11"/>
      <c r="F86" s="11"/>
      <c r="G86" s="8" t="str">
        <f aca="false">IF(OR(A86="",E86=""),"",IF(E86&lt;=F86,"Reorder","OK"))</f>
        <v/>
      </c>
      <c r="H86" s="18" t="str">
        <f aca="false">IF(G86="Reorder",MAX(0,D86-E86),"")</f>
        <v/>
      </c>
      <c r="I86" s="37"/>
      <c r="J86" s="41" t="str">
        <f aca="false">IF(H86="","",H86*N(I86))</f>
        <v/>
      </c>
      <c r="K86" s="6"/>
      <c r="L86" s="38"/>
    </row>
    <row r="87" customFormat="false" ht="15" hidden="false" customHeight="false" outlineLevel="0" collapsed="false">
      <c r="A87" s="6"/>
      <c r="B87" s="6"/>
      <c r="C87" s="6"/>
      <c r="D87" s="11"/>
      <c r="E87" s="11"/>
      <c r="F87" s="11"/>
      <c r="G87" s="8" t="str">
        <f aca="false">IF(OR(A87="",E87=""),"",IF(E87&lt;=F87,"Reorder","OK"))</f>
        <v/>
      </c>
      <c r="H87" s="18" t="str">
        <f aca="false">IF(G87="Reorder",MAX(0,D87-E87),"")</f>
        <v/>
      </c>
      <c r="I87" s="37"/>
      <c r="J87" s="41" t="str">
        <f aca="false">IF(H87="","",H87*N(I87))</f>
        <v/>
      </c>
      <c r="K87" s="6"/>
      <c r="L87" s="38"/>
    </row>
    <row r="88" customFormat="false" ht="15" hidden="false" customHeight="false" outlineLevel="0" collapsed="false">
      <c r="A88" s="6"/>
      <c r="B88" s="6"/>
      <c r="C88" s="6"/>
      <c r="D88" s="11"/>
      <c r="E88" s="11"/>
      <c r="F88" s="11"/>
      <c r="G88" s="8" t="str">
        <f aca="false">IF(OR(A88="",E88=""),"",IF(E88&lt;=F88,"Reorder","OK"))</f>
        <v/>
      </c>
      <c r="H88" s="18" t="str">
        <f aca="false">IF(G88="Reorder",MAX(0,D88-E88),"")</f>
        <v/>
      </c>
      <c r="I88" s="37"/>
      <c r="J88" s="41" t="str">
        <f aca="false">IF(H88="","",H88*N(I88))</f>
        <v/>
      </c>
      <c r="K88" s="6"/>
      <c r="L88" s="38"/>
    </row>
    <row r="89" customFormat="false" ht="15" hidden="false" customHeight="false" outlineLevel="0" collapsed="false">
      <c r="A89" s="6"/>
      <c r="B89" s="6"/>
      <c r="C89" s="6"/>
      <c r="D89" s="11"/>
      <c r="E89" s="11"/>
      <c r="F89" s="11"/>
      <c r="G89" s="8" t="str">
        <f aca="false">IF(OR(A89="",E89=""),"",IF(E89&lt;=F89,"Reorder","OK"))</f>
        <v/>
      </c>
      <c r="H89" s="18" t="str">
        <f aca="false">IF(G89="Reorder",MAX(0,D89-E89),"")</f>
        <v/>
      </c>
      <c r="I89" s="37"/>
      <c r="J89" s="41" t="str">
        <f aca="false">IF(H89="","",H89*N(I89))</f>
        <v/>
      </c>
      <c r="K89" s="6"/>
      <c r="L89" s="38"/>
    </row>
    <row r="90" customFormat="false" ht="15" hidden="false" customHeight="false" outlineLevel="0" collapsed="false">
      <c r="A90" s="6"/>
      <c r="B90" s="6"/>
      <c r="C90" s="6"/>
      <c r="D90" s="11"/>
      <c r="E90" s="11"/>
      <c r="F90" s="11"/>
      <c r="G90" s="8" t="str">
        <f aca="false">IF(OR(A90="",E90=""),"",IF(E90&lt;=F90,"Reorder","OK"))</f>
        <v/>
      </c>
      <c r="H90" s="18" t="str">
        <f aca="false">IF(G90="Reorder",MAX(0,D90-E90),"")</f>
        <v/>
      </c>
      <c r="I90" s="37"/>
      <c r="J90" s="41" t="str">
        <f aca="false">IF(H90="","",H90*N(I90))</f>
        <v/>
      </c>
      <c r="K90" s="6"/>
      <c r="L90" s="38"/>
    </row>
    <row r="91" customFormat="false" ht="15" hidden="false" customHeight="false" outlineLevel="0" collapsed="false">
      <c r="A91" s="6"/>
      <c r="B91" s="6"/>
      <c r="C91" s="6"/>
      <c r="D91" s="11"/>
      <c r="E91" s="11"/>
      <c r="F91" s="11"/>
      <c r="G91" s="8" t="str">
        <f aca="false">IF(OR(A91="",E91=""),"",IF(E91&lt;=F91,"Reorder","OK"))</f>
        <v/>
      </c>
      <c r="H91" s="18" t="str">
        <f aca="false">IF(G91="Reorder",MAX(0,D91-E91),"")</f>
        <v/>
      </c>
      <c r="I91" s="37"/>
      <c r="J91" s="41" t="str">
        <f aca="false">IF(H91="","",H91*N(I91))</f>
        <v/>
      </c>
      <c r="K91" s="6"/>
      <c r="L91" s="38"/>
    </row>
    <row r="92" customFormat="false" ht="15" hidden="false" customHeight="false" outlineLevel="0" collapsed="false">
      <c r="A92" s="6"/>
      <c r="B92" s="6"/>
      <c r="C92" s="6"/>
      <c r="D92" s="11"/>
      <c r="E92" s="11"/>
      <c r="F92" s="11"/>
      <c r="G92" s="8" t="str">
        <f aca="false">IF(OR(A92="",E92=""),"",IF(E92&lt;=F92,"Reorder","OK"))</f>
        <v/>
      </c>
      <c r="H92" s="18" t="str">
        <f aca="false">IF(G92="Reorder",MAX(0,D92-E92),"")</f>
        <v/>
      </c>
      <c r="I92" s="37"/>
      <c r="J92" s="41" t="str">
        <f aca="false">IF(H92="","",H92*N(I92))</f>
        <v/>
      </c>
      <c r="K92" s="6"/>
      <c r="L92" s="38"/>
    </row>
    <row r="93" customFormat="false" ht="15" hidden="false" customHeight="false" outlineLevel="0" collapsed="false">
      <c r="A93" s="6"/>
      <c r="B93" s="6"/>
      <c r="C93" s="6"/>
      <c r="D93" s="11"/>
      <c r="E93" s="11"/>
      <c r="F93" s="11"/>
      <c r="G93" s="8" t="str">
        <f aca="false">IF(OR(A93="",E93=""),"",IF(E93&lt;=F93,"Reorder","OK"))</f>
        <v/>
      </c>
      <c r="H93" s="18" t="str">
        <f aca="false">IF(G93="Reorder",MAX(0,D93-E93),"")</f>
        <v/>
      </c>
      <c r="I93" s="37"/>
      <c r="J93" s="41" t="str">
        <f aca="false">IF(H93="","",H93*N(I93))</f>
        <v/>
      </c>
      <c r="K93" s="6"/>
      <c r="L93" s="38"/>
    </row>
    <row r="94" customFormat="false" ht="15" hidden="false" customHeight="false" outlineLevel="0" collapsed="false">
      <c r="A94" s="6"/>
      <c r="B94" s="6"/>
      <c r="C94" s="6"/>
      <c r="D94" s="11"/>
      <c r="E94" s="11"/>
      <c r="F94" s="11"/>
      <c r="G94" s="8" t="str">
        <f aca="false">IF(OR(A94="",E94=""),"",IF(E94&lt;=F94,"Reorder","OK"))</f>
        <v/>
      </c>
      <c r="H94" s="18" t="str">
        <f aca="false">IF(G94="Reorder",MAX(0,D94-E94),"")</f>
        <v/>
      </c>
      <c r="I94" s="37"/>
      <c r="J94" s="41" t="str">
        <f aca="false">IF(H94="","",H94*N(I94))</f>
        <v/>
      </c>
      <c r="K94" s="6"/>
      <c r="L94" s="38"/>
    </row>
    <row r="95" customFormat="false" ht="15" hidden="false" customHeight="false" outlineLevel="0" collapsed="false">
      <c r="A95" s="6"/>
      <c r="B95" s="6"/>
      <c r="C95" s="6"/>
      <c r="D95" s="11"/>
      <c r="E95" s="11"/>
      <c r="F95" s="11"/>
      <c r="G95" s="8" t="str">
        <f aca="false">IF(OR(A95="",E95=""),"",IF(E95&lt;=F95,"Reorder","OK"))</f>
        <v/>
      </c>
      <c r="H95" s="18" t="str">
        <f aca="false">IF(G95="Reorder",MAX(0,D95-E95),"")</f>
        <v/>
      </c>
      <c r="I95" s="37"/>
      <c r="J95" s="41" t="str">
        <f aca="false">IF(H95="","",H95*N(I95))</f>
        <v/>
      </c>
      <c r="K95" s="6"/>
      <c r="L95" s="38"/>
    </row>
    <row r="96" customFormat="false" ht="15" hidden="false" customHeight="false" outlineLevel="0" collapsed="false">
      <c r="A96" s="6"/>
      <c r="B96" s="6"/>
      <c r="C96" s="6"/>
      <c r="D96" s="11"/>
      <c r="E96" s="11"/>
      <c r="F96" s="11"/>
      <c r="G96" s="8" t="str">
        <f aca="false">IF(OR(A96="",E96=""),"",IF(E96&lt;=F96,"Reorder","OK"))</f>
        <v/>
      </c>
      <c r="H96" s="18" t="str">
        <f aca="false">IF(G96="Reorder",MAX(0,D96-E96),"")</f>
        <v/>
      </c>
      <c r="I96" s="37"/>
      <c r="J96" s="41" t="str">
        <f aca="false">IF(H96="","",H96*N(I96))</f>
        <v/>
      </c>
      <c r="K96" s="6"/>
      <c r="L96" s="38"/>
    </row>
    <row r="97" customFormat="false" ht="15" hidden="false" customHeight="false" outlineLevel="0" collapsed="false">
      <c r="A97" s="6"/>
      <c r="B97" s="6"/>
      <c r="C97" s="6"/>
      <c r="D97" s="11"/>
      <c r="E97" s="11"/>
      <c r="F97" s="11"/>
      <c r="G97" s="8" t="str">
        <f aca="false">IF(OR(A97="",E97=""),"",IF(E97&lt;=F97,"Reorder","OK"))</f>
        <v/>
      </c>
      <c r="H97" s="18" t="str">
        <f aca="false">IF(G97="Reorder",MAX(0,D97-E97),"")</f>
        <v/>
      </c>
      <c r="I97" s="37"/>
      <c r="J97" s="41" t="str">
        <f aca="false">IF(H97="","",H97*N(I97))</f>
        <v/>
      </c>
      <c r="K97" s="6"/>
      <c r="L97" s="38"/>
    </row>
    <row r="98" customFormat="false" ht="15" hidden="false" customHeight="false" outlineLevel="0" collapsed="false">
      <c r="A98" s="6"/>
      <c r="B98" s="6"/>
      <c r="C98" s="6"/>
      <c r="D98" s="11"/>
      <c r="E98" s="11"/>
      <c r="F98" s="11"/>
      <c r="G98" s="8" t="str">
        <f aca="false">IF(OR(A98="",E98=""),"",IF(E98&lt;=F98,"Reorder","OK"))</f>
        <v/>
      </c>
      <c r="H98" s="18" t="str">
        <f aca="false">IF(G98="Reorder",MAX(0,D98-E98),"")</f>
        <v/>
      </c>
      <c r="I98" s="37"/>
      <c r="J98" s="41" t="str">
        <f aca="false">IF(H98="","",H98*N(I98))</f>
        <v/>
      </c>
      <c r="K98" s="6"/>
      <c r="L98" s="38"/>
    </row>
    <row r="99" customFormat="false" ht="15" hidden="false" customHeight="false" outlineLevel="0" collapsed="false">
      <c r="A99" s="6"/>
      <c r="B99" s="6"/>
      <c r="C99" s="6"/>
      <c r="D99" s="11"/>
      <c r="E99" s="11"/>
      <c r="F99" s="11"/>
      <c r="G99" s="8" t="str">
        <f aca="false">IF(OR(A99="",E99=""),"",IF(E99&lt;=F99,"Reorder","OK"))</f>
        <v/>
      </c>
      <c r="H99" s="18" t="str">
        <f aca="false">IF(G99="Reorder",MAX(0,D99-E99),"")</f>
        <v/>
      </c>
      <c r="I99" s="37"/>
      <c r="J99" s="41" t="str">
        <f aca="false">IF(H99="","",H99*N(I99))</f>
        <v/>
      </c>
      <c r="K99" s="6"/>
      <c r="L99" s="38"/>
    </row>
    <row r="100" customFormat="false" ht="15" hidden="false" customHeight="false" outlineLevel="0" collapsed="false">
      <c r="A100" s="6"/>
      <c r="B100" s="6"/>
      <c r="C100" s="6"/>
      <c r="D100" s="11"/>
      <c r="E100" s="11"/>
      <c r="F100" s="11"/>
      <c r="G100" s="8" t="str">
        <f aca="false">IF(OR(A100="",E100=""),"",IF(E100&lt;=F100,"Reorder","OK"))</f>
        <v/>
      </c>
      <c r="H100" s="18" t="str">
        <f aca="false">IF(G100="Reorder",MAX(0,D100-E100),"")</f>
        <v/>
      </c>
      <c r="I100" s="37"/>
      <c r="J100" s="41" t="str">
        <f aca="false">IF(H100="","",H100*N(I100))</f>
        <v/>
      </c>
      <c r="K100" s="6"/>
      <c r="L100" s="38"/>
    </row>
    <row r="101" customFormat="false" ht="15" hidden="false" customHeight="false" outlineLevel="0" collapsed="false">
      <c r="A101" s="6"/>
      <c r="B101" s="6"/>
      <c r="C101" s="6"/>
      <c r="D101" s="11"/>
      <c r="E101" s="11"/>
      <c r="F101" s="11"/>
      <c r="G101" s="8" t="str">
        <f aca="false">IF(OR(A101="",E101=""),"",IF(E101&lt;=F101,"Reorder","OK"))</f>
        <v/>
      </c>
      <c r="H101" s="18" t="str">
        <f aca="false">IF(G101="Reorder",MAX(0,D101-E101),"")</f>
        <v/>
      </c>
      <c r="I101" s="37"/>
      <c r="J101" s="41" t="str">
        <f aca="false">IF(H101="","",H101*N(I101))</f>
        <v/>
      </c>
      <c r="K101" s="6"/>
      <c r="L101" s="38"/>
    </row>
    <row r="102" customFormat="false" ht="15" hidden="false" customHeight="false" outlineLevel="0" collapsed="false">
      <c r="A102" s="6"/>
      <c r="B102" s="6"/>
      <c r="C102" s="6"/>
      <c r="D102" s="11"/>
      <c r="E102" s="11"/>
      <c r="F102" s="11"/>
      <c r="G102" s="8" t="str">
        <f aca="false">IF(OR(A102="",E102=""),"",IF(E102&lt;=F102,"Reorder","OK"))</f>
        <v/>
      </c>
      <c r="H102" s="18" t="str">
        <f aca="false">IF(G102="Reorder",MAX(0,D102-E102),"")</f>
        <v/>
      </c>
      <c r="I102" s="37"/>
      <c r="J102" s="41" t="str">
        <f aca="false">IF(H102="","",H102*N(I102))</f>
        <v/>
      </c>
      <c r="K102" s="6"/>
      <c r="L102" s="38"/>
    </row>
    <row r="103" customFormat="false" ht="15" hidden="false" customHeight="false" outlineLevel="0" collapsed="false">
      <c r="A103" s="6"/>
      <c r="B103" s="6"/>
      <c r="C103" s="6"/>
      <c r="D103" s="11"/>
      <c r="E103" s="11"/>
      <c r="F103" s="11"/>
      <c r="G103" s="8" t="str">
        <f aca="false">IF(OR(A103="",E103=""),"",IF(E103&lt;=F103,"Reorder","OK"))</f>
        <v/>
      </c>
      <c r="H103" s="18" t="str">
        <f aca="false">IF(G103="Reorder",MAX(0,D103-E103),"")</f>
        <v/>
      </c>
      <c r="I103" s="37"/>
      <c r="J103" s="41" t="str">
        <f aca="false">IF(H103="","",H103*N(I103))</f>
        <v/>
      </c>
      <c r="K103" s="6"/>
      <c r="L103" s="38"/>
    </row>
    <row r="104" customFormat="false" ht="15" hidden="false" customHeight="false" outlineLevel="0" collapsed="false">
      <c r="A104" s="6"/>
      <c r="B104" s="6"/>
      <c r="C104" s="6"/>
      <c r="D104" s="11"/>
      <c r="E104" s="11"/>
      <c r="F104" s="11"/>
      <c r="G104" s="8" t="str">
        <f aca="false">IF(OR(A104="",E104=""),"",IF(E104&lt;=F104,"Reorder","OK"))</f>
        <v/>
      </c>
      <c r="H104" s="18" t="str">
        <f aca="false">IF(G104="Reorder",MAX(0,D104-E104),"")</f>
        <v/>
      </c>
      <c r="I104" s="37"/>
      <c r="J104" s="41" t="str">
        <f aca="false">IF(H104="","",H104*N(I104))</f>
        <v/>
      </c>
      <c r="K104" s="6"/>
      <c r="L104" s="38"/>
    </row>
    <row r="105" customFormat="false" ht="15" hidden="false" customHeight="false" outlineLevel="0" collapsed="false">
      <c r="A105" s="6"/>
      <c r="B105" s="6"/>
      <c r="C105" s="6"/>
      <c r="D105" s="11"/>
      <c r="E105" s="11"/>
      <c r="F105" s="11"/>
      <c r="G105" s="8" t="str">
        <f aca="false">IF(OR(A105="",E105=""),"",IF(E105&lt;=F105,"Reorder","OK"))</f>
        <v/>
      </c>
      <c r="H105" s="18" t="str">
        <f aca="false">IF(G105="Reorder",MAX(0,D105-E105),"")</f>
        <v/>
      </c>
      <c r="I105" s="37"/>
      <c r="J105" s="41" t="str">
        <f aca="false">IF(H105="","",H105*N(I105))</f>
        <v/>
      </c>
      <c r="K105" s="6"/>
      <c r="L105" s="38"/>
    </row>
    <row r="106" customFormat="false" ht="15" hidden="false" customHeight="false" outlineLevel="0" collapsed="false">
      <c r="A106" s="6"/>
      <c r="B106" s="6"/>
      <c r="C106" s="6"/>
      <c r="D106" s="11"/>
      <c r="E106" s="11"/>
      <c r="F106" s="11"/>
      <c r="G106" s="8" t="str">
        <f aca="false">IF(OR(A106="",E106=""),"",IF(E106&lt;=F106,"Reorder","OK"))</f>
        <v/>
      </c>
      <c r="H106" s="18" t="str">
        <f aca="false">IF(G106="Reorder",MAX(0,D106-E106),"")</f>
        <v/>
      </c>
      <c r="I106" s="37"/>
      <c r="J106" s="41" t="str">
        <f aca="false">IF(H106="","",H106*N(I106))</f>
        <v/>
      </c>
      <c r="K106" s="6"/>
      <c r="L106" s="38"/>
    </row>
    <row r="108" customFormat="false" ht="15" hidden="false" customHeight="false" outlineLevel="0" collapsed="false">
      <c r="A108" s="2" t="s">
        <v>196</v>
      </c>
    </row>
  </sheetData>
  <conditionalFormatting sqref="G7:G106">
    <cfRule type="cellIs" priority="2" operator="equal" aboveAverage="0" equalAverage="0" bottom="0" percent="0" rank="0" text="" dxfId="11">
      <formula>"Reorder"</formula>
    </cfRule>
    <cfRule type="cellIs" priority="3" operator="equal" aboveAverage="0" equalAverage="0" bottom="0" percent="0" rank="0" text="" dxfId="14">
      <formula>"OK"</formula>
    </cfRule>
  </conditionalFormatting>
  <dataValidations count="1">
    <dataValidation allowBlank="true" errorStyle="stop" operator="between" showDropDown="false" showErrorMessage="true" showInputMessage="false" sqref="B7:B106" type="list">
      <formula1>Properties!$A$5:$A$24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6B64"/>
    <pageSetUpPr fitToPage="false"/>
  </sheetPr>
  <dimension ref="A1:E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8"/>
    <col collapsed="false" customWidth="true" hidden="false" outlineLevel="0" max="3" min="3" style="0" width="4"/>
    <col collapsed="false" customWidth="true" hidden="false" outlineLevel="0" max="4" min="4" style="0" width="38"/>
    <col collapsed="false" customWidth="true" hidden="false" outlineLevel="0" max="5" min="5" style="0" width="18"/>
  </cols>
  <sheetData>
    <row r="1" customFormat="false" ht="30" hidden="false" customHeight="true" outlineLevel="0" collapsed="false">
      <c r="A1" s="1" t="s">
        <v>197</v>
      </c>
    </row>
    <row r="2" customFormat="false" ht="15" hidden="false" customHeight="false" outlineLevel="0" collapsed="false">
      <c r="A2" s="2" t="s">
        <v>198</v>
      </c>
    </row>
    <row r="4" customFormat="false" ht="15" hidden="false" customHeight="false" outlineLevel="0" collapsed="false">
      <c r="A4" s="30" t="s">
        <v>199</v>
      </c>
      <c r="D4" s="30" t="s">
        <v>200</v>
      </c>
    </row>
    <row r="5" customFormat="false" ht="25.5" hidden="false" customHeight="true" outlineLevel="0" collapsed="false">
      <c r="A5" s="7" t="s">
        <v>55</v>
      </c>
      <c r="B5" s="6" t="str">
        <f aca="false">Properties!A5</f>
        <v>EXAMPLE – Lakeview Cabin</v>
      </c>
      <c r="D5" s="9" t="s">
        <v>201</v>
      </c>
      <c r="E5" s="37" t="n">
        <v>2400</v>
      </c>
    </row>
    <row r="6" customFormat="false" ht="15" hidden="false" customHeight="false" outlineLevel="0" collapsed="false">
      <c r="A6" s="7" t="s">
        <v>202</v>
      </c>
      <c r="B6" s="38" t="n">
        <v>46339</v>
      </c>
      <c r="D6" s="9" t="s">
        <v>203</v>
      </c>
      <c r="E6" s="51" t="n">
        <v>0.65</v>
      </c>
    </row>
    <row r="7" customFormat="false" ht="15" hidden="false" customHeight="false" outlineLevel="0" collapsed="false">
      <c r="A7" s="7" t="s">
        <v>95</v>
      </c>
      <c r="B7" s="11" t="n">
        <v>3</v>
      </c>
      <c r="D7" s="9" t="s">
        <v>204</v>
      </c>
      <c r="E7" s="52" t="n">
        <v>3</v>
      </c>
    </row>
    <row r="8" customFormat="false" ht="15" hidden="false" customHeight="false" outlineLevel="0" collapsed="false">
      <c r="A8" s="7" t="s">
        <v>94</v>
      </c>
      <c r="B8" s="11" t="n">
        <v>5</v>
      </c>
      <c r="D8" s="9" t="s">
        <v>205</v>
      </c>
      <c r="E8" s="37" t="n">
        <v>1000</v>
      </c>
    </row>
    <row r="9" customFormat="false" ht="15" hidden="false" customHeight="false" outlineLevel="0" collapsed="false">
      <c r="A9" s="7" t="s">
        <v>93</v>
      </c>
      <c r="B9" s="6" t="s">
        <v>121</v>
      </c>
      <c r="D9" s="9" t="s">
        <v>93</v>
      </c>
      <c r="E9" s="6" t="s">
        <v>121</v>
      </c>
    </row>
    <row r="10" customFormat="false" ht="15" hidden="false" customHeight="false" outlineLevel="0" collapsed="false">
      <c r="A10" s="7" t="s">
        <v>99</v>
      </c>
      <c r="B10" s="37" t="n">
        <v>0</v>
      </c>
    </row>
    <row r="11" customFormat="false" ht="15" hidden="false" customHeight="false" outlineLevel="0" collapsed="false">
      <c r="A11" s="30" t="s">
        <v>206</v>
      </c>
      <c r="D11" s="30" t="s">
        <v>206</v>
      </c>
    </row>
    <row r="12" customFormat="false" ht="15" hidden="false" customHeight="false" outlineLevel="0" collapsed="false">
      <c r="A12" s="7" t="s">
        <v>207</v>
      </c>
      <c r="B12" s="18" t="n">
        <f aca="false">IF(B7&lt;=0,0,(INT((WEEKDAY(B6-6)+B7-1)/7)+INT((WEEKDAY(B6-7)+B7-1)/7)))</f>
        <v>2</v>
      </c>
      <c r="D12" s="7" t="s">
        <v>208</v>
      </c>
      <c r="E12" s="33" t="n">
        <f aca="false">30.4*E6</f>
        <v>19.76</v>
      </c>
    </row>
    <row r="13" customFormat="false" ht="15" hidden="false" customHeight="false" outlineLevel="0" collapsed="false">
      <c r="A13" s="7" t="s">
        <v>209</v>
      </c>
      <c r="B13" s="18" t="n">
        <f aca="false">MAX(0,B7-B12)</f>
        <v>1</v>
      </c>
      <c r="D13" s="7" t="s">
        <v>210</v>
      </c>
      <c r="E13" s="33" t="n">
        <f aca="false">IF(E7=0,0,E12/E7)</f>
        <v>6.58666666666667</v>
      </c>
    </row>
    <row r="14" customFormat="false" ht="15" hidden="false" customHeight="false" outlineLevel="0" collapsed="false">
      <c r="A14" s="7" t="s">
        <v>211</v>
      </c>
      <c r="B14" s="41" t="n">
        <f aca="false">B13*IFERROR(INDEX(Properties!$E$5:$E$24,MATCH($B$5,Properties!$A$5:$A$24,0)),0)+B12*IFERROR(INDEX(Properties!$F$5:$F$24,MATCH($B$5,Properties!$A$5:$A$24,0)),0)</f>
        <v>585</v>
      </c>
      <c r="D14" s="7" t="s">
        <v>212</v>
      </c>
      <c r="E14" s="53" t="n">
        <f aca="false">IFERROR(INDEX(Settings!$E$5:$E$12,MATCH(E9,Settings!$D$5:$D$12,0)),0)</f>
        <v>0.03</v>
      </c>
    </row>
    <row r="15" customFormat="false" ht="15" hidden="false" customHeight="false" outlineLevel="0" collapsed="false">
      <c r="A15" s="7" t="s">
        <v>213</v>
      </c>
      <c r="B15" s="41" t="n">
        <f aca="false">-B14*IF(B7&gt;=28,Settings!$B$10,IF(B7&gt;=7,Settings!$B$9,0))</f>
        <v>-0</v>
      </c>
      <c r="D15" s="3" t="s">
        <v>214</v>
      </c>
      <c r="E15" s="54" t="n">
        <f aca="false">IF(E12=0,0,((E5+E13*IFERROR(INDEX(Properties!$H$5:$H$24,MATCH($B$5,Properties!$A$5:$A$24,0)),0))/(1-E14)-E13*IFERROR(INDEX(Properties!$G$5:$G$24,MATCH($B$5,Properties!$A$5:$A$24,0)),0))/E12)</f>
        <v>115.884010184064</v>
      </c>
    </row>
    <row r="16" customFormat="false" ht="15" hidden="false" customHeight="false" outlineLevel="0" collapsed="false">
      <c r="A16" s="7" t="s">
        <v>52</v>
      </c>
      <c r="B16" s="41" t="n">
        <f aca="false">B14+B15</f>
        <v>585</v>
      </c>
      <c r="D16" s="3" t="s">
        <v>215</v>
      </c>
      <c r="E16" s="54" t="n">
        <f aca="false">IF(E12=0,0,((E5+E8+E13*IFERROR(INDEX(Properties!$H$5:$H$24,MATCH($B$5,Properties!$A$5:$A$24,0)),0))/(1-E14)-E13*IFERROR(INDEX(Properties!$G$5:$G$24,MATCH($B$5,Properties!$A$5:$A$24,0)),0))/E12)</f>
        <v>168.056471472098</v>
      </c>
    </row>
    <row r="17" customFormat="false" ht="15" hidden="false" customHeight="false" outlineLevel="0" collapsed="false">
      <c r="A17" s="7" t="s">
        <v>97</v>
      </c>
      <c r="B17" s="41" t="n">
        <f aca="false">IFERROR(INDEX(Properties!$G$5:$G$24,MATCH($B$5,Properties!$A$5:$A$24,0)),0)</f>
        <v>95</v>
      </c>
      <c r="D17" s="32" t="s">
        <v>216</v>
      </c>
    </row>
    <row r="18" customFormat="false" ht="15" hidden="false" customHeight="false" outlineLevel="0" collapsed="false">
      <c r="A18" s="7" t="s">
        <v>98</v>
      </c>
      <c r="B18" s="41" t="n">
        <f aca="false">MAX(0,B8-IFERROR(INDEX(Properties!$I$5:$I$24,MATCH($B$5,Properties!$A$5:$A$24,0)),0))*IFERROR(INDEX(Properties!$J$5:$J$24,MATCH($B$5,Properties!$A$5:$A$24,0)),0)*B7</f>
        <v>45</v>
      </c>
    </row>
    <row r="19" customFormat="false" ht="15" hidden="false" customHeight="false" outlineLevel="0" collapsed="false">
      <c r="A19" s="7" t="s">
        <v>99</v>
      </c>
      <c r="B19" s="41" t="n">
        <f aca="false">B10</f>
        <v>0</v>
      </c>
    </row>
    <row r="20" customFormat="false" ht="15" hidden="false" customHeight="false" outlineLevel="0" collapsed="false">
      <c r="A20" s="7" t="s">
        <v>217</v>
      </c>
      <c r="B20" s="41" t="n">
        <f aca="false">SUM(B16:B19)</f>
        <v>725</v>
      </c>
    </row>
    <row r="21" customFormat="false" ht="15" hidden="false" customHeight="false" outlineLevel="0" collapsed="false">
      <c r="A21" s="7" t="s">
        <v>101</v>
      </c>
      <c r="B21" s="41" t="n">
        <f aca="false">-ROUND(B20*IFERROR(INDEX(Settings!$E$5:$E$12,MATCH(B9,Settings!$D$5:$D$12,0)),0),2)</f>
        <v>-21.75</v>
      </c>
    </row>
    <row r="22" customFormat="false" ht="15" hidden="false" customHeight="false" outlineLevel="0" collapsed="false">
      <c r="A22" s="7" t="s">
        <v>218</v>
      </c>
      <c r="B22" s="41" t="n">
        <f aca="false">B20+B21</f>
        <v>703.25</v>
      </c>
    </row>
    <row r="23" customFormat="false" ht="15" hidden="false" customHeight="false" outlineLevel="0" collapsed="false">
      <c r="A23" s="7" t="s">
        <v>219</v>
      </c>
      <c r="B23" s="41" t="n">
        <f aca="false">-IFERROR(INDEX(Properties!$H$5:$H$24,MATCH($B$5,Properties!$A$5:$A$24,0)),0)</f>
        <v>-65</v>
      </c>
    </row>
    <row r="24" customFormat="false" ht="16.15" hidden="false" customHeight="false" outlineLevel="0" collapsed="false">
      <c r="A24" s="55" t="s">
        <v>220</v>
      </c>
      <c r="B24" s="56" t="n">
        <f aca="false">B22+B23</f>
        <v>638.25</v>
      </c>
    </row>
    <row r="25" customFormat="false" ht="15" hidden="false" customHeight="false" outlineLevel="0" collapsed="false">
      <c r="A25" s="7" t="s">
        <v>221</v>
      </c>
      <c r="B25" s="41" t="n">
        <f aca="false">IF(B7=0,0,B24/B7)</f>
        <v>212.75</v>
      </c>
    </row>
    <row r="27" customFormat="false" ht="15" hidden="false" customHeight="false" outlineLevel="0" collapsed="false">
      <c r="A27" s="2" t="s">
        <v>222</v>
      </c>
    </row>
  </sheetData>
  <dataValidations count="3">
    <dataValidation allowBlank="true" errorStyle="stop" operator="between" showDropDown="false" showErrorMessage="true" showInputMessage="false" sqref="B5" type="list">
      <formula1>Properties!$A$5:$A$24</formula1>
      <formula2>0</formula2>
    </dataValidation>
    <dataValidation allowBlank="true" errorStyle="stop" operator="between" showDropDown="false" showErrorMessage="true" showInputMessage="false" sqref="B9" type="list">
      <formula1>Settings!$D$5:$D$12</formula1>
      <formula2>0</formula2>
    </dataValidation>
    <dataValidation allowBlank="true" errorStyle="stop" operator="between" showDropDown="false" showErrorMessage="true" showInputMessage="false" sqref="E9" type="list">
      <formula1>Settings!$D$5:$D$12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6B64"/>
    <pageSetUpPr fitToPage="false"/>
  </sheetPr>
  <dimension ref="A1:L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8"/>
    <col collapsed="false" customWidth="true" hidden="false" outlineLevel="0" max="3" min="3" style="0" width="4"/>
    <col collapsed="false" customWidth="true" hidden="false" outlineLevel="0" max="4" min="4" style="0" width="26"/>
    <col collapsed="false" customWidth="true" hidden="false" outlineLevel="0" max="5" min="5" style="0" width="14"/>
    <col collapsed="false" customWidth="true" hidden="false" outlineLevel="0" max="7" min="6" style="0" width="4"/>
    <col collapsed="false" customWidth="true" hidden="false" outlineLevel="0" max="8" min="8" style="0" width="26"/>
    <col collapsed="false" customWidth="true" hidden="false" outlineLevel="0" max="9" min="9" style="0" width="4"/>
    <col collapsed="false" customWidth="true" hidden="false" outlineLevel="0" max="10" min="10" style="0" width="22"/>
    <col collapsed="false" customWidth="true" hidden="false" outlineLevel="0" max="11" min="11" style="0" width="4"/>
    <col collapsed="false" customWidth="true" hidden="false" outlineLevel="0" max="12" min="12" style="0" width="22"/>
  </cols>
  <sheetData>
    <row r="1" customFormat="false" ht="30" hidden="false" customHeight="true" outlineLevel="0" collapsed="false">
      <c r="A1" s="1" t="s">
        <v>223</v>
      </c>
    </row>
    <row r="2" customFormat="false" ht="15" hidden="false" customHeight="false" outlineLevel="0" collapsed="false">
      <c r="A2" s="2" t="s">
        <v>224</v>
      </c>
    </row>
    <row r="3" customFormat="false" ht="15" hidden="false" customHeight="false" outlineLevel="0" collapsed="false">
      <c r="D3" s="30" t="s">
        <v>225</v>
      </c>
      <c r="H3" s="30" t="s">
        <v>226</v>
      </c>
      <c r="J3" s="30" t="s">
        <v>227</v>
      </c>
      <c r="L3" s="30" t="s">
        <v>228</v>
      </c>
    </row>
    <row r="4" customFormat="false" ht="15" hidden="false" customHeight="false" outlineLevel="0" collapsed="false">
      <c r="A4" s="7" t="s">
        <v>229</v>
      </c>
      <c r="B4" s="6" t="s">
        <v>230</v>
      </c>
      <c r="D4" s="57" t="s">
        <v>93</v>
      </c>
      <c r="E4" s="57" t="s">
        <v>231</v>
      </c>
      <c r="H4" s="6" t="s">
        <v>232</v>
      </c>
      <c r="J4" s="6" t="s">
        <v>233</v>
      </c>
      <c r="L4" s="8" t="s">
        <v>42</v>
      </c>
    </row>
    <row r="5" customFormat="false" ht="15" hidden="false" customHeight="false" outlineLevel="0" collapsed="false">
      <c r="A5" s="7" t="s">
        <v>234</v>
      </c>
      <c r="B5" s="6" t="s">
        <v>235</v>
      </c>
      <c r="D5" s="6" t="s">
        <v>121</v>
      </c>
      <c r="E5" s="58" t="n">
        <v>0.03</v>
      </c>
      <c r="H5" s="6" t="s">
        <v>151</v>
      </c>
      <c r="J5" s="6" t="s">
        <v>124</v>
      </c>
      <c r="L5" s="8" t="str">
        <f aca="false">IF(Properties!A5="","",Properties!A5)</f>
        <v>EXAMPLE – Lakeview Cabin</v>
      </c>
    </row>
    <row r="6" customFormat="false" ht="15" hidden="false" customHeight="false" outlineLevel="0" collapsed="false">
      <c r="A6" s="7" t="s">
        <v>236</v>
      </c>
      <c r="B6" s="6" t="s">
        <v>237</v>
      </c>
      <c r="D6" s="6" t="s">
        <v>238</v>
      </c>
      <c r="E6" s="58" t="n">
        <v>0.155</v>
      </c>
      <c r="H6" s="6" t="s">
        <v>239</v>
      </c>
      <c r="J6" s="6" t="s">
        <v>240</v>
      </c>
      <c r="L6" s="8" t="str">
        <f aca="false">IF(Properties!A6="","",Properties!A6)</f>
        <v/>
      </c>
    </row>
    <row r="7" customFormat="false" ht="15" hidden="false" customHeight="false" outlineLevel="0" collapsed="false">
      <c r="A7" s="7" t="s">
        <v>241</v>
      </c>
      <c r="B7" s="6" t="s">
        <v>242</v>
      </c>
      <c r="D7" s="6" t="s">
        <v>243</v>
      </c>
      <c r="E7" s="58" t="n">
        <v>0.08</v>
      </c>
      <c r="H7" s="6" t="s">
        <v>244</v>
      </c>
      <c r="J7" s="6"/>
      <c r="L7" s="8" t="str">
        <f aca="false">IF(Properties!A7="","",Properties!A7)</f>
        <v/>
      </c>
    </row>
    <row r="8" customFormat="false" ht="15" hidden="false" customHeight="false" outlineLevel="0" collapsed="false">
      <c r="A8" s="7" t="s">
        <v>245</v>
      </c>
      <c r="B8" s="58" t="n">
        <v>0.25</v>
      </c>
      <c r="D8" s="6" t="s">
        <v>246</v>
      </c>
      <c r="E8" s="58" t="n">
        <v>0.15</v>
      </c>
      <c r="H8" s="6" t="s">
        <v>247</v>
      </c>
      <c r="J8" s="6"/>
      <c r="L8" s="8" t="str">
        <f aca="false">IF(Properties!A8="","",Properties!A8)</f>
        <v/>
      </c>
    </row>
    <row r="9" customFormat="false" ht="15" hidden="false" customHeight="false" outlineLevel="0" collapsed="false">
      <c r="A9" s="7" t="s">
        <v>248</v>
      </c>
      <c r="B9" s="58" t="n">
        <v>0.1</v>
      </c>
      <c r="D9" s="6" t="s">
        <v>126</v>
      </c>
      <c r="E9" s="58" t="n">
        <v>0.03</v>
      </c>
      <c r="H9" s="6" t="s">
        <v>249</v>
      </c>
      <c r="J9" s="6"/>
      <c r="L9" s="8" t="str">
        <f aca="false">IF(Properties!A9="","",Properties!A9)</f>
        <v/>
      </c>
    </row>
    <row r="10" customFormat="false" ht="15" hidden="false" customHeight="false" outlineLevel="0" collapsed="false">
      <c r="A10" s="7" t="s">
        <v>250</v>
      </c>
      <c r="B10" s="58" t="n">
        <v>0.2</v>
      </c>
      <c r="D10" s="6"/>
      <c r="E10" s="58"/>
      <c r="H10" s="6" t="s">
        <v>251</v>
      </c>
      <c r="J10" s="6"/>
      <c r="L10" s="8" t="str">
        <f aca="false">IF(Properties!A10="","",Properties!A10)</f>
        <v/>
      </c>
    </row>
    <row r="11" customFormat="false" ht="15" hidden="false" customHeight="false" outlineLevel="0" collapsed="false">
      <c r="A11" s="7" t="s">
        <v>252</v>
      </c>
      <c r="B11" s="6" t="s">
        <v>253</v>
      </c>
      <c r="D11" s="6"/>
      <c r="E11" s="58"/>
      <c r="H11" s="6" t="s">
        <v>254</v>
      </c>
      <c r="L11" s="8" t="str">
        <f aca="false">IF(Properties!A11="","",Properties!A11)</f>
        <v/>
      </c>
    </row>
    <row r="12" customFormat="false" ht="15" hidden="false" customHeight="false" outlineLevel="0" collapsed="false">
      <c r="A12" s="7" t="s">
        <v>255</v>
      </c>
      <c r="B12" s="6" t="s">
        <v>256</v>
      </c>
      <c r="D12" s="6"/>
      <c r="E12" s="58"/>
      <c r="H12" s="6" t="s">
        <v>257</v>
      </c>
      <c r="L12" s="8" t="str">
        <f aca="false">IF(Properties!A12="","",Properties!A12)</f>
        <v/>
      </c>
    </row>
    <row r="13" customFormat="false" ht="15" hidden="false" customHeight="false" outlineLevel="0" collapsed="false">
      <c r="H13" s="6" t="s">
        <v>258</v>
      </c>
      <c r="J13" s="30" t="s">
        <v>259</v>
      </c>
      <c r="L13" s="8" t="str">
        <f aca="false">IF(Properties!A13="","",Properties!A13)</f>
        <v/>
      </c>
    </row>
    <row r="14" customFormat="false" ht="15" hidden="false" customHeight="false" outlineLevel="0" collapsed="false">
      <c r="H14" s="6" t="s">
        <v>155</v>
      </c>
      <c r="J14" s="6" t="s">
        <v>260</v>
      </c>
      <c r="L14" s="8" t="str">
        <f aca="false">IF(Properties!A14="","",Properties!A14)</f>
        <v/>
      </c>
    </row>
    <row r="15" customFormat="false" ht="15" hidden="false" customHeight="false" outlineLevel="0" collapsed="false">
      <c r="H15" s="6" t="s">
        <v>261</v>
      </c>
      <c r="J15" s="6" t="s">
        <v>154</v>
      </c>
      <c r="L15" s="8" t="str">
        <f aca="false">IF(Properties!A15="","",Properties!A15)</f>
        <v/>
      </c>
    </row>
    <row r="16" customFormat="false" ht="15" hidden="false" customHeight="false" outlineLevel="0" collapsed="false">
      <c r="H16" s="6" t="s">
        <v>262</v>
      </c>
      <c r="J16" s="6" t="s">
        <v>263</v>
      </c>
      <c r="L16" s="8" t="str">
        <f aca="false">IF(Properties!A16="","",Properties!A16)</f>
        <v/>
      </c>
    </row>
    <row r="17" customFormat="false" ht="15" hidden="false" customHeight="false" outlineLevel="0" collapsed="false">
      <c r="H17" s="6" t="s">
        <v>264</v>
      </c>
      <c r="J17" s="6" t="s">
        <v>265</v>
      </c>
      <c r="L17" s="8" t="str">
        <f aca="false">IF(Properties!A17="","",Properties!A17)</f>
        <v/>
      </c>
    </row>
    <row r="18" customFormat="false" ht="15" hidden="false" customHeight="false" outlineLevel="0" collapsed="false">
      <c r="H18" s="6"/>
      <c r="J18" s="6" t="s">
        <v>266</v>
      </c>
      <c r="L18" s="8" t="str">
        <f aca="false">IF(Properties!A18="","",Properties!A18)</f>
        <v/>
      </c>
    </row>
    <row r="19" customFormat="false" ht="15" hidden="false" customHeight="false" outlineLevel="0" collapsed="false">
      <c r="J19" s="6" t="s">
        <v>267</v>
      </c>
      <c r="L19" s="8" t="str">
        <f aca="false">IF(Properties!A19="","",Properties!A19)</f>
        <v/>
      </c>
    </row>
    <row r="20" customFormat="false" ht="15" hidden="false" customHeight="false" outlineLevel="0" collapsed="false">
      <c r="H20" s="40" t="s">
        <v>268</v>
      </c>
      <c r="J20" s="6" t="s">
        <v>110</v>
      </c>
      <c r="L20" s="8" t="str">
        <f aca="false">IF(Properties!A20="","",Properties!A20)</f>
        <v/>
      </c>
    </row>
    <row r="21" customFormat="false" ht="15" hidden="false" customHeight="false" outlineLevel="0" collapsed="false">
      <c r="L21" s="8" t="str">
        <f aca="false">IF(Properties!A21="","",Properties!A21)</f>
        <v/>
      </c>
    </row>
    <row r="22" customFormat="false" ht="15" hidden="false" customHeight="false" outlineLevel="0" collapsed="false">
      <c r="L22" s="8" t="str">
        <f aca="false">IF(Properties!A22="","",Properties!A22)</f>
        <v/>
      </c>
    </row>
    <row r="23" customFormat="false" ht="15" hidden="false" customHeight="false" outlineLevel="0" collapsed="false">
      <c r="L23" s="8" t="str">
        <f aca="false">IF(Properties!A23="","",Properties!A23)</f>
        <v/>
      </c>
    </row>
    <row r="24" customFormat="false" ht="15" hidden="false" customHeight="false" outlineLevel="0" collapsed="false">
      <c r="L24" s="8" t="str">
        <f aca="false">IF(Properties!A24="","",Properties!A24)</f>
        <v/>
      </c>
    </row>
    <row r="26" customFormat="false" ht="15" hidden="false" customHeight="false" outlineLevel="0" collapsed="false">
      <c r="L26" s="40" t="s">
        <v>269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2026-10-20T21:05:44Z</dcterms:created>
  <dc:creator>openpyxl</dc:creator>
  <dc:description/>
  <dc:language>en-US</dc:language>
  <cp:lastModifiedBy/>
  <dcterms:modified xsi:type="dcterms:W3CDTF">2026-10-20T21:08:32Z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