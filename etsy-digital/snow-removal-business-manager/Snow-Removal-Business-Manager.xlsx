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Job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Quote Calculator" sheetId="6" state="visible" r:id="rId6"/>
    <sheet xmlns:r="http://schemas.openxmlformats.org/officeDocument/2006/relationships" name="Invoice" sheetId="7" state="visible" r:id="rId7"/>
    <sheet xmlns:r="http://schemas.openxmlformats.org/officeDocument/2006/relationships" name="Settings" sheetId="8" state="visible" r:id="rId8"/>
  </sheets>
  <definedNames>
    <definedName name="_xlnm._FilterDatabase" localSheetId="2" hidden="1">'Clients'!$A$4:$N$304</definedName>
    <definedName name="_xlnm._FilterDatabase" localSheetId="3" hidden="1">'Jobs'!$A$4:$R$1004</definedName>
    <definedName name="_xlnm._FilterDatabase" localSheetId="4" hidden="1">'Expenses'!$A$4:$G$1004</definedName>
    <definedName name="_xlnm.Print_Area" localSheetId="6">'Invoice'!$A$1:$E$25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;($#,##0.00);&quot;-&quot;"/>
    <numFmt numFmtId="165" formatCode="0.0%"/>
    <numFmt numFmtId="166" formatCode="0.0"/>
    <numFmt numFmtId="167" formatCode="yyyy-mm-dd"/>
    <numFmt numFmtId="168" formatCode="mmm d, yyyy"/>
    <numFmt numFmtId="169" formatCode="$#,##0;($#,##0);&quot;-&quot;"/>
    <numFmt numFmtId="170" formatCode="0%;-0%;&quot;-&quot;"/>
  </numFmts>
  <fonts count="17">
    <font>
      <name val="Calibri"/>
      <family val="2"/>
      <color theme="1"/>
      <sz val="11"/>
      <scheme val="minor"/>
    </font>
    <font>
      <name val="Arial"/>
      <b val="1"/>
      <color rgb="0037474F"/>
      <sz val="18"/>
    </font>
    <font>
      <name val="Arial"/>
      <i val="1"/>
      <color rgb="0057606A"/>
      <sz val="10"/>
    </font>
    <font>
      <name val="Arial"/>
      <b val="1"/>
      <color rgb="0037474F"/>
      <sz val="12"/>
    </font>
    <font>
      <name val="Arial"/>
      <b val="1"/>
      <sz val="10"/>
    </font>
    <font>
      <name val="Arial"/>
      <sz val="10"/>
    </font>
    <font>
      <name val="Arial"/>
      <color rgb="001F4EB4"/>
      <sz val="10"/>
    </font>
    <font>
      <name val="Arial"/>
      <b val="1"/>
      <color rgb="0037474F"/>
      <sz val="10"/>
    </font>
    <font>
      <name val="Arial"/>
      <b val="1"/>
      <color rgb="00FFFFFF"/>
      <sz val="10"/>
    </font>
    <font>
      <name val="Arial"/>
      <b val="1"/>
      <color rgb="0037474F"/>
      <sz val="13"/>
    </font>
    <font>
      <name val="Arial"/>
      <b val="1"/>
      <color rgb="0037474F"/>
      <sz val="20"/>
    </font>
    <font>
      <name val="Arial"/>
      <b val="1"/>
      <sz val="13"/>
    </font>
    <font>
      <name val="Arial"/>
      <b val="1"/>
      <sz val="12"/>
    </font>
    <font>
      <name val="Arial"/>
      <i val="1"/>
      <color rgb="0037474F"/>
      <sz val="10"/>
    </font>
    <font>
      <name val="Arial"/>
      <b val="1"/>
      <color rgb="0057606A"/>
      <sz val="9"/>
    </font>
    <font>
      <name val="Arial"/>
      <b val="1"/>
      <color rgb="0037474F"/>
      <sz val="16"/>
    </font>
    <font>
      <name val="Arial"/>
      <i val="1"/>
      <color rgb="0057606A"/>
      <sz val="9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37474F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5" fillId="0" borderId="0" applyAlignment="1" pivotButton="0" quotePrefix="0" xfId="0">
      <alignment wrapText="1"/>
    </xf>
    <xf numFmtId="1" fontId="6" fillId="2" borderId="1" pivotButton="0" quotePrefix="0" xfId="0"/>
    <xf numFmtId="0" fontId="14" fillId="0" borderId="0" pivotButton="0" quotePrefix="0" xfId="0"/>
    <xf numFmtId="169" fontId="15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169" fontId="5" fillId="0" borderId="1" pivotButton="0" quotePrefix="0" xfId="0"/>
    <xf numFmtId="1" fontId="5" fillId="0" borderId="1" pivotButton="0" quotePrefix="0" xfId="0"/>
    <xf numFmtId="170" fontId="5" fillId="0" borderId="1" pivotButton="0" quotePrefix="0" xfId="0"/>
    <xf numFmtId="0" fontId="5" fillId="4" borderId="1" pivotButton="0" quotePrefix="0" xfId="0"/>
    <xf numFmtId="169" fontId="5" fillId="4" borderId="1" pivotButton="0" quotePrefix="0" xfId="0"/>
    <xf numFmtId="1" fontId="5" fillId="4" borderId="1" pivotButton="0" quotePrefix="0" xfId="0"/>
    <xf numFmtId="170" fontId="5" fillId="4" borderId="1" pivotButton="0" quotePrefix="0" xfId="0"/>
    <xf numFmtId="169" fontId="4" fillId="0" borderId="1" pivotButton="0" quotePrefix="0" xfId="0"/>
    <xf numFmtId="1" fontId="4" fillId="0" borderId="1" pivotButton="0" quotePrefix="0" xfId="0"/>
    <xf numFmtId="170" fontId="4" fillId="0" borderId="1" pivotButton="0" quotePrefix="0" xfId="0"/>
    <xf numFmtId="0" fontId="16" fillId="0" borderId="0" pivotButton="0" quotePrefix="0" xfId="0"/>
    <xf numFmtId="164" fontId="6" fillId="2" borderId="1" pivotButton="0" quotePrefix="0" xfId="0"/>
    <xf numFmtId="168" fontId="6" fillId="2" borderId="1" pivotButton="0" quotePrefix="0" xfId="0"/>
    <xf numFmtId="164" fontId="5" fillId="0" borderId="1" pivotButton="0" quotePrefix="0" xfId="0"/>
    <xf numFmtId="168" fontId="5" fillId="0" borderId="1" pivotButton="0" quotePrefix="0" xfId="0"/>
    <xf numFmtId="166" fontId="6" fillId="2" borderId="1" pivotButton="0" quotePrefix="0" xfId="0"/>
    <xf numFmtId="164" fontId="5" fillId="4" borderId="1" pivotButton="0" quotePrefix="0" xfId="0"/>
    <xf numFmtId="0" fontId="7" fillId="0" borderId="0" pivotButton="0" quotePrefix="0" xfId="0"/>
    <xf numFmtId="3" fontId="6" fillId="2" borderId="1" pivotButton="0" quotePrefix="0" xfId="0"/>
    <xf numFmtId="0" fontId="9" fillId="0" borderId="0" pivotButton="0" quotePrefix="0" xfId="0"/>
    <xf numFmtId="164" fontId="9" fillId="4" borderId="1" pivotButton="0" quotePrefix="0" xfId="0"/>
    <xf numFmtId="166" fontId="5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168" fontId="5" fillId="0" borderId="0" pivotButton="0" quotePrefix="0" xfId="0"/>
    <xf numFmtId="0" fontId="8" fillId="3" borderId="0" pivotButton="0" quotePrefix="0" xfId="0"/>
    <xf numFmtId="164" fontId="5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0" fontId="13" fillId="0" borderId="0" pivotButton="0" quotePrefix="0" xfId="0"/>
    <xf numFmtId="0" fontId="8" fillId="3" borderId="1" pivotButton="0" quotePrefix="0" xfId="0"/>
    <xf numFmtId="165" fontId="6" fillId="2" borderId="1" pivotButton="0" quotePrefix="0" xfId="0"/>
    <xf numFmtId="2" fontId="6" fillId="2" borderId="1" pivotButton="0" quotePrefix="0" xfId="0"/>
  </cellXfs>
  <cellStyles count="1">
    <cellStyle name="Normal" xfId="0" builtinId="0" hidden="0"/>
  </cellStyles>
  <dxfs count="3">
    <dxf>
      <font>
        <name val="Arial"/>
        <b val="1"/>
        <color rgb="009C1C28"/>
      </font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ont>
        <name val="Arial"/>
        <b val="1"/>
        <color rgb="009C1C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Profit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'Dashboard'!$A$9:$A$20</f>
            </numRef>
          </cat>
          <val>
            <numRef>
              <f>'Dashboard'!$B$9:$B$20</f>
            </numRef>
          </val>
        </ser>
        <ser>
          <idx val="1"/>
          <order val="1"/>
          <tx>
            <strRef>
              <f>'Dashboard'!F8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'Dashboard'!$A$9:$A$20</f>
            </numRef>
          </cat>
          <val>
            <numRef>
              <f>'Dashboard'!$F$9:$F$20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Template</author>
  </authors>
  <commentList>
    <comment ref="B8" authorId="0" shapeId="0">
      <text>
        <t>Pay rate plus payroll costs per crew-hour. Used for labor cost and profit.</t>
      </text>
    </comment>
    <comment ref="B9" authorId="0" shapeId="0">
      <text>
        <t>A planning estimate only. Ask a tax professional what to set aside.</t>
      </text>
    </comment>
    <comment ref="B10" authorId="0" shapeId="0">
      <text>
        <t>Example default. Check the current IRS standard mileage rate for your tax year.</t>
      </text>
    </comment>
    <comment ref="B12" authorId="0" shapeId="0">
      <text>
        <t>How many plowable snowfalls you expect in a season where you work. Used for the season contract price on the Quote Calculator.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474F"/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</cols>
  <sheetData>
    <row r="1" ht="30" customHeight="1">
      <c r="A1" s="1" t="inlineStr">
        <is>
          <t>Snow Removal Business Manager</t>
        </is>
      </c>
    </row>
    <row r="2">
      <c r="A2" s="2" t="inlineStr">
        <is>
          <t>Clients · Jobs · Quotes · Invoices · Expenses · Profit dashboard — Google Sheets &amp; Excel</t>
        </is>
      </c>
    </row>
    <row r="4">
      <c r="B4" s="3" t="inlineStr">
        <is>
          <t>HOW TO USE</t>
        </is>
      </c>
    </row>
    <row r="5" ht="30" customHeight="1">
      <c r="B5" s="4" t="inlineStr">
        <is>
          <t>1. Settings</t>
        </is>
      </c>
      <c r="C5" s="5" t="inlineStr">
        <is>
          <t>Enter your business name, hourly labor cost, tax set-aside %, mileage rate and your service prices.</t>
        </is>
      </c>
    </row>
    <row r="6" ht="30" customHeight="1">
      <c r="B6" s="4" t="inlineStr">
        <is>
          <t>2. Clients</t>
        </is>
      </c>
      <c r="C6" s="5" t="inlineStr">
        <is>
          <t>Add each client once: name, contact, service, contract type (per push, seasonal contract or one-time) and their price per push. Pushes, lifetime revenue and unpaid balance fill in automatically.</t>
        </is>
      </c>
    </row>
    <row r="7" ht="30" customHeight="1">
      <c r="B7" s="4" t="inlineStr">
        <is>
          <t>3. Jobs</t>
        </is>
      </c>
      <c r="C7" s="5" t="inlineStr">
        <is>
          <t>Log every push or salting visit. Pick the client from the dropdown — price fills in from their record (type in 'Price override' to change it for one job). Mark Paid = Yes when paid.</t>
        </is>
      </c>
    </row>
    <row r="8" ht="30" customHeight="1">
      <c r="B8" s="4" t="inlineStr">
        <is>
          <t>4. Expenses</t>
        </is>
      </c>
      <c r="C8" s="5" t="inlineStr">
        <is>
          <t>Log supplies, gas, equipment, insurance, ads. Categories come from Settings.</t>
        </is>
      </c>
    </row>
    <row r="9" ht="30" customHeight="1">
      <c r="B9" s="4" t="inlineStr">
        <is>
          <t>5. Quote Calculator</t>
        </is>
      </c>
      <c r="C9" s="5" t="inlineStr">
        <is>
          <t>Price a new driveway or lot in seconds from area, snow depth, obstacles, add-ons and contract type. Shows a per-push price and a season contract price. Shows estimated hours and your profit.</t>
        </is>
      </c>
    </row>
    <row r="10" ht="30" customHeight="1">
      <c r="B10" s="4" t="inlineStr">
        <is>
          <t>6. Invoice</t>
        </is>
      </c>
      <c r="C10" s="5" t="inlineStr">
        <is>
          <t>Type a Job ID (e.g. J-0001). The invoice fills in. Print or File &gt; Download as PDF.</t>
        </is>
      </c>
    </row>
    <row r="11" ht="30" customHeight="1">
      <c r="B11" s="4" t="inlineStr">
        <is>
          <t>7. Dashboard</t>
        </is>
      </c>
      <c r="C11" s="5" t="inlineStr">
        <is>
          <t>Type the year your season starts (2026 = Jul 2026 to Jun 2027). See revenue, costs, profit, unpaid balance and tax set-aside by month.</t>
        </is>
      </c>
    </row>
    <row r="13">
      <c r="B13" s="3" t="inlineStr">
        <is>
          <t>COLOR KEY</t>
        </is>
      </c>
    </row>
    <row r="14">
      <c r="B14" s="6" t="inlineStr">
        <is>
          <t>Yellow cell, blue text</t>
        </is>
      </c>
      <c r="C14" s="7" t="inlineStr">
        <is>
          <t>Type here — your inputs</t>
        </is>
      </c>
    </row>
    <row r="15">
      <c r="B15" s="8" t="inlineStr">
        <is>
          <t>White cell, black text</t>
        </is>
      </c>
      <c r="C15" s="7" t="inlineStr">
        <is>
          <t>Calculated automatically — don't type over these</t>
        </is>
      </c>
    </row>
    <row r="17">
      <c r="B17" s="3" t="inlineStr">
        <is>
          <t>GOOGLE SHEETS</t>
        </is>
      </c>
    </row>
    <row r="18" ht="30" customHeight="1">
      <c r="C18" s="9" t="inlineStr">
        <is>
          <t>Upload this file to Google Drive, open it, then File &gt; Save as Google Sheets. Everything works in both Excel and Google Sheets.</t>
        </is>
      </c>
    </row>
    <row r="19">
      <c r="C19" s="2" t="inlineStr">
        <is>
          <t>The example rows (marked EXAMPLE) show the format — delete them when you start. After that, clear a job row instead of deleting it, so Job IDs and invoice numbers stay the same.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474F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9" customWidth="1" min="5" max="5"/>
    <col width="13" customWidth="1" min="6" max="6"/>
    <col width="9" customWidth="1" min="7" max="7"/>
    <col width="13" customWidth="1" min="8" max="8"/>
    <col width="13" customWidth="1" min="9" max="9"/>
  </cols>
  <sheetData>
    <row r="1" ht="30" customHeight="1">
      <c r="A1" s="1" t="inlineStr">
        <is>
          <t>Dashboard</t>
        </is>
      </c>
    </row>
    <row r="2">
      <c r="A2" s="2" t="inlineStr">
        <is>
          <t>Type the year your season starts (2026 = Jul 2026 to Jun 2027). Everything below updates from Jobs and Expenses.</t>
        </is>
      </c>
    </row>
    <row r="4">
      <c r="A4" s="4" t="inlineStr">
        <is>
          <t>Season start</t>
        </is>
      </c>
      <c r="B4" s="10" t="n">
        <v>2026</v>
      </c>
    </row>
    <row r="5">
      <c r="B5" s="11" t="inlineStr">
        <is>
          <t>Revenue</t>
        </is>
      </c>
      <c r="D5" s="11" t="inlineStr">
        <is>
          <t>Profit</t>
        </is>
      </c>
      <c r="F5" s="11" t="inlineStr">
        <is>
          <t>Unpaid</t>
        </is>
      </c>
      <c r="H5" s="11" t="inlineStr">
        <is>
          <t>Tax set-aside</t>
        </is>
      </c>
    </row>
    <row r="6" ht="28" customHeight="1">
      <c r="B6" s="12">
        <f>SUM(B9:B20)</f>
        <v/>
      </c>
      <c r="D6" s="12">
        <f>SUM(F9:F20)</f>
        <v/>
      </c>
      <c r="F6" s="12">
        <f>SUMIFS(Jobs!$J$5:$J$1004,Jobs!$K$5:$K$1004,"No")</f>
        <v/>
      </c>
      <c r="H6" s="12">
        <f>MAX(0,B23)*Settings!$B$9</f>
        <v/>
      </c>
    </row>
    <row r="8" ht="32" customHeight="1">
      <c r="A8" s="13" t="inlineStr">
        <is>
          <t>Month</t>
        </is>
      </c>
      <c r="B8" s="13" t="inlineStr">
        <is>
          <t>Revenue</t>
        </is>
      </c>
      <c r="C8" s="13" t="inlineStr">
        <is>
          <t>Job costs</t>
        </is>
      </c>
      <c r="D8" s="13" t="inlineStr">
        <is>
          <t>Expenses</t>
        </is>
      </c>
      <c r="E8" s="13" t="inlineStr">
        <is>
          <t>Jobs</t>
        </is>
      </c>
      <c r="F8" s="13" t="inlineStr">
        <is>
          <t>Profit</t>
        </is>
      </c>
      <c r="G8" s="13" t="inlineStr">
        <is>
          <t>Margin</t>
        </is>
      </c>
      <c r="H8" s="13" t="inlineStr">
        <is>
          <t>Unpaid</t>
        </is>
      </c>
    </row>
    <row r="9">
      <c r="A9" s="8">
        <f>TEXT(DATE($B$4,7,1),"mmm yyyy")</f>
        <v/>
      </c>
      <c r="B9" s="14">
        <f>SUMIFS(Jobs!$J$5:$J$1004,Jobs!$B$5:$B$1004,"&gt;="&amp;DATE($B$4,7,1),Jobs!$B$5:$B$1004,"&lt;="&amp;EOMONTH(DATE($B$4,7,1),0))</f>
        <v/>
      </c>
      <c r="C9" s="14">
        <f>SUMIFS(Jobs!$M$5:$M$1004,Jobs!$B$5:$B$1004,"&gt;="&amp;DATE($B$4,7,1),Jobs!$B$5:$B$1004,"&lt;="&amp;EOMONTH(DATE($B$4,7,1),0))+SUMIFS(Jobs!$O$5:$O$1004,Jobs!$B$5:$B$1004,"&gt;="&amp;DATE($B$4,7,1),Jobs!$B$5:$B$1004,"&lt;="&amp;EOMONTH(DATE($B$4,7,1),0))+SUMIFS(Jobs!$P$5:$P$1004,Jobs!$B$5:$B$1004,"&gt;="&amp;DATE($B$4,7,1),Jobs!$B$5:$B$1004,"&lt;="&amp;EOMONTH(DATE($B$4,7,1),0))</f>
        <v/>
      </c>
      <c r="D9" s="14">
        <f>SUMIFS(Expenses!$E$5:$E$1004,Expenses!$A$5:$A$1004,"&gt;="&amp;DATE($B$4,7,1),Expenses!$A$5:$A$1004,"&lt;="&amp;EOMONTH(DATE($B$4,7,1),0))</f>
        <v/>
      </c>
      <c r="E9" s="15">
        <f>COUNTIFS(Jobs!$B$5:$B$1004,"&gt;="&amp;DATE($B$4,7,1),Jobs!$B$5:$B$1004,"&lt;="&amp;EOMONTH(DATE($B$4,7,1),0))</f>
        <v/>
      </c>
      <c r="F9" s="14">
        <f>B9-C9-D9</f>
        <v/>
      </c>
      <c r="G9" s="16">
        <f>IF(B9=0,0,F9/B9)</f>
        <v/>
      </c>
      <c r="H9" s="14">
        <f>SUMIFS(Jobs!$J$5:$J$1004,Jobs!$B$5:$B$1004,"&gt;="&amp;DATE($B$4,7,1),Jobs!$B$5:$B$1004,"&lt;="&amp;EOMONTH(DATE($B$4,7,1),0),Jobs!$K$5:$K$1004,"No")</f>
        <v/>
      </c>
    </row>
    <row r="10">
      <c r="A10" s="17">
        <f>TEXT(DATE($B$4,8,1),"mmm yyyy")</f>
        <v/>
      </c>
      <c r="B10" s="18">
        <f>SUMIFS(Jobs!$J$5:$J$1004,Jobs!$B$5:$B$1004,"&gt;="&amp;DATE($B$4,8,1),Jobs!$B$5:$B$1004,"&lt;="&amp;EOMONTH(DATE($B$4,8,1),0))</f>
        <v/>
      </c>
      <c r="C10" s="18">
        <f>SUMIFS(Jobs!$M$5:$M$1004,Jobs!$B$5:$B$1004,"&gt;="&amp;DATE($B$4,8,1),Jobs!$B$5:$B$1004,"&lt;="&amp;EOMONTH(DATE($B$4,8,1),0))+SUMIFS(Jobs!$O$5:$O$1004,Jobs!$B$5:$B$1004,"&gt;="&amp;DATE($B$4,8,1),Jobs!$B$5:$B$1004,"&lt;="&amp;EOMONTH(DATE($B$4,8,1),0))+SUMIFS(Jobs!$P$5:$P$1004,Jobs!$B$5:$B$1004,"&gt;="&amp;DATE($B$4,8,1),Jobs!$B$5:$B$1004,"&lt;="&amp;EOMONTH(DATE($B$4,8,1),0))</f>
        <v/>
      </c>
      <c r="D10" s="18">
        <f>SUMIFS(Expenses!$E$5:$E$1004,Expenses!$A$5:$A$1004,"&gt;="&amp;DATE($B$4,8,1),Expenses!$A$5:$A$1004,"&lt;="&amp;EOMONTH(DATE($B$4,8,1),0))</f>
        <v/>
      </c>
      <c r="E10" s="19">
        <f>COUNTIFS(Jobs!$B$5:$B$1004,"&gt;="&amp;DATE($B$4,8,1),Jobs!$B$5:$B$1004,"&lt;="&amp;EOMONTH(DATE($B$4,8,1),0))</f>
        <v/>
      </c>
      <c r="F10" s="18">
        <f>B10-C10-D10</f>
        <v/>
      </c>
      <c r="G10" s="20">
        <f>IF(B10=0,0,F10/B10)</f>
        <v/>
      </c>
      <c r="H10" s="18">
        <f>SUMIFS(Jobs!$J$5:$J$1004,Jobs!$B$5:$B$1004,"&gt;="&amp;DATE($B$4,8,1),Jobs!$B$5:$B$1004,"&lt;="&amp;EOMONTH(DATE($B$4,8,1),0),Jobs!$K$5:$K$1004,"No")</f>
        <v/>
      </c>
    </row>
    <row r="11">
      <c r="A11" s="8">
        <f>TEXT(DATE($B$4,9,1),"mmm yyyy")</f>
        <v/>
      </c>
      <c r="B11" s="14">
        <f>SUMIFS(Jobs!$J$5:$J$1004,Jobs!$B$5:$B$1004,"&gt;="&amp;DATE($B$4,9,1),Jobs!$B$5:$B$1004,"&lt;="&amp;EOMONTH(DATE($B$4,9,1),0))</f>
        <v/>
      </c>
      <c r="C11" s="14">
        <f>SUMIFS(Jobs!$M$5:$M$1004,Jobs!$B$5:$B$1004,"&gt;="&amp;DATE($B$4,9,1),Jobs!$B$5:$B$1004,"&lt;="&amp;EOMONTH(DATE($B$4,9,1),0))+SUMIFS(Jobs!$O$5:$O$1004,Jobs!$B$5:$B$1004,"&gt;="&amp;DATE($B$4,9,1),Jobs!$B$5:$B$1004,"&lt;="&amp;EOMONTH(DATE($B$4,9,1),0))+SUMIFS(Jobs!$P$5:$P$1004,Jobs!$B$5:$B$1004,"&gt;="&amp;DATE($B$4,9,1),Jobs!$B$5:$B$1004,"&lt;="&amp;EOMONTH(DATE($B$4,9,1),0))</f>
        <v/>
      </c>
      <c r="D11" s="14">
        <f>SUMIFS(Expenses!$E$5:$E$1004,Expenses!$A$5:$A$1004,"&gt;="&amp;DATE($B$4,9,1),Expenses!$A$5:$A$1004,"&lt;="&amp;EOMONTH(DATE($B$4,9,1),0))</f>
        <v/>
      </c>
      <c r="E11" s="15">
        <f>COUNTIFS(Jobs!$B$5:$B$1004,"&gt;="&amp;DATE($B$4,9,1),Jobs!$B$5:$B$1004,"&lt;="&amp;EOMONTH(DATE($B$4,9,1),0))</f>
        <v/>
      </c>
      <c r="F11" s="14">
        <f>B11-C11-D11</f>
        <v/>
      </c>
      <c r="G11" s="16">
        <f>IF(B11=0,0,F11/B11)</f>
        <v/>
      </c>
      <c r="H11" s="14">
        <f>SUMIFS(Jobs!$J$5:$J$1004,Jobs!$B$5:$B$1004,"&gt;="&amp;DATE($B$4,9,1),Jobs!$B$5:$B$1004,"&lt;="&amp;EOMONTH(DATE($B$4,9,1),0),Jobs!$K$5:$K$1004,"No")</f>
        <v/>
      </c>
    </row>
    <row r="12">
      <c r="A12" s="17">
        <f>TEXT(DATE($B$4,10,1),"mmm yyyy")</f>
        <v/>
      </c>
      <c r="B12" s="18">
        <f>SUMIFS(Jobs!$J$5:$J$1004,Jobs!$B$5:$B$1004,"&gt;="&amp;DATE($B$4,10,1),Jobs!$B$5:$B$1004,"&lt;="&amp;EOMONTH(DATE($B$4,10,1),0))</f>
        <v/>
      </c>
      <c r="C12" s="18">
        <f>SUMIFS(Jobs!$M$5:$M$1004,Jobs!$B$5:$B$1004,"&gt;="&amp;DATE($B$4,10,1),Jobs!$B$5:$B$1004,"&lt;="&amp;EOMONTH(DATE($B$4,10,1),0))+SUMIFS(Jobs!$O$5:$O$1004,Jobs!$B$5:$B$1004,"&gt;="&amp;DATE($B$4,10,1),Jobs!$B$5:$B$1004,"&lt;="&amp;EOMONTH(DATE($B$4,10,1),0))+SUMIFS(Jobs!$P$5:$P$1004,Jobs!$B$5:$B$1004,"&gt;="&amp;DATE($B$4,10,1),Jobs!$B$5:$B$1004,"&lt;="&amp;EOMONTH(DATE($B$4,10,1),0))</f>
        <v/>
      </c>
      <c r="D12" s="18">
        <f>SUMIFS(Expenses!$E$5:$E$1004,Expenses!$A$5:$A$1004,"&gt;="&amp;DATE($B$4,10,1),Expenses!$A$5:$A$1004,"&lt;="&amp;EOMONTH(DATE($B$4,10,1),0))</f>
        <v/>
      </c>
      <c r="E12" s="19">
        <f>COUNTIFS(Jobs!$B$5:$B$1004,"&gt;="&amp;DATE($B$4,10,1),Jobs!$B$5:$B$1004,"&lt;="&amp;EOMONTH(DATE($B$4,10,1),0))</f>
        <v/>
      </c>
      <c r="F12" s="18">
        <f>B12-C12-D12</f>
        <v/>
      </c>
      <c r="G12" s="20">
        <f>IF(B12=0,0,F12/B12)</f>
        <v/>
      </c>
      <c r="H12" s="18">
        <f>SUMIFS(Jobs!$J$5:$J$1004,Jobs!$B$5:$B$1004,"&gt;="&amp;DATE($B$4,10,1),Jobs!$B$5:$B$1004,"&lt;="&amp;EOMONTH(DATE($B$4,10,1),0),Jobs!$K$5:$K$1004,"No")</f>
        <v/>
      </c>
    </row>
    <row r="13">
      <c r="A13" s="8">
        <f>TEXT(DATE($B$4,11,1),"mmm yyyy")</f>
        <v/>
      </c>
      <c r="B13" s="14">
        <f>SUMIFS(Jobs!$J$5:$J$1004,Jobs!$B$5:$B$1004,"&gt;="&amp;DATE($B$4,11,1),Jobs!$B$5:$B$1004,"&lt;="&amp;EOMONTH(DATE($B$4,11,1),0))</f>
        <v/>
      </c>
      <c r="C13" s="14">
        <f>SUMIFS(Jobs!$M$5:$M$1004,Jobs!$B$5:$B$1004,"&gt;="&amp;DATE($B$4,11,1),Jobs!$B$5:$B$1004,"&lt;="&amp;EOMONTH(DATE($B$4,11,1),0))+SUMIFS(Jobs!$O$5:$O$1004,Jobs!$B$5:$B$1004,"&gt;="&amp;DATE($B$4,11,1),Jobs!$B$5:$B$1004,"&lt;="&amp;EOMONTH(DATE($B$4,11,1),0))+SUMIFS(Jobs!$P$5:$P$1004,Jobs!$B$5:$B$1004,"&gt;="&amp;DATE($B$4,11,1),Jobs!$B$5:$B$1004,"&lt;="&amp;EOMONTH(DATE($B$4,11,1),0))</f>
        <v/>
      </c>
      <c r="D13" s="14">
        <f>SUMIFS(Expenses!$E$5:$E$1004,Expenses!$A$5:$A$1004,"&gt;="&amp;DATE($B$4,11,1),Expenses!$A$5:$A$1004,"&lt;="&amp;EOMONTH(DATE($B$4,11,1),0))</f>
        <v/>
      </c>
      <c r="E13" s="15">
        <f>COUNTIFS(Jobs!$B$5:$B$1004,"&gt;="&amp;DATE($B$4,11,1),Jobs!$B$5:$B$1004,"&lt;="&amp;EOMONTH(DATE($B$4,11,1),0))</f>
        <v/>
      </c>
      <c r="F13" s="14">
        <f>B13-C13-D13</f>
        <v/>
      </c>
      <c r="G13" s="16">
        <f>IF(B13=0,0,F13/B13)</f>
        <v/>
      </c>
      <c r="H13" s="14">
        <f>SUMIFS(Jobs!$J$5:$J$1004,Jobs!$B$5:$B$1004,"&gt;="&amp;DATE($B$4,11,1),Jobs!$B$5:$B$1004,"&lt;="&amp;EOMONTH(DATE($B$4,11,1),0),Jobs!$K$5:$K$1004,"No")</f>
        <v/>
      </c>
    </row>
    <row r="14">
      <c r="A14" s="17">
        <f>TEXT(DATE($B$4,12,1),"mmm yyyy")</f>
        <v/>
      </c>
      <c r="B14" s="18">
        <f>SUMIFS(Jobs!$J$5:$J$1004,Jobs!$B$5:$B$1004,"&gt;="&amp;DATE($B$4,12,1),Jobs!$B$5:$B$1004,"&lt;="&amp;EOMONTH(DATE($B$4,12,1),0))</f>
        <v/>
      </c>
      <c r="C14" s="18">
        <f>SUMIFS(Jobs!$M$5:$M$1004,Jobs!$B$5:$B$1004,"&gt;="&amp;DATE($B$4,12,1),Jobs!$B$5:$B$1004,"&lt;="&amp;EOMONTH(DATE($B$4,12,1),0))+SUMIFS(Jobs!$O$5:$O$1004,Jobs!$B$5:$B$1004,"&gt;="&amp;DATE($B$4,12,1),Jobs!$B$5:$B$1004,"&lt;="&amp;EOMONTH(DATE($B$4,12,1),0))+SUMIFS(Jobs!$P$5:$P$1004,Jobs!$B$5:$B$1004,"&gt;="&amp;DATE($B$4,12,1),Jobs!$B$5:$B$1004,"&lt;="&amp;EOMONTH(DATE($B$4,12,1),0))</f>
        <v/>
      </c>
      <c r="D14" s="18">
        <f>SUMIFS(Expenses!$E$5:$E$1004,Expenses!$A$5:$A$1004,"&gt;="&amp;DATE($B$4,12,1),Expenses!$A$5:$A$1004,"&lt;="&amp;EOMONTH(DATE($B$4,12,1),0))</f>
        <v/>
      </c>
      <c r="E14" s="19">
        <f>COUNTIFS(Jobs!$B$5:$B$1004,"&gt;="&amp;DATE($B$4,12,1),Jobs!$B$5:$B$1004,"&lt;="&amp;EOMONTH(DATE($B$4,12,1),0))</f>
        <v/>
      </c>
      <c r="F14" s="18">
        <f>B14-C14-D14</f>
        <v/>
      </c>
      <c r="G14" s="20">
        <f>IF(B14=0,0,F14/B14)</f>
        <v/>
      </c>
      <c r="H14" s="18">
        <f>SUMIFS(Jobs!$J$5:$J$1004,Jobs!$B$5:$B$1004,"&gt;="&amp;DATE($B$4,12,1),Jobs!$B$5:$B$1004,"&lt;="&amp;EOMONTH(DATE($B$4,12,1),0),Jobs!$K$5:$K$1004,"No")</f>
        <v/>
      </c>
    </row>
    <row r="15">
      <c r="A15" s="8">
        <f>TEXT(DATE($B$4,13,1),"mmm yyyy")</f>
        <v/>
      </c>
      <c r="B15" s="14">
        <f>SUMIFS(Jobs!$J$5:$J$1004,Jobs!$B$5:$B$1004,"&gt;="&amp;DATE($B$4,13,1),Jobs!$B$5:$B$1004,"&lt;="&amp;EOMONTH(DATE($B$4,13,1),0))</f>
        <v/>
      </c>
      <c r="C15" s="14">
        <f>SUMIFS(Jobs!$M$5:$M$1004,Jobs!$B$5:$B$1004,"&gt;="&amp;DATE($B$4,13,1),Jobs!$B$5:$B$1004,"&lt;="&amp;EOMONTH(DATE($B$4,13,1),0))+SUMIFS(Jobs!$O$5:$O$1004,Jobs!$B$5:$B$1004,"&gt;="&amp;DATE($B$4,13,1),Jobs!$B$5:$B$1004,"&lt;="&amp;EOMONTH(DATE($B$4,13,1),0))+SUMIFS(Jobs!$P$5:$P$1004,Jobs!$B$5:$B$1004,"&gt;="&amp;DATE($B$4,13,1),Jobs!$B$5:$B$1004,"&lt;="&amp;EOMONTH(DATE($B$4,13,1),0))</f>
        <v/>
      </c>
      <c r="D15" s="14">
        <f>SUMIFS(Expenses!$E$5:$E$1004,Expenses!$A$5:$A$1004,"&gt;="&amp;DATE($B$4,13,1),Expenses!$A$5:$A$1004,"&lt;="&amp;EOMONTH(DATE($B$4,13,1),0))</f>
        <v/>
      </c>
      <c r="E15" s="15">
        <f>COUNTIFS(Jobs!$B$5:$B$1004,"&gt;="&amp;DATE($B$4,13,1),Jobs!$B$5:$B$1004,"&lt;="&amp;EOMONTH(DATE($B$4,13,1),0))</f>
        <v/>
      </c>
      <c r="F15" s="14">
        <f>B15-C15-D15</f>
        <v/>
      </c>
      <c r="G15" s="16">
        <f>IF(B15=0,0,F15/B15)</f>
        <v/>
      </c>
      <c r="H15" s="14">
        <f>SUMIFS(Jobs!$J$5:$J$1004,Jobs!$B$5:$B$1004,"&gt;="&amp;DATE($B$4,13,1),Jobs!$B$5:$B$1004,"&lt;="&amp;EOMONTH(DATE($B$4,13,1),0),Jobs!$K$5:$K$1004,"No")</f>
        <v/>
      </c>
    </row>
    <row r="16">
      <c r="A16" s="17">
        <f>TEXT(DATE($B$4,14,1),"mmm yyyy")</f>
        <v/>
      </c>
      <c r="B16" s="18">
        <f>SUMIFS(Jobs!$J$5:$J$1004,Jobs!$B$5:$B$1004,"&gt;="&amp;DATE($B$4,14,1),Jobs!$B$5:$B$1004,"&lt;="&amp;EOMONTH(DATE($B$4,14,1),0))</f>
        <v/>
      </c>
      <c r="C16" s="18">
        <f>SUMIFS(Jobs!$M$5:$M$1004,Jobs!$B$5:$B$1004,"&gt;="&amp;DATE($B$4,14,1),Jobs!$B$5:$B$1004,"&lt;="&amp;EOMONTH(DATE($B$4,14,1),0))+SUMIFS(Jobs!$O$5:$O$1004,Jobs!$B$5:$B$1004,"&gt;="&amp;DATE($B$4,14,1),Jobs!$B$5:$B$1004,"&lt;="&amp;EOMONTH(DATE($B$4,14,1),0))+SUMIFS(Jobs!$P$5:$P$1004,Jobs!$B$5:$B$1004,"&gt;="&amp;DATE($B$4,14,1),Jobs!$B$5:$B$1004,"&lt;="&amp;EOMONTH(DATE($B$4,14,1),0))</f>
        <v/>
      </c>
      <c r="D16" s="18">
        <f>SUMIFS(Expenses!$E$5:$E$1004,Expenses!$A$5:$A$1004,"&gt;="&amp;DATE($B$4,14,1),Expenses!$A$5:$A$1004,"&lt;="&amp;EOMONTH(DATE($B$4,14,1),0))</f>
        <v/>
      </c>
      <c r="E16" s="19">
        <f>COUNTIFS(Jobs!$B$5:$B$1004,"&gt;="&amp;DATE($B$4,14,1),Jobs!$B$5:$B$1004,"&lt;="&amp;EOMONTH(DATE($B$4,14,1),0))</f>
        <v/>
      </c>
      <c r="F16" s="18">
        <f>B16-C16-D16</f>
        <v/>
      </c>
      <c r="G16" s="20">
        <f>IF(B16=0,0,F16/B16)</f>
        <v/>
      </c>
      <c r="H16" s="18">
        <f>SUMIFS(Jobs!$J$5:$J$1004,Jobs!$B$5:$B$1004,"&gt;="&amp;DATE($B$4,14,1),Jobs!$B$5:$B$1004,"&lt;="&amp;EOMONTH(DATE($B$4,14,1),0),Jobs!$K$5:$K$1004,"No")</f>
        <v/>
      </c>
    </row>
    <row r="17">
      <c r="A17" s="8">
        <f>TEXT(DATE($B$4,15,1),"mmm yyyy")</f>
        <v/>
      </c>
      <c r="B17" s="14">
        <f>SUMIFS(Jobs!$J$5:$J$1004,Jobs!$B$5:$B$1004,"&gt;="&amp;DATE($B$4,15,1),Jobs!$B$5:$B$1004,"&lt;="&amp;EOMONTH(DATE($B$4,15,1),0))</f>
        <v/>
      </c>
      <c r="C17" s="14">
        <f>SUMIFS(Jobs!$M$5:$M$1004,Jobs!$B$5:$B$1004,"&gt;="&amp;DATE($B$4,15,1),Jobs!$B$5:$B$1004,"&lt;="&amp;EOMONTH(DATE($B$4,15,1),0))+SUMIFS(Jobs!$O$5:$O$1004,Jobs!$B$5:$B$1004,"&gt;="&amp;DATE($B$4,15,1),Jobs!$B$5:$B$1004,"&lt;="&amp;EOMONTH(DATE($B$4,15,1),0))+SUMIFS(Jobs!$P$5:$P$1004,Jobs!$B$5:$B$1004,"&gt;="&amp;DATE($B$4,15,1),Jobs!$B$5:$B$1004,"&lt;="&amp;EOMONTH(DATE($B$4,15,1),0))</f>
        <v/>
      </c>
      <c r="D17" s="14">
        <f>SUMIFS(Expenses!$E$5:$E$1004,Expenses!$A$5:$A$1004,"&gt;="&amp;DATE($B$4,15,1),Expenses!$A$5:$A$1004,"&lt;="&amp;EOMONTH(DATE($B$4,15,1),0))</f>
        <v/>
      </c>
      <c r="E17" s="15">
        <f>COUNTIFS(Jobs!$B$5:$B$1004,"&gt;="&amp;DATE($B$4,15,1),Jobs!$B$5:$B$1004,"&lt;="&amp;EOMONTH(DATE($B$4,15,1),0))</f>
        <v/>
      </c>
      <c r="F17" s="14">
        <f>B17-C17-D17</f>
        <v/>
      </c>
      <c r="G17" s="16">
        <f>IF(B17=0,0,F17/B17)</f>
        <v/>
      </c>
      <c r="H17" s="14">
        <f>SUMIFS(Jobs!$J$5:$J$1004,Jobs!$B$5:$B$1004,"&gt;="&amp;DATE($B$4,15,1),Jobs!$B$5:$B$1004,"&lt;="&amp;EOMONTH(DATE($B$4,15,1),0),Jobs!$K$5:$K$1004,"No")</f>
        <v/>
      </c>
    </row>
    <row r="18">
      <c r="A18" s="17">
        <f>TEXT(DATE($B$4,16,1),"mmm yyyy")</f>
        <v/>
      </c>
      <c r="B18" s="18">
        <f>SUMIFS(Jobs!$J$5:$J$1004,Jobs!$B$5:$B$1004,"&gt;="&amp;DATE($B$4,16,1),Jobs!$B$5:$B$1004,"&lt;="&amp;EOMONTH(DATE($B$4,16,1),0))</f>
        <v/>
      </c>
      <c r="C18" s="18">
        <f>SUMIFS(Jobs!$M$5:$M$1004,Jobs!$B$5:$B$1004,"&gt;="&amp;DATE($B$4,16,1),Jobs!$B$5:$B$1004,"&lt;="&amp;EOMONTH(DATE($B$4,16,1),0))+SUMIFS(Jobs!$O$5:$O$1004,Jobs!$B$5:$B$1004,"&gt;="&amp;DATE($B$4,16,1),Jobs!$B$5:$B$1004,"&lt;="&amp;EOMONTH(DATE($B$4,16,1),0))+SUMIFS(Jobs!$P$5:$P$1004,Jobs!$B$5:$B$1004,"&gt;="&amp;DATE($B$4,16,1),Jobs!$B$5:$B$1004,"&lt;="&amp;EOMONTH(DATE($B$4,16,1),0))</f>
        <v/>
      </c>
      <c r="D18" s="18">
        <f>SUMIFS(Expenses!$E$5:$E$1004,Expenses!$A$5:$A$1004,"&gt;="&amp;DATE($B$4,16,1),Expenses!$A$5:$A$1004,"&lt;="&amp;EOMONTH(DATE($B$4,16,1),0))</f>
        <v/>
      </c>
      <c r="E18" s="19">
        <f>COUNTIFS(Jobs!$B$5:$B$1004,"&gt;="&amp;DATE($B$4,16,1),Jobs!$B$5:$B$1004,"&lt;="&amp;EOMONTH(DATE($B$4,16,1),0))</f>
        <v/>
      </c>
      <c r="F18" s="18">
        <f>B18-C18-D18</f>
        <v/>
      </c>
      <c r="G18" s="20">
        <f>IF(B18=0,0,F18/B18)</f>
        <v/>
      </c>
      <c r="H18" s="18">
        <f>SUMIFS(Jobs!$J$5:$J$1004,Jobs!$B$5:$B$1004,"&gt;="&amp;DATE($B$4,16,1),Jobs!$B$5:$B$1004,"&lt;="&amp;EOMONTH(DATE($B$4,16,1),0),Jobs!$K$5:$K$1004,"No")</f>
        <v/>
      </c>
    </row>
    <row r="19">
      <c r="A19" s="8">
        <f>TEXT(DATE($B$4,17,1),"mmm yyyy")</f>
        <v/>
      </c>
      <c r="B19" s="14">
        <f>SUMIFS(Jobs!$J$5:$J$1004,Jobs!$B$5:$B$1004,"&gt;="&amp;DATE($B$4,17,1),Jobs!$B$5:$B$1004,"&lt;="&amp;EOMONTH(DATE($B$4,17,1),0))</f>
        <v/>
      </c>
      <c r="C19" s="14">
        <f>SUMIFS(Jobs!$M$5:$M$1004,Jobs!$B$5:$B$1004,"&gt;="&amp;DATE($B$4,17,1),Jobs!$B$5:$B$1004,"&lt;="&amp;EOMONTH(DATE($B$4,17,1),0))+SUMIFS(Jobs!$O$5:$O$1004,Jobs!$B$5:$B$1004,"&gt;="&amp;DATE($B$4,17,1),Jobs!$B$5:$B$1004,"&lt;="&amp;EOMONTH(DATE($B$4,17,1),0))+SUMIFS(Jobs!$P$5:$P$1004,Jobs!$B$5:$B$1004,"&gt;="&amp;DATE($B$4,17,1),Jobs!$B$5:$B$1004,"&lt;="&amp;EOMONTH(DATE($B$4,17,1),0))</f>
        <v/>
      </c>
      <c r="D19" s="14">
        <f>SUMIFS(Expenses!$E$5:$E$1004,Expenses!$A$5:$A$1004,"&gt;="&amp;DATE($B$4,17,1),Expenses!$A$5:$A$1004,"&lt;="&amp;EOMONTH(DATE($B$4,17,1),0))</f>
        <v/>
      </c>
      <c r="E19" s="15">
        <f>COUNTIFS(Jobs!$B$5:$B$1004,"&gt;="&amp;DATE($B$4,17,1),Jobs!$B$5:$B$1004,"&lt;="&amp;EOMONTH(DATE($B$4,17,1),0))</f>
        <v/>
      </c>
      <c r="F19" s="14">
        <f>B19-C19-D19</f>
        <v/>
      </c>
      <c r="G19" s="16">
        <f>IF(B19=0,0,F19/B19)</f>
        <v/>
      </c>
      <c r="H19" s="14">
        <f>SUMIFS(Jobs!$J$5:$J$1004,Jobs!$B$5:$B$1004,"&gt;="&amp;DATE($B$4,17,1),Jobs!$B$5:$B$1004,"&lt;="&amp;EOMONTH(DATE($B$4,17,1),0),Jobs!$K$5:$K$1004,"No")</f>
        <v/>
      </c>
    </row>
    <row r="20">
      <c r="A20" s="17">
        <f>TEXT(DATE($B$4,18,1),"mmm yyyy")</f>
        <v/>
      </c>
      <c r="B20" s="18">
        <f>SUMIFS(Jobs!$J$5:$J$1004,Jobs!$B$5:$B$1004,"&gt;="&amp;DATE($B$4,18,1),Jobs!$B$5:$B$1004,"&lt;="&amp;EOMONTH(DATE($B$4,18,1),0))</f>
        <v/>
      </c>
      <c r="C20" s="18">
        <f>SUMIFS(Jobs!$M$5:$M$1004,Jobs!$B$5:$B$1004,"&gt;="&amp;DATE($B$4,18,1),Jobs!$B$5:$B$1004,"&lt;="&amp;EOMONTH(DATE($B$4,18,1),0))+SUMIFS(Jobs!$O$5:$O$1004,Jobs!$B$5:$B$1004,"&gt;="&amp;DATE($B$4,18,1),Jobs!$B$5:$B$1004,"&lt;="&amp;EOMONTH(DATE($B$4,18,1),0))+SUMIFS(Jobs!$P$5:$P$1004,Jobs!$B$5:$B$1004,"&gt;="&amp;DATE($B$4,18,1),Jobs!$B$5:$B$1004,"&lt;="&amp;EOMONTH(DATE($B$4,18,1),0))</f>
        <v/>
      </c>
      <c r="D20" s="18">
        <f>SUMIFS(Expenses!$E$5:$E$1004,Expenses!$A$5:$A$1004,"&gt;="&amp;DATE($B$4,18,1),Expenses!$A$5:$A$1004,"&lt;="&amp;EOMONTH(DATE($B$4,18,1),0))</f>
        <v/>
      </c>
      <c r="E20" s="19">
        <f>COUNTIFS(Jobs!$B$5:$B$1004,"&gt;="&amp;DATE($B$4,18,1),Jobs!$B$5:$B$1004,"&lt;="&amp;EOMONTH(DATE($B$4,18,1),0))</f>
        <v/>
      </c>
      <c r="F20" s="18">
        <f>B20-C20-D20</f>
        <v/>
      </c>
      <c r="G20" s="20">
        <f>IF(B20=0,0,F20/B20)</f>
        <v/>
      </c>
      <c r="H20" s="18">
        <f>SUMIFS(Jobs!$J$5:$J$1004,Jobs!$B$5:$B$1004,"&gt;="&amp;DATE($B$4,18,1),Jobs!$B$5:$B$1004,"&lt;="&amp;EOMONTH(DATE($B$4,18,1),0),Jobs!$K$5:$K$1004,"No")</f>
        <v/>
      </c>
    </row>
    <row r="21">
      <c r="A21" s="4" t="inlineStr">
        <is>
          <t>Total</t>
        </is>
      </c>
      <c r="B21" s="21">
        <f>SUM(B9:B20)</f>
        <v/>
      </c>
      <c r="C21" s="21">
        <f>SUM(C9:C20)</f>
        <v/>
      </c>
      <c r="D21" s="21">
        <f>SUM(D9:D20)</f>
        <v/>
      </c>
      <c r="E21" s="22">
        <f>SUM(E9:E20)</f>
        <v/>
      </c>
      <c r="F21" s="21">
        <f>SUM(F9:F20)</f>
        <v/>
      </c>
      <c r="G21" s="23">
        <f>IF(B21=0,0,F21/B21)</f>
        <v/>
      </c>
      <c r="H21" s="21">
        <f>SUM(H9:H20)</f>
        <v/>
      </c>
    </row>
    <row r="23">
      <c r="A23" s="7" t="inlineStr">
        <is>
          <t>Profit for tax estimate</t>
        </is>
      </c>
      <c r="B23" s="14">
        <f>F21</f>
        <v/>
      </c>
    </row>
    <row r="24">
      <c r="A24" s="24" t="inlineStr">
        <is>
          <t>Note: Totals run July to June (one snow season). Tax set-aside is a planning estimate, not tax advice.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37474F"/>
    <outlinePr summaryBelow="1" summaryRight="1"/>
    <pageSetUpPr/>
  </sheetPr>
  <dimension ref="A1:N3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24" customWidth="1" min="3" max="3"/>
    <col width="30" customWidth="1" min="4" max="4"/>
    <col width="18" customWidth="1" min="5" max="5"/>
    <col width="15" customWidth="1" min="6" max="6"/>
    <col width="13" customWidth="1" min="7" max="7"/>
    <col width="13" customWidth="1" min="8" max="8"/>
    <col width="26" customWidth="1" min="9" max="9"/>
    <col width="8" customWidth="1" min="10" max="10"/>
    <col width="14" customWidth="1" min="11" max="11"/>
    <col width="13" customWidth="1" min="12" max="12"/>
    <col width="13" customWidth="1" min="13" max="13"/>
    <col width="13" customWidth="1" min="14" max="14"/>
  </cols>
  <sheetData>
    <row r="1" ht="30" customHeight="1">
      <c r="A1" s="1" t="inlineStr">
        <is>
          <t>Clients</t>
        </is>
      </c>
    </row>
    <row r="2">
      <c r="A2" s="2" t="inlineStr">
        <is>
          <t>One row per client. Pushes, unpaid balance and status update automatically from the Jobs log.</t>
        </is>
      </c>
    </row>
    <row r="4" ht="32" customHeight="1">
      <c r="A4" s="13" t="inlineStr">
        <is>
          <t>Client name</t>
        </is>
      </c>
      <c r="B4" s="13" t="inlineStr">
        <is>
          <t>Phone</t>
        </is>
      </c>
      <c r="C4" s="13" t="inlineStr">
        <is>
          <t>Email</t>
        </is>
      </c>
      <c r="D4" s="13" t="inlineStr">
        <is>
          <t>Address</t>
        </is>
      </c>
      <c r="E4" s="13" t="inlineStr">
        <is>
          <t>Service</t>
        </is>
      </c>
      <c r="F4" s="13" t="inlineStr">
        <is>
          <t>Contract type</t>
        </is>
      </c>
      <c r="G4" s="13" t="inlineStr">
        <is>
          <t>Price per push</t>
        </is>
      </c>
      <c r="H4" s="13" t="inlineStr">
        <is>
          <t>Start date</t>
        </is>
      </c>
      <c r="I4" s="13" t="inlineStr">
        <is>
          <t>Stakes, parking &amp; access notes</t>
        </is>
      </c>
      <c r="J4" s="13" t="inlineStr">
        <is>
          <t>Pushes</t>
        </is>
      </c>
      <c r="K4" s="13" t="inlineStr">
        <is>
          <t>Lifetime revenue</t>
        </is>
      </c>
      <c r="L4" s="13" t="inlineStr">
        <is>
          <t>Last push</t>
        </is>
      </c>
      <c r="M4" s="13" t="inlineStr">
        <is>
          <t>Unpaid</t>
        </is>
      </c>
      <c r="N4" s="13" t="inlineStr">
        <is>
          <t>Status</t>
        </is>
      </c>
    </row>
    <row r="5">
      <c r="A5" s="6" t="inlineStr">
        <is>
          <t>EXAMPLE – Johnson Family</t>
        </is>
      </c>
      <c r="B5" s="6" t="inlineStr">
        <is>
          <t>(555) 201-3344</t>
        </is>
      </c>
      <c r="C5" s="6" t="inlineStr">
        <is>
          <t>jj@example.com</t>
        </is>
      </c>
      <c r="D5" s="6" t="inlineStr">
        <is>
          <t>12 Oak St</t>
        </is>
      </c>
      <c r="E5" s="6" t="inlineStr">
        <is>
          <t>Driveway Plow</t>
        </is>
      </c>
      <c r="F5" s="6" t="inlineStr">
        <is>
          <t>Per push (on call)</t>
        </is>
      </c>
      <c r="G5" s="25" t="n">
        <v>45</v>
      </c>
      <c r="H5" s="26" t="n">
        <v>46327</v>
      </c>
      <c r="I5" s="6" t="inlineStr">
        <is>
          <t>Stakes in; car on street over 4 in</t>
        </is>
      </c>
      <c r="J5" s="15">
        <f>IF($A5="","",COUNTIFS(Jobs!$C$5:$C$1004,$A5))</f>
        <v/>
      </c>
      <c r="K5" s="27">
        <f>IF($A5="","",SUMIFS(Jobs!$J$5:$J$1004,Jobs!$C$5:$C$1004,$A5))</f>
        <v/>
      </c>
      <c r="L5" s="28">
        <f>IF(OR($A5="",J5=0),"",_xlfn.MAXIFS(Jobs!$B$5:$B$1004,Jobs!$C$5:$C$1004,$A5))</f>
        <v/>
      </c>
      <c r="M5" s="27">
        <f>IF($A5="","",SUMIFS(Jobs!$J$5:$J$1004,Jobs!$C$5:$C$1004,$A5,Jobs!$K$5:$K$1004,"No"))</f>
        <v/>
      </c>
      <c r="N5" s="8">
        <f>IF($A5="","",IF(J5=0,"New",IF(N(M5)&gt;0,"Unpaid","Paid up")))</f>
        <v/>
      </c>
    </row>
    <row r="6">
      <c r="A6" s="6" t="inlineStr">
        <is>
          <t>EXAMPLE – Bright Dental</t>
        </is>
      </c>
      <c r="B6" s="6" t="inlineStr">
        <is>
          <t>(555) 870-1100</t>
        </is>
      </c>
      <c r="C6" s="6" t="inlineStr">
        <is>
          <t>office@example.com</t>
        </is>
      </c>
      <c r="D6" s="6" t="inlineStr">
        <is>
          <t>400 Main St</t>
        </is>
      </c>
      <c r="E6" s="6" t="inlineStr">
        <is>
          <t>Commercial Lot Plow</t>
        </is>
      </c>
      <c r="F6" s="6" t="inlineStr">
        <is>
          <t>Seasonal contract</t>
        </is>
      </c>
      <c r="G6" s="25" t="n">
        <v>160</v>
      </c>
      <c r="H6" s="26" t="n">
        <v>46327</v>
      </c>
      <c r="I6" s="6" t="inlineStr">
        <is>
          <t>Clear by 6am; salt both entrances</t>
        </is>
      </c>
      <c r="J6" s="15">
        <f>IF($A6="","",COUNTIFS(Jobs!$C$5:$C$1004,$A6))</f>
        <v/>
      </c>
      <c r="K6" s="27">
        <f>IF($A6="","",SUMIFS(Jobs!$J$5:$J$1004,Jobs!$C$5:$C$1004,$A6))</f>
        <v/>
      </c>
      <c r="L6" s="28">
        <f>IF(OR($A6="",J6=0),"",_xlfn.MAXIFS(Jobs!$B$5:$B$1004,Jobs!$C$5:$C$1004,$A6))</f>
        <v/>
      </c>
      <c r="M6" s="27">
        <f>IF($A6="","",SUMIFS(Jobs!$J$5:$J$1004,Jobs!$C$5:$C$1004,$A6,Jobs!$K$5:$K$1004,"No"))</f>
        <v/>
      </c>
      <c r="N6" s="8">
        <f>IF($A6="","",IF(J6=0,"New",IF(N(M6)&gt;0,"Unpaid","Paid up")))</f>
        <v/>
      </c>
    </row>
    <row r="7">
      <c r="A7" s="6" t="n"/>
      <c r="B7" s="6" t="n"/>
      <c r="C7" s="6" t="n"/>
      <c r="D7" s="6" t="n"/>
      <c r="E7" s="6" t="n"/>
      <c r="F7" s="6" t="n"/>
      <c r="G7" s="25" t="n"/>
      <c r="H7" s="26" t="n"/>
      <c r="I7" s="6" t="n"/>
      <c r="J7" s="15">
        <f>IF($A7="","",COUNTIFS(Jobs!$C$5:$C$1004,$A7))</f>
        <v/>
      </c>
      <c r="K7" s="27">
        <f>IF($A7="","",SUMIFS(Jobs!$J$5:$J$1004,Jobs!$C$5:$C$1004,$A7))</f>
        <v/>
      </c>
      <c r="L7" s="28">
        <f>IF(OR($A7="",J7=0),"",_xlfn.MAXIFS(Jobs!$B$5:$B$1004,Jobs!$C$5:$C$1004,$A7))</f>
        <v/>
      </c>
      <c r="M7" s="27">
        <f>IF($A7="","",SUMIFS(Jobs!$J$5:$J$1004,Jobs!$C$5:$C$1004,$A7,Jobs!$K$5:$K$1004,"No"))</f>
        <v/>
      </c>
      <c r="N7" s="8">
        <f>IF($A7="","",IF(J7=0,"New",IF(N(M7)&gt;0,"Unpaid","Paid up")))</f>
        <v/>
      </c>
    </row>
    <row r="8">
      <c r="A8" s="6" t="n"/>
      <c r="B8" s="6" t="n"/>
      <c r="C8" s="6" t="n"/>
      <c r="D8" s="6" t="n"/>
      <c r="E8" s="6" t="n"/>
      <c r="F8" s="6" t="n"/>
      <c r="G8" s="25" t="n"/>
      <c r="H8" s="26" t="n"/>
      <c r="I8" s="6" t="n"/>
      <c r="J8" s="15">
        <f>IF($A8="","",COUNTIFS(Jobs!$C$5:$C$1004,$A8))</f>
        <v/>
      </c>
      <c r="K8" s="27">
        <f>IF($A8="","",SUMIFS(Jobs!$J$5:$J$1004,Jobs!$C$5:$C$1004,$A8))</f>
        <v/>
      </c>
      <c r="L8" s="28">
        <f>IF(OR($A8="",J8=0),"",_xlfn.MAXIFS(Jobs!$B$5:$B$1004,Jobs!$C$5:$C$1004,$A8))</f>
        <v/>
      </c>
      <c r="M8" s="27">
        <f>IF($A8="","",SUMIFS(Jobs!$J$5:$J$1004,Jobs!$C$5:$C$1004,$A8,Jobs!$K$5:$K$1004,"No"))</f>
        <v/>
      </c>
      <c r="N8" s="8">
        <f>IF($A8="","",IF(J8=0,"New",IF(N(M8)&gt;0,"Unpaid","Paid up")))</f>
        <v/>
      </c>
    </row>
    <row r="9">
      <c r="A9" s="6" t="n"/>
      <c r="B9" s="6" t="n"/>
      <c r="C9" s="6" t="n"/>
      <c r="D9" s="6" t="n"/>
      <c r="E9" s="6" t="n"/>
      <c r="F9" s="6" t="n"/>
      <c r="G9" s="25" t="n"/>
      <c r="H9" s="26" t="n"/>
      <c r="I9" s="6" t="n"/>
      <c r="J9" s="15">
        <f>IF($A9="","",COUNTIFS(Jobs!$C$5:$C$1004,$A9))</f>
        <v/>
      </c>
      <c r="K9" s="27">
        <f>IF($A9="","",SUMIFS(Jobs!$J$5:$J$1004,Jobs!$C$5:$C$1004,$A9))</f>
        <v/>
      </c>
      <c r="L9" s="28">
        <f>IF(OR($A9="",J9=0),"",_xlfn.MAXIFS(Jobs!$B$5:$B$1004,Jobs!$C$5:$C$1004,$A9))</f>
        <v/>
      </c>
      <c r="M9" s="27">
        <f>IF($A9="","",SUMIFS(Jobs!$J$5:$J$1004,Jobs!$C$5:$C$1004,$A9,Jobs!$K$5:$K$1004,"No"))</f>
        <v/>
      </c>
      <c r="N9" s="8">
        <f>IF($A9="","",IF(J9=0,"New",IF(N(M9)&gt;0,"Unpaid","Paid up")))</f>
        <v/>
      </c>
    </row>
    <row r="10">
      <c r="A10" s="6" t="n"/>
      <c r="B10" s="6" t="n"/>
      <c r="C10" s="6" t="n"/>
      <c r="D10" s="6" t="n"/>
      <c r="E10" s="6" t="n"/>
      <c r="F10" s="6" t="n"/>
      <c r="G10" s="25" t="n"/>
      <c r="H10" s="26" t="n"/>
      <c r="I10" s="6" t="n"/>
      <c r="J10" s="15">
        <f>IF($A10="","",COUNTIFS(Jobs!$C$5:$C$1004,$A10))</f>
        <v/>
      </c>
      <c r="K10" s="27">
        <f>IF($A10="","",SUMIFS(Jobs!$J$5:$J$1004,Jobs!$C$5:$C$1004,$A10))</f>
        <v/>
      </c>
      <c r="L10" s="28">
        <f>IF(OR($A10="",J10=0),"",_xlfn.MAXIFS(Jobs!$B$5:$B$1004,Jobs!$C$5:$C$1004,$A10))</f>
        <v/>
      </c>
      <c r="M10" s="27">
        <f>IF($A10="","",SUMIFS(Jobs!$J$5:$J$1004,Jobs!$C$5:$C$1004,$A10,Jobs!$K$5:$K$1004,"No"))</f>
        <v/>
      </c>
      <c r="N10" s="8">
        <f>IF($A10="","",IF(J10=0,"New",IF(N(M10)&gt;0,"Unpaid","Paid up")))</f>
        <v/>
      </c>
    </row>
    <row r="11">
      <c r="A11" s="6" t="n"/>
      <c r="B11" s="6" t="n"/>
      <c r="C11" s="6" t="n"/>
      <c r="D11" s="6" t="n"/>
      <c r="E11" s="6" t="n"/>
      <c r="F11" s="6" t="n"/>
      <c r="G11" s="25" t="n"/>
      <c r="H11" s="26" t="n"/>
      <c r="I11" s="6" t="n"/>
      <c r="J11" s="15">
        <f>IF($A11="","",COUNTIFS(Jobs!$C$5:$C$1004,$A11))</f>
        <v/>
      </c>
      <c r="K11" s="27">
        <f>IF($A11="","",SUMIFS(Jobs!$J$5:$J$1004,Jobs!$C$5:$C$1004,$A11))</f>
        <v/>
      </c>
      <c r="L11" s="28">
        <f>IF(OR($A11="",J11=0),"",_xlfn.MAXIFS(Jobs!$B$5:$B$1004,Jobs!$C$5:$C$1004,$A11))</f>
        <v/>
      </c>
      <c r="M11" s="27">
        <f>IF($A11="","",SUMIFS(Jobs!$J$5:$J$1004,Jobs!$C$5:$C$1004,$A11,Jobs!$K$5:$K$1004,"No"))</f>
        <v/>
      </c>
      <c r="N11" s="8">
        <f>IF($A11="","",IF(J11=0,"New",IF(N(M11)&gt;0,"Unpaid","Paid up")))</f>
        <v/>
      </c>
    </row>
    <row r="12">
      <c r="A12" s="6" t="n"/>
      <c r="B12" s="6" t="n"/>
      <c r="C12" s="6" t="n"/>
      <c r="D12" s="6" t="n"/>
      <c r="E12" s="6" t="n"/>
      <c r="F12" s="6" t="n"/>
      <c r="G12" s="25" t="n"/>
      <c r="H12" s="26" t="n"/>
      <c r="I12" s="6" t="n"/>
      <c r="J12" s="15">
        <f>IF($A12="","",COUNTIFS(Jobs!$C$5:$C$1004,$A12))</f>
        <v/>
      </c>
      <c r="K12" s="27">
        <f>IF($A12="","",SUMIFS(Jobs!$J$5:$J$1004,Jobs!$C$5:$C$1004,$A12))</f>
        <v/>
      </c>
      <c r="L12" s="28">
        <f>IF(OR($A12="",J12=0),"",_xlfn.MAXIFS(Jobs!$B$5:$B$1004,Jobs!$C$5:$C$1004,$A12))</f>
        <v/>
      </c>
      <c r="M12" s="27">
        <f>IF($A12="","",SUMIFS(Jobs!$J$5:$J$1004,Jobs!$C$5:$C$1004,$A12,Jobs!$K$5:$K$1004,"No"))</f>
        <v/>
      </c>
      <c r="N12" s="8">
        <f>IF($A12="","",IF(J12=0,"New",IF(N(M12)&gt;0,"Unpaid","Paid up")))</f>
        <v/>
      </c>
    </row>
    <row r="13">
      <c r="A13" s="6" t="n"/>
      <c r="B13" s="6" t="n"/>
      <c r="C13" s="6" t="n"/>
      <c r="D13" s="6" t="n"/>
      <c r="E13" s="6" t="n"/>
      <c r="F13" s="6" t="n"/>
      <c r="G13" s="25" t="n"/>
      <c r="H13" s="26" t="n"/>
      <c r="I13" s="6" t="n"/>
      <c r="J13" s="15">
        <f>IF($A13="","",COUNTIFS(Jobs!$C$5:$C$1004,$A13))</f>
        <v/>
      </c>
      <c r="K13" s="27">
        <f>IF($A13="","",SUMIFS(Jobs!$J$5:$J$1004,Jobs!$C$5:$C$1004,$A13))</f>
        <v/>
      </c>
      <c r="L13" s="28">
        <f>IF(OR($A13="",J13=0),"",_xlfn.MAXIFS(Jobs!$B$5:$B$1004,Jobs!$C$5:$C$1004,$A13))</f>
        <v/>
      </c>
      <c r="M13" s="27">
        <f>IF($A13="","",SUMIFS(Jobs!$J$5:$J$1004,Jobs!$C$5:$C$1004,$A13,Jobs!$K$5:$K$1004,"No"))</f>
        <v/>
      </c>
      <c r="N13" s="8">
        <f>IF($A13="","",IF(J13=0,"New",IF(N(M13)&gt;0,"Unpaid","Paid up")))</f>
        <v/>
      </c>
    </row>
    <row r="14">
      <c r="A14" s="6" t="n"/>
      <c r="B14" s="6" t="n"/>
      <c r="C14" s="6" t="n"/>
      <c r="D14" s="6" t="n"/>
      <c r="E14" s="6" t="n"/>
      <c r="F14" s="6" t="n"/>
      <c r="G14" s="25" t="n"/>
      <c r="H14" s="26" t="n"/>
      <c r="I14" s="6" t="n"/>
      <c r="J14" s="15">
        <f>IF($A14="","",COUNTIFS(Jobs!$C$5:$C$1004,$A14))</f>
        <v/>
      </c>
      <c r="K14" s="27">
        <f>IF($A14="","",SUMIFS(Jobs!$J$5:$J$1004,Jobs!$C$5:$C$1004,$A14))</f>
        <v/>
      </c>
      <c r="L14" s="28">
        <f>IF(OR($A14="",J14=0),"",_xlfn.MAXIFS(Jobs!$B$5:$B$1004,Jobs!$C$5:$C$1004,$A14))</f>
        <v/>
      </c>
      <c r="M14" s="27">
        <f>IF($A14="","",SUMIFS(Jobs!$J$5:$J$1004,Jobs!$C$5:$C$1004,$A14,Jobs!$K$5:$K$1004,"No"))</f>
        <v/>
      </c>
      <c r="N14" s="8">
        <f>IF($A14="","",IF(J14=0,"New",IF(N(M14)&gt;0,"Unpaid","Paid up")))</f>
        <v/>
      </c>
    </row>
    <row r="15">
      <c r="A15" s="6" t="n"/>
      <c r="B15" s="6" t="n"/>
      <c r="C15" s="6" t="n"/>
      <c r="D15" s="6" t="n"/>
      <c r="E15" s="6" t="n"/>
      <c r="F15" s="6" t="n"/>
      <c r="G15" s="25" t="n"/>
      <c r="H15" s="26" t="n"/>
      <c r="I15" s="6" t="n"/>
      <c r="J15" s="15">
        <f>IF($A15="","",COUNTIFS(Jobs!$C$5:$C$1004,$A15))</f>
        <v/>
      </c>
      <c r="K15" s="27">
        <f>IF($A15="","",SUMIFS(Jobs!$J$5:$J$1004,Jobs!$C$5:$C$1004,$A15))</f>
        <v/>
      </c>
      <c r="L15" s="28">
        <f>IF(OR($A15="",J15=0),"",_xlfn.MAXIFS(Jobs!$B$5:$B$1004,Jobs!$C$5:$C$1004,$A15))</f>
        <v/>
      </c>
      <c r="M15" s="27">
        <f>IF($A15="","",SUMIFS(Jobs!$J$5:$J$1004,Jobs!$C$5:$C$1004,$A15,Jobs!$K$5:$K$1004,"No"))</f>
        <v/>
      </c>
      <c r="N15" s="8">
        <f>IF($A15="","",IF(J15=0,"New",IF(N(M15)&gt;0,"Unpaid","Paid up")))</f>
        <v/>
      </c>
    </row>
    <row r="16">
      <c r="A16" s="6" t="n"/>
      <c r="B16" s="6" t="n"/>
      <c r="C16" s="6" t="n"/>
      <c r="D16" s="6" t="n"/>
      <c r="E16" s="6" t="n"/>
      <c r="F16" s="6" t="n"/>
      <c r="G16" s="25" t="n"/>
      <c r="H16" s="26" t="n"/>
      <c r="I16" s="6" t="n"/>
      <c r="J16" s="15">
        <f>IF($A16="","",COUNTIFS(Jobs!$C$5:$C$1004,$A16))</f>
        <v/>
      </c>
      <c r="K16" s="27">
        <f>IF($A16="","",SUMIFS(Jobs!$J$5:$J$1004,Jobs!$C$5:$C$1004,$A16))</f>
        <v/>
      </c>
      <c r="L16" s="28">
        <f>IF(OR($A16="",J16=0),"",_xlfn.MAXIFS(Jobs!$B$5:$B$1004,Jobs!$C$5:$C$1004,$A16))</f>
        <v/>
      </c>
      <c r="M16" s="27">
        <f>IF($A16="","",SUMIFS(Jobs!$J$5:$J$1004,Jobs!$C$5:$C$1004,$A16,Jobs!$K$5:$K$1004,"No"))</f>
        <v/>
      </c>
      <c r="N16" s="8">
        <f>IF($A16="","",IF(J16=0,"New",IF(N(M16)&gt;0,"Unpaid","Paid up")))</f>
        <v/>
      </c>
    </row>
    <row r="17">
      <c r="A17" s="6" t="n"/>
      <c r="B17" s="6" t="n"/>
      <c r="C17" s="6" t="n"/>
      <c r="D17" s="6" t="n"/>
      <c r="E17" s="6" t="n"/>
      <c r="F17" s="6" t="n"/>
      <c r="G17" s="25" t="n"/>
      <c r="H17" s="26" t="n"/>
      <c r="I17" s="6" t="n"/>
      <c r="J17" s="15">
        <f>IF($A17="","",COUNTIFS(Jobs!$C$5:$C$1004,$A17))</f>
        <v/>
      </c>
      <c r="K17" s="27">
        <f>IF($A17="","",SUMIFS(Jobs!$J$5:$J$1004,Jobs!$C$5:$C$1004,$A17))</f>
        <v/>
      </c>
      <c r="L17" s="28">
        <f>IF(OR($A17="",J17=0),"",_xlfn.MAXIFS(Jobs!$B$5:$B$1004,Jobs!$C$5:$C$1004,$A17))</f>
        <v/>
      </c>
      <c r="M17" s="27">
        <f>IF($A17="","",SUMIFS(Jobs!$J$5:$J$1004,Jobs!$C$5:$C$1004,$A17,Jobs!$K$5:$K$1004,"No"))</f>
        <v/>
      </c>
      <c r="N17" s="8">
        <f>IF($A17="","",IF(J17=0,"New",IF(N(M17)&gt;0,"Unpaid","Paid up")))</f>
        <v/>
      </c>
    </row>
    <row r="18">
      <c r="A18" s="6" t="n"/>
      <c r="B18" s="6" t="n"/>
      <c r="C18" s="6" t="n"/>
      <c r="D18" s="6" t="n"/>
      <c r="E18" s="6" t="n"/>
      <c r="F18" s="6" t="n"/>
      <c r="G18" s="25" t="n"/>
      <c r="H18" s="26" t="n"/>
      <c r="I18" s="6" t="n"/>
      <c r="J18" s="15">
        <f>IF($A18="","",COUNTIFS(Jobs!$C$5:$C$1004,$A18))</f>
        <v/>
      </c>
      <c r="K18" s="27">
        <f>IF($A18="","",SUMIFS(Jobs!$J$5:$J$1004,Jobs!$C$5:$C$1004,$A18))</f>
        <v/>
      </c>
      <c r="L18" s="28">
        <f>IF(OR($A18="",J18=0),"",_xlfn.MAXIFS(Jobs!$B$5:$B$1004,Jobs!$C$5:$C$1004,$A18))</f>
        <v/>
      </c>
      <c r="M18" s="27">
        <f>IF($A18="","",SUMIFS(Jobs!$J$5:$J$1004,Jobs!$C$5:$C$1004,$A18,Jobs!$K$5:$K$1004,"No"))</f>
        <v/>
      </c>
      <c r="N18" s="8">
        <f>IF($A18="","",IF(J18=0,"New",IF(N(M18)&gt;0,"Unpaid","Paid up")))</f>
        <v/>
      </c>
    </row>
    <row r="19">
      <c r="A19" s="6" t="n"/>
      <c r="B19" s="6" t="n"/>
      <c r="C19" s="6" t="n"/>
      <c r="D19" s="6" t="n"/>
      <c r="E19" s="6" t="n"/>
      <c r="F19" s="6" t="n"/>
      <c r="G19" s="25" t="n"/>
      <c r="H19" s="26" t="n"/>
      <c r="I19" s="6" t="n"/>
      <c r="J19" s="15">
        <f>IF($A19="","",COUNTIFS(Jobs!$C$5:$C$1004,$A19))</f>
        <v/>
      </c>
      <c r="K19" s="27">
        <f>IF($A19="","",SUMIFS(Jobs!$J$5:$J$1004,Jobs!$C$5:$C$1004,$A19))</f>
        <v/>
      </c>
      <c r="L19" s="28">
        <f>IF(OR($A19="",J19=0),"",_xlfn.MAXIFS(Jobs!$B$5:$B$1004,Jobs!$C$5:$C$1004,$A19))</f>
        <v/>
      </c>
      <c r="M19" s="27">
        <f>IF($A19="","",SUMIFS(Jobs!$J$5:$J$1004,Jobs!$C$5:$C$1004,$A19,Jobs!$K$5:$K$1004,"No"))</f>
        <v/>
      </c>
      <c r="N19" s="8">
        <f>IF($A19="","",IF(J19=0,"New",IF(N(M19)&gt;0,"Unpaid","Paid up")))</f>
        <v/>
      </c>
    </row>
    <row r="20">
      <c r="A20" s="6" t="n"/>
      <c r="B20" s="6" t="n"/>
      <c r="C20" s="6" t="n"/>
      <c r="D20" s="6" t="n"/>
      <c r="E20" s="6" t="n"/>
      <c r="F20" s="6" t="n"/>
      <c r="G20" s="25" t="n"/>
      <c r="H20" s="26" t="n"/>
      <c r="I20" s="6" t="n"/>
      <c r="J20" s="15">
        <f>IF($A20="","",COUNTIFS(Jobs!$C$5:$C$1004,$A20))</f>
        <v/>
      </c>
      <c r="K20" s="27">
        <f>IF($A20="","",SUMIFS(Jobs!$J$5:$J$1004,Jobs!$C$5:$C$1004,$A20))</f>
        <v/>
      </c>
      <c r="L20" s="28">
        <f>IF(OR($A20="",J20=0),"",_xlfn.MAXIFS(Jobs!$B$5:$B$1004,Jobs!$C$5:$C$1004,$A20))</f>
        <v/>
      </c>
      <c r="M20" s="27">
        <f>IF($A20="","",SUMIFS(Jobs!$J$5:$J$1004,Jobs!$C$5:$C$1004,$A20,Jobs!$K$5:$K$1004,"No"))</f>
        <v/>
      </c>
      <c r="N20" s="8">
        <f>IF($A20="","",IF(J20=0,"New",IF(N(M20)&gt;0,"Unpaid","Paid up")))</f>
        <v/>
      </c>
    </row>
    <row r="21">
      <c r="A21" s="6" t="n"/>
      <c r="B21" s="6" t="n"/>
      <c r="C21" s="6" t="n"/>
      <c r="D21" s="6" t="n"/>
      <c r="E21" s="6" t="n"/>
      <c r="F21" s="6" t="n"/>
      <c r="G21" s="25" t="n"/>
      <c r="H21" s="26" t="n"/>
      <c r="I21" s="6" t="n"/>
      <c r="J21" s="15">
        <f>IF($A21="","",COUNTIFS(Jobs!$C$5:$C$1004,$A21))</f>
        <v/>
      </c>
      <c r="K21" s="27">
        <f>IF($A21="","",SUMIFS(Jobs!$J$5:$J$1004,Jobs!$C$5:$C$1004,$A21))</f>
        <v/>
      </c>
      <c r="L21" s="28">
        <f>IF(OR($A21="",J21=0),"",_xlfn.MAXIFS(Jobs!$B$5:$B$1004,Jobs!$C$5:$C$1004,$A21))</f>
        <v/>
      </c>
      <c r="M21" s="27">
        <f>IF($A21="","",SUMIFS(Jobs!$J$5:$J$1004,Jobs!$C$5:$C$1004,$A21,Jobs!$K$5:$K$1004,"No"))</f>
        <v/>
      </c>
      <c r="N21" s="8">
        <f>IF($A21="","",IF(J21=0,"New",IF(N(M21)&gt;0,"Unpaid","Paid up")))</f>
        <v/>
      </c>
    </row>
    <row r="22">
      <c r="A22" s="6" t="n"/>
      <c r="B22" s="6" t="n"/>
      <c r="C22" s="6" t="n"/>
      <c r="D22" s="6" t="n"/>
      <c r="E22" s="6" t="n"/>
      <c r="F22" s="6" t="n"/>
      <c r="G22" s="25" t="n"/>
      <c r="H22" s="26" t="n"/>
      <c r="I22" s="6" t="n"/>
      <c r="J22" s="15">
        <f>IF($A22="","",COUNTIFS(Jobs!$C$5:$C$1004,$A22))</f>
        <v/>
      </c>
      <c r="K22" s="27">
        <f>IF($A22="","",SUMIFS(Jobs!$J$5:$J$1004,Jobs!$C$5:$C$1004,$A22))</f>
        <v/>
      </c>
      <c r="L22" s="28">
        <f>IF(OR($A22="",J22=0),"",_xlfn.MAXIFS(Jobs!$B$5:$B$1004,Jobs!$C$5:$C$1004,$A22))</f>
        <v/>
      </c>
      <c r="M22" s="27">
        <f>IF($A22="","",SUMIFS(Jobs!$J$5:$J$1004,Jobs!$C$5:$C$1004,$A22,Jobs!$K$5:$K$1004,"No"))</f>
        <v/>
      </c>
      <c r="N22" s="8">
        <f>IF($A22="","",IF(J22=0,"New",IF(N(M22)&gt;0,"Unpaid","Paid up")))</f>
        <v/>
      </c>
    </row>
    <row r="23">
      <c r="A23" s="6" t="n"/>
      <c r="B23" s="6" t="n"/>
      <c r="C23" s="6" t="n"/>
      <c r="D23" s="6" t="n"/>
      <c r="E23" s="6" t="n"/>
      <c r="F23" s="6" t="n"/>
      <c r="G23" s="25" t="n"/>
      <c r="H23" s="26" t="n"/>
      <c r="I23" s="6" t="n"/>
      <c r="J23" s="15">
        <f>IF($A23="","",COUNTIFS(Jobs!$C$5:$C$1004,$A23))</f>
        <v/>
      </c>
      <c r="K23" s="27">
        <f>IF($A23="","",SUMIFS(Jobs!$J$5:$J$1004,Jobs!$C$5:$C$1004,$A23))</f>
        <v/>
      </c>
      <c r="L23" s="28">
        <f>IF(OR($A23="",J23=0),"",_xlfn.MAXIFS(Jobs!$B$5:$B$1004,Jobs!$C$5:$C$1004,$A23))</f>
        <v/>
      </c>
      <c r="M23" s="27">
        <f>IF($A23="","",SUMIFS(Jobs!$J$5:$J$1004,Jobs!$C$5:$C$1004,$A23,Jobs!$K$5:$K$1004,"No"))</f>
        <v/>
      </c>
      <c r="N23" s="8">
        <f>IF($A23="","",IF(J23=0,"New",IF(N(M23)&gt;0,"Unpaid","Paid up")))</f>
        <v/>
      </c>
    </row>
    <row r="24">
      <c r="A24" s="6" t="n"/>
      <c r="B24" s="6" t="n"/>
      <c r="C24" s="6" t="n"/>
      <c r="D24" s="6" t="n"/>
      <c r="E24" s="6" t="n"/>
      <c r="F24" s="6" t="n"/>
      <c r="G24" s="25" t="n"/>
      <c r="H24" s="26" t="n"/>
      <c r="I24" s="6" t="n"/>
      <c r="J24" s="15">
        <f>IF($A24="","",COUNTIFS(Jobs!$C$5:$C$1004,$A24))</f>
        <v/>
      </c>
      <c r="K24" s="27">
        <f>IF($A24="","",SUMIFS(Jobs!$J$5:$J$1004,Jobs!$C$5:$C$1004,$A24))</f>
        <v/>
      </c>
      <c r="L24" s="28">
        <f>IF(OR($A24="",J24=0),"",_xlfn.MAXIFS(Jobs!$B$5:$B$1004,Jobs!$C$5:$C$1004,$A24))</f>
        <v/>
      </c>
      <c r="M24" s="27">
        <f>IF($A24="","",SUMIFS(Jobs!$J$5:$J$1004,Jobs!$C$5:$C$1004,$A24,Jobs!$K$5:$K$1004,"No"))</f>
        <v/>
      </c>
      <c r="N24" s="8">
        <f>IF($A24="","",IF(J24=0,"New",IF(N(M24)&gt;0,"Unpaid","Paid up")))</f>
        <v/>
      </c>
    </row>
    <row r="25">
      <c r="A25" s="6" t="n"/>
      <c r="B25" s="6" t="n"/>
      <c r="C25" s="6" t="n"/>
      <c r="D25" s="6" t="n"/>
      <c r="E25" s="6" t="n"/>
      <c r="F25" s="6" t="n"/>
      <c r="G25" s="25" t="n"/>
      <c r="H25" s="26" t="n"/>
      <c r="I25" s="6" t="n"/>
      <c r="J25" s="15">
        <f>IF($A25="","",COUNTIFS(Jobs!$C$5:$C$1004,$A25))</f>
        <v/>
      </c>
      <c r="K25" s="27">
        <f>IF($A25="","",SUMIFS(Jobs!$J$5:$J$1004,Jobs!$C$5:$C$1004,$A25))</f>
        <v/>
      </c>
      <c r="L25" s="28">
        <f>IF(OR($A25="",J25=0),"",_xlfn.MAXIFS(Jobs!$B$5:$B$1004,Jobs!$C$5:$C$1004,$A25))</f>
        <v/>
      </c>
      <c r="M25" s="27">
        <f>IF($A25="","",SUMIFS(Jobs!$J$5:$J$1004,Jobs!$C$5:$C$1004,$A25,Jobs!$K$5:$K$1004,"No"))</f>
        <v/>
      </c>
      <c r="N25" s="8">
        <f>IF($A25="","",IF(J25=0,"New",IF(N(M25)&gt;0,"Unpaid","Paid up")))</f>
        <v/>
      </c>
    </row>
    <row r="26">
      <c r="A26" s="6" t="n"/>
      <c r="B26" s="6" t="n"/>
      <c r="C26" s="6" t="n"/>
      <c r="D26" s="6" t="n"/>
      <c r="E26" s="6" t="n"/>
      <c r="F26" s="6" t="n"/>
      <c r="G26" s="25" t="n"/>
      <c r="H26" s="26" t="n"/>
      <c r="I26" s="6" t="n"/>
      <c r="J26" s="15">
        <f>IF($A26="","",COUNTIFS(Jobs!$C$5:$C$1004,$A26))</f>
        <v/>
      </c>
      <c r="K26" s="27">
        <f>IF($A26="","",SUMIFS(Jobs!$J$5:$J$1004,Jobs!$C$5:$C$1004,$A26))</f>
        <v/>
      </c>
      <c r="L26" s="28">
        <f>IF(OR($A26="",J26=0),"",_xlfn.MAXIFS(Jobs!$B$5:$B$1004,Jobs!$C$5:$C$1004,$A26))</f>
        <v/>
      </c>
      <c r="M26" s="27">
        <f>IF($A26="","",SUMIFS(Jobs!$J$5:$J$1004,Jobs!$C$5:$C$1004,$A26,Jobs!$K$5:$K$1004,"No"))</f>
        <v/>
      </c>
      <c r="N26" s="8">
        <f>IF($A26="","",IF(J26=0,"New",IF(N(M26)&gt;0,"Unpaid","Paid up")))</f>
        <v/>
      </c>
    </row>
    <row r="27">
      <c r="A27" s="6" t="n"/>
      <c r="B27" s="6" t="n"/>
      <c r="C27" s="6" t="n"/>
      <c r="D27" s="6" t="n"/>
      <c r="E27" s="6" t="n"/>
      <c r="F27" s="6" t="n"/>
      <c r="G27" s="25" t="n"/>
      <c r="H27" s="26" t="n"/>
      <c r="I27" s="6" t="n"/>
      <c r="J27" s="15">
        <f>IF($A27="","",COUNTIFS(Jobs!$C$5:$C$1004,$A27))</f>
        <v/>
      </c>
      <c r="K27" s="27">
        <f>IF($A27="","",SUMIFS(Jobs!$J$5:$J$1004,Jobs!$C$5:$C$1004,$A27))</f>
        <v/>
      </c>
      <c r="L27" s="28">
        <f>IF(OR($A27="",J27=0),"",_xlfn.MAXIFS(Jobs!$B$5:$B$1004,Jobs!$C$5:$C$1004,$A27))</f>
        <v/>
      </c>
      <c r="M27" s="27">
        <f>IF($A27="","",SUMIFS(Jobs!$J$5:$J$1004,Jobs!$C$5:$C$1004,$A27,Jobs!$K$5:$K$1004,"No"))</f>
        <v/>
      </c>
      <c r="N27" s="8">
        <f>IF($A27="","",IF(J27=0,"New",IF(N(M27)&gt;0,"Unpaid","Paid up")))</f>
        <v/>
      </c>
    </row>
    <row r="28">
      <c r="A28" s="6" t="n"/>
      <c r="B28" s="6" t="n"/>
      <c r="C28" s="6" t="n"/>
      <c r="D28" s="6" t="n"/>
      <c r="E28" s="6" t="n"/>
      <c r="F28" s="6" t="n"/>
      <c r="G28" s="25" t="n"/>
      <c r="H28" s="26" t="n"/>
      <c r="I28" s="6" t="n"/>
      <c r="J28" s="15">
        <f>IF($A28="","",COUNTIFS(Jobs!$C$5:$C$1004,$A28))</f>
        <v/>
      </c>
      <c r="K28" s="27">
        <f>IF($A28="","",SUMIFS(Jobs!$J$5:$J$1004,Jobs!$C$5:$C$1004,$A28))</f>
        <v/>
      </c>
      <c r="L28" s="28">
        <f>IF(OR($A28="",J28=0),"",_xlfn.MAXIFS(Jobs!$B$5:$B$1004,Jobs!$C$5:$C$1004,$A28))</f>
        <v/>
      </c>
      <c r="M28" s="27">
        <f>IF($A28="","",SUMIFS(Jobs!$J$5:$J$1004,Jobs!$C$5:$C$1004,$A28,Jobs!$K$5:$K$1004,"No"))</f>
        <v/>
      </c>
      <c r="N28" s="8">
        <f>IF($A28="","",IF(J28=0,"New",IF(N(M28)&gt;0,"Unpaid","Paid up")))</f>
        <v/>
      </c>
    </row>
    <row r="29">
      <c r="A29" s="6" t="n"/>
      <c r="B29" s="6" t="n"/>
      <c r="C29" s="6" t="n"/>
      <c r="D29" s="6" t="n"/>
      <c r="E29" s="6" t="n"/>
      <c r="F29" s="6" t="n"/>
      <c r="G29" s="25" t="n"/>
      <c r="H29" s="26" t="n"/>
      <c r="I29" s="6" t="n"/>
      <c r="J29" s="15">
        <f>IF($A29="","",COUNTIFS(Jobs!$C$5:$C$1004,$A29))</f>
        <v/>
      </c>
      <c r="K29" s="27">
        <f>IF($A29="","",SUMIFS(Jobs!$J$5:$J$1004,Jobs!$C$5:$C$1004,$A29))</f>
        <v/>
      </c>
      <c r="L29" s="28">
        <f>IF(OR($A29="",J29=0),"",_xlfn.MAXIFS(Jobs!$B$5:$B$1004,Jobs!$C$5:$C$1004,$A29))</f>
        <v/>
      </c>
      <c r="M29" s="27">
        <f>IF($A29="","",SUMIFS(Jobs!$J$5:$J$1004,Jobs!$C$5:$C$1004,$A29,Jobs!$K$5:$K$1004,"No"))</f>
        <v/>
      </c>
      <c r="N29" s="8">
        <f>IF($A29="","",IF(J29=0,"New",IF(N(M29)&gt;0,"Unpaid","Paid up")))</f>
        <v/>
      </c>
    </row>
    <row r="30">
      <c r="A30" s="6" t="n"/>
      <c r="B30" s="6" t="n"/>
      <c r="C30" s="6" t="n"/>
      <c r="D30" s="6" t="n"/>
      <c r="E30" s="6" t="n"/>
      <c r="F30" s="6" t="n"/>
      <c r="G30" s="25" t="n"/>
      <c r="H30" s="26" t="n"/>
      <c r="I30" s="6" t="n"/>
      <c r="J30" s="15">
        <f>IF($A30="","",COUNTIFS(Jobs!$C$5:$C$1004,$A30))</f>
        <v/>
      </c>
      <c r="K30" s="27">
        <f>IF($A30="","",SUMIFS(Jobs!$J$5:$J$1004,Jobs!$C$5:$C$1004,$A30))</f>
        <v/>
      </c>
      <c r="L30" s="28">
        <f>IF(OR($A30="",J30=0),"",_xlfn.MAXIFS(Jobs!$B$5:$B$1004,Jobs!$C$5:$C$1004,$A30))</f>
        <v/>
      </c>
      <c r="M30" s="27">
        <f>IF($A30="","",SUMIFS(Jobs!$J$5:$J$1004,Jobs!$C$5:$C$1004,$A30,Jobs!$K$5:$K$1004,"No"))</f>
        <v/>
      </c>
      <c r="N30" s="8">
        <f>IF($A30="","",IF(J30=0,"New",IF(N(M30)&gt;0,"Unpaid","Paid up")))</f>
        <v/>
      </c>
    </row>
    <row r="31">
      <c r="A31" s="6" t="n"/>
      <c r="B31" s="6" t="n"/>
      <c r="C31" s="6" t="n"/>
      <c r="D31" s="6" t="n"/>
      <c r="E31" s="6" t="n"/>
      <c r="F31" s="6" t="n"/>
      <c r="G31" s="25" t="n"/>
      <c r="H31" s="26" t="n"/>
      <c r="I31" s="6" t="n"/>
      <c r="J31" s="15">
        <f>IF($A31="","",COUNTIFS(Jobs!$C$5:$C$1004,$A31))</f>
        <v/>
      </c>
      <c r="K31" s="27">
        <f>IF($A31="","",SUMIFS(Jobs!$J$5:$J$1004,Jobs!$C$5:$C$1004,$A31))</f>
        <v/>
      </c>
      <c r="L31" s="28">
        <f>IF(OR($A31="",J31=0),"",_xlfn.MAXIFS(Jobs!$B$5:$B$1004,Jobs!$C$5:$C$1004,$A31))</f>
        <v/>
      </c>
      <c r="M31" s="27">
        <f>IF($A31="","",SUMIFS(Jobs!$J$5:$J$1004,Jobs!$C$5:$C$1004,$A31,Jobs!$K$5:$K$1004,"No"))</f>
        <v/>
      </c>
      <c r="N31" s="8">
        <f>IF($A31="","",IF(J31=0,"New",IF(N(M31)&gt;0,"Unpaid","Paid up")))</f>
        <v/>
      </c>
    </row>
    <row r="32">
      <c r="A32" s="6" t="n"/>
      <c r="B32" s="6" t="n"/>
      <c r="C32" s="6" t="n"/>
      <c r="D32" s="6" t="n"/>
      <c r="E32" s="6" t="n"/>
      <c r="F32" s="6" t="n"/>
      <c r="G32" s="25" t="n"/>
      <c r="H32" s="26" t="n"/>
      <c r="I32" s="6" t="n"/>
      <c r="J32" s="15">
        <f>IF($A32="","",COUNTIFS(Jobs!$C$5:$C$1004,$A32))</f>
        <v/>
      </c>
      <c r="K32" s="27">
        <f>IF($A32="","",SUMIFS(Jobs!$J$5:$J$1004,Jobs!$C$5:$C$1004,$A32))</f>
        <v/>
      </c>
      <c r="L32" s="28">
        <f>IF(OR($A32="",J32=0),"",_xlfn.MAXIFS(Jobs!$B$5:$B$1004,Jobs!$C$5:$C$1004,$A32))</f>
        <v/>
      </c>
      <c r="M32" s="27">
        <f>IF($A32="","",SUMIFS(Jobs!$J$5:$J$1004,Jobs!$C$5:$C$1004,$A32,Jobs!$K$5:$K$1004,"No"))</f>
        <v/>
      </c>
      <c r="N32" s="8">
        <f>IF($A32="","",IF(J32=0,"New",IF(N(M32)&gt;0,"Unpaid","Paid up")))</f>
        <v/>
      </c>
    </row>
    <row r="33">
      <c r="A33" s="6" t="n"/>
      <c r="B33" s="6" t="n"/>
      <c r="C33" s="6" t="n"/>
      <c r="D33" s="6" t="n"/>
      <c r="E33" s="6" t="n"/>
      <c r="F33" s="6" t="n"/>
      <c r="G33" s="25" t="n"/>
      <c r="H33" s="26" t="n"/>
      <c r="I33" s="6" t="n"/>
      <c r="J33" s="15">
        <f>IF($A33="","",COUNTIFS(Jobs!$C$5:$C$1004,$A33))</f>
        <v/>
      </c>
      <c r="K33" s="27">
        <f>IF($A33="","",SUMIFS(Jobs!$J$5:$J$1004,Jobs!$C$5:$C$1004,$A33))</f>
        <v/>
      </c>
      <c r="L33" s="28">
        <f>IF(OR($A33="",J33=0),"",_xlfn.MAXIFS(Jobs!$B$5:$B$1004,Jobs!$C$5:$C$1004,$A33))</f>
        <v/>
      </c>
      <c r="M33" s="27">
        <f>IF($A33="","",SUMIFS(Jobs!$J$5:$J$1004,Jobs!$C$5:$C$1004,$A33,Jobs!$K$5:$K$1004,"No"))</f>
        <v/>
      </c>
      <c r="N33" s="8">
        <f>IF($A33="","",IF(J33=0,"New",IF(N(M33)&gt;0,"Unpaid","Paid up")))</f>
        <v/>
      </c>
    </row>
    <row r="34">
      <c r="A34" s="6" t="n"/>
      <c r="B34" s="6" t="n"/>
      <c r="C34" s="6" t="n"/>
      <c r="D34" s="6" t="n"/>
      <c r="E34" s="6" t="n"/>
      <c r="F34" s="6" t="n"/>
      <c r="G34" s="25" t="n"/>
      <c r="H34" s="26" t="n"/>
      <c r="I34" s="6" t="n"/>
      <c r="J34" s="15">
        <f>IF($A34="","",COUNTIFS(Jobs!$C$5:$C$1004,$A34))</f>
        <v/>
      </c>
      <c r="K34" s="27">
        <f>IF($A34="","",SUMIFS(Jobs!$J$5:$J$1004,Jobs!$C$5:$C$1004,$A34))</f>
        <v/>
      </c>
      <c r="L34" s="28">
        <f>IF(OR($A34="",J34=0),"",_xlfn.MAXIFS(Jobs!$B$5:$B$1004,Jobs!$C$5:$C$1004,$A34))</f>
        <v/>
      </c>
      <c r="M34" s="27">
        <f>IF($A34="","",SUMIFS(Jobs!$J$5:$J$1004,Jobs!$C$5:$C$1004,$A34,Jobs!$K$5:$K$1004,"No"))</f>
        <v/>
      </c>
      <c r="N34" s="8">
        <f>IF($A34="","",IF(J34=0,"New",IF(N(M34)&gt;0,"Unpaid","Paid up")))</f>
        <v/>
      </c>
    </row>
    <row r="35">
      <c r="A35" s="6" t="n"/>
      <c r="B35" s="6" t="n"/>
      <c r="C35" s="6" t="n"/>
      <c r="D35" s="6" t="n"/>
      <c r="E35" s="6" t="n"/>
      <c r="F35" s="6" t="n"/>
      <c r="G35" s="25" t="n"/>
      <c r="H35" s="26" t="n"/>
      <c r="I35" s="6" t="n"/>
      <c r="J35" s="15">
        <f>IF($A35="","",COUNTIFS(Jobs!$C$5:$C$1004,$A35))</f>
        <v/>
      </c>
      <c r="K35" s="27">
        <f>IF($A35="","",SUMIFS(Jobs!$J$5:$J$1004,Jobs!$C$5:$C$1004,$A35))</f>
        <v/>
      </c>
      <c r="L35" s="28">
        <f>IF(OR($A35="",J35=0),"",_xlfn.MAXIFS(Jobs!$B$5:$B$1004,Jobs!$C$5:$C$1004,$A35))</f>
        <v/>
      </c>
      <c r="M35" s="27">
        <f>IF($A35="","",SUMIFS(Jobs!$J$5:$J$1004,Jobs!$C$5:$C$1004,$A35,Jobs!$K$5:$K$1004,"No"))</f>
        <v/>
      </c>
      <c r="N35" s="8">
        <f>IF($A35="","",IF(J35=0,"New",IF(N(M35)&gt;0,"Unpaid","Paid up")))</f>
        <v/>
      </c>
    </row>
    <row r="36">
      <c r="A36" s="6" t="n"/>
      <c r="B36" s="6" t="n"/>
      <c r="C36" s="6" t="n"/>
      <c r="D36" s="6" t="n"/>
      <c r="E36" s="6" t="n"/>
      <c r="F36" s="6" t="n"/>
      <c r="G36" s="25" t="n"/>
      <c r="H36" s="26" t="n"/>
      <c r="I36" s="6" t="n"/>
      <c r="J36" s="15">
        <f>IF($A36="","",COUNTIFS(Jobs!$C$5:$C$1004,$A36))</f>
        <v/>
      </c>
      <c r="K36" s="27">
        <f>IF($A36="","",SUMIFS(Jobs!$J$5:$J$1004,Jobs!$C$5:$C$1004,$A36))</f>
        <v/>
      </c>
      <c r="L36" s="28">
        <f>IF(OR($A36="",J36=0),"",_xlfn.MAXIFS(Jobs!$B$5:$B$1004,Jobs!$C$5:$C$1004,$A36))</f>
        <v/>
      </c>
      <c r="M36" s="27">
        <f>IF($A36="","",SUMIFS(Jobs!$J$5:$J$1004,Jobs!$C$5:$C$1004,$A36,Jobs!$K$5:$K$1004,"No"))</f>
        <v/>
      </c>
      <c r="N36" s="8">
        <f>IF($A36="","",IF(J36=0,"New",IF(N(M36)&gt;0,"Unpaid","Paid up")))</f>
        <v/>
      </c>
    </row>
    <row r="37">
      <c r="A37" s="6" t="n"/>
      <c r="B37" s="6" t="n"/>
      <c r="C37" s="6" t="n"/>
      <c r="D37" s="6" t="n"/>
      <c r="E37" s="6" t="n"/>
      <c r="F37" s="6" t="n"/>
      <c r="G37" s="25" t="n"/>
      <c r="H37" s="26" t="n"/>
      <c r="I37" s="6" t="n"/>
      <c r="J37" s="15">
        <f>IF($A37="","",COUNTIFS(Jobs!$C$5:$C$1004,$A37))</f>
        <v/>
      </c>
      <c r="K37" s="27">
        <f>IF($A37="","",SUMIFS(Jobs!$J$5:$J$1004,Jobs!$C$5:$C$1004,$A37))</f>
        <v/>
      </c>
      <c r="L37" s="28">
        <f>IF(OR($A37="",J37=0),"",_xlfn.MAXIFS(Jobs!$B$5:$B$1004,Jobs!$C$5:$C$1004,$A37))</f>
        <v/>
      </c>
      <c r="M37" s="27">
        <f>IF($A37="","",SUMIFS(Jobs!$J$5:$J$1004,Jobs!$C$5:$C$1004,$A37,Jobs!$K$5:$K$1004,"No"))</f>
        <v/>
      </c>
      <c r="N37" s="8">
        <f>IF($A37="","",IF(J37=0,"New",IF(N(M37)&gt;0,"Unpaid","Paid up")))</f>
        <v/>
      </c>
    </row>
    <row r="38">
      <c r="A38" s="6" t="n"/>
      <c r="B38" s="6" t="n"/>
      <c r="C38" s="6" t="n"/>
      <c r="D38" s="6" t="n"/>
      <c r="E38" s="6" t="n"/>
      <c r="F38" s="6" t="n"/>
      <c r="G38" s="25" t="n"/>
      <c r="H38" s="26" t="n"/>
      <c r="I38" s="6" t="n"/>
      <c r="J38" s="15">
        <f>IF($A38="","",COUNTIFS(Jobs!$C$5:$C$1004,$A38))</f>
        <v/>
      </c>
      <c r="K38" s="27">
        <f>IF($A38="","",SUMIFS(Jobs!$J$5:$J$1004,Jobs!$C$5:$C$1004,$A38))</f>
        <v/>
      </c>
      <c r="L38" s="28">
        <f>IF(OR($A38="",J38=0),"",_xlfn.MAXIFS(Jobs!$B$5:$B$1004,Jobs!$C$5:$C$1004,$A38))</f>
        <v/>
      </c>
      <c r="M38" s="27">
        <f>IF($A38="","",SUMIFS(Jobs!$J$5:$J$1004,Jobs!$C$5:$C$1004,$A38,Jobs!$K$5:$K$1004,"No"))</f>
        <v/>
      </c>
      <c r="N38" s="8">
        <f>IF($A38="","",IF(J38=0,"New",IF(N(M38)&gt;0,"Unpaid","Paid up")))</f>
        <v/>
      </c>
    </row>
    <row r="39">
      <c r="A39" s="6" t="n"/>
      <c r="B39" s="6" t="n"/>
      <c r="C39" s="6" t="n"/>
      <c r="D39" s="6" t="n"/>
      <c r="E39" s="6" t="n"/>
      <c r="F39" s="6" t="n"/>
      <c r="G39" s="25" t="n"/>
      <c r="H39" s="26" t="n"/>
      <c r="I39" s="6" t="n"/>
      <c r="J39" s="15">
        <f>IF($A39="","",COUNTIFS(Jobs!$C$5:$C$1004,$A39))</f>
        <v/>
      </c>
      <c r="K39" s="27">
        <f>IF($A39="","",SUMIFS(Jobs!$J$5:$J$1004,Jobs!$C$5:$C$1004,$A39))</f>
        <v/>
      </c>
      <c r="L39" s="28">
        <f>IF(OR($A39="",J39=0),"",_xlfn.MAXIFS(Jobs!$B$5:$B$1004,Jobs!$C$5:$C$1004,$A39))</f>
        <v/>
      </c>
      <c r="M39" s="27">
        <f>IF($A39="","",SUMIFS(Jobs!$J$5:$J$1004,Jobs!$C$5:$C$1004,$A39,Jobs!$K$5:$K$1004,"No"))</f>
        <v/>
      </c>
      <c r="N39" s="8">
        <f>IF($A39="","",IF(J39=0,"New",IF(N(M39)&gt;0,"Unpaid","Paid up")))</f>
        <v/>
      </c>
    </row>
    <row r="40">
      <c r="A40" s="6" t="n"/>
      <c r="B40" s="6" t="n"/>
      <c r="C40" s="6" t="n"/>
      <c r="D40" s="6" t="n"/>
      <c r="E40" s="6" t="n"/>
      <c r="F40" s="6" t="n"/>
      <c r="G40" s="25" t="n"/>
      <c r="H40" s="26" t="n"/>
      <c r="I40" s="6" t="n"/>
      <c r="J40" s="15">
        <f>IF($A40="","",COUNTIFS(Jobs!$C$5:$C$1004,$A40))</f>
        <v/>
      </c>
      <c r="K40" s="27">
        <f>IF($A40="","",SUMIFS(Jobs!$J$5:$J$1004,Jobs!$C$5:$C$1004,$A40))</f>
        <v/>
      </c>
      <c r="L40" s="28">
        <f>IF(OR($A40="",J40=0),"",_xlfn.MAXIFS(Jobs!$B$5:$B$1004,Jobs!$C$5:$C$1004,$A40))</f>
        <v/>
      </c>
      <c r="M40" s="27">
        <f>IF($A40="","",SUMIFS(Jobs!$J$5:$J$1004,Jobs!$C$5:$C$1004,$A40,Jobs!$K$5:$K$1004,"No"))</f>
        <v/>
      </c>
      <c r="N40" s="8">
        <f>IF($A40="","",IF(J40=0,"New",IF(N(M40)&gt;0,"Unpaid","Paid up")))</f>
        <v/>
      </c>
    </row>
    <row r="41">
      <c r="A41" s="6" t="n"/>
      <c r="B41" s="6" t="n"/>
      <c r="C41" s="6" t="n"/>
      <c r="D41" s="6" t="n"/>
      <c r="E41" s="6" t="n"/>
      <c r="F41" s="6" t="n"/>
      <c r="G41" s="25" t="n"/>
      <c r="H41" s="26" t="n"/>
      <c r="I41" s="6" t="n"/>
      <c r="J41" s="15">
        <f>IF($A41="","",COUNTIFS(Jobs!$C$5:$C$1004,$A41))</f>
        <v/>
      </c>
      <c r="K41" s="27">
        <f>IF($A41="","",SUMIFS(Jobs!$J$5:$J$1004,Jobs!$C$5:$C$1004,$A41))</f>
        <v/>
      </c>
      <c r="L41" s="28">
        <f>IF(OR($A41="",J41=0),"",_xlfn.MAXIFS(Jobs!$B$5:$B$1004,Jobs!$C$5:$C$1004,$A41))</f>
        <v/>
      </c>
      <c r="M41" s="27">
        <f>IF($A41="","",SUMIFS(Jobs!$J$5:$J$1004,Jobs!$C$5:$C$1004,$A41,Jobs!$K$5:$K$1004,"No"))</f>
        <v/>
      </c>
      <c r="N41" s="8">
        <f>IF($A41="","",IF(J41=0,"New",IF(N(M41)&gt;0,"Unpaid","Paid up")))</f>
        <v/>
      </c>
    </row>
    <row r="42">
      <c r="A42" s="6" t="n"/>
      <c r="B42" s="6" t="n"/>
      <c r="C42" s="6" t="n"/>
      <c r="D42" s="6" t="n"/>
      <c r="E42" s="6" t="n"/>
      <c r="F42" s="6" t="n"/>
      <c r="G42" s="25" t="n"/>
      <c r="H42" s="26" t="n"/>
      <c r="I42" s="6" t="n"/>
      <c r="J42" s="15">
        <f>IF($A42="","",COUNTIFS(Jobs!$C$5:$C$1004,$A42))</f>
        <v/>
      </c>
      <c r="K42" s="27">
        <f>IF($A42="","",SUMIFS(Jobs!$J$5:$J$1004,Jobs!$C$5:$C$1004,$A42))</f>
        <v/>
      </c>
      <c r="L42" s="28">
        <f>IF(OR($A42="",J42=0),"",_xlfn.MAXIFS(Jobs!$B$5:$B$1004,Jobs!$C$5:$C$1004,$A42))</f>
        <v/>
      </c>
      <c r="M42" s="27">
        <f>IF($A42="","",SUMIFS(Jobs!$J$5:$J$1004,Jobs!$C$5:$C$1004,$A42,Jobs!$K$5:$K$1004,"No"))</f>
        <v/>
      </c>
      <c r="N42" s="8">
        <f>IF($A42="","",IF(J42=0,"New",IF(N(M42)&gt;0,"Unpaid","Paid up")))</f>
        <v/>
      </c>
    </row>
    <row r="43">
      <c r="A43" s="6" t="n"/>
      <c r="B43" s="6" t="n"/>
      <c r="C43" s="6" t="n"/>
      <c r="D43" s="6" t="n"/>
      <c r="E43" s="6" t="n"/>
      <c r="F43" s="6" t="n"/>
      <c r="G43" s="25" t="n"/>
      <c r="H43" s="26" t="n"/>
      <c r="I43" s="6" t="n"/>
      <c r="J43" s="15">
        <f>IF($A43="","",COUNTIFS(Jobs!$C$5:$C$1004,$A43))</f>
        <v/>
      </c>
      <c r="K43" s="27">
        <f>IF($A43="","",SUMIFS(Jobs!$J$5:$J$1004,Jobs!$C$5:$C$1004,$A43))</f>
        <v/>
      </c>
      <c r="L43" s="28">
        <f>IF(OR($A43="",J43=0),"",_xlfn.MAXIFS(Jobs!$B$5:$B$1004,Jobs!$C$5:$C$1004,$A43))</f>
        <v/>
      </c>
      <c r="M43" s="27">
        <f>IF($A43="","",SUMIFS(Jobs!$J$5:$J$1004,Jobs!$C$5:$C$1004,$A43,Jobs!$K$5:$K$1004,"No"))</f>
        <v/>
      </c>
      <c r="N43" s="8">
        <f>IF($A43="","",IF(J43=0,"New",IF(N(M43)&gt;0,"Unpaid","Paid up")))</f>
        <v/>
      </c>
    </row>
    <row r="44">
      <c r="A44" s="6" t="n"/>
      <c r="B44" s="6" t="n"/>
      <c r="C44" s="6" t="n"/>
      <c r="D44" s="6" t="n"/>
      <c r="E44" s="6" t="n"/>
      <c r="F44" s="6" t="n"/>
      <c r="G44" s="25" t="n"/>
      <c r="H44" s="26" t="n"/>
      <c r="I44" s="6" t="n"/>
      <c r="J44" s="15">
        <f>IF($A44="","",COUNTIFS(Jobs!$C$5:$C$1004,$A44))</f>
        <v/>
      </c>
      <c r="K44" s="27">
        <f>IF($A44="","",SUMIFS(Jobs!$J$5:$J$1004,Jobs!$C$5:$C$1004,$A44))</f>
        <v/>
      </c>
      <c r="L44" s="28">
        <f>IF(OR($A44="",J44=0),"",_xlfn.MAXIFS(Jobs!$B$5:$B$1004,Jobs!$C$5:$C$1004,$A44))</f>
        <v/>
      </c>
      <c r="M44" s="27">
        <f>IF($A44="","",SUMIFS(Jobs!$J$5:$J$1004,Jobs!$C$5:$C$1004,$A44,Jobs!$K$5:$K$1004,"No"))</f>
        <v/>
      </c>
      <c r="N44" s="8">
        <f>IF($A44="","",IF(J44=0,"New",IF(N(M44)&gt;0,"Unpaid","Paid up")))</f>
        <v/>
      </c>
    </row>
    <row r="45">
      <c r="A45" s="6" t="n"/>
      <c r="B45" s="6" t="n"/>
      <c r="C45" s="6" t="n"/>
      <c r="D45" s="6" t="n"/>
      <c r="E45" s="6" t="n"/>
      <c r="F45" s="6" t="n"/>
      <c r="G45" s="25" t="n"/>
      <c r="H45" s="26" t="n"/>
      <c r="I45" s="6" t="n"/>
      <c r="J45" s="15">
        <f>IF($A45="","",COUNTIFS(Jobs!$C$5:$C$1004,$A45))</f>
        <v/>
      </c>
      <c r="K45" s="27">
        <f>IF($A45="","",SUMIFS(Jobs!$J$5:$J$1004,Jobs!$C$5:$C$1004,$A45))</f>
        <v/>
      </c>
      <c r="L45" s="28">
        <f>IF(OR($A45="",J45=0),"",_xlfn.MAXIFS(Jobs!$B$5:$B$1004,Jobs!$C$5:$C$1004,$A45))</f>
        <v/>
      </c>
      <c r="M45" s="27">
        <f>IF($A45="","",SUMIFS(Jobs!$J$5:$J$1004,Jobs!$C$5:$C$1004,$A45,Jobs!$K$5:$K$1004,"No"))</f>
        <v/>
      </c>
      <c r="N45" s="8">
        <f>IF($A45="","",IF(J45=0,"New",IF(N(M45)&gt;0,"Unpaid","Paid up")))</f>
        <v/>
      </c>
    </row>
    <row r="46">
      <c r="A46" s="6" t="n"/>
      <c r="B46" s="6" t="n"/>
      <c r="C46" s="6" t="n"/>
      <c r="D46" s="6" t="n"/>
      <c r="E46" s="6" t="n"/>
      <c r="F46" s="6" t="n"/>
      <c r="G46" s="25" t="n"/>
      <c r="H46" s="26" t="n"/>
      <c r="I46" s="6" t="n"/>
      <c r="J46" s="15">
        <f>IF($A46="","",COUNTIFS(Jobs!$C$5:$C$1004,$A46))</f>
        <v/>
      </c>
      <c r="K46" s="27">
        <f>IF($A46="","",SUMIFS(Jobs!$J$5:$J$1004,Jobs!$C$5:$C$1004,$A46))</f>
        <v/>
      </c>
      <c r="L46" s="28">
        <f>IF(OR($A46="",J46=0),"",_xlfn.MAXIFS(Jobs!$B$5:$B$1004,Jobs!$C$5:$C$1004,$A46))</f>
        <v/>
      </c>
      <c r="M46" s="27">
        <f>IF($A46="","",SUMIFS(Jobs!$J$5:$J$1004,Jobs!$C$5:$C$1004,$A46,Jobs!$K$5:$K$1004,"No"))</f>
        <v/>
      </c>
      <c r="N46" s="8">
        <f>IF($A46="","",IF(J46=0,"New",IF(N(M46)&gt;0,"Unpaid","Paid up")))</f>
        <v/>
      </c>
    </row>
    <row r="47">
      <c r="A47" s="6" t="n"/>
      <c r="B47" s="6" t="n"/>
      <c r="C47" s="6" t="n"/>
      <c r="D47" s="6" t="n"/>
      <c r="E47" s="6" t="n"/>
      <c r="F47" s="6" t="n"/>
      <c r="G47" s="25" t="n"/>
      <c r="H47" s="26" t="n"/>
      <c r="I47" s="6" t="n"/>
      <c r="J47" s="15">
        <f>IF($A47="","",COUNTIFS(Jobs!$C$5:$C$1004,$A47))</f>
        <v/>
      </c>
      <c r="K47" s="27">
        <f>IF($A47="","",SUMIFS(Jobs!$J$5:$J$1004,Jobs!$C$5:$C$1004,$A47))</f>
        <v/>
      </c>
      <c r="L47" s="28">
        <f>IF(OR($A47="",J47=0),"",_xlfn.MAXIFS(Jobs!$B$5:$B$1004,Jobs!$C$5:$C$1004,$A47))</f>
        <v/>
      </c>
      <c r="M47" s="27">
        <f>IF($A47="","",SUMIFS(Jobs!$J$5:$J$1004,Jobs!$C$5:$C$1004,$A47,Jobs!$K$5:$K$1004,"No"))</f>
        <v/>
      </c>
      <c r="N47" s="8">
        <f>IF($A47="","",IF(J47=0,"New",IF(N(M47)&gt;0,"Unpaid","Paid up")))</f>
        <v/>
      </c>
    </row>
    <row r="48">
      <c r="A48" s="6" t="n"/>
      <c r="B48" s="6" t="n"/>
      <c r="C48" s="6" t="n"/>
      <c r="D48" s="6" t="n"/>
      <c r="E48" s="6" t="n"/>
      <c r="F48" s="6" t="n"/>
      <c r="G48" s="25" t="n"/>
      <c r="H48" s="26" t="n"/>
      <c r="I48" s="6" t="n"/>
      <c r="J48" s="15">
        <f>IF($A48="","",COUNTIFS(Jobs!$C$5:$C$1004,$A48))</f>
        <v/>
      </c>
      <c r="K48" s="27">
        <f>IF($A48="","",SUMIFS(Jobs!$J$5:$J$1004,Jobs!$C$5:$C$1004,$A48))</f>
        <v/>
      </c>
      <c r="L48" s="28">
        <f>IF(OR($A48="",J48=0),"",_xlfn.MAXIFS(Jobs!$B$5:$B$1004,Jobs!$C$5:$C$1004,$A48))</f>
        <v/>
      </c>
      <c r="M48" s="27">
        <f>IF($A48="","",SUMIFS(Jobs!$J$5:$J$1004,Jobs!$C$5:$C$1004,$A48,Jobs!$K$5:$K$1004,"No"))</f>
        <v/>
      </c>
      <c r="N48" s="8">
        <f>IF($A48="","",IF(J48=0,"New",IF(N(M48)&gt;0,"Unpaid","Paid up")))</f>
        <v/>
      </c>
    </row>
    <row r="49">
      <c r="A49" s="6" t="n"/>
      <c r="B49" s="6" t="n"/>
      <c r="C49" s="6" t="n"/>
      <c r="D49" s="6" t="n"/>
      <c r="E49" s="6" t="n"/>
      <c r="F49" s="6" t="n"/>
      <c r="G49" s="25" t="n"/>
      <c r="H49" s="26" t="n"/>
      <c r="I49" s="6" t="n"/>
      <c r="J49" s="15">
        <f>IF($A49="","",COUNTIFS(Jobs!$C$5:$C$1004,$A49))</f>
        <v/>
      </c>
      <c r="K49" s="27">
        <f>IF($A49="","",SUMIFS(Jobs!$J$5:$J$1004,Jobs!$C$5:$C$1004,$A49))</f>
        <v/>
      </c>
      <c r="L49" s="28">
        <f>IF(OR($A49="",J49=0),"",_xlfn.MAXIFS(Jobs!$B$5:$B$1004,Jobs!$C$5:$C$1004,$A49))</f>
        <v/>
      </c>
      <c r="M49" s="27">
        <f>IF($A49="","",SUMIFS(Jobs!$J$5:$J$1004,Jobs!$C$5:$C$1004,$A49,Jobs!$K$5:$K$1004,"No"))</f>
        <v/>
      </c>
      <c r="N49" s="8">
        <f>IF($A49="","",IF(J49=0,"New",IF(N(M49)&gt;0,"Unpaid","Paid up")))</f>
        <v/>
      </c>
    </row>
    <row r="50">
      <c r="A50" s="6" t="n"/>
      <c r="B50" s="6" t="n"/>
      <c r="C50" s="6" t="n"/>
      <c r="D50" s="6" t="n"/>
      <c r="E50" s="6" t="n"/>
      <c r="F50" s="6" t="n"/>
      <c r="G50" s="25" t="n"/>
      <c r="H50" s="26" t="n"/>
      <c r="I50" s="6" t="n"/>
      <c r="J50" s="15">
        <f>IF($A50="","",COUNTIFS(Jobs!$C$5:$C$1004,$A50))</f>
        <v/>
      </c>
      <c r="K50" s="27">
        <f>IF($A50="","",SUMIFS(Jobs!$J$5:$J$1004,Jobs!$C$5:$C$1004,$A50))</f>
        <v/>
      </c>
      <c r="L50" s="28">
        <f>IF(OR($A50="",J50=0),"",_xlfn.MAXIFS(Jobs!$B$5:$B$1004,Jobs!$C$5:$C$1004,$A50))</f>
        <v/>
      </c>
      <c r="M50" s="27">
        <f>IF($A50="","",SUMIFS(Jobs!$J$5:$J$1004,Jobs!$C$5:$C$1004,$A50,Jobs!$K$5:$K$1004,"No"))</f>
        <v/>
      </c>
      <c r="N50" s="8">
        <f>IF($A50="","",IF(J50=0,"New",IF(N(M50)&gt;0,"Unpaid","Paid up")))</f>
        <v/>
      </c>
    </row>
    <row r="51">
      <c r="A51" s="6" t="n"/>
      <c r="B51" s="6" t="n"/>
      <c r="C51" s="6" t="n"/>
      <c r="D51" s="6" t="n"/>
      <c r="E51" s="6" t="n"/>
      <c r="F51" s="6" t="n"/>
      <c r="G51" s="25" t="n"/>
      <c r="H51" s="26" t="n"/>
      <c r="I51" s="6" t="n"/>
      <c r="J51" s="15">
        <f>IF($A51="","",COUNTIFS(Jobs!$C$5:$C$1004,$A51))</f>
        <v/>
      </c>
      <c r="K51" s="27">
        <f>IF($A51="","",SUMIFS(Jobs!$J$5:$J$1004,Jobs!$C$5:$C$1004,$A51))</f>
        <v/>
      </c>
      <c r="L51" s="28">
        <f>IF(OR($A51="",J51=0),"",_xlfn.MAXIFS(Jobs!$B$5:$B$1004,Jobs!$C$5:$C$1004,$A51))</f>
        <v/>
      </c>
      <c r="M51" s="27">
        <f>IF($A51="","",SUMIFS(Jobs!$J$5:$J$1004,Jobs!$C$5:$C$1004,$A51,Jobs!$K$5:$K$1004,"No"))</f>
        <v/>
      </c>
      <c r="N51" s="8">
        <f>IF($A51="","",IF(J51=0,"New",IF(N(M51)&gt;0,"Unpaid","Paid up")))</f>
        <v/>
      </c>
    </row>
    <row r="52">
      <c r="A52" s="6" t="n"/>
      <c r="B52" s="6" t="n"/>
      <c r="C52" s="6" t="n"/>
      <c r="D52" s="6" t="n"/>
      <c r="E52" s="6" t="n"/>
      <c r="F52" s="6" t="n"/>
      <c r="G52" s="25" t="n"/>
      <c r="H52" s="26" t="n"/>
      <c r="I52" s="6" t="n"/>
      <c r="J52" s="15">
        <f>IF($A52="","",COUNTIFS(Jobs!$C$5:$C$1004,$A52))</f>
        <v/>
      </c>
      <c r="K52" s="27">
        <f>IF($A52="","",SUMIFS(Jobs!$J$5:$J$1004,Jobs!$C$5:$C$1004,$A52))</f>
        <v/>
      </c>
      <c r="L52" s="28">
        <f>IF(OR($A52="",J52=0),"",_xlfn.MAXIFS(Jobs!$B$5:$B$1004,Jobs!$C$5:$C$1004,$A52))</f>
        <v/>
      </c>
      <c r="M52" s="27">
        <f>IF($A52="","",SUMIFS(Jobs!$J$5:$J$1004,Jobs!$C$5:$C$1004,$A52,Jobs!$K$5:$K$1004,"No"))</f>
        <v/>
      </c>
      <c r="N52" s="8">
        <f>IF($A52="","",IF(J52=0,"New",IF(N(M52)&gt;0,"Unpaid","Paid up")))</f>
        <v/>
      </c>
    </row>
    <row r="53">
      <c r="A53" s="6" t="n"/>
      <c r="B53" s="6" t="n"/>
      <c r="C53" s="6" t="n"/>
      <c r="D53" s="6" t="n"/>
      <c r="E53" s="6" t="n"/>
      <c r="F53" s="6" t="n"/>
      <c r="G53" s="25" t="n"/>
      <c r="H53" s="26" t="n"/>
      <c r="I53" s="6" t="n"/>
      <c r="J53" s="15">
        <f>IF($A53="","",COUNTIFS(Jobs!$C$5:$C$1004,$A53))</f>
        <v/>
      </c>
      <c r="K53" s="27">
        <f>IF($A53="","",SUMIFS(Jobs!$J$5:$J$1004,Jobs!$C$5:$C$1004,$A53))</f>
        <v/>
      </c>
      <c r="L53" s="28">
        <f>IF(OR($A53="",J53=0),"",_xlfn.MAXIFS(Jobs!$B$5:$B$1004,Jobs!$C$5:$C$1004,$A53))</f>
        <v/>
      </c>
      <c r="M53" s="27">
        <f>IF($A53="","",SUMIFS(Jobs!$J$5:$J$1004,Jobs!$C$5:$C$1004,$A53,Jobs!$K$5:$K$1004,"No"))</f>
        <v/>
      </c>
      <c r="N53" s="8">
        <f>IF($A53="","",IF(J53=0,"New",IF(N(M53)&gt;0,"Unpaid","Paid up")))</f>
        <v/>
      </c>
    </row>
    <row r="54">
      <c r="A54" s="6" t="n"/>
      <c r="B54" s="6" t="n"/>
      <c r="C54" s="6" t="n"/>
      <c r="D54" s="6" t="n"/>
      <c r="E54" s="6" t="n"/>
      <c r="F54" s="6" t="n"/>
      <c r="G54" s="25" t="n"/>
      <c r="H54" s="26" t="n"/>
      <c r="I54" s="6" t="n"/>
      <c r="J54" s="15">
        <f>IF($A54="","",COUNTIFS(Jobs!$C$5:$C$1004,$A54))</f>
        <v/>
      </c>
      <c r="K54" s="27">
        <f>IF($A54="","",SUMIFS(Jobs!$J$5:$J$1004,Jobs!$C$5:$C$1004,$A54))</f>
        <v/>
      </c>
      <c r="L54" s="28">
        <f>IF(OR($A54="",J54=0),"",_xlfn.MAXIFS(Jobs!$B$5:$B$1004,Jobs!$C$5:$C$1004,$A54))</f>
        <v/>
      </c>
      <c r="M54" s="27">
        <f>IF($A54="","",SUMIFS(Jobs!$J$5:$J$1004,Jobs!$C$5:$C$1004,$A54,Jobs!$K$5:$K$1004,"No"))</f>
        <v/>
      </c>
      <c r="N54" s="8">
        <f>IF($A54="","",IF(J54=0,"New",IF(N(M54)&gt;0,"Unpaid","Paid up")))</f>
        <v/>
      </c>
    </row>
    <row r="55">
      <c r="A55" s="6" t="n"/>
      <c r="B55" s="6" t="n"/>
      <c r="C55" s="6" t="n"/>
      <c r="D55" s="6" t="n"/>
      <c r="E55" s="6" t="n"/>
      <c r="F55" s="6" t="n"/>
      <c r="G55" s="25" t="n"/>
      <c r="H55" s="26" t="n"/>
      <c r="I55" s="6" t="n"/>
      <c r="J55" s="15">
        <f>IF($A55="","",COUNTIFS(Jobs!$C$5:$C$1004,$A55))</f>
        <v/>
      </c>
      <c r="K55" s="27">
        <f>IF($A55="","",SUMIFS(Jobs!$J$5:$J$1004,Jobs!$C$5:$C$1004,$A55))</f>
        <v/>
      </c>
      <c r="L55" s="28">
        <f>IF(OR($A55="",J55=0),"",_xlfn.MAXIFS(Jobs!$B$5:$B$1004,Jobs!$C$5:$C$1004,$A55))</f>
        <v/>
      </c>
      <c r="M55" s="27">
        <f>IF($A55="","",SUMIFS(Jobs!$J$5:$J$1004,Jobs!$C$5:$C$1004,$A55,Jobs!$K$5:$K$1004,"No"))</f>
        <v/>
      </c>
      <c r="N55" s="8">
        <f>IF($A55="","",IF(J55=0,"New",IF(N(M55)&gt;0,"Unpaid","Paid up")))</f>
        <v/>
      </c>
    </row>
    <row r="56">
      <c r="A56" s="6" t="n"/>
      <c r="B56" s="6" t="n"/>
      <c r="C56" s="6" t="n"/>
      <c r="D56" s="6" t="n"/>
      <c r="E56" s="6" t="n"/>
      <c r="F56" s="6" t="n"/>
      <c r="G56" s="25" t="n"/>
      <c r="H56" s="26" t="n"/>
      <c r="I56" s="6" t="n"/>
      <c r="J56" s="15">
        <f>IF($A56="","",COUNTIFS(Jobs!$C$5:$C$1004,$A56))</f>
        <v/>
      </c>
      <c r="K56" s="27">
        <f>IF($A56="","",SUMIFS(Jobs!$J$5:$J$1004,Jobs!$C$5:$C$1004,$A56))</f>
        <v/>
      </c>
      <c r="L56" s="28">
        <f>IF(OR($A56="",J56=0),"",_xlfn.MAXIFS(Jobs!$B$5:$B$1004,Jobs!$C$5:$C$1004,$A56))</f>
        <v/>
      </c>
      <c r="M56" s="27">
        <f>IF($A56="","",SUMIFS(Jobs!$J$5:$J$1004,Jobs!$C$5:$C$1004,$A56,Jobs!$K$5:$K$1004,"No"))</f>
        <v/>
      </c>
      <c r="N56" s="8">
        <f>IF($A56="","",IF(J56=0,"New",IF(N(M56)&gt;0,"Unpaid","Paid up")))</f>
        <v/>
      </c>
    </row>
    <row r="57">
      <c r="A57" s="6" t="n"/>
      <c r="B57" s="6" t="n"/>
      <c r="C57" s="6" t="n"/>
      <c r="D57" s="6" t="n"/>
      <c r="E57" s="6" t="n"/>
      <c r="F57" s="6" t="n"/>
      <c r="G57" s="25" t="n"/>
      <c r="H57" s="26" t="n"/>
      <c r="I57" s="6" t="n"/>
      <c r="J57" s="15">
        <f>IF($A57="","",COUNTIFS(Jobs!$C$5:$C$1004,$A57))</f>
        <v/>
      </c>
      <c r="K57" s="27">
        <f>IF($A57="","",SUMIFS(Jobs!$J$5:$J$1004,Jobs!$C$5:$C$1004,$A57))</f>
        <v/>
      </c>
      <c r="L57" s="28">
        <f>IF(OR($A57="",J57=0),"",_xlfn.MAXIFS(Jobs!$B$5:$B$1004,Jobs!$C$5:$C$1004,$A57))</f>
        <v/>
      </c>
      <c r="M57" s="27">
        <f>IF($A57="","",SUMIFS(Jobs!$J$5:$J$1004,Jobs!$C$5:$C$1004,$A57,Jobs!$K$5:$K$1004,"No"))</f>
        <v/>
      </c>
      <c r="N57" s="8">
        <f>IF($A57="","",IF(J57=0,"New",IF(N(M57)&gt;0,"Unpaid","Paid up")))</f>
        <v/>
      </c>
    </row>
    <row r="58">
      <c r="A58" s="6" t="n"/>
      <c r="B58" s="6" t="n"/>
      <c r="C58" s="6" t="n"/>
      <c r="D58" s="6" t="n"/>
      <c r="E58" s="6" t="n"/>
      <c r="F58" s="6" t="n"/>
      <c r="G58" s="25" t="n"/>
      <c r="H58" s="26" t="n"/>
      <c r="I58" s="6" t="n"/>
      <c r="J58" s="15">
        <f>IF($A58="","",COUNTIFS(Jobs!$C$5:$C$1004,$A58))</f>
        <v/>
      </c>
      <c r="K58" s="27">
        <f>IF($A58="","",SUMIFS(Jobs!$J$5:$J$1004,Jobs!$C$5:$C$1004,$A58))</f>
        <v/>
      </c>
      <c r="L58" s="28">
        <f>IF(OR($A58="",J58=0),"",_xlfn.MAXIFS(Jobs!$B$5:$B$1004,Jobs!$C$5:$C$1004,$A58))</f>
        <v/>
      </c>
      <c r="M58" s="27">
        <f>IF($A58="","",SUMIFS(Jobs!$J$5:$J$1004,Jobs!$C$5:$C$1004,$A58,Jobs!$K$5:$K$1004,"No"))</f>
        <v/>
      </c>
      <c r="N58" s="8">
        <f>IF($A58="","",IF(J58=0,"New",IF(N(M58)&gt;0,"Unpaid","Paid up")))</f>
        <v/>
      </c>
    </row>
    <row r="59">
      <c r="A59" s="6" t="n"/>
      <c r="B59" s="6" t="n"/>
      <c r="C59" s="6" t="n"/>
      <c r="D59" s="6" t="n"/>
      <c r="E59" s="6" t="n"/>
      <c r="F59" s="6" t="n"/>
      <c r="G59" s="25" t="n"/>
      <c r="H59" s="26" t="n"/>
      <c r="I59" s="6" t="n"/>
      <c r="J59" s="15">
        <f>IF($A59="","",COUNTIFS(Jobs!$C$5:$C$1004,$A59))</f>
        <v/>
      </c>
      <c r="K59" s="27">
        <f>IF($A59="","",SUMIFS(Jobs!$J$5:$J$1004,Jobs!$C$5:$C$1004,$A59))</f>
        <v/>
      </c>
      <c r="L59" s="28">
        <f>IF(OR($A59="",J59=0),"",_xlfn.MAXIFS(Jobs!$B$5:$B$1004,Jobs!$C$5:$C$1004,$A59))</f>
        <v/>
      </c>
      <c r="M59" s="27">
        <f>IF($A59="","",SUMIFS(Jobs!$J$5:$J$1004,Jobs!$C$5:$C$1004,$A59,Jobs!$K$5:$K$1004,"No"))</f>
        <v/>
      </c>
      <c r="N59" s="8">
        <f>IF($A59="","",IF(J59=0,"New",IF(N(M59)&gt;0,"Unpaid","Paid up")))</f>
        <v/>
      </c>
    </row>
    <row r="60">
      <c r="A60" s="6" t="n"/>
      <c r="B60" s="6" t="n"/>
      <c r="C60" s="6" t="n"/>
      <c r="D60" s="6" t="n"/>
      <c r="E60" s="6" t="n"/>
      <c r="F60" s="6" t="n"/>
      <c r="G60" s="25" t="n"/>
      <c r="H60" s="26" t="n"/>
      <c r="I60" s="6" t="n"/>
      <c r="J60" s="15">
        <f>IF($A60="","",COUNTIFS(Jobs!$C$5:$C$1004,$A60))</f>
        <v/>
      </c>
      <c r="K60" s="27">
        <f>IF($A60="","",SUMIFS(Jobs!$J$5:$J$1004,Jobs!$C$5:$C$1004,$A60))</f>
        <v/>
      </c>
      <c r="L60" s="28">
        <f>IF(OR($A60="",J60=0),"",_xlfn.MAXIFS(Jobs!$B$5:$B$1004,Jobs!$C$5:$C$1004,$A60))</f>
        <v/>
      </c>
      <c r="M60" s="27">
        <f>IF($A60="","",SUMIFS(Jobs!$J$5:$J$1004,Jobs!$C$5:$C$1004,$A60,Jobs!$K$5:$K$1004,"No"))</f>
        <v/>
      </c>
      <c r="N60" s="8">
        <f>IF($A60="","",IF(J60=0,"New",IF(N(M60)&gt;0,"Unpaid","Paid up")))</f>
        <v/>
      </c>
    </row>
    <row r="61">
      <c r="A61" s="6" t="n"/>
      <c r="B61" s="6" t="n"/>
      <c r="C61" s="6" t="n"/>
      <c r="D61" s="6" t="n"/>
      <c r="E61" s="6" t="n"/>
      <c r="F61" s="6" t="n"/>
      <c r="G61" s="25" t="n"/>
      <c r="H61" s="26" t="n"/>
      <c r="I61" s="6" t="n"/>
      <c r="J61" s="15">
        <f>IF($A61="","",COUNTIFS(Jobs!$C$5:$C$1004,$A61))</f>
        <v/>
      </c>
      <c r="K61" s="27">
        <f>IF($A61="","",SUMIFS(Jobs!$J$5:$J$1004,Jobs!$C$5:$C$1004,$A61))</f>
        <v/>
      </c>
      <c r="L61" s="28">
        <f>IF(OR($A61="",J61=0),"",_xlfn.MAXIFS(Jobs!$B$5:$B$1004,Jobs!$C$5:$C$1004,$A61))</f>
        <v/>
      </c>
      <c r="M61" s="27">
        <f>IF($A61="","",SUMIFS(Jobs!$J$5:$J$1004,Jobs!$C$5:$C$1004,$A61,Jobs!$K$5:$K$1004,"No"))</f>
        <v/>
      </c>
      <c r="N61" s="8">
        <f>IF($A61="","",IF(J61=0,"New",IF(N(M61)&gt;0,"Unpaid","Paid up")))</f>
        <v/>
      </c>
    </row>
    <row r="62">
      <c r="A62" s="6" t="n"/>
      <c r="B62" s="6" t="n"/>
      <c r="C62" s="6" t="n"/>
      <c r="D62" s="6" t="n"/>
      <c r="E62" s="6" t="n"/>
      <c r="F62" s="6" t="n"/>
      <c r="G62" s="25" t="n"/>
      <c r="H62" s="26" t="n"/>
      <c r="I62" s="6" t="n"/>
      <c r="J62" s="15">
        <f>IF($A62="","",COUNTIFS(Jobs!$C$5:$C$1004,$A62))</f>
        <v/>
      </c>
      <c r="K62" s="27">
        <f>IF($A62="","",SUMIFS(Jobs!$J$5:$J$1004,Jobs!$C$5:$C$1004,$A62))</f>
        <v/>
      </c>
      <c r="L62" s="28">
        <f>IF(OR($A62="",J62=0),"",_xlfn.MAXIFS(Jobs!$B$5:$B$1004,Jobs!$C$5:$C$1004,$A62))</f>
        <v/>
      </c>
      <c r="M62" s="27">
        <f>IF($A62="","",SUMIFS(Jobs!$J$5:$J$1004,Jobs!$C$5:$C$1004,$A62,Jobs!$K$5:$K$1004,"No"))</f>
        <v/>
      </c>
      <c r="N62" s="8">
        <f>IF($A62="","",IF(J62=0,"New",IF(N(M62)&gt;0,"Unpaid","Paid up")))</f>
        <v/>
      </c>
    </row>
    <row r="63">
      <c r="A63" s="6" t="n"/>
      <c r="B63" s="6" t="n"/>
      <c r="C63" s="6" t="n"/>
      <c r="D63" s="6" t="n"/>
      <c r="E63" s="6" t="n"/>
      <c r="F63" s="6" t="n"/>
      <c r="G63" s="25" t="n"/>
      <c r="H63" s="26" t="n"/>
      <c r="I63" s="6" t="n"/>
      <c r="J63" s="15">
        <f>IF($A63="","",COUNTIFS(Jobs!$C$5:$C$1004,$A63))</f>
        <v/>
      </c>
      <c r="K63" s="27">
        <f>IF($A63="","",SUMIFS(Jobs!$J$5:$J$1004,Jobs!$C$5:$C$1004,$A63))</f>
        <v/>
      </c>
      <c r="L63" s="28">
        <f>IF(OR($A63="",J63=0),"",_xlfn.MAXIFS(Jobs!$B$5:$B$1004,Jobs!$C$5:$C$1004,$A63))</f>
        <v/>
      </c>
      <c r="M63" s="27">
        <f>IF($A63="","",SUMIFS(Jobs!$J$5:$J$1004,Jobs!$C$5:$C$1004,$A63,Jobs!$K$5:$K$1004,"No"))</f>
        <v/>
      </c>
      <c r="N63" s="8">
        <f>IF($A63="","",IF(J63=0,"New",IF(N(M63)&gt;0,"Unpaid","Paid up")))</f>
        <v/>
      </c>
    </row>
    <row r="64">
      <c r="A64" s="6" t="n"/>
      <c r="B64" s="6" t="n"/>
      <c r="C64" s="6" t="n"/>
      <c r="D64" s="6" t="n"/>
      <c r="E64" s="6" t="n"/>
      <c r="F64" s="6" t="n"/>
      <c r="G64" s="25" t="n"/>
      <c r="H64" s="26" t="n"/>
      <c r="I64" s="6" t="n"/>
      <c r="J64" s="15">
        <f>IF($A64="","",COUNTIFS(Jobs!$C$5:$C$1004,$A64))</f>
        <v/>
      </c>
      <c r="K64" s="27">
        <f>IF($A64="","",SUMIFS(Jobs!$J$5:$J$1004,Jobs!$C$5:$C$1004,$A64))</f>
        <v/>
      </c>
      <c r="L64" s="28">
        <f>IF(OR($A64="",J64=0),"",_xlfn.MAXIFS(Jobs!$B$5:$B$1004,Jobs!$C$5:$C$1004,$A64))</f>
        <v/>
      </c>
      <c r="M64" s="27">
        <f>IF($A64="","",SUMIFS(Jobs!$J$5:$J$1004,Jobs!$C$5:$C$1004,$A64,Jobs!$K$5:$K$1004,"No"))</f>
        <v/>
      </c>
      <c r="N64" s="8">
        <f>IF($A64="","",IF(J64=0,"New",IF(N(M64)&gt;0,"Unpaid","Paid up")))</f>
        <v/>
      </c>
    </row>
    <row r="65">
      <c r="A65" s="6" t="n"/>
      <c r="B65" s="6" t="n"/>
      <c r="C65" s="6" t="n"/>
      <c r="D65" s="6" t="n"/>
      <c r="E65" s="6" t="n"/>
      <c r="F65" s="6" t="n"/>
      <c r="G65" s="25" t="n"/>
      <c r="H65" s="26" t="n"/>
      <c r="I65" s="6" t="n"/>
      <c r="J65" s="15">
        <f>IF($A65="","",COUNTIFS(Jobs!$C$5:$C$1004,$A65))</f>
        <v/>
      </c>
      <c r="K65" s="27">
        <f>IF($A65="","",SUMIFS(Jobs!$J$5:$J$1004,Jobs!$C$5:$C$1004,$A65))</f>
        <v/>
      </c>
      <c r="L65" s="28">
        <f>IF(OR($A65="",J65=0),"",_xlfn.MAXIFS(Jobs!$B$5:$B$1004,Jobs!$C$5:$C$1004,$A65))</f>
        <v/>
      </c>
      <c r="M65" s="27">
        <f>IF($A65="","",SUMIFS(Jobs!$J$5:$J$1004,Jobs!$C$5:$C$1004,$A65,Jobs!$K$5:$K$1004,"No"))</f>
        <v/>
      </c>
      <c r="N65" s="8">
        <f>IF($A65="","",IF(J65=0,"New",IF(N(M65)&gt;0,"Unpaid","Paid up")))</f>
        <v/>
      </c>
    </row>
    <row r="66">
      <c r="A66" s="6" t="n"/>
      <c r="B66" s="6" t="n"/>
      <c r="C66" s="6" t="n"/>
      <c r="D66" s="6" t="n"/>
      <c r="E66" s="6" t="n"/>
      <c r="F66" s="6" t="n"/>
      <c r="G66" s="25" t="n"/>
      <c r="H66" s="26" t="n"/>
      <c r="I66" s="6" t="n"/>
      <c r="J66" s="15">
        <f>IF($A66="","",COUNTIFS(Jobs!$C$5:$C$1004,$A66))</f>
        <v/>
      </c>
      <c r="K66" s="27">
        <f>IF($A66="","",SUMIFS(Jobs!$J$5:$J$1004,Jobs!$C$5:$C$1004,$A66))</f>
        <v/>
      </c>
      <c r="L66" s="28">
        <f>IF(OR($A66="",J66=0),"",_xlfn.MAXIFS(Jobs!$B$5:$B$1004,Jobs!$C$5:$C$1004,$A66))</f>
        <v/>
      </c>
      <c r="M66" s="27">
        <f>IF($A66="","",SUMIFS(Jobs!$J$5:$J$1004,Jobs!$C$5:$C$1004,$A66,Jobs!$K$5:$K$1004,"No"))</f>
        <v/>
      </c>
      <c r="N66" s="8">
        <f>IF($A66="","",IF(J66=0,"New",IF(N(M66)&gt;0,"Unpaid","Paid up")))</f>
        <v/>
      </c>
    </row>
    <row r="67">
      <c r="A67" s="6" t="n"/>
      <c r="B67" s="6" t="n"/>
      <c r="C67" s="6" t="n"/>
      <c r="D67" s="6" t="n"/>
      <c r="E67" s="6" t="n"/>
      <c r="F67" s="6" t="n"/>
      <c r="G67" s="25" t="n"/>
      <c r="H67" s="26" t="n"/>
      <c r="I67" s="6" t="n"/>
      <c r="J67" s="15">
        <f>IF($A67="","",COUNTIFS(Jobs!$C$5:$C$1004,$A67))</f>
        <v/>
      </c>
      <c r="K67" s="27">
        <f>IF($A67="","",SUMIFS(Jobs!$J$5:$J$1004,Jobs!$C$5:$C$1004,$A67))</f>
        <v/>
      </c>
      <c r="L67" s="28">
        <f>IF(OR($A67="",J67=0),"",_xlfn.MAXIFS(Jobs!$B$5:$B$1004,Jobs!$C$5:$C$1004,$A67))</f>
        <v/>
      </c>
      <c r="M67" s="27">
        <f>IF($A67="","",SUMIFS(Jobs!$J$5:$J$1004,Jobs!$C$5:$C$1004,$A67,Jobs!$K$5:$K$1004,"No"))</f>
        <v/>
      </c>
      <c r="N67" s="8">
        <f>IF($A67="","",IF(J67=0,"New",IF(N(M67)&gt;0,"Unpaid","Paid up")))</f>
        <v/>
      </c>
    </row>
    <row r="68">
      <c r="A68" s="6" t="n"/>
      <c r="B68" s="6" t="n"/>
      <c r="C68" s="6" t="n"/>
      <c r="D68" s="6" t="n"/>
      <c r="E68" s="6" t="n"/>
      <c r="F68" s="6" t="n"/>
      <c r="G68" s="25" t="n"/>
      <c r="H68" s="26" t="n"/>
      <c r="I68" s="6" t="n"/>
      <c r="J68" s="15">
        <f>IF($A68="","",COUNTIFS(Jobs!$C$5:$C$1004,$A68))</f>
        <v/>
      </c>
      <c r="K68" s="27">
        <f>IF($A68="","",SUMIFS(Jobs!$J$5:$J$1004,Jobs!$C$5:$C$1004,$A68))</f>
        <v/>
      </c>
      <c r="L68" s="28">
        <f>IF(OR($A68="",J68=0),"",_xlfn.MAXIFS(Jobs!$B$5:$B$1004,Jobs!$C$5:$C$1004,$A68))</f>
        <v/>
      </c>
      <c r="M68" s="27">
        <f>IF($A68="","",SUMIFS(Jobs!$J$5:$J$1004,Jobs!$C$5:$C$1004,$A68,Jobs!$K$5:$K$1004,"No"))</f>
        <v/>
      </c>
      <c r="N68" s="8">
        <f>IF($A68="","",IF(J68=0,"New",IF(N(M68)&gt;0,"Unpaid","Paid up")))</f>
        <v/>
      </c>
    </row>
    <row r="69">
      <c r="A69" s="6" t="n"/>
      <c r="B69" s="6" t="n"/>
      <c r="C69" s="6" t="n"/>
      <c r="D69" s="6" t="n"/>
      <c r="E69" s="6" t="n"/>
      <c r="F69" s="6" t="n"/>
      <c r="G69" s="25" t="n"/>
      <c r="H69" s="26" t="n"/>
      <c r="I69" s="6" t="n"/>
      <c r="J69" s="15">
        <f>IF($A69="","",COUNTIFS(Jobs!$C$5:$C$1004,$A69))</f>
        <v/>
      </c>
      <c r="K69" s="27">
        <f>IF($A69="","",SUMIFS(Jobs!$J$5:$J$1004,Jobs!$C$5:$C$1004,$A69))</f>
        <v/>
      </c>
      <c r="L69" s="28">
        <f>IF(OR($A69="",J69=0),"",_xlfn.MAXIFS(Jobs!$B$5:$B$1004,Jobs!$C$5:$C$1004,$A69))</f>
        <v/>
      </c>
      <c r="M69" s="27">
        <f>IF($A69="","",SUMIFS(Jobs!$J$5:$J$1004,Jobs!$C$5:$C$1004,$A69,Jobs!$K$5:$K$1004,"No"))</f>
        <v/>
      </c>
      <c r="N69" s="8">
        <f>IF($A69="","",IF(J69=0,"New",IF(N(M69)&gt;0,"Unpaid","Paid up")))</f>
        <v/>
      </c>
    </row>
    <row r="70">
      <c r="A70" s="6" t="n"/>
      <c r="B70" s="6" t="n"/>
      <c r="C70" s="6" t="n"/>
      <c r="D70" s="6" t="n"/>
      <c r="E70" s="6" t="n"/>
      <c r="F70" s="6" t="n"/>
      <c r="G70" s="25" t="n"/>
      <c r="H70" s="26" t="n"/>
      <c r="I70" s="6" t="n"/>
      <c r="J70" s="15">
        <f>IF($A70="","",COUNTIFS(Jobs!$C$5:$C$1004,$A70))</f>
        <v/>
      </c>
      <c r="K70" s="27">
        <f>IF($A70="","",SUMIFS(Jobs!$J$5:$J$1004,Jobs!$C$5:$C$1004,$A70))</f>
        <v/>
      </c>
      <c r="L70" s="28">
        <f>IF(OR($A70="",J70=0),"",_xlfn.MAXIFS(Jobs!$B$5:$B$1004,Jobs!$C$5:$C$1004,$A70))</f>
        <v/>
      </c>
      <c r="M70" s="27">
        <f>IF($A70="","",SUMIFS(Jobs!$J$5:$J$1004,Jobs!$C$5:$C$1004,$A70,Jobs!$K$5:$K$1004,"No"))</f>
        <v/>
      </c>
      <c r="N70" s="8">
        <f>IF($A70="","",IF(J70=0,"New",IF(N(M70)&gt;0,"Unpaid","Paid up")))</f>
        <v/>
      </c>
    </row>
    <row r="71">
      <c r="A71" s="6" t="n"/>
      <c r="B71" s="6" t="n"/>
      <c r="C71" s="6" t="n"/>
      <c r="D71" s="6" t="n"/>
      <c r="E71" s="6" t="n"/>
      <c r="F71" s="6" t="n"/>
      <c r="G71" s="25" t="n"/>
      <c r="H71" s="26" t="n"/>
      <c r="I71" s="6" t="n"/>
      <c r="J71" s="15">
        <f>IF($A71="","",COUNTIFS(Jobs!$C$5:$C$1004,$A71))</f>
        <v/>
      </c>
      <c r="K71" s="27">
        <f>IF($A71="","",SUMIFS(Jobs!$J$5:$J$1004,Jobs!$C$5:$C$1004,$A71))</f>
        <v/>
      </c>
      <c r="L71" s="28">
        <f>IF(OR($A71="",J71=0),"",_xlfn.MAXIFS(Jobs!$B$5:$B$1004,Jobs!$C$5:$C$1004,$A71))</f>
        <v/>
      </c>
      <c r="M71" s="27">
        <f>IF($A71="","",SUMIFS(Jobs!$J$5:$J$1004,Jobs!$C$5:$C$1004,$A71,Jobs!$K$5:$K$1004,"No"))</f>
        <v/>
      </c>
      <c r="N71" s="8">
        <f>IF($A71="","",IF(J71=0,"New",IF(N(M71)&gt;0,"Unpaid","Paid up")))</f>
        <v/>
      </c>
    </row>
    <row r="72">
      <c r="A72" s="6" t="n"/>
      <c r="B72" s="6" t="n"/>
      <c r="C72" s="6" t="n"/>
      <c r="D72" s="6" t="n"/>
      <c r="E72" s="6" t="n"/>
      <c r="F72" s="6" t="n"/>
      <c r="G72" s="25" t="n"/>
      <c r="H72" s="26" t="n"/>
      <c r="I72" s="6" t="n"/>
      <c r="J72" s="15">
        <f>IF($A72="","",COUNTIFS(Jobs!$C$5:$C$1004,$A72))</f>
        <v/>
      </c>
      <c r="K72" s="27">
        <f>IF($A72="","",SUMIFS(Jobs!$J$5:$J$1004,Jobs!$C$5:$C$1004,$A72))</f>
        <v/>
      </c>
      <c r="L72" s="28">
        <f>IF(OR($A72="",J72=0),"",_xlfn.MAXIFS(Jobs!$B$5:$B$1004,Jobs!$C$5:$C$1004,$A72))</f>
        <v/>
      </c>
      <c r="M72" s="27">
        <f>IF($A72="","",SUMIFS(Jobs!$J$5:$J$1004,Jobs!$C$5:$C$1004,$A72,Jobs!$K$5:$K$1004,"No"))</f>
        <v/>
      </c>
      <c r="N72" s="8">
        <f>IF($A72="","",IF(J72=0,"New",IF(N(M72)&gt;0,"Unpaid","Paid up")))</f>
        <v/>
      </c>
    </row>
    <row r="73">
      <c r="A73" s="6" t="n"/>
      <c r="B73" s="6" t="n"/>
      <c r="C73" s="6" t="n"/>
      <c r="D73" s="6" t="n"/>
      <c r="E73" s="6" t="n"/>
      <c r="F73" s="6" t="n"/>
      <c r="G73" s="25" t="n"/>
      <c r="H73" s="26" t="n"/>
      <c r="I73" s="6" t="n"/>
      <c r="J73" s="15">
        <f>IF($A73="","",COUNTIFS(Jobs!$C$5:$C$1004,$A73))</f>
        <v/>
      </c>
      <c r="K73" s="27">
        <f>IF($A73="","",SUMIFS(Jobs!$J$5:$J$1004,Jobs!$C$5:$C$1004,$A73))</f>
        <v/>
      </c>
      <c r="L73" s="28">
        <f>IF(OR($A73="",J73=0),"",_xlfn.MAXIFS(Jobs!$B$5:$B$1004,Jobs!$C$5:$C$1004,$A73))</f>
        <v/>
      </c>
      <c r="M73" s="27">
        <f>IF($A73="","",SUMIFS(Jobs!$J$5:$J$1004,Jobs!$C$5:$C$1004,$A73,Jobs!$K$5:$K$1004,"No"))</f>
        <v/>
      </c>
      <c r="N73" s="8">
        <f>IF($A73="","",IF(J73=0,"New",IF(N(M73)&gt;0,"Unpaid","Paid up")))</f>
        <v/>
      </c>
    </row>
    <row r="74">
      <c r="A74" s="6" t="n"/>
      <c r="B74" s="6" t="n"/>
      <c r="C74" s="6" t="n"/>
      <c r="D74" s="6" t="n"/>
      <c r="E74" s="6" t="n"/>
      <c r="F74" s="6" t="n"/>
      <c r="G74" s="25" t="n"/>
      <c r="H74" s="26" t="n"/>
      <c r="I74" s="6" t="n"/>
      <c r="J74" s="15">
        <f>IF($A74="","",COUNTIFS(Jobs!$C$5:$C$1004,$A74))</f>
        <v/>
      </c>
      <c r="K74" s="27">
        <f>IF($A74="","",SUMIFS(Jobs!$J$5:$J$1004,Jobs!$C$5:$C$1004,$A74))</f>
        <v/>
      </c>
      <c r="L74" s="28">
        <f>IF(OR($A74="",J74=0),"",_xlfn.MAXIFS(Jobs!$B$5:$B$1004,Jobs!$C$5:$C$1004,$A74))</f>
        <v/>
      </c>
      <c r="M74" s="27">
        <f>IF($A74="","",SUMIFS(Jobs!$J$5:$J$1004,Jobs!$C$5:$C$1004,$A74,Jobs!$K$5:$K$1004,"No"))</f>
        <v/>
      </c>
      <c r="N74" s="8">
        <f>IF($A74="","",IF(J74=0,"New",IF(N(M74)&gt;0,"Unpaid","Paid up")))</f>
        <v/>
      </c>
    </row>
    <row r="75">
      <c r="A75" s="6" t="n"/>
      <c r="B75" s="6" t="n"/>
      <c r="C75" s="6" t="n"/>
      <c r="D75" s="6" t="n"/>
      <c r="E75" s="6" t="n"/>
      <c r="F75" s="6" t="n"/>
      <c r="G75" s="25" t="n"/>
      <c r="H75" s="26" t="n"/>
      <c r="I75" s="6" t="n"/>
      <c r="J75" s="15">
        <f>IF($A75="","",COUNTIFS(Jobs!$C$5:$C$1004,$A75))</f>
        <v/>
      </c>
      <c r="K75" s="27">
        <f>IF($A75="","",SUMIFS(Jobs!$J$5:$J$1004,Jobs!$C$5:$C$1004,$A75))</f>
        <v/>
      </c>
      <c r="L75" s="28">
        <f>IF(OR($A75="",J75=0),"",_xlfn.MAXIFS(Jobs!$B$5:$B$1004,Jobs!$C$5:$C$1004,$A75))</f>
        <v/>
      </c>
      <c r="M75" s="27">
        <f>IF($A75="","",SUMIFS(Jobs!$J$5:$J$1004,Jobs!$C$5:$C$1004,$A75,Jobs!$K$5:$K$1004,"No"))</f>
        <v/>
      </c>
      <c r="N75" s="8">
        <f>IF($A75="","",IF(J75=0,"New",IF(N(M75)&gt;0,"Unpaid","Paid up")))</f>
        <v/>
      </c>
    </row>
    <row r="76">
      <c r="A76" s="6" t="n"/>
      <c r="B76" s="6" t="n"/>
      <c r="C76" s="6" t="n"/>
      <c r="D76" s="6" t="n"/>
      <c r="E76" s="6" t="n"/>
      <c r="F76" s="6" t="n"/>
      <c r="G76" s="25" t="n"/>
      <c r="H76" s="26" t="n"/>
      <c r="I76" s="6" t="n"/>
      <c r="J76" s="15">
        <f>IF($A76="","",COUNTIFS(Jobs!$C$5:$C$1004,$A76))</f>
        <v/>
      </c>
      <c r="K76" s="27">
        <f>IF($A76="","",SUMIFS(Jobs!$J$5:$J$1004,Jobs!$C$5:$C$1004,$A76))</f>
        <v/>
      </c>
      <c r="L76" s="28">
        <f>IF(OR($A76="",J76=0),"",_xlfn.MAXIFS(Jobs!$B$5:$B$1004,Jobs!$C$5:$C$1004,$A76))</f>
        <v/>
      </c>
      <c r="M76" s="27">
        <f>IF($A76="","",SUMIFS(Jobs!$J$5:$J$1004,Jobs!$C$5:$C$1004,$A76,Jobs!$K$5:$K$1004,"No"))</f>
        <v/>
      </c>
      <c r="N76" s="8">
        <f>IF($A76="","",IF(J76=0,"New",IF(N(M76)&gt;0,"Unpaid","Paid up")))</f>
        <v/>
      </c>
    </row>
    <row r="77">
      <c r="A77" s="6" t="n"/>
      <c r="B77" s="6" t="n"/>
      <c r="C77" s="6" t="n"/>
      <c r="D77" s="6" t="n"/>
      <c r="E77" s="6" t="n"/>
      <c r="F77" s="6" t="n"/>
      <c r="G77" s="25" t="n"/>
      <c r="H77" s="26" t="n"/>
      <c r="I77" s="6" t="n"/>
      <c r="J77" s="15">
        <f>IF($A77="","",COUNTIFS(Jobs!$C$5:$C$1004,$A77))</f>
        <v/>
      </c>
      <c r="K77" s="27">
        <f>IF($A77="","",SUMIFS(Jobs!$J$5:$J$1004,Jobs!$C$5:$C$1004,$A77))</f>
        <v/>
      </c>
      <c r="L77" s="28">
        <f>IF(OR($A77="",J77=0),"",_xlfn.MAXIFS(Jobs!$B$5:$B$1004,Jobs!$C$5:$C$1004,$A77))</f>
        <v/>
      </c>
      <c r="M77" s="27">
        <f>IF($A77="","",SUMIFS(Jobs!$J$5:$J$1004,Jobs!$C$5:$C$1004,$A77,Jobs!$K$5:$K$1004,"No"))</f>
        <v/>
      </c>
      <c r="N77" s="8">
        <f>IF($A77="","",IF(J77=0,"New",IF(N(M77)&gt;0,"Unpaid","Paid up")))</f>
        <v/>
      </c>
    </row>
    <row r="78">
      <c r="A78" s="6" t="n"/>
      <c r="B78" s="6" t="n"/>
      <c r="C78" s="6" t="n"/>
      <c r="D78" s="6" t="n"/>
      <c r="E78" s="6" t="n"/>
      <c r="F78" s="6" t="n"/>
      <c r="G78" s="25" t="n"/>
      <c r="H78" s="26" t="n"/>
      <c r="I78" s="6" t="n"/>
      <c r="J78" s="15">
        <f>IF($A78="","",COUNTIFS(Jobs!$C$5:$C$1004,$A78))</f>
        <v/>
      </c>
      <c r="K78" s="27">
        <f>IF($A78="","",SUMIFS(Jobs!$J$5:$J$1004,Jobs!$C$5:$C$1004,$A78))</f>
        <v/>
      </c>
      <c r="L78" s="28">
        <f>IF(OR($A78="",J78=0),"",_xlfn.MAXIFS(Jobs!$B$5:$B$1004,Jobs!$C$5:$C$1004,$A78))</f>
        <v/>
      </c>
      <c r="M78" s="27">
        <f>IF($A78="","",SUMIFS(Jobs!$J$5:$J$1004,Jobs!$C$5:$C$1004,$A78,Jobs!$K$5:$K$1004,"No"))</f>
        <v/>
      </c>
      <c r="N78" s="8">
        <f>IF($A78="","",IF(J78=0,"New",IF(N(M78)&gt;0,"Unpaid","Paid up")))</f>
        <v/>
      </c>
    </row>
    <row r="79">
      <c r="A79" s="6" t="n"/>
      <c r="B79" s="6" t="n"/>
      <c r="C79" s="6" t="n"/>
      <c r="D79" s="6" t="n"/>
      <c r="E79" s="6" t="n"/>
      <c r="F79" s="6" t="n"/>
      <c r="G79" s="25" t="n"/>
      <c r="H79" s="26" t="n"/>
      <c r="I79" s="6" t="n"/>
      <c r="J79" s="15">
        <f>IF($A79="","",COUNTIFS(Jobs!$C$5:$C$1004,$A79))</f>
        <v/>
      </c>
      <c r="K79" s="27">
        <f>IF($A79="","",SUMIFS(Jobs!$J$5:$J$1004,Jobs!$C$5:$C$1004,$A79))</f>
        <v/>
      </c>
      <c r="L79" s="28">
        <f>IF(OR($A79="",J79=0),"",_xlfn.MAXIFS(Jobs!$B$5:$B$1004,Jobs!$C$5:$C$1004,$A79))</f>
        <v/>
      </c>
      <c r="M79" s="27">
        <f>IF($A79="","",SUMIFS(Jobs!$J$5:$J$1004,Jobs!$C$5:$C$1004,$A79,Jobs!$K$5:$K$1004,"No"))</f>
        <v/>
      </c>
      <c r="N79" s="8">
        <f>IF($A79="","",IF(J79=0,"New",IF(N(M79)&gt;0,"Unpaid","Paid up")))</f>
        <v/>
      </c>
    </row>
    <row r="80">
      <c r="A80" s="6" t="n"/>
      <c r="B80" s="6" t="n"/>
      <c r="C80" s="6" t="n"/>
      <c r="D80" s="6" t="n"/>
      <c r="E80" s="6" t="n"/>
      <c r="F80" s="6" t="n"/>
      <c r="G80" s="25" t="n"/>
      <c r="H80" s="26" t="n"/>
      <c r="I80" s="6" t="n"/>
      <c r="J80" s="15">
        <f>IF($A80="","",COUNTIFS(Jobs!$C$5:$C$1004,$A80))</f>
        <v/>
      </c>
      <c r="K80" s="27">
        <f>IF($A80="","",SUMIFS(Jobs!$J$5:$J$1004,Jobs!$C$5:$C$1004,$A80))</f>
        <v/>
      </c>
      <c r="L80" s="28">
        <f>IF(OR($A80="",J80=0),"",_xlfn.MAXIFS(Jobs!$B$5:$B$1004,Jobs!$C$5:$C$1004,$A80))</f>
        <v/>
      </c>
      <c r="M80" s="27">
        <f>IF($A80="","",SUMIFS(Jobs!$J$5:$J$1004,Jobs!$C$5:$C$1004,$A80,Jobs!$K$5:$K$1004,"No"))</f>
        <v/>
      </c>
      <c r="N80" s="8">
        <f>IF($A80="","",IF(J80=0,"New",IF(N(M80)&gt;0,"Unpaid","Paid up")))</f>
        <v/>
      </c>
    </row>
    <row r="81">
      <c r="A81" s="6" t="n"/>
      <c r="B81" s="6" t="n"/>
      <c r="C81" s="6" t="n"/>
      <c r="D81" s="6" t="n"/>
      <c r="E81" s="6" t="n"/>
      <c r="F81" s="6" t="n"/>
      <c r="G81" s="25" t="n"/>
      <c r="H81" s="26" t="n"/>
      <c r="I81" s="6" t="n"/>
      <c r="J81" s="15">
        <f>IF($A81="","",COUNTIFS(Jobs!$C$5:$C$1004,$A81))</f>
        <v/>
      </c>
      <c r="K81" s="27">
        <f>IF($A81="","",SUMIFS(Jobs!$J$5:$J$1004,Jobs!$C$5:$C$1004,$A81))</f>
        <v/>
      </c>
      <c r="L81" s="28">
        <f>IF(OR($A81="",J81=0),"",_xlfn.MAXIFS(Jobs!$B$5:$B$1004,Jobs!$C$5:$C$1004,$A81))</f>
        <v/>
      </c>
      <c r="M81" s="27">
        <f>IF($A81="","",SUMIFS(Jobs!$J$5:$J$1004,Jobs!$C$5:$C$1004,$A81,Jobs!$K$5:$K$1004,"No"))</f>
        <v/>
      </c>
      <c r="N81" s="8">
        <f>IF($A81="","",IF(J81=0,"New",IF(N(M81)&gt;0,"Unpaid","Paid up")))</f>
        <v/>
      </c>
    </row>
    <row r="82">
      <c r="A82" s="6" t="n"/>
      <c r="B82" s="6" t="n"/>
      <c r="C82" s="6" t="n"/>
      <c r="D82" s="6" t="n"/>
      <c r="E82" s="6" t="n"/>
      <c r="F82" s="6" t="n"/>
      <c r="G82" s="25" t="n"/>
      <c r="H82" s="26" t="n"/>
      <c r="I82" s="6" t="n"/>
      <c r="J82" s="15">
        <f>IF($A82="","",COUNTIFS(Jobs!$C$5:$C$1004,$A82))</f>
        <v/>
      </c>
      <c r="K82" s="27">
        <f>IF($A82="","",SUMIFS(Jobs!$J$5:$J$1004,Jobs!$C$5:$C$1004,$A82))</f>
        <v/>
      </c>
      <c r="L82" s="28">
        <f>IF(OR($A82="",J82=0),"",_xlfn.MAXIFS(Jobs!$B$5:$B$1004,Jobs!$C$5:$C$1004,$A82))</f>
        <v/>
      </c>
      <c r="M82" s="27">
        <f>IF($A82="","",SUMIFS(Jobs!$J$5:$J$1004,Jobs!$C$5:$C$1004,$A82,Jobs!$K$5:$K$1004,"No"))</f>
        <v/>
      </c>
      <c r="N82" s="8">
        <f>IF($A82="","",IF(J82=0,"New",IF(N(M82)&gt;0,"Unpaid","Paid up")))</f>
        <v/>
      </c>
    </row>
    <row r="83">
      <c r="A83" s="6" t="n"/>
      <c r="B83" s="6" t="n"/>
      <c r="C83" s="6" t="n"/>
      <c r="D83" s="6" t="n"/>
      <c r="E83" s="6" t="n"/>
      <c r="F83" s="6" t="n"/>
      <c r="G83" s="25" t="n"/>
      <c r="H83" s="26" t="n"/>
      <c r="I83" s="6" t="n"/>
      <c r="J83" s="15">
        <f>IF($A83="","",COUNTIFS(Jobs!$C$5:$C$1004,$A83))</f>
        <v/>
      </c>
      <c r="K83" s="27">
        <f>IF($A83="","",SUMIFS(Jobs!$J$5:$J$1004,Jobs!$C$5:$C$1004,$A83))</f>
        <v/>
      </c>
      <c r="L83" s="28">
        <f>IF(OR($A83="",J83=0),"",_xlfn.MAXIFS(Jobs!$B$5:$B$1004,Jobs!$C$5:$C$1004,$A83))</f>
        <v/>
      </c>
      <c r="M83" s="27">
        <f>IF($A83="","",SUMIFS(Jobs!$J$5:$J$1004,Jobs!$C$5:$C$1004,$A83,Jobs!$K$5:$K$1004,"No"))</f>
        <v/>
      </c>
      <c r="N83" s="8">
        <f>IF($A83="","",IF(J83=0,"New",IF(N(M83)&gt;0,"Unpaid","Paid up")))</f>
        <v/>
      </c>
    </row>
    <row r="84">
      <c r="A84" s="6" t="n"/>
      <c r="B84" s="6" t="n"/>
      <c r="C84" s="6" t="n"/>
      <c r="D84" s="6" t="n"/>
      <c r="E84" s="6" t="n"/>
      <c r="F84" s="6" t="n"/>
      <c r="G84" s="25" t="n"/>
      <c r="H84" s="26" t="n"/>
      <c r="I84" s="6" t="n"/>
      <c r="J84" s="15">
        <f>IF($A84="","",COUNTIFS(Jobs!$C$5:$C$1004,$A84))</f>
        <v/>
      </c>
      <c r="K84" s="27">
        <f>IF($A84="","",SUMIFS(Jobs!$J$5:$J$1004,Jobs!$C$5:$C$1004,$A84))</f>
        <v/>
      </c>
      <c r="L84" s="28">
        <f>IF(OR($A84="",J84=0),"",_xlfn.MAXIFS(Jobs!$B$5:$B$1004,Jobs!$C$5:$C$1004,$A84))</f>
        <v/>
      </c>
      <c r="M84" s="27">
        <f>IF($A84="","",SUMIFS(Jobs!$J$5:$J$1004,Jobs!$C$5:$C$1004,$A84,Jobs!$K$5:$K$1004,"No"))</f>
        <v/>
      </c>
      <c r="N84" s="8">
        <f>IF($A84="","",IF(J84=0,"New",IF(N(M84)&gt;0,"Unpaid","Paid up")))</f>
        <v/>
      </c>
    </row>
    <row r="85">
      <c r="A85" s="6" t="n"/>
      <c r="B85" s="6" t="n"/>
      <c r="C85" s="6" t="n"/>
      <c r="D85" s="6" t="n"/>
      <c r="E85" s="6" t="n"/>
      <c r="F85" s="6" t="n"/>
      <c r="G85" s="25" t="n"/>
      <c r="H85" s="26" t="n"/>
      <c r="I85" s="6" t="n"/>
      <c r="J85" s="15">
        <f>IF($A85="","",COUNTIFS(Jobs!$C$5:$C$1004,$A85))</f>
        <v/>
      </c>
      <c r="K85" s="27">
        <f>IF($A85="","",SUMIFS(Jobs!$J$5:$J$1004,Jobs!$C$5:$C$1004,$A85))</f>
        <v/>
      </c>
      <c r="L85" s="28">
        <f>IF(OR($A85="",J85=0),"",_xlfn.MAXIFS(Jobs!$B$5:$B$1004,Jobs!$C$5:$C$1004,$A85))</f>
        <v/>
      </c>
      <c r="M85" s="27">
        <f>IF($A85="","",SUMIFS(Jobs!$J$5:$J$1004,Jobs!$C$5:$C$1004,$A85,Jobs!$K$5:$K$1004,"No"))</f>
        <v/>
      </c>
      <c r="N85" s="8">
        <f>IF($A85="","",IF(J85=0,"New",IF(N(M85)&gt;0,"Unpaid","Paid up")))</f>
        <v/>
      </c>
    </row>
    <row r="86">
      <c r="A86" s="6" t="n"/>
      <c r="B86" s="6" t="n"/>
      <c r="C86" s="6" t="n"/>
      <c r="D86" s="6" t="n"/>
      <c r="E86" s="6" t="n"/>
      <c r="F86" s="6" t="n"/>
      <c r="G86" s="25" t="n"/>
      <c r="H86" s="26" t="n"/>
      <c r="I86" s="6" t="n"/>
      <c r="J86" s="15">
        <f>IF($A86="","",COUNTIFS(Jobs!$C$5:$C$1004,$A86))</f>
        <v/>
      </c>
      <c r="K86" s="27">
        <f>IF($A86="","",SUMIFS(Jobs!$J$5:$J$1004,Jobs!$C$5:$C$1004,$A86))</f>
        <v/>
      </c>
      <c r="L86" s="28">
        <f>IF(OR($A86="",J86=0),"",_xlfn.MAXIFS(Jobs!$B$5:$B$1004,Jobs!$C$5:$C$1004,$A86))</f>
        <v/>
      </c>
      <c r="M86" s="27">
        <f>IF($A86="","",SUMIFS(Jobs!$J$5:$J$1004,Jobs!$C$5:$C$1004,$A86,Jobs!$K$5:$K$1004,"No"))</f>
        <v/>
      </c>
      <c r="N86" s="8">
        <f>IF($A86="","",IF(J86=0,"New",IF(N(M86)&gt;0,"Unpaid","Paid up")))</f>
        <v/>
      </c>
    </row>
    <row r="87">
      <c r="A87" s="6" t="n"/>
      <c r="B87" s="6" t="n"/>
      <c r="C87" s="6" t="n"/>
      <c r="D87" s="6" t="n"/>
      <c r="E87" s="6" t="n"/>
      <c r="F87" s="6" t="n"/>
      <c r="G87" s="25" t="n"/>
      <c r="H87" s="26" t="n"/>
      <c r="I87" s="6" t="n"/>
      <c r="J87" s="15">
        <f>IF($A87="","",COUNTIFS(Jobs!$C$5:$C$1004,$A87))</f>
        <v/>
      </c>
      <c r="K87" s="27">
        <f>IF($A87="","",SUMIFS(Jobs!$J$5:$J$1004,Jobs!$C$5:$C$1004,$A87))</f>
        <v/>
      </c>
      <c r="L87" s="28">
        <f>IF(OR($A87="",J87=0),"",_xlfn.MAXIFS(Jobs!$B$5:$B$1004,Jobs!$C$5:$C$1004,$A87))</f>
        <v/>
      </c>
      <c r="M87" s="27">
        <f>IF($A87="","",SUMIFS(Jobs!$J$5:$J$1004,Jobs!$C$5:$C$1004,$A87,Jobs!$K$5:$K$1004,"No"))</f>
        <v/>
      </c>
      <c r="N87" s="8">
        <f>IF($A87="","",IF(J87=0,"New",IF(N(M87)&gt;0,"Unpaid","Paid up")))</f>
        <v/>
      </c>
    </row>
    <row r="88">
      <c r="A88" s="6" t="n"/>
      <c r="B88" s="6" t="n"/>
      <c r="C88" s="6" t="n"/>
      <c r="D88" s="6" t="n"/>
      <c r="E88" s="6" t="n"/>
      <c r="F88" s="6" t="n"/>
      <c r="G88" s="25" t="n"/>
      <c r="H88" s="26" t="n"/>
      <c r="I88" s="6" t="n"/>
      <c r="J88" s="15">
        <f>IF($A88="","",COUNTIFS(Jobs!$C$5:$C$1004,$A88))</f>
        <v/>
      </c>
      <c r="K88" s="27">
        <f>IF($A88="","",SUMIFS(Jobs!$J$5:$J$1004,Jobs!$C$5:$C$1004,$A88))</f>
        <v/>
      </c>
      <c r="L88" s="28">
        <f>IF(OR($A88="",J88=0),"",_xlfn.MAXIFS(Jobs!$B$5:$B$1004,Jobs!$C$5:$C$1004,$A88))</f>
        <v/>
      </c>
      <c r="M88" s="27">
        <f>IF($A88="","",SUMIFS(Jobs!$J$5:$J$1004,Jobs!$C$5:$C$1004,$A88,Jobs!$K$5:$K$1004,"No"))</f>
        <v/>
      </c>
      <c r="N88" s="8">
        <f>IF($A88="","",IF(J88=0,"New",IF(N(M88)&gt;0,"Unpaid","Paid up")))</f>
        <v/>
      </c>
    </row>
    <row r="89">
      <c r="A89" s="6" t="n"/>
      <c r="B89" s="6" t="n"/>
      <c r="C89" s="6" t="n"/>
      <c r="D89" s="6" t="n"/>
      <c r="E89" s="6" t="n"/>
      <c r="F89" s="6" t="n"/>
      <c r="G89" s="25" t="n"/>
      <c r="H89" s="26" t="n"/>
      <c r="I89" s="6" t="n"/>
      <c r="J89" s="15">
        <f>IF($A89="","",COUNTIFS(Jobs!$C$5:$C$1004,$A89))</f>
        <v/>
      </c>
      <c r="K89" s="27">
        <f>IF($A89="","",SUMIFS(Jobs!$J$5:$J$1004,Jobs!$C$5:$C$1004,$A89))</f>
        <v/>
      </c>
      <c r="L89" s="28">
        <f>IF(OR($A89="",J89=0),"",_xlfn.MAXIFS(Jobs!$B$5:$B$1004,Jobs!$C$5:$C$1004,$A89))</f>
        <v/>
      </c>
      <c r="M89" s="27">
        <f>IF($A89="","",SUMIFS(Jobs!$J$5:$J$1004,Jobs!$C$5:$C$1004,$A89,Jobs!$K$5:$K$1004,"No"))</f>
        <v/>
      </c>
      <c r="N89" s="8">
        <f>IF($A89="","",IF(J89=0,"New",IF(N(M89)&gt;0,"Unpaid","Paid up")))</f>
        <v/>
      </c>
    </row>
    <row r="90">
      <c r="A90" s="6" t="n"/>
      <c r="B90" s="6" t="n"/>
      <c r="C90" s="6" t="n"/>
      <c r="D90" s="6" t="n"/>
      <c r="E90" s="6" t="n"/>
      <c r="F90" s="6" t="n"/>
      <c r="G90" s="25" t="n"/>
      <c r="H90" s="26" t="n"/>
      <c r="I90" s="6" t="n"/>
      <c r="J90" s="15">
        <f>IF($A90="","",COUNTIFS(Jobs!$C$5:$C$1004,$A90))</f>
        <v/>
      </c>
      <c r="K90" s="27">
        <f>IF($A90="","",SUMIFS(Jobs!$J$5:$J$1004,Jobs!$C$5:$C$1004,$A90))</f>
        <v/>
      </c>
      <c r="L90" s="28">
        <f>IF(OR($A90="",J90=0),"",_xlfn.MAXIFS(Jobs!$B$5:$B$1004,Jobs!$C$5:$C$1004,$A90))</f>
        <v/>
      </c>
      <c r="M90" s="27">
        <f>IF($A90="","",SUMIFS(Jobs!$J$5:$J$1004,Jobs!$C$5:$C$1004,$A90,Jobs!$K$5:$K$1004,"No"))</f>
        <v/>
      </c>
      <c r="N90" s="8">
        <f>IF($A90="","",IF(J90=0,"New",IF(N(M90)&gt;0,"Unpaid","Paid up")))</f>
        <v/>
      </c>
    </row>
    <row r="91">
      <c r="A91" s="6" t="n"/>
      <c r="B91" s="6" t="n"/>
      <c r="C91" s="6" t="n"/>
      <c r="D91" s="6" t="n"/>
      <c r="E91" s="6" t="n"/>
      <c r="F91" s="6" t="n"/>
      <c r="G91" s="25" t="n"/>
      <c r="H91" s="26" t="n"/>
      <c r="I91" s="6" t="n"/>
      <c r="J91" s="15">
        <f>IF($A91="","",COUNTIFS(Jobs!$C$5:$C$1004,$A91))</f>
        <v/>
      </c>
      <c r="K91" s="27">
        <f>IF($A91="","",SUMIFS(Jobs!$J$5:$J$1004,Jobs!$C$5:$C$1004,$A91))</f>
        <v/>
      </c>
      <c r="L91" s="28">
        <f>IF(OR($A91="",J91=0),"",_xlfn.MAXIFS(Jobs!$B$5:$B$1004,Jobs!$C$5:$C$1004,$A91))</f>
        <v/>
      </c>
      <c r="M91" s="27">
        <f>IF($A91="","",SUMIFS(Jobs!$J$5:$J$1004,Jobs!$C$5:$C$1004,$A91,Jobs!$K$5:$K$1004,"No"))</f>
        <v/>
      </c>
      <c r="N91" s="8">
        <f>IF($A91="","",IF(J91=0,"New",IF(N(M91)&gt;0,"Unpaid","Paid up")))</f>
        <v/>
      </c>
    </row>
    <row r="92">
      <c r="A92" s="6" t="n"/>
      <c r="B92" s="6" t="n"/>
      <c r="C92" s="6" t="n"/>
      <c r="D92" s="6" t="n"/>
      <c r="E92" s="6" t="n"/>
      <c r="F92" s="6" t="n"/>
      <c r="G92" s="25" t="n"/>
      <c r="H92" s="26" t="n"/>
      <c r="I92" s="6" t="n"/>
      <c r="J92" s="15">
        <f>IF($A92="","",COUNTIFS(Jobs!$C$5:$C$1004,$A92))</f>
        <v/>
      </c>
      <c r="K92" s="27">
        <f>IF($A92="","",SUMIFS(Jobs!$J$5:$J$1004,Jobs!$C$5:$C$1004,$A92))</f>
        <v/>
      </c>
      <c r="L92" s="28">
        <f>IF(OR($A92="",J92=0),"",_xlfn.MAXIFS(Jobs!$B$5:$B$1004,Jobs!$C$5:$C$1004,$A92))</f>
        <v/>
      </c>
      <c r="M92" s="27">
        <f>IF($A92="","",SUMIFS(Jobs!$J$5:$J$1004,Jobs!$C$5:$C$1004,$A92,Jobs!$K$5:$K$1004,"No"))</f>
        <v/>
      </c>
      <c r="N92" s="8">
        <f>IF($A92="","",IF(J92=0,"New",IF(N(M92)&gt;0,"Unpaid","Paid up")))</f>
        <v/>
      </c>
    </row>
    <row r="93">
      <c r="A93" s="6" t="n"/>
      <c r="B93" s="6" t="n"/>
      <c r="C93" s="6" t="n"/>
      <c r="D93" s="6" t="n"/>
      <c r="E93" s="6" t="n"/>
      <c r="F93" s="6" t="n"/>
      <c r="G93" s="25" t="n"/>
      <c r="H93" s="26" t="n"/>
      <c r="I93" s="6" t="n"/>
      <c r="J93" s="15">
        <f>IF($A93="","",COUNTIFS(Jobs!$C$5:$C$1004,$A93))</f>
        <v/>
      </c>
      <c r="K93" s="27">
        <f>IF($A93="","",SUMIFS(Jobs!$J$5:$J$1004,Jobs!$C$5:$C$1004,$A93))</f>
        <v/>
      </c>
      <c r="L93" s="28">
        <f>IF(OR($A93="",J93=0),"",_xlfn.MAXIFS(Jobs!$B$5:$B$1004,Jobs!$C$5:$C$1004,$A93))</f>
        <v/>
      </c>
      <c r="M93" s="27">
        <f>IF($A93="","",SUMIFS(Jobs!$J$5:$J$1004,Jobs!$C$5:$C$1004,$A93,Jobs!$K$5:$K$1004,"No"))</f>
        <v/>
      </c>
      <c r="N93" s="8">
        <f>IF($A93="","",IF(J93=0,"New",IF(N(M93)&gt;0,"Unpaid","Paid up")))</f>
        <v/>
      </c>
    </row>
    <row r="94">
      <c r="A94" s="6" t="n"/>
      <c r="B94" s="6" t="n"/>
      <c r="C94" s="6" t="n"/>
      <c r="D94" s="6" t="n"/>
      <c r="E94" s="6" t="n"/>
      <c r="F94" s="6" t="n"/>
      <c r="G94" s="25" t="n"/>
      <c r="H94" s="26" t="n"/>
      <c r="I94" s="6" t="n"/>
      <c r="J94" s="15">
        <f>IF($A94="","",COUNTIFS(Jobs!$C$5:$C$1004,$A94))</f>
        <v/>
      </c>
      <c r="K94" s="27">
        <f>IF($A94="","",SUMIFS(Jobs!$J$5:$J$1004,Jobs!$C$5:$C$1004,$A94))</f>
        <v/>
      </c>
      <c r="L94" s="28">
        <f>IF(OR($A94="",J94=0),"",_xlfn.MAXIFS(Jobs!$B$5:$B$1004,Jobs!$C$5:$C$1004,$A94))</f>
        <v/>
      </c>
      <c r="M94" s="27">
        <f>IF($A94="","",SUMIFS(Jobs!$J$5:$J$1004,Jobs!$C$5:$C$1004,$A94,Jobs!$K$5:$K$1004,"No"))</f>
        <v/>
      </c>
      <c r="N94" s="8">
        <f>IF($A94="","",IF(J94=0,"New",IF(N(M94)&gt;0,"Unpaid","Paid up")))</f>
        <v/>
      </c>
    </row>
    <row r="95">
      <c r="A95" s="6" t="n"/>
      <c r="B95" s="6" t="n"/>
      <c r="C95" s="6" t="n"/>
      <c r="D95" s="6" t="n"/>
      <c r="E95" s="6" t="n"/>
      <c r="F95" s="6" t="n"/>
      <c r="G95" s="25" t="n"/>
      <c r="H95" s="26" t="n"/>
      <c r="I95" s="6" t="n"/>
      <c r="J95" s="15">
        <f>IF($A95="","",COUNTIFS(Jobs!$C$5:$C$1004,$A95))</f>
        <v/>
      </c>
      <c r="K95" s="27">
        <f>IF($A95="","",SUMIFS(Jobs!$J$5:$J$1004,Jobs!$C$5:$C$1004,$A95))</f>
        <v/>
      </c>
      <c r="L95" s="28">
        <f>IF(OR($A95="",J95=0),"",_xlfn.MAXIFS(Jobs!$B$5:$B$1004,Jobs!$C$5:$C$1004,$A95))</f>
        <v/>
      </c>
      <c r="M95" s="27">
        <f>IF($A95="","",SUMIFS(Jobs!$J$5:$J$1004,Jobs!$C$5:$C$1004,$A95,Jobs!$K$5:$K$1004,"No"))</f>
        <v/>
      </c>
      <c r="N95" s="8">
        <f>IF($A95="","",IF(J95=0,"New",IF(N(M95)&gt;0,"Unpaid","Paid up")))</f>
        <v/>
      </c>
    </row>
    <row r="96">
      <c r="A96" s="6" t="n"/>
      <c r="B96" s="6" t="n"/>
      <c r="C96" s="6" t="n"/>
      <c r="D96" s="6" t="n"/>
      <c r="E96" s="6" t="n"/>
      <c r="F96" s="6" t="n"/>
      <c r="G96" s="25" t="n"/>
      <c r="H96" s="26" t="n"/>
      <c r="I96" s="6" t="n"/>
      <c r="J96" s="15">
        <f>IF($A96="","",COUNTIFS(Jobs!$C$5:$C$1004,$A96))</f>
        <v/>
      </c>
      <c r="K96" s="27">
        <f>IF($A96="","",SUMIFS(Jobs!$J$5:$J$1004,Jobs!$C$5:$C$1004,$A96))</f>
        <v/>
      </c>
      <c r="L96" s="28">
        <f>IF(OR($A96="",J96=0),"",_xlfn.MAXIFS(Jobs!$B$5:$B$1004,Jobs!$C$5:$C$1004,$A96))</f>
        <v/>
      </c>
      <c r="M96" s="27">
        <f>IF($A96="","",SUMIFS(Jobs!$J$5:$J$1004,Jobs!$C$5:$C$1004,$A96,Jobs!$K$5:$K$1004,"No"))</f>
        <v/>
      </c>
      <c r="N96" s="8">
        <f>IF($A96="","",IF(J96=0,"New",IF(N(M96)&gt;0,"Unpaid","Paid up")))</f>
        <v/>
      </c>
    </row>
    <row r="97">
      <c r="A97" s="6" t="n"/>
      <c r="B97" s="6" t="n"/>
      <c r="C97" s="6" t="n"/>
      <c r="D97" s="6" t="n"/>
      <c r="E97" s="6" t="n"/>
      <c r="F97" s="6" t="n"/>
      <c r="G97" s="25" t="n"/>
      <c r="H97" s="26" t="n"/>
      <c r="I97" s="6" t="n"/>
      <c r="J97" s="15">
        <f>IF($A97="","",COUNTIFS(Jobs!$C$5:$C$1004,$A97))</f>
        <v/>
      </c>
      <c r="K97" s="27">
        <f>IF($A97="","",SUMIFS(Jobs!$J$5:$J$1004,Jobs!$C$5:$C$1004,$A97))</f>
        <v/>
      </c>
      <c r="L97" s="28">
        <f>IF(OR($A97="",J97=0),"",_xlfn.MAXIFS(Jobs!$B$5:$B$1004,Jobs!$C$5:$C$1004,$A97))</f>
        <v/>
      </c>
      <c r="M97" s="27">
        <f>IF($A97="","",SUMIFS(Jobs!$J$5:$J$1004,Jobs!$C$5:$C$1004,$A97,Jobs!$K$5:$K$1004,"No"))</f>
        <v/>
      </c>
      <c r="N97" s="8">
        <f>IF($A97="","",IF(J97=0,"New",IF(N(M97)&gt;0,"Unpaid","Paid up")))</f>
        <v/>
      </c>
    </row>
    <row r="98">
      <c r="A98" s="6" t="n"/>
      <c r="B98" s="6" t="n"/>
      <c r="C98" s="6" t="n"/>
      <c r="D98" s="6" t="n"/>
      <c r="E98" s="6" t="n"/>
      <c r="F98" s="6" t="n"/>
      <c r="G98" s="25" t="n"/>
      <c r="H98" s="26" t="n"/>
      <c r="I98" s="6" t="n"/>
      <c r="J98" s="15">
        <f>IF($A98="","",COUNTIFS(Jobs!$C$5:$C$1004,$A98))</f>
        <v/>
      </c>
      <c r="K98" s="27">
        <f>IF($A98="","",SUMIFS(Jobs!$J$5:$J$1004,Jobs!$C$5:$C$1004,$A98))</f>
        <v/>
      </c>
      <c r="L98" s="28">
        <f>IF(OR($A98="",J98=0),"",_xlfn.MAXIFS(Jobs!$B$5:$B$1004,Jobs!$C$5:$C$1004,$A98))</f>
        <v/>
      </c>
      <c r="M98" s="27">
        <f>IF($A98="","",SUMIFS(Jobs!$J$5:$J$1004,Jobs!$C$5:$C$1004,$A98,Jobs!$K$5:$K$1004,"No"))</f>
        <v/>
      </c>
      <c r="N98" s="8">
        <f>IF($A98="","",IF(J98=0,"New",IF(N(M98)&gt;0,"Unpaid","Paid up")))</f>
        <v/>
      </c>
    </row>
    <row r="99">
      <c r="A99" s="6" t="n"/>
      <c r="B99" s="6" t="n"/>
      <c r="C99" s="6" t="n"/>
      <c r="D99" s="6" t="n"/>
      <c r="E99" s="6" t="n"/>
      <c r="F99" s="6" t="n"/>
      <c r="G99" s="25" t="n"/>
      <c r="H99" s="26" t="n"/>
      <c r="I99" s="6" t="n"/>
      <c r="J99" s="15">
        <f>IF($A99="","",COUNTIFS(Jobs!$C$5:$C$1004,$A99))</f>
        <v/>
      </c>
      <c r="K99" s="27">
        <f>IF($A99="","",SUMIFS(Jobs!$J$5:$J$1004,Jobs!$C$5:$C$1004,$A99))</f>
        <v/>
      </c>
      <c r="L99" s="28">
        <f>IF(OR($A99="",J99=0),"",_xlfn.MAXIFS(Jobs!$B$5:$B$1004,Jobs!$C$5:$C$1004,$A99))</f>
        <v/>
      </c>
      <c r="M99" s="27">
        <f>IF($A99="","",SUMIFS(Jobs!$J$5:$J$1004,Jobs!$C$5:$C$1004,$A99,Jobs!$K$5:$K$1004,"No"))</f>
        <v/>
      </c>
      <c r="N99" s="8">
        <f>IF($A99="","",IF(J99=0,"New",IF(N(M99)&gt;0,"Unpaid","Paid up")))</f>
        <v/>
      </c>
    </row>
    <row r="100">
      <c r="A100" s="6" t="n"/>
      <c r="B100" s="6" t="n"/>
      <c r="C100" s="6" t="n"/>
      <c r="D100" s="6" t="n"/>
      <c r="E100" s="6" t="n"/>
      <c r="F100" s="6" t="n"/>
      <c r="G100" s="25" t="n"/>
      <c r="H100" s="26" t="n"/>
      <c r="I100" s="6" t="n"/>
      <c r="J100" s="15">
        <f>IF($A100="","",COUNTIFS(Jobs!$C$5:$C$1004,$A100))</f>
        <v/>
      </c>
      <c r="K100" s="27">
        <f>IF($A100="","",SUMIFS(Jobs!$J$5:$J$1004,Jobs!$C$5:$C$1004,$A100))</f>
        <v/>
      </c>
      <c r="L100" s="28">
        <f>IF(OR($A100="",J100=0),"",_xlfn.MAXIFS(Jobs!$B$5:$B$1004,Jobs!$C$5:$C$1004,$A100))</f>
        <v/>
      </c>
      <c r="M100" s="27">
        <f>IF($A100="","",SUMIFS(Jobs!$J$5:$J$1004,Jobs!$C$5:$C$1004,$A100,Jobs!$K$5:$K$1004,"No"))</f>
        <v/>
      </c>
      <c r="N100" s="8">
        <f>IF($A100="","",IF(J100=0,"New",IF(N(M100)&gt;0,"Unpaid","Paid up")))</f>
        <v/>
      </c>
    </row>
    <row r="101">
      <c r="A101" s="6" t="n"/>
      <c r="B101" s="6" t="n"/>
      <c r="C101" s="6" t="n"/>
      <c r="D101" s="6" t="n"/>
      <c r="E101" s="6" t="n"/>
      <c r="F101" s="6" t="n"/>
      <c r="G101" s="25" t="n"/>
      <c r="H101" s="26" t="n"/>
      <c r="I101" s="6" t="n"/>
      <c r="J101" s="15">
        <f>IF($A101="","",COUNTIFS(Jobs!$C$5:$C$1004,$A101))</f>
        <v/>
      </c>
      <c r="K101" s="27">
        <f>IF($A101="","",SUMIFS(Jobs!$J$5:$J$1004,Jobs!$C$5:$C$1004,$A101))</f>
        <v/>
      </c>
      <c r="L101" s="28">
        <f>IF(OR($A101="",J101=0),"",_xlfn.MAXIFS(Jobs!$B$5:$B$1004,Jobs!$C$5:$C$1004,$A101))</f>
        <v/>
      </c>
      <c r="M101" s="27">
        <f>IF($A101="","",SUMIFS(Jobs!$J$5:$J$1004,Jobs!$C$5:$C$1004,$A101,Jobs!$K$5:$K$1004,"No"))</f>
        <v/>
      </c>
      <c r="N101" s="8">
        <f>IF($A101="","",IF(J101=0,"New",IF(N(M101)&gt;0,"Unpaid","Paid up")))</f>
        <v/>
      </c>
    </row>
    <row r="102">
      <c r="A102" s="6" t="n"/>
      <c r="B102" s="6" t="n"/>
      <c r="C102" s="6" t="n"/>
      <c r="D102" s="6" t="n"/>
      <c r="E102" s="6" t="n"/>
      <c r="F102" s="6" t="n"/>
      <c r="G102" s="25" t="n"/>
      <c r="H102" s="26" t="n"/>
      <c r="I102" s="6" t="n"/>
      <c r="J102" s="15">
        <f>IF($A102="","",COUNTIFS(Jobs!$C$5:$C$1004,$A102))</f>
        <v/>
      </c>
      <c r="K102" s="27">
        <f>IF($A102="","",SUMIFS(Jobs!$J$5:$J$1004,Jobs!$C$5:$C$1004,$A102))</f>
        <v/>
      </c>
      <c r="L102" s="28">
        <f>IF(OR($A102="",J102=0),"",_xlfn.MAXIFS(Jobs!$B$5:$B$1004,Jobs!$C$5:$C$1004,$A102))</f>
        <v/>
      </c>
      <c r="M102" s="27">
        <f>IF($A102="","",SUMIFS(Jobs!$J$5:$J$1004,Jobs!$C$5:$C$1004,$A102,Jobs!$K$5:$K$1004,"No"))</f>
        <v/>
      </c>
      <c r="N102" s="8">
        <f>IF($A102="","",IF(J102=0,"New",IF(N(M102)&gt;0,"Unpaid","Paid up")))</f>
        <v/>
      </c>
    </row>
    <row r="103">
      <c r="A103" s="6" t="n"/>
      <c r="B103" s="6" t="n"/>
      <c r="C103" s="6" t="n"/>
      <c r="D103" s="6" t="n"/>
      <c r="E103" s="6" t="n"/>
      <c r="F103" s="6" t="n"/>
      <c r="G103" s="25" t="n"/>
      <c r="H103" s="26" t="n"/>
      <c r="I103" s="6" t="n"/>
      <c r="J103" s="15">
        <f>IF($A103="","",COUNTIFS(Jobs!$C$5:$C$1004,$A103))</f>
        <v/>
      </c>
      <c r="K103" s="27">
        <f>IF($A103="","",SUMIFS(Jobs!$J$5:$J$1004,Jobs!$C$5:$C$1004,$A103))</f>
        <v/>
      </c>
      <c r="L103" s="28">
        <f>IF(OR($A103="",J103=0),"",_xlfn.MAXIFS(Jobs!$B$5:$B$1004,Jobs!$C$5:$C$1004,$A103))</f>
        <v/>
      </c>
      <c r="M103" s="27">
        <f>IF($A103="","",SUMIFS(Jobs!$J$5:$J$1004,Jobs!$C$5:$C$1004,$A103,Jobs!$K$5:$K$1004,"No"))</f>
        <v/>
      </c>
      <c r="N103" s="8">
        <f>IF($A103="","",IF(J103=0,"New",IF(N(M103)&gt;0,"Unpaid","Paid up")))</f>
        <v/>
      </c>
    </row>
    <row r="104">
      <c r="A104" s="6" t="n"/>
      <c r="B104" s="6" t="n"/>
      <c r="C104" s="6" t="n"/>
      <c r="D104" s="6" t="n"/>
      <c r="E104" s="6" t="n"/>
      <c r="F104" s="6" t="n"/>
      <c r="G104" s="25" t="n"/>
      <c r="H104" s="26" t="n"/>
      <c r="I104" s="6" t="n"/>
      <c r="J104" s="15">
        <f>IF($A104="","",COUNTIFS(Jobs!$C$5:$C$1004,$A104))</f>
        <v/>
      </c>
      <c r="K104" s="27">
        <f>IF($A104="","",SUMIFS(Jobs!$J$5:$J$1004,Jobs!$C$5:$C$1004,$A104))</f>
        <v/>
      </c>
      <c r="L104" s="28">
        <f>IF(OR($A104="",J104=0),"",_xlfn.MAXIFS(Jobs!$B$5:$B$1004,Jobs!$C$5:$C$1004,$A104))</f>
        <v/>
      </c>
      <c r="M104" s="27">
        <f>IF($A104="","",SUMIFS(Jobs!$J$5:$J$1004,Jobs!$C$5:$C$1004,$A104,Jobs!$K$5:$K$1004,"No"))</f>
        <v/>
      </c>
      <c r="N104" s="8">
        <f>IF($A104="","",IF(J104=0,"New",IF(N(M104)&gt;0,"Unpaid","Paid up")))</f>
        <v/>
      </c>
    </row>
    <row r="105">
      <c r="A105" s="6" t="n"/>
      <c r="B105" s="6" t="n"/>
      <c r="C105" s="6" t="n"/>
      <c r="D105" s="6" t="n"/>
      <c r="E105" s="6" t="n"/>
      <c r="F105" s="6" t="n"/>
      <c r="G105" s="25" t="n"/>
      <c r="H105" s="26" t="n"/>
      <c r="I105" s="6" t="n"/>
      <c r="J105" s="15">
        <f>IF($A105="","",COUNTIFS(Jobs!$C$5:$C$1004,$A105))</f>
        <v/>
      </c>
      <c r="K105" s="27">
        <f>IF($A105="","",SUMIFS(Jobs!$J$5:$J$1004,Jobs!$C$5:$C$1004,$A105))</f>
        <v/>
      </c>
      <c r="L105" s="28">
        <f>IF(OR($A105="",J105=0),"",_xlfn.MAXIFS(Jobs!$B$5:$B$1004,Jobs!$C$5:$C$1004,$A105))</f>
        <v/>
      </c>
      <c r="M105" s="27">
        <f>IF($A105="","",SUMIFS(Jobs!$J$5:$J$1004,Jobs!$C$5:$C$1004,$A105,Jobs!$K$5:$K$1004,"No"))</f>
        <v/>
      </c>
      <c r="N105" s="8">
        <f>IF($A105="","",IF(J105=0,"New",IF(N(M105)&gt;0,"Unpaid","Paid up")))</f>
        <v/>
      </c>
    </row>
    <row r="106">
      <c r="A106" s="6" t="n"/>
      <c r="B106" s="6" t="n"/>
      <c r="C106" s="6" t="n"/>
      <c r="D106" s="6" t="n"/>
      <c r="E106" s="6" t="n"/>
      <c r="F106" s="6" t="n"/>
      <c r="G106" s="25" t="n"/>
      <c r="H106" s="26" t="n"/>
      <c r="I106" s="6" t="n"/>
      <c r="J106" s="15">
        <f>IF($A106="","",COUNTIFS(Jobs!$C$5:$C$1004,$A106))</f>
        <v/>
      </c>
      <c r="K106" s="27">
        <f>IF($A106="","",SUMIFS(Jobs!$J$5:$J$1004,Jobs!$C$5:$C$1004,$A106))</f>
        <v/>
      </c>
      <c r="L106" s="28">
        <f>IF(OR($A106="",J106=0),"",_xlfn.MAXIFS(Jobs!$B$5:$B$1004,Jobs!$C$5:$C$1004,$A106))</f>
        <v/>
      </c>
      <c r="M106" s="27">
        <f>IF($A106="","",SUMIFS(Jobs!$J$5:$J$1004,Jobs!$C$5:$C$1004,$A106,Jobs!$K$5:$K$1004,"No"))</f>
        <v/>
      </c>
      <c r="N106" s="8">
        <f>IF($A106="","",IF(J106=0,"New",IF(N(M106)&gt;0,"Unpaid","Paid up")))</f>
        <v/>
      </c>
    </row>
    <row r="107">
      <c r="A107" s="6" t="n"/>
      <c r="B107" s="6" t="n"/>
      <c r="C107" s="6" t="n"/>
      <c r="D107" s="6" t="n"/>
      <c r="E107" s="6" t="n"/>
      <c r="F107" s="6" t="n"/>
      <c r="G107" s="25" t="n"/>
      <c r="H107" s="26" t="n"/>
      <c r="I107" s="6" t="n"/>
      <c r="J107" s="15">
        <f>IF($A107="","",COUNTIFS(Jobs!$C$5:$C$1004,$A107))</f>
        <v/>
      </c>
      <c r="K107" s="27">
        <f>IF($A107="","",SUMIFS(Jobs!$J$5:$J$1004,Jobs!$C$5:$C$1004,$A107))</f>
        <v/>
      </c>
      <c r="L107" s="28">
        <f>IF(OR($A107="",J107=0),"",_xlfn.MAXIFS(Jobs!$B$5:$B$1004,Jobs!$C$5:$C$1004,$A107))</f>
        <v/>
      </c>
      <c r="M107" s="27">
        <f>IF($A107="","",SUMIFS(Jobs!$J$5:$J$1004,Jobs!$C$5:$C$1004,$A107,Jobs!$K$5:$K$1004,"No"))</f>
        <v/>
      </c>
      <c r="N107" s="8">
        <f>IF($A107="","",IF(J107=0,"New",IF(N(M107)&gt;0,"Unpaid","Paid up")))</f>
        <v/>
      </c>
    </row>
    <row r="108">
      <c r="A108" s="6" t="n"/>
      <c r="B108" s="6" t="n"/>
      <c r="C108" s="6" t="n"/>
      <c r="D108" s="6" t="n"/>
      <c r="E108" s="6" t="n"/>
      <c r="F108" s="6" t="n"/>
      <c r="G108" s="25" t="n"/>
      <c r="H108" s="26" t="n"/>
      <c r="I108" s="6" t="n"/>
      <c r="J108" s="15">
        <f>IF($A108="","",COUNTIFS(Jobs!$C$5:$C$1004,$A108))</f>
        <v/>
      </c>
      <c r="K108" s="27">
        <f>IF($A108="","",SUMIFS(Jobs!$J$5:$J$1004,Jobs!$C$5:$C$1004,$A108))</f>
        <v/>
      </c>
      <c r="L108" s="28">
        <f>IF(OR($A108="",J108=0),"",_xlfn.MAXIFS(Jobs!$B$5:$B$1004,Jobs!$C$5:$C$1004,$A108))</f>
        <v/>
      </c>
      <c r="M108" s="27">
        <f>IF($A108="","",SUMIFS(Jobs!$J$5:$J$1004,Jobs!$C$5:$C$1004,$A108,Jobs!$K$5:$K$1004,"No"))</f>
        <v/>
      </c>
      <c r="N108" s="8">
        <f>IF($A108="","",IF(J108=0,"New",IF(N(M108)&gt;0,"Unpaid","Paid up")))</f>
        <v/>
      </c>
    </row>
    <row r="109">
      <c r="A109" s="6" t="n"/>
      <c r="B109" s="6" t="n"/>
      <c r="C109" s="6" t="n"/>
      <c r="D109" s="6" t="n"/>
      <c r="E109" s="6" t="n"/>
      <c r="F109" s="6" t="n"/>
      <c r="G109" s="25" t="n"/>
      <c r="H109" s="26" t="n"/>
      <c r="I109" s="6" t="n"/>
      <c r="J109" s="15">
        <f>IF($A109="","",COUNTIFS(Jobs!$C$5:$C$1004,$A109))</f>
        <v/>
      </c>
      <c r="K109" s="27">
        <f>IF($A109="","",SUMIFS(Jobs!$J$5:$J$1004,Jobs!$C$5:$C$1004,$A109))</f>
        <v/>
      </c>
      <c r="L109" s="28">
        <f>IF(OR($A109="",J109=0),"",_xlfn.MAXIFS(Jobs!$B$5:$B$1004,Jobs!$C$5:$C$1004,$A109))</f>
        <v/>
      </c>
      <c r="M109" s="27">
        <f>IF($A109="","",SUMIFS(Jobs!$J$5:$J$1004,Jobs!$C$5:$C$1004,$A109,Jobs!$K$5:$K$1004,"No"))</f>
        <v/>
      </c>
      <c r="N109" s="8">
        <f>IF($A109="","",IF(J109=0,"New",IF(N(M109)&gt;0,"Unpaid","Paid up")))</f>
        <v/>
      </c>
    </row>
    <row r="110">
      <c r="A110" s="6" t="n"/>
      <c r="B110" s="6" t="n"/>
      <c r="C110" s="6" t="n"/>
      <c r="D110" s="6" t="n"/>
      <c r="E110" s="6" t="n"/>
      <c r="F110" s="6" t="n"/>
      <c r="G110" s="25" t="n"/>
      <c r="H110" s="26" t="n"/>
      <c r="I110" s="6" t="n"/>
      <c r="J110" s="15">
        <f>IF($A110="","",COUNTIFS(Jobs!$C$5:$C$1004,$A110))</f>
        <v/>
      </c>
      <c r="K110" s="27">
        <f>IF($A110="","",SUMIFS(Jobs!$J$5:$J$1004,Jobs!$C$5:$C$1004,$A110))</f>
        <v/>
      </c>
      <c r="L110" s="28">
        <f>IF(OR($A110="",J110=0),"",_xlfn.MAXIFS(Jobs!$B$5:$B$1004,Jobs!$C$5:$C$1004,$A110))</f>
        <v/>
      </c>
      <c r="M110" s="27">
        <f>IF($A110="","",SUMIFS(Jobs!$J$5:$J$1004,Jobs!$C$5:$C$1004,$A110,Jobs!$K$5:$K$1004,"No"))</f>
        <v/>
      </c>
      <c r="N110" s="8">
        <f>IF($A110="","",IF(J110=0,"New",IF(N(M110)&gt;0,"Unpaid","Paid up")))</f>
        <v/>
      </c>
    </row>
    <row r="111">
      <c r="A111" s="6" t="n"/>
      <c r="B111" s="6" t="n"/>
      <c r="C111" s="6" t="n"/>
      <c r="D111" s="6" t="n"/>
      <c r="E111" s="6" t="n"/>
      <c r="F111" s="6" t="n"/>
      <c r="G111" s="25" t="n"/>
      <c r="H111" s="26" t="n"/>
      <c r="I111" s="6" t="n"/>
      <c r="J111" s="15">
        <f>IF($A111="","",COUNTIFS(Jobs!$C$5:$C$1004,$A111))</f>
        <v/>
      </c>
      <c r="K111" s="27">
        <f>IF($A111="","",SUMIFS(Jobs!$J$5:$J$1004,Jobs!$C$5:$C$1004,$A111))</f>
        <v/>
      </c>
      <c r="L111" s="28">
        <f>IF(OR($A111="",J111=0),"",_xlfn.MAXIFS(Jobs!$B$5:$B$1004,Jobs!$C$5:$C$1004,$A111))</f>
        <v/>
      </c>
      <c r="M111" s="27">
        <f>IF($A111="","",SUMIFS(Jobs!$J$5:$J$1004,Jobs!$C$5:$C$1004,$A111,Jobs!$K$5:$K$1004,"No"))</f>
        <v/>
      </c>
      <c r="N111" s="8">
        <f>IF($A111="","",IF(J111=0,"New",IF(N(M111)&gt;0,"Unpaid","Paid up")))</f>
        <v/>
      </c>
    </row>
    <row r="112">
      <c r="A112" s="6" t="n"/>
      <c r="B112" s="6" t="n"/>
      <c r="C112" s="6" t="n"/>
      <c r="D112" s="6" t="n"/>
      <c r="E112" s="6" t="n"/>
      <c r="F112" s="6" t="n"/>
      <c r="G112" s="25" t="n"/>
      <c r="H112" s="26" t="n"/>
      <c r="I112" s="6" t="n"/>
      <c r="J112" s="15">
        <f>IF($A112="","",COUNTIFS(Jobs!$C$5:$C$1004,$A112))</f>
        <v/>
      </c>
      <c r="K112" s="27">
        <f>IF($A112="","",SUMIFS(Jobs!$J$5:$J$1004,Jobs!$C$5:$C$1004,$A112))</f>
        <v/>
      </c>
      <c r="L112" s="28">
        <f>IF(OR($A112="",J112=0),"",_xlfn.MAXIFS(Jobs!$B$5:$B$1004,Jobs!$C$5:$C$1004,$A112))</f>
        <v/>
      </c>
      <c r="M112" s="27">
        <f>IF($A112="","",SUMIFS(Jobs!$J$5:$J$1004,Jobs!$C$5:$C$1004,$A112,Jobs!$K$5:$K$1004,"No"))</f>
        <v/>
      </c>
      <c r="N112" s="8">
        <f>IF($A112="","",IF(J112=0,"New",IF(N(M112)&gt;0,"Unpaid","Paid up")))</f>
        <v/>
      </c>
    </row>
    <row r="113">
      <c r="A113" s="6" t="n"/>
      <c r="B113" s="6" t="n"/>
      <c r="C113" s="6" t="n"/>
      <c r="D113" s="6" t="n"/>
      <c r="E113" s="6" t="n"/>
      <c r="F113" s="6" t="n"/>
      <c r="G113" s="25" t="n"/>
      <c r="H113" s="26" t="n"/>
      <c r="I113" s="6" t="n"/>
      <c r="J113" s="15">
        <f>IF($A113="","",COUNTIFS(Jobs!$C$5:$C$1004,$A113))</f>
        <v/>
      </c>
      <c r="K113" s="27">
        <f>IF($A113="","",SUMIFS(Jobs!$J$5:$J$1004,Jobs!$C$5:$C$1004,$A113))</f>
        <v/>
      </c>
      <c r="L113" s="28">
        <f>IF(OR($A113="",J113=0),"",_xlfn.MAXIFS(Jobs!$B$5:$B$1004,Jobs!$C$5:$C$1004,$A113))</f>
        <v/>
      </c>
      <c r="M113" s="27">
        <f>IF($A113="","",SUMIFS(Jobs!$J$5:$J$1004,Jobs!$C$5:$C$1004,$A113,Jobs!$K$5:$K$1004,"No"))</f>
        <v/>
      </c>
      <c r="N113" s="8">
        <f>IF($A113="","",IF(J113=0,"New",IF(N(M113)&gt;0,"Unpaid","Paid up")))</f>
        <v/>
      </c>
    </row>
    <row r="114">
      <c r="A114" s="6" t="n"/>
      <c r="B114" s="6" t="n"/>
      <c r="C114" s="6" t="n"/>
      <c r="D114" s="6" t="n"/>
      <c r="E114" s="6" t="n"/>
      <c r="F114" s="6" t="n"/>
      <c r="G114" s="25" t="n"/>
      <c r="H114" s="26" t="n"/>
      <c r="I114" s="6" t="n"/>
      <c r="J114" s="15">
        <f>IF($A114="","",COUNTIFS(Jobs!$C$5:$C$1004,$A114))</f>
        <v/>
      </c>
      <c r="K114" s="27">
        <f>IF($A114="","",SUMIFS(Jobs!$J$5:$J$1004,Jobs!$C$5:$C$1004,$A114))</f>
        <v/>
      </c>
      <c r="L114" s="28">
        <f>IF(OR($A114="",J114=0),"",_xlfn.MAXIFS(Jobs!$B$5:$B$1004,Jobs!$C$5:$C$1004,$A114))</f>
        <v/>
      </c>
      <c r="M114" s="27">
        <f>IF($A114="","",SUMIFS(Jobs!$J$5:$J$1004,Jobs!$C$5:$C$1004,$A114,Jobs!$K$5:$K$1004,"No"))</f>
        <v/>
      </c>
      <c r="N114" s="8">
        <f>IF($A114="","",IF(J114=0,"New",IF(N(M114)&gt;0,"Unpaid","Paid up")))</f>
        <v/>
      </c>
    </row>
    <row r="115">
      <c r="A115" s="6" t="n"/>
      <c r="B115" s="6" t="n"/>
      <c r="C115" s="6" t="n"/>
      <c r="D115" s="6" t="n"/>
      <c r="E115" s="6" t="n"/>
      <c r="F115" s="6" t="n"/>
      <c r="G115" s="25" t="n"/>
      <c r="H115" s="26" t="n"/>
      <c r="I115" s="6" t="n"/>
      <c r="J115" s="15">
        <f>IF($A115="","",COUNTIFS(Jobs!$C$5:$C$1004,$A115))</f>
        <v/>
      </c>
      <c r="K115" s="27">
        <f>IF($A115="","",SUMIFS(Jobs!$J$5:$J$1004,Jobs!$C$5:$C$1004,$A115))</f>
        <v/>
      </c>
      <c r="L115" s="28">
        <f>IF(OR($A115="",J115=0),"",_xlfn.MAXIFS(Jobs!$B$5:$B$1004,Jobs!$C$5:$C$1004,$A115))</f>
        <v/>
      </c>
      <c r="M115" s="27">
        <f>IF($A115="","",SUMIFS(Jobs!$J$5:$J$1004,Jobs!$C$5:$C$1004,$A115,Jobs!$K$5:$K$1004,"No"))</f>
        <v/>
      </c>
      <c r="N115" s="8">
        <f>IF($A115="","",IF(J115=0,"New",IF(N(M115)&gt;0,"Unpaid","Paid up")))</f>
        <v/>
      </c>
    </row>
    <row r="116">
      <c r="A116" s="6" t="n"/>
      <c r="B116" s="6" t="n"/>
      <c r="C116" s="6" t="n"/>
      <c r="D116" s="6" t="n"/>
      <c r="E116" s="6" t="n"/>
      <c r="F116" s="6" t="n"/>
      <c r="G116" s="25" t="n"/>
      <c r="H116" s="26" t="n"/>
      <c r="I116" s="6" t="n"/>
      <c r="J116" s="15">
        <f>IF($A116="","",COUNTIFS(Jobs!$C$5:$C$1004,$A116))</f>
        <v/>
      </c>
      <c r="K116" s="27">
        <f>IF($A116="","",SUMIFS(Jobs!$J$5:$J$1004,Jobs!$C$5:$C$1004,$A116))</f>
        <v/>
      </c>
      <c r="L116" s="28">
        <f>IF(OR($A116="",J116=0),"",_xlfn.MAXIFS(Jobs!$B$5:$B$1004,Jobs!$C$5:$C$1004,$A116))</f>
        <v/>
      </c>
      <c r="M116" s="27">
        <f>IF($A116="","",SUMIFS(Jobs!$J$5:$J$1004,Jobs!$C$5:$C$1004,$A116,Jobs!$K$5:$K$1004,"No"))</f>
        <v/>
      </c>
      <c r="N116" s="8">
        <f>IF($A116="","",IF(J116=0,"New",IF(N(M116)&gt;0,"Unpaid","Paid up")))</f>
        <v/>
      </c>
    </row>
    <row r="117">
      <c r="A117" s="6" t="n"/>
      <c r="B117" s="6" t="n"/>
      <c r="C117" s="6" t="n"/>
      <c r="D117" s="6" t="n"/>
      <c r="E117" s="6" t="n"/>
      <c r="F117" s="6" t="n"/>
      <c r="G117" s="25" t="n"/>
      <c r="H117" s="26" t="n"/>
      <c r="I117" s="6" t="n"/>
      <c r="J117" s="15">
        <f>IF($A117="","",COUNTIFS(Jobs!$C$5:$C$1004,$A117))</f>
        <v/>
      </c>
      <c r="K117" s="27">
        <f>IF($A117="","",SUMIFS(Jobs!$J$5:$J$1004,Jobs!$C$5:$C$1004,$A117))</f>
        <v/>
      </c>
      <c r="L117" s="28">
        <f>IF(OR($A117="",J117=0),"",_xlfn.MAXIFS(Jobs!$B$5:$B$1004,Jobs!$C$5:$C$1004,$A117))</f>
        <v/>
      </c>
      <c r="M117" s="27">
        <f>IF($A117="","",SUMIFS(Jobs!$J$5:$J$1004,Jobs!$C$5:$C$1004,$A117,Jobs!$K$5:$K$1004,"No"))</f>
        <v/>
      </c>
      <c r="N117" s="8">
        <f>IF($A117="","",IF(J117=0,"New",IF(N(M117)&gt;0,"Unpaid","Paid up")))</f>
        <v/>
      </c>
    </row>
    <row r="118">
      <c r="A118" s="6" t="n"/>
      <c r="B118" s="6" t="n"/>
      <c r="C118" s="6" t="n"/>
      <c r="D118" s="6" t="n"/>
      <c r="E118" s="6" t="n"/>
      <c r="F118" s="6" t="n"/>
      <c r="G118" s="25" t="n"/>
      <c r="H118" s="26" t="n"/>
      <c r="I118" s="6" t="n"/>
      <c r="J118" s="15">
        <f>IF($A118="","",COUNTIFS(Jobs!$C$5:$C$1004,$A118))</f>
        <v/>
      </c>
      <c r="K118" s="27">
        <f>IF($A118="","",SUMIFS(Jobs!$J$5:$J$1004,Jobs!$C$5:$C$1004,$A118))</f>
        <v/>
      </c>
      <c r="L118" s="28">
        <f>IF(OR($A118="",J118=0),"",_xlfn.MAXIFS(Jobs!$B$5:$B$1004,Jobs!$C$5:$C$1004,$A118))</f>
        <v/>
      </c>
      <c r="M118" s="27">
        <f>IF($A118="","",SUMIFS(Jobs!$J$5:$J$1004,Jobs!$C$5:$C$1004,$A118,Jobs!$K$5:$K$1004,"No"))</f>
        <v/>
      </c>
      <c r="N118" s="8">
        <f>IF($A118="","",IF(J118=0,"New",IF(N(M118)&gt;0,"Unpaid","Paid up")))</f>
        <v/>
      </c>
    </row>
    <row r="119">
      <c r="A119" s="6" t="n"/>
      <c r="B119" s="6" t="n"/>
      <c r="C119" s="6" t="n"/>
      <c r="D119" s="6" t="n"/>
      <c r="E119" s="6" t="n"/>
      <c r="F119" s="6" t="n"/>
      <c r="G119" s="25" t="n"/>
      <c r="H119" s="26" t="n"/>
      <c r="I119" s="6" t="n"/>
      <c r="J119" s="15">
        <f>IF($A119="","",COUNTIFS(Jobs!$C$5:$C$1004,$A119))</f>
        <v/>
      </c>
      <c r="K119" s="27">
        <f>IF($A119="","",SUMIFS(Jobs!$J$5:$J$1004,Jobs!$C$5:$C$1004,$A119))</f>
        <v/>
      </c>
      <c r="L119" s="28">
        <f>IF(OR($A119="",J119=0),"",_xlfn.MAXIFS(Jobs!$B$5:$B$1004,Jobs!$C$5:$C$1004,$A119))</f>
        <v/>
      </c>
      <c r="M119" s="27">
        <f>IF($A119="","",SUMIFS(Jobs!$J$5:$J$1004,Jobs!$C$5:$C$1004,$A119,Jobs!$K$5:$K$1004,"No"))</f>
        <v/>
      </c>
      <c r="N119" s="8">
        <f>IF($A119="","",IF(J119=0,"New",IF(N(M119)&gt;0,"Unpaid","Paid up")))</f>
        <v/>
      </c>
    </row>
    <row r="120">
      <c r="A120" s="6" t="n"/>
      <c r="B120" s="6" t="n"/>
      <c r="C120" s="6" t="n"/>
      <c r="D120" s="6" t="n"/>
      <c r="E120" s="6" t="n"/>
      <c r="F120" s="6" t="n"/>
      <c r="G120" s="25" t="n"/>
      <c r="H120" s="26" t="n"/>
      <c r="I120" s="6" t="n"/>
      <c r="J120" s="15">
        <f>IF($A120="","",COUNTIFS(Jobs!$C$5:$C$1004,$A120))</f>
        <v/>
      </c>
      <c r="K120" s="27">
        <f>IF($A120="","",SUMIFS(Jobs!$J$5:$J$1004,Jobs!$C$5:$C$1004,$A120))</f>
        <v/>
      </c>
      <c r="L120" s="28">
        <f>IF(OR($A120="",J120=0),"",_xlfn.MAXIFS(Jobs!$B$5:$B$1004,Jobs!$C$5:$C$1004,$A120))</f>
        <v/>
      </c>
      <c r="M120" s="27">
        <f>IF($A120="","",SUMIFS(Jobs!$J$5:$J$1004,Jobs!$C$5:$C$1004,$A120,Jobs!$K$5:$K$1004,"No"))</f>
        <v/>
      </c>
      <c r="N120" s="8">
        <f>IF($A120="","",IF(J120=0,"New",IF(N(M120)&gt;0,"Unpaid","Paid up")))</f>
        <v/>
      </c>
    </row>
    <row r="121">
      <c r="A121" s="6" t="n"/>
      <c r="B121" s="6" t="n"/>
      <c r="C121" s="6" t="n"/>
      <c r="D121" s="6" t="n"/>
      <c r="E121" s="6" t="n"/>
      <c r="F121" s="6" t="n"/>
      <c r="G121" s="25" t="n"/>
      <c r="H121" s="26" t="n"/>
      <c r="I121" s="6" t="n"/>
      <c r="J121" s="15">
        <f>IF($A121="","",COUNTIFS(Jobs!$C$5:$C$1004,$A121))</f>
        <v/>
      </c>
      <c r="K121" s="27">
        <f>IF($A121="","",SUMIFS(Jobs!$J$5:$J$1004,Jobs!$C$5:$C$1004,$A121))</f>
        <v/>
      </c>
      <c r="L121" s="28">
        <f>IF(OR($A121="",J121=0),"",_xlfn.MAXIFS(Jobs!$B$5:$B$1004,Jobs!$C$5:$C$1004,$A121))</f>
        <v/>
      </c>
      <c r="M121" s="27">
        <f>IF($A121="","",SUMIFS(Jobs!$J$5:$J$1004,Jobs!$C$5:$C$1004,$A121,Jobs!$K$5:$K$1004,"No"))</f>
        <v/>
      </c>
      <c r="N121" s="8">
        <f>IF($A121="","",IF(J121=0,"New",IF(N(M121)&gt;0,"Unpaid","Paid up")))</f>
        <v/>
      </c>
    </row>
    <row r="122">
      <c r="A122" s="6" t="n"/>
      <c r="B122" s="6" t="n"/>
      <c r="C122" s="6" t="n"/>
      <c r="D122" s="6" t="n"/>
      <c r="E122" s="6" t="n"/>
      <c r="F122" s="6" t="n"/>
      <c r="G122" s="25" t="n"/>
      <c r="H122" s="26" t="n"/>
      <c r="I122" s="6" t="n"/>
      <c r="J122" s="15">
        <f>IF($A122="","",COUNTIFS(Jobs!$C$5:$C$1004,$A122))</f>
        <v/>
      </c>
      <c r="K122" s="27">
        <f>IF($A122="","",SUMIFS(Jobs!$J$5:$J$1004,Jobs!$C$5:$C$1004,$A122))</f>
        <v/>
      </c>
      <c r="L122" s="28">
        <f>IF(OR($A122="",J122=0),"",_xlfn.MAXIFS(Jobs!$B$5:$B$1004,Jobs!$C$5:$C$1004,$A122))</f>
        <v/>
      </c>
      <c r="M122" s="27">
        <f>IF($A122="","",SUMIFS(Jobs!$J$5:$J$1004,Jobs!$C$5:$C$1004,$A122,Jobs!$K$5:$K$1004,"No"))</f>
        <v/>
      </c>
      <c r="N122" s="8">
        <f>IF($A122="","",IF(J122=0,"New",IF(N(M122)&gt;0,"Unpaid","Paid up")))</f>
        <v/>
      </c>
    </row>
    <row r="123">
      <c r="A123" s="6" t="n"/>
      <c r="B123" s="6" t="n"/>
      <c r="C123" s="6" t="n"/>
      <c r="D123" s="6" t="n"/>
      <c r="E123" s="6" t="n"/>
      <c r="F123" s="6" t="n"/>
      <c r="G123" s="25" t="n"/>
      <c r="H123" s="26" t="n"/>
      <c r="I123" s="6" t="n"/>
      <c r="J123" s="15">
        <f>IF($A123="","",COUNTIFS(Jobs!$C$5:$C$1004,$A123))</f>
        <v/>
      </c>
      <c r="K123" s="27">
        <f>IF($A123="","",SUMIFS(Jobs!$J$5:$J$1004,Jobs!$C$5:$C$1004,$A123))</f>
        <v/>
      </c>
      <c r="L123" s="28">
        <f>IF(OR($A123="",J123=0),"",_xlfn.MAXIFS(Jobs!$B$5:$B$1004,Jobs!$C$5:$C$1004,$A123))</f>
        <v/>
      </c>
      <c r="M123" s="27">
        <f>IF($A123="","",SUMIFS(Jobs!$J$5:$J$1004,Jobs!$C$5:$C$1004,$A123,Jobs!$K$5:$K$1004,"No"))</f>
        <v/>
      </c>
      <c r="N123" s="8">
        <f>IF($A123="","",IF(J123=0,"New",IF(N(M123)&gt;0,"Unpaid","Paid up")))</f>
        <v/>
      </c>
    </row>
    <row r="124">
      <c r="A124" s="6" t="n"/>
      <c r="B124" s="6" t="n"/>
      <c r="C124" s="6" t="n"/>
      <c r="D124" s="6" t="n"/>
      <c r="E124" s="6" t="n"/>
      <c r="F124" s="6" t="n"/>
      <c r="G124" s="25" t="n"/>
      <c r="H124" s="26" t="n"/>
      <c r="I124" s="6" t="n"/>
      <c r="J124" s="15">
        <f>IF($A124="","",COUNTIFS(Jobs!$C$5:$C$1004,$A124))</f>
        <v/>
      </c>
      <c r="K124" s="27">
        <f>IF($A124="","",SUMIFS(Jobs!$J$5:$J$1004,Jobs!$C$5:$C$1004,$A124))</f>
        <v/>
      </c>
      <c r="L124" s="28">
        <f>IF(OR($A124="",J124=0),"",_xlfn.MAXIFS(Jobs!$B$5:$B$1004,Jobs!$C$5:$C$1004,$A124))</f>
        <v/>
      </c>
      <c r="M124" s="27">
        <f>IF($A124="","",SUMIFS(Jobs!$J$5:$J$1004,Jobs!$C$5:$C$1004,$A124,Jobs!$K$5:$K$1004,"No"))</f>
        <v/>
      </c>
      <c r="N124" s="8">
        <f>IF($A124="","",IF(J124=0,"New",IF(N(M124)&gt;0,"Unpaid","Paid up")))</f>
        <v/>
      </c>
    </row>
    <row r="125">
      <c r="A125" s="6" t="n"/>
      <c r="B125" s="6" t="n"/>
      <c r="C125" s="6" t="n"/>
      <c r="D125" s="6" t="n"/>
      <c r="E125" s="6" t="n"/>
      <c r="F125" s="6" t="n"/>
      <c r="G125" s="25" t="n"/>
      <c r="H125" s="26" t="n"/>
      <c r="I125" s="6" t="n"/>
      <c r="J125" s="15">
        <f>IF($A125="","",COUNTIFS(Jobs!$C$5:$C$1004,$A125))</f>
        <v/>
      </c>
      <c r="K125" s="27">
        <f>IF($A125="","",SUMIFS(Jobs!$J$5:$J$1004,Jobs!$C$5:$C$1004,$A125))</f>
        <v/>
      </c>
      <c r="L125" s="28">
        <f>IF(OR($A125="",J125=0),"",_xlfn.MAXIFS(Jobs!$B$5:$B$1004,Jobs!$C$5:$C$1004,$A125))</f>
        <v/>
      </c>
      <c r="M125" s="27">
        <f>IF($A125="","",SUMIFS(Jobs!$J$5:$J$1004,Jobs!$C$5:$C$1004,$A125,Jobs!$K$5:$K$1004,"No"))</f>
        <v/>
      </c>
      <c r="N125" s="8">
        <f>IF($A125="","",IF(J125=0,"New",IF(N(M125)&gt;0,"Unpaid","Paid up")))</f>
        <v/>
      </c>
    </row>
    <row r="126">
      <c r="A126" s="6" t="n"/>
      <c r="B126" s="6" t="n"/>
      <c r="C126" s="6" t="n"/>
      <c r="D126" s="6" t="n"/>
      <c r="E126" s="6" t="n"/>
      <c r="F126" s="6" t="n"/>
      <c r="G126" s="25" t="n"/>
      <c r="H126" s="26" t="n"/>
      <c r="I126" s="6" t="n"/>
      <c r="J126" s="15">
        <f>IF($A126="","",COUNTIFS(Jobs!$C$5:$C$1004,$A126))</f>
        <v/>
      </c>
      <c r="K126" s="27">
        <f>IF($A126="","",SUMIFS(Jobs!$J$5:$J$1004,Jobs!$C$5:$C$1004,$A126))</f>
        <v/>
      </c>
      <c r="L126" s="28">
        <f>IF(OR($A126="",J126=0),"",_xlfn.MAXIFS(Jobs!$B$5:$B$1004,Jobs!$C$5:$C$1004,$A126))</f>
        <v/>
      </c>
      <c r="M126" s="27">
        <f>IF($A126="","",SUMIFS(Jobs!$J$5:$J$1004,Jobs!$C$5:$C$1004,$A126,Jobs!$K$5:$K$1004,"No"))</f>
        <v/>
      </c>
      <c r="N126" s="8">
        <f>IF($A126="","",IF(J126=0,"New",IF(N(M126)&gt;0,"Unpaid","Paid up")))</f>
        <v/>
      </c>
    </row>
    <row r="127">
      <c r="A127" s="6" t="n"/>
      <c r="B127" s="6" t="n"/>
      <c r="C127" s="6" t="n"/>
      <c r="D127" s="6" t="n"/>
      <c r="E127" s="6" t="n"/>
      <c r="F127" s="6" t="n"/>
      <c r="G127" s="25" t="n"/>
      <c r="H127" s="26" t="n"/>
      <c r="I127" s="6" t="n"/>
      <c r="J127" s="15">
        <f>IF($A127="","",COUNTIFS(Jobs!$C$5:$C$1004,$A127))</f>
        <v/>
      </c>
      <c r="K127" s="27">
        <f>IF($A127="","",SUMIFS(Jobs!$J$5:$J$1004,Jobs!$C$5:$C$1004,$A127))</f>
        <v/>
      </c>
      <c r="L127" s="28">
        <f>IF(OR($A127="",J127=0),"",_xlfn.MAXIFS(Jobs!$B$5:$B$1004,Jobs!$C$5:$C$1004,$A127))</f>
        <v/>
      </c>
      <c r="M127" s="27">
        <f>IF($A127="","",SUMIFS(Jobs!$J$5:$J$1004,Jobs!$C$5:$C$1004,$A127,Jobs!$K$5:$K$1004,"No"))</f>
        <v/>
      </c>
      <c r="N127" s="8">
        <f>IF($A127="","",IF(J127=0,"New",IF(N(M127)&gt;0,"Unpaid","Paid up")))</f>
        <v/>
      </c>
    </row>
    <row r="128">
      <c r="A128" s="6" t="n"/>
      <c r="B128" s="6" t="n"/>
      <c r="C128" s="6" t="n"/>
      <c r="D128" s="6" t="n"/>
      <c r="E128" s="6" t="n"/>
      <c r="F128" s="6" t="n"/>
      <c r="G128" s="25" t="n"/>
      <c r="H128" s="26" t="n"/>
      <c r="I128" s="6" t="n"/>
      <c r="J128" s="15">
        <f>IF($A128="","",COUNTIFS(Jobs!$C$5:$C$1004,$A128))</f>
        <v/>
      </c>
      <c r="K128" s="27">
        <f>IF($A128="","",SUMIFS(Jobs!$J$5:$J$1004,Jobs!$C$5:$C$1004,$A128))</f>
        <v/>
      </c>
      <c r="L128" s="28">
        <f>IF(OR($A128="",J128=0),"",_xlfn.MAXIFS(Jobs!$B$5:$B$1004,Jobs!$C$5:$C$1004,$A128))</f>
        <v/>
      </c>
      <c r="M128" s="27">
        <f>IF($A128="","",SUMIFS(Jobs!$J$5:$J$1004,Jobs!$C$5:$C$1004,$A128,Jobs!$K$5:$K$1004,"No"))</f>
        <v/>
      </c>
      <c r="N128" s="8">
        <f>IF($A128="","",IF(J128=0,"New",IF(N(M128)&gt;0,"Unpaid","Paid up")))</f>
        <v/>
      </c>
    </row>
    <row r="129">
      <c r="A129" s="6" t="n"/>
      <c r="B129" s="6" t="n"/>
      <c r="C129" s="6" t="n"/>
      <c r="D129" s="6" t="n"/>
      <c r="E129" s="6" t="n"/>
      <c r="F129" s="6" t="n"/>
      <c r="G129" s="25" t="n"/>
      <c r="H129" s="26" t="n"/>
      <c r="I129" s="6" t="n"/>
      <c r="J129" s="15">
        <f>IF($A129="","",COUNTIFS(Jobs!$C$5:$C$1004,$A129))</f>
        <v/>
      </c>
      <c r="K129" s="27">
        <f>IF($A129="","",SUMIFS(Jobs!$J$5:$J$1004,Jobs!$C$5:$C$1004,$A129))</f>
        <v/>
      </c>
      <c r="L129" s="28">
        <f>IF(OR($A129="",J129=0),"",_xlfn.MAXIFS(Jobs!$B$5:$B$1004,Jobs!$C$5:$C$1004,$A129))</f>
        <v/>
      </c>
      <c r="M129" s="27">
        <f>IF($A129="","",SUMIFS(Jobs!$J$5:$J$1004,Jobs!$C$5:$C$1004,$A129,Jobs!$K$5:$K$1004,"No"))</f>
        <v/>
      </c>
      <c r="N129" s="8">
        <f>IF($A129="","",IF(J129=0,"New",IF(N(M129)&gt;0,"Unpaid","Paid up")))</f>
        <v/>
      </c>
    </row>
    <row r="130">
      <c r="A130" s="6" t="n"/>
      <c r="B130" s="6" t="n"/>
      <c r="C130" s="6" t="n"/>
      <c r="D130" s="6" t="n"/>
      <c r="E130" s="6" t="n"/>
      <c r="F130" s="6" t="n"/>
      <c r="G130" s="25" t="n"/>
      <c r="H130" s="26" t="n"/>
      <c r="I130" s="6" t="n"/>
      <c r="J130" s="15">
        <f>IF($A130="","",COUNTIFS(Jobs!$C$5:$C$1004,$A130))</f>
        <v/>
      </c>
      <c r="K130" s="27">
        <f>IF($A130="","",SUMIFS(Jobs!$J$5:$J$1004,Jobs!$C$5:$C$1004,$A130))</f>
        <v/>
      </c>
      <c r="L130" s="28">
        <f>IF(OR($A130="",J130=0),"",_xlfn.MAXIFS(Jobs!$B$5:$B$1004,Jobs!$C$5:$C$1004,$A130))</f>
        <v/>
      </c>
      <c r="M130" s="27">
        <f>IF($A130="","",SUMIFS(Jobs!$J$5:$J$1004,Jobs!$C$5:$C$1004,$A130,Jobs!$K$5:$K$1004,"No"))</f>
        <v/>
      </c>
      <c r="N130" s="8">
        <f>IF($A130="","",IF(J130=0,"New",IF(N(M130)&gt;0,"Unpaid","Paid up")))</f>
        <v/>
      </c>
    </row>
    <row r="131">
      <c r="A131" s="6" t="n"/>
      <c r="B131" s="6" t="n"/>
      <c r="C131" s="6" t="n"/>
      <c r="D131" s="6" t="n"/>
      <c r="E131" s="6" t="n"/>
      <c r="F131" s="6" t="n"/>
      <c r="G131" s="25" t="n"/>
      <c r="H131" s="26" t="n"/>
      <c r="I131" s="6" t="n"/>
      <c r="J131" s="15">
        <f>IF($A131="","",COUNTIFS(Jobs!$C$5:$C$1004,$A131))</f>
        <v/>
      </c>
      <c r="K131" s="27">
        <f>IF($A131="","",SUMIFS(Jobs!$J$5:$J$1004,Jobs!$C$5:$C$1004,$A131))</f>
        <v/>
      </c>
      <c r="L131" s="28">
        <f>IF(OR($A131="",J131=0),"",_xlfn.MAXIFS(Jobs!$B$5:$B$1004,Jobs!$C$5:$C$1004,$A131))</f>
        <v/>
      </c>
      <c r="M131" s="27">
        <f>IF($A131="","",SUMIFS(Jobs!$J$5:$J$1004,Jobs!$C$5:$C$1004,$A131,Jobs!$K$5:$K$1004,"No"))</f>
        <v/>
      </c>
      <c r="N131" s="8">
        <f>IF($A131="","",IF(J131=0,"New",IF(N(M131)&gt;0,"Unpaid","Paid up")))</f>
        <v/>
      </c>
    </row>
    <row r="132">
      <c r="A132" s="6" t="n"/>
      <c r="B132" s="6" t="n"/>
      <c r="C132" s="6" t="n"/>
      <c r="D132" s="6" t="n"/>
      <c r="E132" s="6" t="n"/>
      <c r="F132" s="6" t="n"/>
      <c r="G132" s="25" t="n"/>
      <c r="H132" s="26" t="n"/>
      <c r="I132" s="6" t="n"/>
      <c r="J132" s="15">
        <f>IF($A132="","",COUNTIFS(Jobs!$C$5:$C$1004,$A132))</f>
        <v/>
      </c>
      <c r="K132" s="27">
        <f>IF($A132="","",SUMIFS(Jobs!$J$5:$J$1004,Jobs!$C$5:$C$1004,$A132))</f>
        <v/>
      </c>
      <c r="L132" s="28">
        <f>IF(OR($A132="",J132=0),"",_xlfn.MAXIFS(Jobs!$B$5:$B$1004,Jobs!$C$5:$C$1004,$A132))</f>
        <v/>
      </c>
      <c r="M132" s="27">
        <f>IF($A132="","",SUMIFS(Jobs!$J$5:$J$1004,Jobs!$C$5:$C$1004,$A132,Jobs!$K$5:$K$1004,"No"))</f>
        <v/>
      </c>
      <c r="N132" s="8">
        <f>IF($A132="","",IF(J132=0,"New",IF(N(M132)&gt;0,"Unpaid","Paid up")))</f>
        <v/>
      </c>
    </row>
    <row r="133">
      <c r="A133" s="6" t="n"/>
      <c r="B133" s="6" t="n"/>
      <c r="C133" s="6" t="n"/>
      <c r="D133" s="6" t="n"/>
      <c r="E133" s="6" t="n"/>
      <c r="F133" s="6" t="n"/>
      <c r="G133" s="25" t="n"/>
      <c r="H133" s="26" t="n"/>
      <c r="I133" s="6" t="n"/>
      <c r="J133" s="15">
        <f>IF($A133="","",COUNTIFS(Jobs!$C$5:$C$1004,$A133))</f>
        <v/>
      </c>
      <c r="K133" s="27">
        <f>IF($A133="","",SUMIFS(Jobs!$J$5:$J$1004,Jobs!$C$5:$C$1004,$A133))</f>
        <v/>
      </c>
      <c r="L133" s="28">
        <f>IF(OR($A133="",J133=0),"",_xlfn.MAXIFS(Jobs!$B$5:$B$1004,Jobs!$C$5:$C$1004,$A133))</f>
        <v/>
      </c>
      <c r="M133" s="27">
        <f>IF($A133="","",SUMIFS(Jobs!$J$5:$J$1004,Jobs!$C$5:$C$1004,$A133,Jobs!$K$5:$K$1004,"No"))</f>
        <v/>
      </c>
      <c r="N133" s="8">
        <f>IF($A133="","",IF(J133=0,"New",IF(N(M133)&gt;0,"Unpaid","Paid up")))</f>
        <v/>
      </c>
    </row>
    <row r="134">
      <c r="A134" s="6" t="n"/>
      <c r="B134" s="6" t="n"/>
      <c r="C134" s="6" t="n"/>
      <c r="D134" s="6" t="n"/>
      <c r="E134" s="6" t="n"/>
      <c r="F134" s="6" t="n"/>
      <c r="G134" s="25" t="n"/>
      <c r="H134" s="26" t="n"/>
      <c r="I134" s="6" t="n"/>
      <c r="J134" s="15">
        <f>IF($A134="","",COUNTIFS(Jobs!$C$5:$C$1004,$A134))</f>
        <v/>
      </c>
      <c r="K134" s="27">
        <f>IF($A134="","",SUMIFS(Jobs!$J$5:$J$1004,Jobs!$C$5:$C$1004,$A134))</f>
        <v/>
      </c>
      <c r="L134" s="28">
        <f>IF(OR($A134="",J134=0),"",_xlfn.MAXIFS(Jobs!$B$5:$B$1004,Jobs!$C$5:$C$1004,$A134))</f>
        <v/>
      </c>
      <c r="M134" s="27">
        <f>IF($A134="","",SUMIFS(Jobs!$J$5:$J$1004,Jobs!$C$5:$C$1004,$A134,Jobs!$K$5:$K$1004,"No"))</f>
        <v/>
      </c>
      <c r="N134" s="8">
        <f>IF($A134="","",IF(J134=0,"New",IF(N(M134)&gt;0,"Unpaid","Paid up")))</f>
        <v/>
      </c>
    </row>
    <row r="135">
      <c r="A135" s="6" t="n"/>
      <c r="B135" s="6" t="n"/>
      <c r="C135" s="6" t="n"/>
      <c r="D135" s="6" t="n"/>
      <c r="E135" s="6" t="n"/>
      <c r="F135" s="6" t="n"/>
      <c r="G135" s="25" t="n"/>
      <c r="H135" s="26" t="n"/>
      <c r="I135" s="6" t="n"/>
      <c r="J135" s="15">
        <f>IF($A135="","",COUNTIFS(Jobs!$C$5:$C$1004,$A135))</f>
        <v/>
      </c>
      <c r="K135" s="27">
        <f>IF($A135="","",SUMIFS(Jobs!$J$5:$J$1004,Jobs!$C$5:$C$1004,$A135))</f>
        <v/>
      </c>
      <c r="L135" s="28">
        <f>IF(OR($A135="",J135=0),"",_xlfn.MAXIFS(Jobs!$B$5:$B$1004,Jobs!$C$5:$C$1004,$A135))</f>
        <v/>
      </c>
      <c r="M135" s="27">
        <f>IF($A135="","",SUMIFS(Jobs!$J$5:$J$1004,Jobs!$C$5:$C$1004,$A135,Jobs!$K$5:$K$1004,"No"))</f>
        <v/>
      </c>
      <c r="N135" s="8">
        <f>IF($A135="","",IF(J135=0,"New",IF(N(M135)&gt;0,"Unpaid","Paid up")))</f>
        <v/>
      </c>
    </row>
    <row r="136">
      <c r="A136" s="6" t="n"/>
      <c r="B136" s="6" t="n"/>
      <c r="C136" s="6" t="n"/>
      <c r="D136" s="6" t="n"/>
      <c r="E136" s="6" t="n"/>
      <c r="F136" s="6" t="n"/>
      <c r="G136" s="25" t="n"/>
      <c r="H136" s="26" t="n"/>
      <c r="I136" s="6" t="n"/>
      <c r="J136" s="15">
        <f>IF($A136="","",COUNTIFS(Jobs!$C$5:$C$1004,$A136))</f>
        <v/>
      </c>
      <c r="K136" s="27">
        <f>IF($A136="","",SUMIFS(Jobs!$J$5:$J$1004,Jobs!$C$5:$C$1004,$A136))</f>
        <v/>
      </c>
      <c r="L136" s="28">
        <f>IF(OR($A136="",J136=0),"",_xlfn.MAXIFS(Jobs!$B$5:$B$1004,Jobs!$C$5:$C$1004,$A136))</f>
        <v/>
      </c>
      <c r="M136" s="27">
        <f>IF($A136="","",SUMIFS(Jobs!$J$5:$J$1004,Jobs!$C$5:$C$1004,$A136,Jobs!$K$5:$K$1004,"No"))</f>
        <v/>
      </c>
      <c r="N136" s="8">
        <f>IF($A136="","",IF(J136=0,"New",IF(N(M136)&gt;0,"Unpaid","Paid up")))</f>
        <v/>
      </c>
    </row>
    <row r="137">
      <c r="A137" s="6" t="n"/>
      <c r="B137" s="6" t="n"/>
      <c r="C137" s="6" t="n"/>
      <c r="D137" s="6" t="n"/>
      <c r="E137" s="6" t="n"/>
      <c r="F137" s="6" t="n"/>
      <c r="G137" s="25" t="n"/>
      <c r="H137" s="26" t="n"/>
      <c r="I137" s="6" t="n"/>
      <c r="J137" s="15">
        <f>IF($A137="","",COUNTIFS(Jobs!$C$5:$C$1004,$A137))</f>
        <v/>
      </c>
      <c r="K137" s="27">
        <f>IF($A137="","",SUMIFS(Jobs!$J$5:$J$1004,Jobs!$C$5:$C$1004,$A137))</f>
        <v/>
      </c>
      <c r="L137" s="28">
        <f>IF(OR($A137="",J137=0),"",_xlfn.MAXIFS(Jobs!$B$5:$B$1004,Jobs!$C$5:$C$1004,$A137))</f>
        <v/>
      </c>
      <c r="M137" s="27">
        <f>IF($A137="","",SUMIFS(Jobs!$J$5:$J$1004,Jobs!$C$5:$C$1004,$A137,Jobs!$K$5:$K$1004,"No"))</f>
        <v/>
      </c>
      <c r="N137" s="8">
        <f>IF($A137="","",IF(J137=0,"New",IF(N(M137)&gt;0,"Unpaid","Paid up")))</f>
        <v/>
      </c>
    </row>
    <row r="138">
      <c r="A138" s="6" t="n"/>
      <c r="B138" s="6" t="n"/>
      <c r="C138" s="6" t="n"/>
      <c r="D138" s="6" t="n"/>
      <c r="E138" s="6" t="n"/>
      <c r="F138" s="6" t="n"/>
      <c r="G138" s="25" t="n"/>
      <c r="H138" s="26" t="n"/>
      <c r="I138" s="6" t="n"/>
      <c r="J138" s="15">
        <f>IF($A138="","",COUNTIFS(Jobs!$C$5:$C$1004,$A138))</f>
        <v/>
      </c>
      <c r="K138" s="27">
        <f>IF($A138="","",SUMIFS(Jobs!$J$5:$J$1004,Jobs!$C$5:$C$1004,$A138))</f>
        <v/>
      </c>
      <c r="L138" s="28">
        <f>IF(OR($A138="",J138=0),"",_xlfn.MAXIFS(Jobs!$B$5:$B$1004,Jobs!$C$5:$C$1004,$A138))</f>
        <v/>
      </c>
      <c r="M138" s="27">
        <f>IF($A138="","",SUMIFS(Jobs!$J$5:$J$1004,Jobs!$C$5:$C$1004,$A138,Jobs!$K$5:$K$1004,"No"))</f>
        <v/>
      </c>
      <c r="N138" s="8">
        <f>IF($A138="","",IF(J138=0,"New",IF(N(M138)&gt;0,"Unpaid","Paid up")))</f>
        <v/>
      </c>
    </row>
    <row r="139">
      <c r="A139" s="6" t="n"/>
      <c r="B139" s="6" t="n"/>
      <c r="C139" s="6" t="n"/>
      <c r="D139" s="6" t="n"/>
      <c r="E139" s="6" t="n"/>
      <c r="F139" s="6" t="n"/>
      <c r="G139" s="25" t="n"/>
      <c r="H139" s="26" t="n"/>
      <c r="I139" s="6" t="n"/>
      <c r="J139" s="15">
        <f>IF($A139="","",COUNTIFS(Jobs!$C$5:$C$1004,$A139))</f>
        <v/>
      </c>
      <c r="K139" s="27">
        <f>IF($A139="","",SUMIFS(Jobs!$J$5:$J$1004,Jobs!$C$5:$C$1004,$A139))</f>
        <v/>
      </c>
      <c r="L139" s="28">
        <f>IF(OR($A139="",J139=0),"",_xlfn.MAXIFS(Jobs!$B$5:$B$1004,Jobs!$C$5:$C$1004,$A139))</f>
        <v/>
      </c>
      <c r="M139" s="27">
        <f>IF($A139="","",SUMIFS(Jobs!$J$5:$J$1004,Jobs!$C$5:$C$1004,$A139,Jobs!$K$5:$K$1004,"No"))</f>
        <v/>
      </c>
      <c r="N139" s="8">
        <f>IF($A139="","",IF(J139=0,"New",IF(N(M139)&gt;0,"Unpaid","Paid up")))</f>
        <v/>
      </c>
    </row>
    <row r="140">
      <c r="A140" s="6" t="n"/>
      <c r="B140" s="6" t="n"/>
      <c r="C140" s="6" t="n"/>
      <c r="D140" s="6" t="n"/>
      <c r="E140" s="6" t="n"/>
      <c r="F140" s="6" t="n"/>
      <c r="G140" s="25" t="n"/>
      <c r="H140" s="26" t="n"/>
      <c r="I140" s="6" t="n"/>
      <c r="J140" s="15">
        <f>IF($A140="","",COUNTIFS(Jobs!$C$5:$C$1004,$A140))</f>
        <v/>
      </c>
      <c r="K140" s="27">
        <f>IF($A140="","",SUMIFS(Jobs!$J$5:$J$1004,Jobs!$C$5:$C$1004,$A140))</f>
        <v/>
      </c>
      <c r="L140" s="28">
        <f>IF(OR($A140="",J140=0),"",_xlfn.MAXIFS(Jobs!$B$5:$B$1004,Jobs!$C$5:$C$1004,$A140))</f>
        <v/>
      </c>
      <c r="M140" s="27">
        <f>IF($A140="","",SUMIFS(Jobs!$J$5:$J$1004,Jobs!$C$5:$C$1004,$A140,Jobs!$K$5:$K$1004,"No"))</f>
        <v/>
      </c>
      <c r="N140" s="8">
        <f>IF($A140="","",IF(J140=0,"New",IF(N(M140)&gt;0,"Unpaid","Paid up")))</f>
        <v/>
      </c>
    </row>
    <row r="141">
      <c r="A141" s="6" t="n"/>
      <c r="B141" s="6" t="n"/>
      <c r="C141" s="6" t="n"/>
      <c r="D141" s="6" t="n"/>
      <c r="E141" s="6" t="n"/>
      <c r="F141" s="6" t="n"/>
      <c r="G141" s="25" t="n"/>
      <c r="H141" s="26" t="n"/>
      <c r="I141" s="6" t="n"/>
      <c r="J141" s="15">
        <f>IF($A141="","",COUNTIFS(Jobs!$C$5:$C$1004,$A141))</f>
        <v/>
      </c>
      <c r="K141" s="27">
        <f>IF($A141="","",SUMIFS(Jobs!$J$5:$J$1004,Jobs!$C$5:$C$1004,$A141))</f>
        <v/>
      </c>
      <c r="L141" s="28">
        <f>IF(OR($A141="",J141=0),"",_xlfn.MAXIFS(Jobs!$B$5:$B$1004,Jobs!$C$5:$C$1004,$A141))</f>
        <v/>
      </c>
      <c r="M141" s="27">
        <f>IF($A141="","",SUMIFS(Jobs!$J$5:$J$1004,Jobs!$C$5:$C$1004,$A141,Jobs!$K$5:$K$1004,"No"))</f>
        <v/>
      </c>
      <c r="N141" s="8">
        <f>IF($A141="","",IF(J141=0,"New",IF(N(M141)&gt;0,"Unpaid","Paid up")))</f>
        <v/>
      </c>
    </row>
    <row r="142">
      <c r="A142" s="6" t="n"/>
      <c r="B142" s="6" t="n"/>
      <c r="C142" s="6" t="n"/>
      <c r="D142" s="6" t="n"/>
      <c r="E142" s="6" t="n"/>
      <c r="F142" s="6" t="n"/>
      <c r="G142" s="25" t="n"/>
      <c r="H142" s="26" t="n"/>
      <c r="I142" s="6" t="n"/>
      <c r="J142" s="15">
        <f>IF($A142="","",COUNTIFS(Jobs!$C$5:$C$1004,$A142))</f>
        <v/>
      </c>
      <c r="K142" s="27">
        <f>IF($A142="","",SUMIFS(Jobs!$J$5:$J$1004,Jobs!$C$5:$C$1004,$A142))</f>
        <v/>
      </c>
      <c r="L142" s="28">
        <f>IF(OR($A142="",J142=0),"",_xlfn.MAXIFS(Jobs!$B$5:$B$1004,Jobs!$C$5:$C$1004,$A142))</f>
        <v/>
      </c>
      <c r="M142" s="27">
        <f>IF($A142="","",SUMIFS(Jobs!$J$5:$J$1004,Jobs!$C$5:$C$1004,$A142,Jobs!$K$5:$K$1004,"No"))</f>
        <v/>
      </c>
      <c r="N142" s="8">
        <f>IF($A142="","",IF(J142=0,"New",IF(N(M142)&gt;0,"Unpaid","Paid up")))</f>
        <v/>
      </c>
    </row>
    <row r="143">
      <c r="A143" s="6" t="n"/>
      <c r="B143" s="6" t="n"/>
      <c r="C143" s="6" t="n"/>
      <c r="D143" s="6" t="n"/>
      <c r="E143" s="6" t="n"/>
      <c r="F143" s="6" t="n"/>
      <c r="G143" s="25" t="n"/>
      <c r="H143" s="26" t="n"/>
      <c r="I143" s="6" t="n"/>
      <c r="J143" s="15">
        <f>IF($A143="","",COUNTIFS(Jobs!$C$5:$C$1004,$A143))</f>
        <v/>
      </c>
      <c r="K143" s="27">
        <f>IF($A143="","",SUMIFS(Jobs!$J$5:$J$1004,Jobs!$C$5:$C$1004,$A143))</f>
        <v/>
      </c>
      <c r="L143" s="28">
        <f>IF(OR($A143="",J143=0),"",_xlfn.MAXIFS(Jobs!$B$5:$B$1004,Jobs!$C$5:$C$1004,$A143))</f>
        <v/>
      </c>
      <c r="M143" s="27">
        <f>IF($A143="","",SUMIFS(Jobs!$J$5:$J$1004,Jobs!$C$5:$C$1004,$A143,Jobs!$K$5:$K$1004,"No"))</f>
        <v/>
      </c>
      <c r="N143" s="8">
        <f>IF($A143="","",IF(J143=0,"New",IF(N(M143)&gt;0,"Unpaid","Paid up")))</f>
        <v/>
      </c>
    </row>
    <row r="144">
      <c r="A144" s="6" t="n"/>
      <c r="B144" s="6" t="n"/>
      <c r="C144" s="6" t="n"/>
      <c r="D144" s="6" t="n"/>
      <c r="E144" s="6" t="n"/>
      <c r="F144" s="6" t="n"/>
      <c r="G144" s="25" t="n"/>
      <c r="H144" s="26" t="n"/>
      <c r="I144" s="6" t="n"/>
      <c r="J144" s="15">
        <f>IF($A144="","",COUNTIFS(Jobs!$C$5:$C$1004,$A144))</f>
        <v/>
      </c>
      <c r="K144" s="27">
        <f>IF($A144="","",SUMIFS(Jobs!$J$5:$J$1004,Jobs!$C$5:$C$1004,$A144))</f>
        <v/>
      </c>
      <c r="L144" s="28">
        <f>IF(OR($A144="",J144=0),"",_xlfn.MAXIFS(Jobs!$B$5:$B$1004,Jobs!$C$5:$C$1004,$A144))</f>
        <v/>
      </c>
      <c r="M144" s="27">
        <f>IF($A144="","",SUMIFS(Jobs!$J$5:$J$1004,Jobs!$C$5:$C$1004,$A144,Jobs!$K$5:$K$1004,"No"))</f>
        <v/>
      </c>
      <c r="N144" s="8">
        <f>IF($A144="","",IF(J144=0,"New",IF(N(M144)&gt;0,"Unpaid","Paid up")))</f>
        <v/>
      </c>
    </row>
    <row r="145">
      <c r="A145" s="6" t="n"/>
      <c r="B145" s="6" t="n"/>
      <c r="C145" s="6" t="n"/>
      <c r="D145" s="6" t="n"/>
      <c r="E145" s="6" t="n"/>
      <c r="F145" s="6" t="n"/>
      <c r="G145" s="25" t="n"/>
      <c r="H145" s="26" t="n"/>
      <c r="I145" s="6" t="n"/>
      <c r="J145" s="15">
        <f>IF($A145="","",COUNTIFS(Jobs!$C$5:$C$1004,$A145))</f>
        <v/>
      </c>
      <c r="K145" s="27">
        <f>IF($A145="","",SUMIFS(Jobs!$J$5:$J$1004,Jobs!$C$5:$C$1004,$A145))</f>
        <v/>
      </c>
      <c r="L145" s="28">
        <f>IF(OR($A145="",J145=0),"",_xlfn.MAXIFS(Jobs!$B$5:$B$1004,Jobs!$C$5:$C$1004,$A145))</f>
        <v/>
      </c>
      <c r="M145" s="27">
        <f>IF($A145="","",SUMIFS(Jobs!$J$5:$J$1004,Jobs!$C$5:$C$1004,$A145,Jobs!$K$5:$K$1004,"No"))</f>
        <v/>
      </c>
      <c r="N145" s="8">
        <f>IF($A145="","",IF(J145=0,"New",IF(N(M145)&gt;0,"Unpaid","Paid up")))</f>
        <v/>
      </c>
    </row>
    <row r="146">
      <c r="A146" s="6" t="n"/>
      <c r="B146" s="6" t="n"/>
      <c r="C146" s="6" t="n"/>
      <c r="D146" s="6" t="n"/>
      <c r="E146" s="6" t="n"/>
      <c r="F146" s="6" t="n"/>
      <c r="G146" s="25" t="n"/>
      <c r="H146" s="26" t="n"/>
      <c r="I146" s="6" t="n"/>
      <c r="J146" s="15">
        <f>IF($A146="","",COUNTIFS(Jobs!$C$5:$C$1004,$A146))</f>
        <v/>
      </c>
      <c r="K146" s="27">
        <f>IF($A146="","",SUMIFS(Jobs!$J$5:$J$1004,Jobs!$C$5:$C$1004,$A146))</f>
        <v/>
      </c>
      <c r="L146" s="28">
        <f>IF(OR($A146="",J146=0),"",_xlfn.MAXIFS(Jobs!$B$5:$B$1004,Jobs!$C$5:$C$1004,$A146))</f>
        <v/>
      </c>
      <c r="M146" s="27">
        <f>IF($A146="","",SUMIFS(Jobs!$J$5:$J$1004,Jobs!$C$5:$C$1004,$A146,Jobs!$K$5:$K$1004,"No"))</f>
        <v/>
      </c>
      <c r="N146" s="8">
        <f>IF($A146="","",IF(J146=0,"New",IF(N(M146)&gt;0,"Unpaid","Paid up")))</f>
        <v/>
      </c>
    </row>
    <row r="147">
      <c r="A147" s="6" t="n"/>
      <c r="B147" s="6" t="n"/>
      <c r="C147" s="6" t="n"/>
      <c r="D147" s="6" t="n"/>
      <c r="E147" s="6" t="n"/>
      <c r="F147" s="6" t="n"/>
      <c r="G147" s="25" t="n"/>
      <c r="H147" s="26" t="n"/>
      <c r="I147" s="6" t="n"/>
      <c r="J147" s="15">
        <f>IF($A147="","",COUNTIFS(Jobs!$C$5:$C$1004,$A147))</f>
        <v/>
      </c>
      <c r="K147" s="27">
        <f>IF($A147="","",SUMIFS(Jobs!$J$5:$J$1004,Jobs!$C$5:$C$1004,$A147))</f>
        <v/>
      </c>
      <c r="L147" s="28">
        <f>IF(OR($A147="",J147=0),"",_xlfn.MAXIFS(Jobs!$B$5:$B$1004,Jobs!$C$5:$C$1004,$A147))</f>
        <v/>
      </c>
      <c r="M147" s="27">
        <f>IF($A147="","",SUMIFS(Jobs!$J$5:$J$1004,Jobs!$C$5:$C$1004,$A147,Jobs!$K$5:$K$1004,"No"))</f>
        <v/>
      </c>
      <c r="N147" s="8">
        <f>IF($A147="","",IF(J147=0,"New",IF(N(M147)&gt;0,"Unpaid","Paid up")))</f>
        <v/>
      </c>
    </row>
    <row r="148">
      <c r="A148" s="6" t="n"/>
      <c r="B148" s="6" t="n"/>
      <c r="C148" s="6" t="n"/>
      <c r="D148" s="6" t="n"/>
      <c r="E148" s="6" t="n"/>
      <c r="F148" s="6" t="n"/>
      <c r="G148" s="25" t="n"/>
      <c r="H148" s="26" t="n"/>
      <c r="I148" s="6" t="n"/>
      <c r="J148" s="15">
        <f>IF($A148="","",COUNTIFS(Jobs!$C$5:$C$1004,$A148))</f>
        <v/>
      </c>
      <c r="K148" s="27">
        <f>IF($A148="","",SUMIFS(Jobs!$J$5:$J$1004,Jobs!$C$5:$C$1004,$A148))</f>
        <v/>
      </c>
      <c r="L148" s="28">
        <f>IF(OR($A148="",J148=0),"",_xlfn.MAXIFS(Jobs!$B$5:$B$1004,Jobs!$C$5:$C$1004,$A148))</f>
        <v/>
      </c>
      <c r="M148" s="27">
        <f>IF($A148="","",SUMIFS(Jobs!$J$5:$J$1004,Jobs!$C$5:$C$1004,$A148,Jobs!$K$5:$K$1004,"No"))</f>
        <v/>
      </c>
      <c r="N148" s="8">
        <f>IF($A148="","",IF(J148=0,"New",IF(N(M148)&gt;0,"Unpaid","Paid up")))</f>
        <v/>
      </c>
    </row>
    <row r="149">
      <c r="A149" s="6" t="n"/>
      <c r="B149" s="6" t="n"/>
      <c r="C149" s="6" t="n"/>
      <c r="D149" s="6" t="n"/>
      <c r="E149" s="6" t="n"/>
      <c r="F149" s="6" t="n"/>
      <c r="G149" s="25" t="n"/>
      <c r="H149" s="26" t="n"/>
      <c r="I149" s="6" t="n"/>
      <c r="J149" s="15">
        <f>IF($A149="","",COUNTIFS(Jobs!$C$5:$C$1004,$A149))</f>
        <v/>
      </c>
      <c r="K149" s="27">
        <f>IF($A149="","",SUMIFS(Jobs!$J$5:$J$1004,Jobs!$C$5:$C$1004,$A149))</f>
        <v/>
      </c>
      <c r="L149" s="28">
        <f>IF(OR($A149="",J149=0),"",_xlfn.MAXIFS(Jobs!$B$5:$B$1004,Jobs!$C$5:$C$1004,$A149))</f>
        <v/>
      </c>
      <c r="M149" s="27">
        <f>IF($A149="","",SUMIFS(Jobs!$J$5:$J$1004,Jobs!$C$5:$C$1004,$A149,Jobs!$K$5:$K$1004,"No"))</f>
        <v/>
      </c>
      <c r="N149" s="8">
        <f>IF($A149="","",IF(J149=0,"New",IF(N(M149)&gt;0,"Unpaid","Paid up")))</f>
        <v/>
      </c>
    </row>
    <row r="150">
      <c r="A150" s="6" t="n"/>
      <c r="B150" s="6" t="n"/>
      <c r="C150" s="6" t="n"/>
      <c r="D150" s="6" t="n"/>
      <c r="E150" s="6" t="n"/>
      <c r="F150" s="6" t="n"/>
      <c r="G150" s="25" t="n"/>
      <c r="H150" s="26" t="n"/>
      <c r="I150" s="6" t="n"/>
      <c r="J150" s="15">
        <f>IF($A150="","",COUNTIFS(Jobs!$C$5:$C$1004,$A150))</f>
        <v/>
      </c>
      <c r="K150" s="27">
        <f>IF($A150="","",SUMIFS(Jobs!$J$5:$J$1004,Jobs!$C$5:$C$1004,$A150))</f>
        <v/>
      </c>
      <c r="L150" s="28">
        <f>IF(OR($A150="",J150=0),"",_xlfn.MAXIFS(Jobs!$B$5:$B$1004,Jobs!$C$5:$C$1004,$A150))</f>
        <v/>
      </c>
      <c r="M150" s="27">
        <f>IF($A150="","",SUMIFS(Jobs!$J$5:$J$1004,Jobs!$C$5:$C$1004,$A150,Jobs!$K$5:$K$1004,"No"))</f>
        <v/>
      </c>
      <c r="N150" s="8">
        <f>IF($A150="","",IF(J150=0,"New",IF(N(M150)&gt;0,"Unpaid","Paid up")))</f>
        <v/>
      </c>
    </row>
    <row r="151">
      <c r="A151" s="6" t="n"/>
      <c r="B151" s="6" t="n"/>
      <c r="C151" s="6" t="n"/>
      <c r="D151" s="6" t="n"/>
      <c r="E151" s="6" t="n"/>
      <c r="F151" s="6" t="n"/>
      <c r="G151" s="25" t="n"/>
      <c r="H151" s="26" t="n"/>
      <c r="I151" s="6" t="n"/>
      <c r="J151" s="15">
        <f>IF($A151="","",COUNTIFS(Jobs!$C$5:$C$1004,$A151))</f>
        <v/>
      </c>
      <c r="K151" s="27">
        <f>IF($A151="","",SUMIFS(Jobs!$J$5:$J$1004,Jobs!$C$5:$C$1004,$A151))</f>
        <v/>
      </c>
      <c r="L151" s="28">
        <f>IF(OR($A151="",J151=0),"",_xlfn.MAXIFS(Jobs!$B$5:$B$1004,Jobs!$C$5:$C$1004,$A151))</f>
        <v/>
      </c>
      <c r="M151" s="27">
        <f>IF($A151="","",SUMIFS(Jobs!$J$5:$J$1004,Jobs!$C$5:$C$1004,$A151,Jobs!$K$5:$K$1004,"No"))</f>
        <v/>
      </c>
      <c r="N151" s="8">
        <f>IF($A151="","",IF(J151=0,"New",IF(N(M151)&gt;0,"Unpaid","Paid up")))</f>
        <v/>
      </c>
    </row>
    <row r="152">
      <c r="A152" s="6" t="n"/>
      <c r="B152" s="6" t="n"/>
      <c r="C152" s="6" t="n"/>
      <c r="D152" s="6" t="n"/>
      <c r="E152" s="6" t="n"/>
      <c r="F152" s="6" t="n"/>
      <c r="G152" s="25" t="n"/>
      <c r="H152" s="26" t="n"/>
      <c r="I152" s="6" t="n"/>
      <c r="J152" s="15">
        <f>IF($A152="","",COUNTIFS(Jobs!$C$5:$C$1004,$A152))</f>
        <v/>
      </c>
      <c r="K152" s="27">
        <f>IF($A152="","",SUMIFS(Jobs!$J$5:$J$1004,Jobs!$C$5:$C$1004,$A152))</f>
        <v/>
      </c>
      <c r="L152" s="28">
        <f>IF(OR($A152="",J152=0),"",_xlfn.MAXIFS(Jobs!$B$5:$B$1004,Jobs!$C$5:$C$1004,$A152))</f>
        <v/>
      </c>
      <c r="M152" s="27">
        <f>IF($A152="","",SUMIFS(Jobs!$J$5:$J$1004,Jobs!$C$5:$C$1004,$A152,Jobs!$K$5:$K$1004,"No"))</f>
        <v/>
      </c>
      <c r="N152" s="8">
        <f>IF($A152="","",IF(J152=0,"New",IF(N(M152)&gt;0,"Unpaid","Paid up")))</f>
        <v/>
      </c>
    </row>
    <row r="153">
      <c r="A153" s="6" t="n"/>
      <c r="B153" s="6" t="n"/>
      <c r="C153" s="6" t="n"/>
      <c r="D153" s="6" t="n"/>
      <c r="E153" s="6" t="n"/>
      <c r="F153" s="6" t="n"/>
      <c r="G153" s="25" t="n"/>
      <c r="H153" s="26" t="n"/>
      <c r="I153" s="6" t="n"/>
      <c r="J153" s="15">
        <f>IF($A153="","",COUNTIFS(Jobs!$C$5:$C$1004,$A153))</f>
        <v/>
      </c>
      <c r="K153" s="27">
        <f>IF($A153="","",SUMIFS(Jobs!$J$5:$J$1004,Jobs!$C$5:$C$1004,$A153))</f>
        <v/>
      </c>
      <c r="L153" s="28">
        <f>IF(OR($A153="",J153=0),"",_xlfn.MAXIFS(Jobs!$B$5:$B$1004,Jobs!$C$5:$C$1004,$A153))</f>
        <v/>
      </c>
      <c r="M153" s="27">
        <f>IF($A153="","",SUMIFS(Jobs!$J$5:$J$1004,Jobs!$C$5:$C$1004,$A153,Jobs!$K$5:$K$1004,"No"))</f>
        <v/>
      </c>
      <c r="N153" s="8">
        <f>IF($A153="","",IF(J153=0,"New",IF(N(M153)&gt;0,"Unpaid","Paid up")))</f>
        <v/>
      </c>
    </row>
    <row r="154">
      <c r="A154" s="6" t="n"/>
      <c r="B154" s="6" t="n"/>
      <c r="C154" s="6" t="n"/>
      <c r="D154" s="6" t="n"/>
      <c r="E154" s="6" t="n"/>
      <c r="F154" s="6" t="n"/>
      <c r="G154" s="25" t="n"/>
      <c r="H154" s="26" t="n"/>
      <c r="I154" s="6" t="n"/>
      <c r="J154" s="15">
        <f>IF($A154="","",COUNTIFS(Jobs!$C$5:$C$1004,$A154))</f>
        <v/>
      </c>
      <c r="K154" s="27">
        <f>IF($A154="","",SUMIFS(Jobs!$J$5:$J$1004,Jobs!$C$5:$C$1004,$A154))</f>
        <v/>
      </c>
      <c r="L154" s="28">
        <f>IF(OR($A154="",J154=0),"",_xlfn.MAXIFS(Jobs!$B$5:$B$1004,Jobs!$C$5:$C$1004,$A154))</f>
        <v/>
      </c>
      <c r="M154" s="27">
        <f>IF($A154="","",SUMIFS(Jobs!$J$5:$J$1004,Jobs!$C$5:$C$1004,$A154,Jobs!$K$5:$K$1004,"No"))</f>
        <v/>
      </c>
      <c r="N154" s="8">
        <f>IF($A154="","",IF(J154=0,"New",IF(N(M154)&gt;0,"Unpaid","Paid up")))</f>
        <v/>
      </c>
    </row>
    <row r="155">
      <c r="A155" s="6" t="n"/>
      <c r="B155" s="6" t="n"/>
      <c r="C155" s="6" t="n"/>
      <c r="D155" s="6" t="n"/>
      <c r="E155" s="6" t="n"/>
      <c r="F155" s="6" t="n"/>
      <c r="G155" s="25" t="n"/>
      <c r="H155" s="26" t="n"/>
      <c r="I155" s="6" t="n"/>
      <c r="J155" s="15">
        <f>IF($A155="","",COUNTIFS(Jobs!$C$5:$C$1004,$A155))</f>
        <v/>
      </c>
      <c r="K155" s="27">
        <f>IF($A155="","",SUMIFS(Jobs!$J$5:$J$1004,Jobs!$C$5:$C$1004,$A155))</f>
        <v/>
      </c>
      <c r="L155" s="28">
        <f>IF(OR($A155="",J155=0),"",_xlfn.MAXIFS(Jobs!$B$5:$B$1004,Jobs!$C$5:$C$1004,$A155))</f>
        <v/>
      </c>
      <c r="M155" s="27">
        <f>IF($A155="","",SUMIFS(Jobs!$J$5:$J$1004,Jobs!$C$5:$C$1004,$A155,Jobs!$K$5:$K$1004,"No"))</f>
        <v/>
      </c>
      <c r="N155" s="8">
        <f>IF($A155="","",IF(J155=0,"New",IF(N(M155)&gt;0,"Unpaid","Paid up")))</f>
        <v/>
      </c>
    </row>
    <row r="156">
      <c r="A156" s="6" t="n"/>
      <c r="B156" s="6" t="n"/>
      <c r="C156" s="6" t="n"/>
      <c r="D156" s="6" t="n"/>
      <c r="E156" s="6" t="n"/>
      <c r="F156" s="6" t="n"/>
      <c r="G156" s="25" t="n"/>
      <c r="H156" s="26" t="n"/>
      <c r="I156" s="6" t="n"/>
      <c r="J156" s="15">
        <f>IF($A156="","",COUNTIFS(Jobs!$C$5:$C$1004,$A156))</f>
        <v/>
      </c>
      <c r="K156" s="27">
        <f>IF($A156="","",SUMIFS(Jobs!$J$5:$J$1004,Jobs!$C$5:$C$1004,$A156))</f>
        <v/>
      </c>
      <c r="L156" s="28">
        <f>IF(OR($A156="",J156=0),"",_xlfn.MAXIFS(Jobs!$B$5:$B$1004,Jobs!$C$5:$C$1004,$A156))</f>
        <v/>
      </c>
      <c r="M156" s="27">
        <f>IF($A156="","",SUMIFS(Jobs!$J$5:$J$1004,Jobs!$C$5:$C$1004,$A156,Jobs!$K$5:$K$1004,"No"))</f>
        <v/>
      </c>
      <c r="N156" s="8">
        <f>IF($A156="","",IF(J156=0,"New",IF(N(M156)&gt;0,"Unpaid","Paid up")))</f>
        <v/>
      </c>
    </row>
    <row r="157">
      <c r="A157" s="6" t="n"/>
      <c r="B157" s="6" t="n"/>
      <c r="C157" s="6" t="n"/>
      <c r="D157" s="6" t="n"/>
      <c r="E157" s="6" t="n"/>
      <c r="F157" s="6" t="n"/>
      <c r="G157" s="25" t="n"/>
      <c r="H157" s="26" t="n"/>
      <c r="I157" s="6" t="n"/>
      <c r="J157" s="15">
        <f>IF($A157="","",COUNTIFS(Jobs!$C$5:$C$1004,$A157))</f>
        <v/>
      </c>
      <c r="K157" s="27">
        <f>IF($A157="","",SUMIFS(Jobs!$J$5:$J$1004,Jobs!$C$5:$C$1004,$A157))</f>
        <v/>
      </c>
      <c r="L157" s="28">
        <f>IF(OR($A157="",J157=0),"",_xlfn.MAXIFS(Jobs!$B$5:$B$1004,Jobs!$C$5:$C$1004,$A157))</f>
        <v/>
      </c>
      <c r="M157" s="27">
        <f>IF($A157="","",SUMIFS(Jobs!$J$5:$J$1004,Jobs!$C$5:$C$1004,$A157,Jobs!$K$5:$K$1004,"No"))</f>
        <v/>
      </c>
      <c r="N157" s="8">
        <f>IF($A157="","",IF(J157=0,"New",IF(N(M157)&gt;0,"Unpaid","Paid up")))</f>
        <v/>
      </c>
    </row>
    <row r="158">
      <c r="A158" s="6" t="n"/>
      <c r="B158" s="6" t="n"/>
      <c r="C158" s="6" t="n"/>
      <c r="D158" s="6" t="n"/>
      <c r="E158" s="6" t="n"/>
      <c r="F158" s="6" t="n"/>
      <c r="G158" s="25" t="n"/>
      <c r="H158" s="26" t="n"/>
      <c r="I158" s="6" t="n"/>
      <c r="J158" s="15">
        <f>IF($A158="","",COUNTIFS(Jobs!$C$5:$C$1004,$A158))</f>
        <v/>
      </c>
      <c r="K158" s="27">
        <f>IF($A158="","",SUMIFS(Jobs!$J$5:$J$1004,Jobs!$C$5:$C$1004,$A158))</f>
        <v/>
      </c>
      <c r="L158" s="28">
        <f>IF(OR($A158="",J158=0),"",_xlfn.MAXIFS(Jobs!$B$5:$B$1004,Jobs!$C$5:$C$1004,$A158))</f>
        <v/>
      </c>
      <c r="M158" s="27">
        <f>IF($A158="","",SUMIFS(Jobs!$J$5:$J$1004,Jobs!$C$5:$C$1004,$A158,Jobs!$K$5:$K$1004,"No"))</f>
        <v/>
      </c>
      <c r="N158" s="8">
        <f>IF($A158="","",IF(J158=0,"New",IF(N(M158)&gt;0,"Unpaid","Paid up")))</f>
        <v/>
      </c>
    </row>
    <row r="159">
      <c r="A159" s="6" t="n"/>
      <c r="B159" s="6" t="n"/>
      <c r="C159" s="6" t="n"/>
      <c r="D159" s="6" t="n"/>
      <c r="E159" s="6" t="n"/>
      <c r="F159" s="6" t="n"/>
      <c r="G159" s="25" t="n"/>
      <c r="H159" s="26" t="n"/>
      <c r="I159" s="6" t="n"/>
      <c r="J159" s="15">
        <f>IF($A159="","",COUNTIFS(Jobs!$C$5:$C$1004,$A159))</f>
        <v/>
      </c>
      <c r="K159" s="27">
        <f>IF($A159="","",SUMIFS(Jobs!$J$5:$J$1004,Jobs!$C$5:$C$1004,$A159))</f>
        <v/>
      </c>
      <c r="L159" s="28">
        <f>IF(OR($A159="",J159=0),"",_xlfn.MAXIFS(Jobs!$B$5:$B$1004,Jobs!$C$5:$C$1004,$A159))</f>
        <v/>
      </c>
      <c r="M159" s="27">
        <f>IF($A159="","",SUMIFS(Jobs!$J$5:$J$1004,Jobs!$C$5:$C$1004,$A159,Jobs!$K$5:$K$1004,"No"))</f>
        <v/>
      </c>
      <c r="N159" s="8">
        <f>IF($A159="","",IF(J159=0,"New",IF(N(M159)&gt;0,"Unpaid","Paid up")))</f>
        <v/>
      </c>
    </row>
    <row r="160">
      <c r="A160" s="6" t="n"/>
      <c r="B160" s="6" t="n"/>
      <c r="C160" s="6" t="n"/>
      <c r="D160" s="6" t="n"/>
      <c r="E160" s="6" t="n"/>
      <c r="F160" s="6" t="n"/>
      <c r="G160" s="25" t="n"/>
      <c r="H160" s="26" t="n"/>
      <c r="I160" s="6" t="n"/>
      <c r="J160" s="15">
        <f>IF($A160="","",COUNTIFS(Jobs!$C$5:$C$1004,$A160))</f>
        <v/>
      </c>
      <c r="K160" s="27">
        <f>IF($A160="","",SUMIFS(Jobs!$J$5:$J$1004,Jobs!$C$5:$C$1004,$A160))</f>
        <v/>
      </c>
      <c r="L160" s="28">
        <f>IF(OR($A160="",J160=0),"",_xlfn.MAXIFS(Jobs!$B$5:$B$1004,Jobs!$C$5:$C$1004,$A160))</f>
        <v/>
      </c>
      <c r="M160" s="27">
        <f>IF($A160="","",SUMIFS(Jobs!$J$5:$J$1004,Jobs!$C$5:$C$1004,$A160,Jobs!$K$5:$K$1004,"No"))</f>
        <v/>
      </c>
      <c r="N160" s="8">
        <f>IF($A160="","",IF(J160=0,"New",IF(N(M160)&gt;0,"Unpaid","Paid up")))</f>
        <v/>
      </c>
    </row>
    <row r="161">
      <c r="A161" s="6" t="n"/>
      <c r="B161" s="6" t="n"/>
      <c r="C161" s="6" t="n"/>
      <c r="D161" s="6" t="n"/>
      <c r="E161" s="6" t="n"/>
      <c r="F161" s="6" t="n"/>
      <c r="G161" s="25" t="n"/>
      <c r="H161" s="26" t="n"/>
      <c r="I161" s="6" t="n"/>
      <c r="J161" s="15">
        <f>IF($A161="","",COUNTIFS(Jobs!$C$5:$C$1004,$A161))</f>
        <v/>
      </c>
      <c r="K161" s="27">
        <f>IF($A161="","",SUMIFS(Jobs!$J$5:$J$1004,Jobs!$C$5:$C$1004,$A161))</f>
        <v/>
      </c>
      <c r="L161" s="28">
        <f>IF(OR($A161="",J161=0),"",_xlfn.MAXIFS(Jobs!$B$5:$B$1004,Jobs!$C$5:$C$1004,$A161))</f>
        <v/>
      </c>
      <c r="M161" s="27">
        <f>IF($A161="","",SUMIFS(Jobs!$J$5:$J$1004,Jobs!$C$5:$C$1004,$A161,Jobs!$K$5:$K$1004,"No"))</f>
        <v/>
      </c>
      <c r="N161" s="8">
        <f>IF($A161="","",IF(J161=0,"New",IF(N(M161)&gt;0,"Unpaid","Paid up")))</f>
        <v/>
      </c>
    </row>
    <row r="162">
      <c r="A162" s="6" t="n"/>
      <c r="B162" s="6" t="n"/>
      <c r="C162" s="6" t="n"/>
      <c r="D162" s="6" t="n"/>
      <c r="E162" s="6" t="n"/>
      <c r="F162" s="6" t="n"/>
      <c r="G162" s="25" t="n"/>
      <c r="H162" s="26" t="n"/>
      <c r="I162" s="6" t="n"/>
      <c r="J162" s="15">
        <f>IF($A162="","",COUNTIFS(Jobs!$C$5:$C$1004,$A162))</f>
        <v/>
      </c>
      <c r="K162" s="27">
        <f>IF($A162="","",SUMIFS(Jobs!$J$5:$J$1004,Jobs!$C$5:$C$1004,$A162))</f>
        <v/>
      </c>
      <c r="L162" s="28">
        <f>IF(OR($A162="",J162=0),"",_xlfn.MAXIFS(Jobs!$B$5:$B$1004,Jobs!$C$5:$C$1004,$A162))</f>
        <v/>
      </c>
      <c r="M162" s="27">
        <f>IF($A162="","",SUMIFS(Jobs!$J$5:$J$1004,Jobs!$C$5:$C$1004,$A162,Jobs!$K$5:$K$1004,"No"))</f>
        <v/>
      </c>
      <c r="N162" s="8">
        <f>IF($A162="","",IF(J162=0,"New",IF(N(M162)&gt;0,"Unpaid","Paid up")))</f>
        <v/>
      </c>
    </row>
    <row r="163">
      <c r="A163" s="6" t="n"/>
      <c r="B163" s="6" t="n"/>
      <c r="C163" s="6" t="n"/>
      <c r="D163" s="6" t="n"/>
      <c r="E163" s="6" t="n"/>
      <c r="F163" s="6" t="n"/>
      <c r="G163" s="25" t="n"/>
      <c r="H163" s="26" t="n"/>
      <c r="I163" s="6" t="n"/>
      <c r="J163" s="15">
        <f>IF($A163="","",COUNTIFS(Jobs!$C$5:$C$1004,$A163))</f>
        <v/>
      </c>
      <c r="K163" s="27">
        <f>IF($A163="","",SUMIFS(Jobs!$J$5:$J$1004,Jobs!$C$5:$C$1004,$A163))</f>
        <v/>
      </c>
      <c r="L163" s="28">
        <f>IF(OR($A163="",J163=0),"",_xlfn.MAXIFS(Jobs!$B$5:$B$1004,Jobs!$C$5:$C$1004,$A163))</f>
        <v/>
      </c>
      <c r="M163" s="27">
        <f>IF($A163="","",SUMIFS(Jobs!$J$5:$J$1004,Jobs!$C$5:$C$1004,$A163,Jobs!$K$5:$K$1004,"No"))</f>
        <v/>
      </c>
      <c r="N163" s="8">
        <f>IF($A163="","",IF(J163=0,"New",IF(N(M163)&gt;0,"Unpaid","Paid up")))</f>
        <v/>
      </c>
    </row>
    <row r="164">
      <c r="A164" s="6" t="n"/>
      <c r="B164" s="6" t="n"/>
      <c r="C164" s="6" t="n"/>
      <c r="D164" s="6" t="n"/>
      <c r="E164" s="6" t="n"/>
      <c r="F164" s="6" t="n"/>
      <c r="G164" s="25" t="n"/>
      <c r="H164" s="26" t="n"/>
      <c r="I164" s="6" t="n"/>
      <c r="J164" s="15">
        <f>IF($A164="","",COUNTIFS(Jobs!$C$5:$C$1004,$A164))</f>
        <v/>
      </c>
      <c r="K164" s="27">
        <f>IF($A164="","",SUMIFS(Jobs!$J$5:$J$1004,Jobs!$C$5:$C$1004,$A164))</f>
        <v/>
      </c>
      <c r="L164" s="28">
        <f>IF(OR($A164="",J164=0),"",_xlfn.MAXIFS(Jobs!$B$5:$B$1004,Jobs!$C$5:$C$1004,$A164))</f>
        <v/>
      </c>
      <c r="M164" s="27">
        <f>IF($A164="","",SUMIFS(Jobs!$J$5:$J$1004,Jobs!$C$5:$C$1004,$A164,Jobs!$K$5:$K$1004,"No"))</f>
        <v/>
      </c>
      <c r="N164" s="8">
        <f>IF($A164="","",IF(J164=0,"New",IF(N(M164)&gt;0,"Unpaid","Paid up")))</f>
        <v/>
      </c>
    </row>
    <row r="165">
      <c r="A165" s="6" t="n"/>
      <c r="B165" s="6" t="n"/>
      <c r="C165" s="6" t="n"/>
      <c r="D165" s="6" t="n"/>
      <c r="E165" s="6" t="n"/>
      <c r="F165" s="6" t="n"/>
      <c r="G165" s="25" t="n"/>
      <c r="H165" s="26" t="n"/>
      <c r="I165" s="6" t="n"/>
      <c r="J165" s="15">
        <f>IF($A165="","",COUNTIFS(Jobs!$C$5:$C$1004,$A165))</f>
        <v/>
      </c>
      <c r="K165" s="27">
        <f>IF($A165="","",SUMIFS(Jobs!$J$5:$J$1004,Jobs!$C$5:$C$1004,$A165))</f>
        <v/>
      </c>
      <c r="L165" s="28">
        <f>IF(OR($A165="",J165=0),"",_xlfn.MAXIFS(Jobs!$B$5:$B$1004,Jobs!$C$5:$C$1004,$A165))</f>
        <v/>
      </c>
      <c r="M165" s="27">
        <f>IF($A165="","",SUMIFS(Jobs!$J$5:$J$1004,Jobs!$C$5:$C$1004,$A165,Jobs!$K$5:$K$1004,"No"))</f>
        <v/>
      </c>
      <c r="N165" s="8">
        <f>IF($A165="","",IF(J165=0,"New",IF(N(M165)&gt;0,"Unpaid","Paid up")))</f>
        <v/>
      </c>
    </row>
    <row r="166">
      <c r="A166" s="6" t="n"/>
      <c r="B166" s="6" t="n"/>
      <c r="C166" s="6" t="n"/>
      <c r="D166" s="6" t="n"/>
      <c r="E166" s="6" t="n"/>
      <c r="F166" s="6" t="n"/>
      <c r="G166" s="25" t="n"/>
      <c r="H166" s="26" t="n"/>
      <c r="I166" s="6" t="n"/>
      <c r="J166" s="15">
        <f>IF($A166="","",COUNTIFS(Jobs!$C$5:$C$1004,$A166))</f>
        <v/>
      </c>
      <c r="K166" s="27">
        <f>IF($A166="","",SUMIFS(Jobs!$J$5:$J$1004,Jobs!$C$5:$C$1004,$A166))</f>
        <v/>
      </c>
      <c r="L166" s="28">
        <f>IF(OR($A166="",J166=0),"",_xlfn.MAXIFS(Jobs!$B$5:$B$1004,Jobs!$C$5:$C$1004,$A166))</f>
        <v/>
      </c>
      <c r="M166" s="27">
        <f>IF($A166="","",SUMIFS(Jobs!$J$5:$J$1004,Jobs!$C$5:$C$1004,$A166,Jobs!$K$5:$K$1004,"No"))</f>
        <v/>
      </c>
      <c r="N166" s="8">
        <f>IF($A166="","",IF(J166=0,"New",IF(N(M166)&gt;0,"Unpaid","Paid up")))</f>
        <v/>
      </c>
    </row>
    <row r="167">
      <c r="A167" s="6" t="n"/>
      <c r="B167" s="6" t="n"/>
      <c r="C167" s="6" t="n"/>
      <c r="D167" s="6" t="n"/>
      <c r="E167" s="6" t="n"/>
      <c r="F167" s="6" t="n"/>
      <c r="G167" s="25" t="n"/>
      <c r="H167" s="26" t="n"/>
      <c r="I167" s="6" t="n"/>
      <c r="J167" s="15">
        <f>IF($A167="","",COUNTIFS(Jobs!$C$5:$C$1004,$A167))</f>
        <v/>
      </c>
      <c r="K167" s="27">
        <f>IF($A167="","",SUMIFS(Jobs!$J$5:$J$1004,Jobs!$C$5:$C$1004,$A167))</f>
        <v/>
      </c>
      <c r="L167" s="28">
        <f>IF(OR($A167="",J167=0),"",_xlfn.MAXIFS(Jobs!$B$5:$B$1004,Jobs!$C$5:$C$1004,$A167))</f>
        <v/>
      </c>
      <c r="M167" s="27">
        <f>IF($A167="","",SUMIFS(Jobs!$J$5:$J$1004,Jobs!$C$5:$C$1004,$A167,Jobs!$K$5:$K$1004,"No"))</f>
        <v/>
      </c>
      <c r="N167" s="8">
        <f>IF($A167="","",IF(J167=0,"New",IF(N(M167)&gt;0,"Unpaid","Paid up")))</f>
        <v/>
      </c>
    </row>
    <row r="168">
      <c r="A168" s="6" t="n"/>
      <c r="B168" s="6" t="n"/>
      <c r="C168" s="6" t="n"/>
      <c r="D168" s="6" t="n"/>
      <c r="E168" s="6" t="n"/>
      <c r="F168" s="6" t="n"/>
      <c r="G168" s="25" t="n"/>
      <c r="H168" s="26" t="n"/>
      <c r="I168" s="6" t="n"/>
      <c r="J168" s="15">
        <f>IF($A168="","",COUNTIFS(Jobs!$C$5:$C$1004,$A168))</f>
        <v/>
      </c>
      <c r="K168" s="27">
        <f>IF($A168="","",SUMIFS(Jobs!$J$5:$J$1004,Jobs!$C$5:$C$1004,$A168))</f>
        <v/>
      </c>
      <c r="L168" s="28">
        <f>IF(OR($A168="",J168=0),"",_xlfn.MAXIFS(Jobs!$B$5:$B$1004,Jobs!$C$5:$C$1004,$A168))</f>
        <v/>
      </c>
      <c r="M168" s="27">
        <f>IF($A168="","",SUMIFS(Jobs!$J$5:$J$1004,Jobs!$C$5:$C$1004,$A168,Jobs!$K$5:$K$1004,"No"))</f>
        <v/>
      </c>
      <c r="N168" s="8">
        <f>IF($A168="","",IF(J168=0,"New",IF(N(M168)&gt;0,"Unpaid","Paid up")))</f>
        <v/>
      </c>
    </row>
    <row r="169">
      <c r="A169" s="6" t="n"/>
      <c r="B169" s="6" t="n"/>
      <c r="C169" s="6" t="n"/>
      <c r="D169" s="6" t="n"/>
      <c r="E169" s="6" t="n"/>
      <c r="F169" s="6" t="n"/>
      <c r="G169" s="25" t="n"/>
      <c r="H169" s="26" t="n"/>
      <c r="I169" s="6" t="n"/>
      <c r="J169" s="15">
        <f>IF($A169="","",COUNTIFS(Jobs!$C$5:$C$1004,$A169))</f>
        <v/>
      </c>
      <c r="K169" s="27">
        <f>IF($A169="","",SUMIFS(Jobs!$J$5:$J$1004,Jobs!$C$5:$C$1004,$A169))</f>
        <v/>
      </c>
      <c r="L169" s="28">
        <f>IF(OR($A169="",J169=0),"",_xlfn.MAXIFS(Jobs!$B$5:$B$1004,Jobs!$C$5:$C$1004,$A169))</f>
        <v/>
      </c>
      <c r="M169" s="27">
        <f>IF($A169="","",SUMIFS(Jobs!$J$5:$J$1004,Jobs!$C$5:$C$1004,$A169,Jobs!$K$5:$K$1004,"No"))</f>
        <v/>
      </c>
      <c r="N169" s="8">
        <f>IF($A169="","",IF(J169=0,"New",IF(N(M169)&gt;0,"Unpaid","Paid up")))</f>
        <v/>
      </c>
    </row>
    <row r="170">
      <c r="A170" s="6" t="n"/>
      <c r="B170" s="6" t="n"/>
      <c r="C170" s="6" t="n"/>
      <c r="D170" s="6" t="n"/>
      <c r="E170" s="6" t="n"/>
      <c r="F170" s="6" t="n"/>
      <c r="G170" s="25" t="n"/>
      <c r="H170" s="26" t="n"/>
      <c r="I170" s="6" t="n"/>
      <c r="J170" s="15">
        <f>IF($A170="","",COUNTIFS(Jobs!$C$5:$C$1004,$A170))</f>
        <v/>
      </c>
      <c r="K170" s="27">
        <f>IF($A170="","",SUMIFS(Jobs!$J$5:$J$1004,Jobs!$C$5:$C$1004,$A170))</f>
        <v/>
      </c>
      <c r="L170" s="28">
        <f>IF(OR($A170="",J170=0),"",_xlfn.MAXIFS(Jobs!$B$5:$B$1004,Jobs!$C$5:$C$1004,$A170))</f>
        <v/>
      </c>
      <c r="M170" s="27">
        <f>IF($A170="","",SUMIFS(Jobs!$J$5:$J$1004,Jobs!$C$5:$C$1004,$A170,Jobs!$K$5:$K$1004,"No"))</f>
        <v/>
      </c>
      <c r="N170" s="8">
        <f>IF($A170="","",IF(J170=0,"New",IF(N(M170)&gt;0,"Unpaid","Paid up")))</f>
        <v/>
      </c>
    </row>
    <row r="171">
      <c r="A171" s="6" t="n"/>
      <c r="B171" s="6" t="n"/>
      <c r="C171" s="6" t="n"/>
      <c r="D171" s="6" t="n"/>
      <c r="E171" s="6" t="n"/>
      <c r="F171" s="6" t="n"/>
      <c r="G171" s="25" t="n"/>
      <c r="H171" s="26" t="n"/>
      <c r="I171" s="6" t="n"/>
      <c r="J171" s="15">
        <f>IF($A171="","",COUNTIFS(Jobs!$C$5:$C$1004,$A171))</f>
        <v/>
      </c>
      <c r="K171" s="27">
        <f>IF($A171="","",SUMIFS(Jobs!$J$5:$J$1004,Jobs!$C$5:$C$1004,$A171))</f>
        <v/>
      </c>
      <c r="L171" s="28">
        <f>IF(OR($A171="",J171=0),"",_xlfn.MAXIFS(Jobs!$B$5:$B$1004,Jobs!$C$5:$C$1004,$A171))</f>
        <v/>
      </c>
      <c r="M171" s="27">
        <f>IF($A171="","",SUMIFS(Jobs!$J$5:$J$1004,Jobs!$C$5:$C$1004,$A171,Jobs!$K$5:$K$1004,"No"))</f>
        <v/>
      </c>
      <c r="N171" s="8">
        <f>IF($A171="","",IF(J171=0,"New",IF(N(M171)&gt;0,"Unpaid","Paid up")))</f>
        <v/>
      </c>
    </row>
    <row r="172">
      <c r="A172" s="6" t="n"/>
      <c r="B172" s="6" t="n"/>
      <c r="C172" s="6" t="n"/>
      <c r="D172" s="6" t="n"/>
      <c r="E172" s="6" t="n"/>
      <c r="F172" s="6" t="n"/>
      <c r="G172" s="25" t="n"/>
      <c r="H172" s="26" t="n"/>
      <c r="I172" s="6" t="n"/>
      <c r="J172" s="15">
        <f>IF($A172="","",COUNTIFS(Jobs!$C$5:$C$1004,$A172))</f>
        <v/>
      </c>
      <c r="K172" s="27">
        <f>IF($A172="","",SUMIFS(Jobs!$J$5:$J$1004,Jobs!$C$5:$C$1004,$A172))</f>
        <v/>
      </c>
      <c r="L172" s="28">
        <f>IF(OR($A172="",J172=0),"",_xlfn.MAXIFS(Jobs!$B$5:$B$1004,Jobs!$C$5:$C$1004,$A172))</f>
        <v/>
      </c>
      <c r="M172" s="27">
        <f>IF($A172="","",SUMIFS(Jobs!$J$5:$J$1004,Jobs!$C$5:$C$1004,$A172,Jobs!$K$5:$K$1004,"No"))</f>
        <v/>
      </c>
      <c r="N172" s="8">
        <f>IF($A172="","",IF(J172=0,"New",IF(N(M172)&gt;0,"Unpaid","Paid up")))</f>
        <v/>
      </c>
    </row>
    <row r="173">
      <c r="A173" s="6" t="n"/>
      <c r="B173" s="6" t="n"/>
      <c r="C173" s="6" t="n"/>
      <c r="D173" s="6" t="n"/>
      <c r="E173" s="6" t="n"/>
      <c r="F173" s="6" t="n"/>
      <c r="G173" s="25" t="n"/>
      <c r="H173" s="26" t="n"/>
      <c r="I173" s="6" t="n"/>
      <c r="J173" s="15">
        <f>IF($A173="","",COUNTIFS(Jobs!$C$5:$C$1004,$A173))</f>
        <v/>
      </c>
      <c r="K173" s="27">
        <f>IF($A173="","",SUMIFS(Jobs!$J$5:$J$1004,Jobs!$C$5:$C$1004,$A173))</f>
        <v/>
      </c>
      <c r="L173" s="28">
        <f>IF(OR($A173="",J173=0),"",_xlfn.MAXIFS(Jobs!$B$5:$B$1004,Jobs!$C$5:$C$1004,$A173))</f>
        <v/>
      </c>
      <c r="M173" s="27">
        <f>IF($A173="","",SUMIFS(Jobs!$J$5:$J$1004,Jobs!$C$5:$C$1004,$A173,Jobs!$K$5:$K$1004,"No"))</f>
        <v/>
      </c>
      <c r="N173" s="8">
        <f>IF($A173="","",IF(J173=0,"New",IF(N(M173)&gt;0,"Unpaid","Paid up")))</f>
        <v/>
      </c>
    </row>
    <row r="174">
      <c r="A174" s="6" t="n"/>
      <c r="B174" s="6" t="n"/>
      <c r="C174" s="6" t="n"/>
      <c r="D174" s="6" t="n"/>
      <c r="E174" s="6" t="n"/>
      <c r="F174" s="6" t="n"/>
      <c r="G174" s="25" t="n"/>
      <c r="H174" s="26" t="n"/>
      <c r="I174" s="6" t="n"/>
      <c r="J174" s="15">
        <f>IF($A174="","",COUNTIFS(Jobs!$C$5:$C$1004,$A174))</f>
        <v/>
      </c>
      <c r="K174" s="27">
        <f>IF($A174="","",SUMIFS(Jobs!$J$5:$J$1004,Jobs!$C$5:$C$1004,$A174))</f>
        <v/>
      </c>
      <c r="L174" s="28">
        <f>IF(OR($A174="",J174=0),"",_xlfn.MAXIFS(Jobs!$B$5:$B$1004,Jobs!$C$5:$C$1004,$A174))</f>
        <v/>
      </c>
      <c r="M174" s="27">
        <f>IF($A174="","",SUMIFS(Jobs!$J$5:$J$1004,Jobs!$C$5:$C$1004,$A174,Jobs!$K$5:$K$1004,"No"))</f>
        <v/>
      </c>
      <c r="N174" s="8">
        <f>IF($A174="","",IF(J174=0,"New",IF(N(M174)&gt;0,"Unpaid","Paid up")))</f>
        <v/>
      </c>
    </row>
    <row r="175">
      <c r="A175" s="6" t="n"/>
      <c r="B175" s="6" t="n"/>
      <c r="C175" s="6" t="n"/>
      <c r="D175" s="6" t="n"/>
      <c r="E175" s="6" t="n"/>
      <c r="F175" s="6" t="n"/>
      <c r="G175" s="25" t="n"/>
      <c r="H175" s="26" t="n"/>
      <c r="I175" s="6" t="n"/>
      <c r="J175" s="15">
        <f>IF($A175="","",COUNTIFS(Jobs!$C$5:$C$1004,$A175))</f>
        <v/>
      </c>
      <c r="K175" s="27">
        <f>IF($A175="","",SUMIFS(Jobs!$J$5:$J$1004,Jobs!$C$5:$C$1004,$A175))</f>
        <v/>
      </c>
      <c r="L175" s="28">
        <f>IF(OR($A175="",J175=0),"",_xlfn.MAXIFS(Jobs!$B$5:$B$1004,Jobs!$C$5:$C$1004,$A175))</f>
        <v/>
      </c>
      <c r="M175" s="27">
        <f>IF($A175="","",SUMIFS(Jobs!$J$5:$J$1004,Jobs!$C$5:$C$1004,$A175,Jobs!$K$5:$K$1004,"No"))</f>
        <v/>
      </c>
      <c r="N175" s="8">
        <f>IF($A175="","",IF(J175=0,"New",IF(N(M175)&gt;0,"Unpaid","Paid up")))</f>
        <v/>
      </c>
    </row>
    <row r="176">
      <c r="A176" s="6" t="n"/>
      <c r="B176" s="6" t="n"/>
      <c r="C176" s="6" t="n"/>
      <c r="D176" s="6" t="n"/>
      <c r="E176" s="6" t="n"/>
      <c r="F176" s="6" t="n"/>
      <c r="G176" s="25" t="n"/>
      <c r="H176" s="26" t="n"/>
      <c r="I176" s="6" t="n"/>
      <c r="J176" s="15">
        <f>IF($A176="","",COUNTIFS(Jobs!$C$5:$C$1004,$A176))</f>
        <v/>
      </c>
      <c r="K176" s="27">
        <f>IF($A176="","",SUMIFS(Jobs!$J$5:$J$1004,Jobs!$C$5:$C$1004,$A176))</f>
        <v/>
      </c>
      <c r="L176" s="28">
        <f>IF(OR($A176="",J176=0),"",_xlfn.MAXIFS(Jobs!$B$5:$B$1004,Jobs!$C$5:$C$1004,$A176))</f>
        <v/>
      </c>
      <c r="M176" s="27">
        <f>IF($A176="","",SUMIFS(Jobs!$J$5:$J$1004,Jobs!$C$5:$C$1004,$A176,Jobs!$K$5:$K$1004,"No"))</f>
        <v/>
      </c>
      <c r="N176" s="8">
        <f>IF($A176="","",IF(J176=0,"New",IF(N(M176)&gt;0,"Unpaid","Paid up")))</f>
        <v/>
      </c>
    </row>
    <row r="177">
      <c r="A177" s="6" t="n"/>
      <c r="B177" s="6" t="n"/>
      <c r="C177" s="6" t="n"/>
      <c r="D177" s="6" t="n"/>
      <c r="E177" s="6" t="n"/>
      <c r="F177" s="6" t="n"/>
      <c r="G177" s="25" t="n"/>
      <c r="H177" s="26" t="n"/>
      <c r="I177" s="6" t="n"/>
      <c r="J177" s="15">
        <f>IF($A177="","",COUNTIFS(Jobs!$C$5:$C$1004,$A177))</f>
        <v/>
      </c>
      <c r="K177" s="27">
        <f>IF($A177="","",SUMIFS(Jobs!$J$5:$J$1004,Jobs!$C$5:$C$1004,$A177))</f>
        <v/>
      </c>
      <c r="L177" s="28">
        <f>IF(OR($A177="",J177=0),"",_xlfn.MAXIFS(Jobs!$B$5:$B$1004,Jobs!$C$5:$C$1004,$A177))</f>
        <v/>
      </c>
      <c r="M177" s="27">
        <f>IF($A177="","",SUMIFS(Jobs!$J$5:$J$1004,Jobs!$C$5:$C$1004,$A177,Jobs!$K$5:$K$1004,"No"))</f>
        <v/>
      </c>
      <c r="N177" s="8">
        <f>IF($A177="","",IF(J177=0,"New",IF(N(M177)&gt;0,"Unpaid","Paid up")))</f>
        <v/>
      </c>
    </row>
    <row r="178">
      <c r="A178" s="6" t="n"/>
      <c r="B178" s="6" t="n"/>
      <c r="C178" s="6" t="n"/>
      <c r="D178" s="6" t="n"/>
      <c r="E178" s="6" t="n"/>
      <c r="F178" s="6" t="n"/>
      <c r="G178" s="25" t="n"/>
      <c r="H178" s="26" t="n"/>
      <c r="I178" s="6" t="n"/>
      <c r="J178" s="15">
        <f>IF($A178="","",COUNTIFS(Jobs!$C$5:$C$1004,$A178))</f>
        <v/>
      </c>
      <c r="K178" s="27">
        <f>IF($A178="","",SUMIFS(Jobs!$J$5:$J$1004,Jobs!$C$5:$C$1004,$A178))</f>
        <v/>
      </c>
      <c r="L178" s="28">
        <f>IF(OR($A178="",J178=0),"",_xlfn.MAXIFS(Jobs!$B$5:$B$1004,Jobs!$C$5:$C$1004,$A178))</f>
        <v/>
      </c>
      <c r="M178" s="27">
        <f>IF($A178="","",SUMIFS(Jobs!$J$5:$J$1004,Jobs!$C$5:$C$1004,$A178,Jobs!$K$5:$K$1004,"No"))</f>
        <v/>
      </c>
      <c r="N178" s="8">
        <f>IF($A178="","",IF(J178=0,"New",IF(N(M178)&gt;0,"Unpaid","Paid up")))</f>
        <v/>
      </c>
    </row>
    <row r="179">
      <c r="A179" s="6" t="n"/>
      <c r="B179" s="6" t="n"/>
      <c r="C179" s="6" t="n"/>
      <c r="D179" s="6" t="n"/>
      <c r="E179" s="6" t="n"/>
      <c r="F179" s="6" t="n"/>
      <c r="G179" s="25" t="n"/>
      <c r="H179" s="26" t="n"/>
      <c r="I179" s="6" t="n"/>
      <c r="J179" s="15">
        <f>IF($A179="","",COUNTIFS(Jobs!$C$5:$C$1004,$A179))</f>
        <v/>
      </c>
      <c r="K179" s="27">
        <f>IF($A179="","",SUMIFS(Jobs!$J$5:$J$1004,Jobs!$C$5:$C$1004,$A179))</f>
        <v/>
      </c>
      <c r="L179" s="28">
        <f>IF(OR($A179="",J179=0),"",_xlfn.MAXIFS(Jobs!$B$5:$B$1004,Jobs!$C$5:$C$1004,$A179))</f>
        <v/>
      </c>
      <c r="M179" s="27">
        <f>IF($A179="","",SUMIFS(Jobs!$J$5:$J$1004,Jobs!$C$5:$C$1004,$A179,Jobs!$K$5:$K$1004,"No"))</f>
        <v/>
      </c>
      <c r="N179" s="8">
        <f>IF($A179="","",IF(J179=0,"New",IF(N(M179)&gt;0,"Unpaid","Paid up")))</f>
        <v/>
      </c>
    </row>
    <row r="180">
      <c r="A180" s="6" t="n"/>
      <c r="B180" s="6" t="n"/>
      <c r="C180" s="6" t="n"/>
      <c r="D180" s="6" t="n"/>
      <c r="E180" s="6" t="n"/>
      <c r="F180" s="6" t="n"/>
      <c r="G180" s="25" t="n"/>
      <c r="H180" s="26" t="n"/>
      <c r="I180" s="6" t="n"/>
      <c r="J180" s="15">
        <f>IF($A180="","",COUNTIFS(Jobs!$C$5:$C$1004,$A180))</f>
        <v/>
      </c>
      <c r="K180" s="27">
        <f>IF($A180="","",SUMIFS(Jobs!$J$5:$J$1004,Jobs!$C$5:$C$1004,$A180))</f>
        <v/>
      </c>
      <c r="L180" s="28">
        <f>IF(OR($A180="",J180=0),"",_xlfn.MAXIFS(Jobs!$B$5:$B$1004,Jobs!$C$5:$C$1004,$A180))</f>
        <v/>
      </c>
      <c r="M180" s="27">
        <f>IF($A180="","",SUMIFS(Jobs!$J$5:$J$1004,Jobs!$C$5:$C$1004,$A180,Jobs!$K$5:$K$1004,"No"))</f>
        <v/>
      </c>
      <c r="N180" s="8">
        <f>IF($A180="","",IF(J180=0,"New",IF(N(M180)&gt;0,"Unpaid","Paid up")))</f>
        <v/>
      </c>
    </row>
    <row r="181">
      <c r="A181" s="6" t="n"/>
      <c r="B181" s="6" t="n"/>
      <c r="C181" s="6" t="n"/>
      <c r="D181" s="6" t="n"/>
      <c r="E181" s="6" t="n"/>
      <c r="F181" s="6" t="n"/>
      <c r="G181" s="25" t="n"/>
      <c r="H181" s="26" t="n"/>
      <c r="I181" s="6" t="n"/>
      <c r="J181" s="15">
        <f>IF($A181="","",COUNTIFS(Jobs!$C$5:$C$1004,$A181))</f>
        <v/>
      </c>
      <c r="K181" s="27">
        <f>IF($A181="","",SUMIFS(Jobs!$J$5:$J$1004,Jobs!$C$5:$C$1004,$A181))</f>
        <v/>
      </c>
      <c r="L181" s="28">
        <f>IF(OR($A181="",J181=0),"",_xlfn.MAXIFS(Jobs!$B$5:$B$1004,Jobs!$C$5:$C$1004,$A181))</f>
        <v/>
      </c>
      <c r="M181" s="27">
        <f>IF($A181="","",SUMIFS(Jobs!$J$5:$J$1004,Jobs!$C$5:$C$1004,$A181,Jobs!$K$5:$K$1004,"No"))</f>
        <v/>
      </c>
      <c r="N181" s="8">
        <f>IF($A181="","",IF(J181=0,"New",IF(N(M181)&gt;0,"Unpaid","Paid up")))</f>
        <v/>
      </c>
    </row>
    <row r="182">
      <c r="A182" s="6" t="n"/>
      <c r="B182" s="6" t="n"/>
      <c r="C182" s="6" t="n"/>
      <c r="D182" s="6" t="n"/>
      <c r="E182" s="6" t="n"/>
      <c r="F182" s="6" t="n"/>
      <c r="G182" s="25" t="n"/>
      <c r="H182" s="26" t="n"/>
      <c r="I182" s="6" t="n"/>
      <c r="J182" s="15">
        <f>IF($A182="","",COUNTIFS(Jobs!$C$5:$C$1004,$A182))</f>
        <v/>
      </c>
      <c r="K182" s="27">
        <f>IF($A182="","",SUMIFS(Jobs!$J$5:$J$1004,Jobs!$C$5:$C$1004,$A182))</f>
        <v/>
      </c>
      <c r="L182" s="28">
        <f>IF(OR($A182="",J182=0),"",_xlfn.MAXIFS(Jobs!$B$5:$B$1004,Jobs!$C$5:$C$1004,$A182))</f>
        <v/>
      </c>
      <c r="M182" s="27">
        <f>IF($A182="","",SUMIFS(Jobs!$J$5:$J$1004,Jobs!$C$5:$C$1004,$A182,Jobs!$K$5:$K$1004,"No"))</f>
        <v/>
      </c>
      <c r="N182" s="8">
        <f>IF($A182="","",IF(J182=0,"New",IF(N(M182)&gt;0,"Unpaid","Paid up")))</f>
        <v/>
      </c>
    </row>
    <row r="183">
      <c r="A183" s="6" t="n"/>
      <c r="B183" s="6" t="n"/>
      <c r="C183" s="6" t="n"/>
      <c r="D183" s="6" t="n"/>
      <c r="E183" s="6" t="n"/>
      <c r="F183" s="6" t="n"/>
      <c r="G183" s="25" t="n"/>
      <c r="H183" s="26" t="n"/>
      <c r="I183" s="6" t="n"/>
      <c r="J183" s="15">
        <f>IF($A183="","",COUNTIFS(Jobs!$C$5:$C$1004,$A183))</f>
        <v/>
      </c>
      <c r="K183" s="27">
        <f>IF($A183="","",SUMIFS(Jobs!$J$5:$J$1004,Jobs!$C$5:$C$1004,$A183))</f>
        <v/>
      </c>
      <c r="L183" s="28">
        <f>IF(OR($A183="",J183=0),"",_xlfn.MAXIFS(Jobs!$B$5:$B$1004,Jobs!$C$5:$C$1004,$A183))</f>
        <v/>
      </c>
      <c r="M183" s="27">
        <f>IF($A183="","",SUMIFS(Jobs!$J$5:$J$1004,Jobs!$C$5:$C$1004,$A183,Jobs!$K$5:$K$1004,"No"))</f>
        <v/>
      </c>
      <c r="N183" s="8">
        <f>IF($A183="","",IF(J183=0,"New",IF(N(M183)&gt;0,"Unpaid","Paid up")))</f>
        <v/>
      </c>
    </row>
    <row r="184">
      <c r="A184" s="6" t="n"/>
      <c r="B184" s="6" t="n"/>
      <c r="C184" s="6" t="n"/>
      <c r="D184" s="6" t="n"/>
      <c r="E184" s="6" t="n"/>
      <c r="F184" s="6" t="n"/>
      <c r="G184" s="25" t="n"/>
      <c r="H184" s="26" t="n"/>
      <c r="I184" s="6" t="n"/>
      <c r="J184" s="15">
        <f>IF($A184="","",COUNTIFS(Jobs!$C$5:$C$1004,$A184))</f>
        <v/>
      </c>
      <c r="K184" s="27">
        <f>IF($A184="","",SUMIFS(Jobs!$J$5:$J$1004,Jobs!$C$5:$C$1004,$A184))</f>
        <v/>
      </c>
      <c r="L184" s="28">
        <f>IF(OR($A184="",J184=0),"",_xlfn.MAXIFS(Jobs!$B$5:$B$1004,Jobs!$C$5:$C$1004,$A184))</f>
        <v/>
      </c>
      <c r="M184" s="27">
        <f>IF($A184="","",SUMIFS(Jobs!$J$5:$J$1004,Jobs!$C$5:$C$1004,$A184,Jobs!$K$5:$K$1004,"No"))</f>
        <v/>
      </c>
      <c r="N184" s="8">
        <f>IF($A184="","",IF(J184=0,"New",IF(N(M184)&gt;0,"Unpaid","Paid up")))</f>
        <v/>
      </c>
    </row>
    <row r="185">
      <c r="A185" s="6" t="n"/>
      <c r="B185" s="6" t="n"/>
      <c r="C185" s="6" t="n"/>
      <c r="D185" s="6" t="n"/>
      <c r="E185" s="6" t="n"/>
      <c r="F185" s="6" t="n"/>
      <c r="G185" s="25" t="n"/>
      <c r="H185" s="26" t="n"/>
      <c r="I185" s="6" t="n"/>
      <c r="J185" s="15">
        <f>IF($A185="","",COUNTIFS(Jobs!$C$5:$C$1004,$A185))</f>
        <v/>
      </c>
      <c r="K185" s="27">
        <f>IF($A185="","",SUMIFS(Jobs!$J$5:$J$1004,Jobs!$C$5:$C$1004,$A185))</f>
        <v/>
      </c>
      <c r="L185" s="28">
        <f>IF(OR($A185="",J185=0),"",_xlfn.MAXIFS(Jobs!$B$5:$B$1004,Jobs!$C$5:$C$1004,$A185))</f>
        <v/>
      </c>
      <c r="M185" s="27">
        <f>IF($A185="","",SUMIFS(Jobs!$J$5:$J$1004,Jobs!$C$5:$C$1004,$A185,Jobs!$K$5:$K$1004,"No"))</f>
        <v/>
      </c>
      <c r="N185" s="8">
        <f>IF($A185="","",IF(J185=0,"New",IF(N(M185)&gt;0,"Unpaid","Paid up")))</f>
        <v/>
      </c>
    </row>
    <row r="186">
      <c r="A186" s="6" t="n"/>
      <c r="B186" s="6" t="n"/>
      <c r="C186" s="6" t="n"/>
      <c r="D186" s="6" t="n"/>
      <c r="E186" s="6" t="n"/>
      <c r="F186" s="6" t="n"/>
      <c r="G186" s="25" t="n"/>
      <c r="H186" s="26" t="n"/>
      <c r="I186" s="6" t="n"/>
      <c r="J186" s="15">
        <f>IF($A186="","",COUNTIFS(Jobs!$C$5:$C$1004,$A186))</f>
        <v/>
      </c>
      <c r="K186" s="27">
        <f>IF($A186="","",SUMIFS(Jobs!$J$5:$J$1004,Jobs!$C$5:$C$1004,$A186))</f>
        <v/>
      </c>
      <c r="L186" s="28">
        <f>IF(OR($A186="",J186=0),"",_xlfn.MAXIFS(Jobs!$B$5:$B$1004,Jobs!$C$5:$C$1004,$A186))</f>
        <v/>
      </c>
      <c r="M186" s="27">
        <f>IF($A186="","",SUMIFS(Jobs!$J$5:$J$1004,Jobs!$C$5:$C$1004,$A186,Jobs!$K$5:$K$1004,"No"))</f>
        <v/>
      </c>
      <c r="N186" s="8">
        <f>IF($A186="","",IF(J186=0,"New",IF(N(M186)&gt;0,"Unpaid","Paid up")))</f>
        <v/>
      </c>
    </row>
    <row r="187">
      <c r="A187" s="6" t="n"/>
      <c r="B187" s="6" t="n"/>
      <c r="C187" s="6" t="n"/>
      <c r="D187" s="6" t="n"/>
      <c r="E187" s="6" t="n"/>
      <c r="F187" s="6" t="n"/>
      <c r="G187" s="25" t="n"/>
      <c r="H187" s="26" t="n"/>
      <c r="I187" s="6" t="n"/>
      <c r="J187" s="15">
        <f>IF($A187="","",COUNTIFS(Jobs!$C$5:$C$1004,$A187))</f>
        <v/>
      </c>
      <c r="K187" s="27">
        <f>IF($A187="","",SUMIFS(Jobs!$J$5:$J$1004,Jobs!$C$5:$C$1004,$A187))</f>
        <v/>
      </c>
      <c r="L187" s="28">
        <f>IF(OR($A187="",J187=0),"",_xlfn.MAXIFS(Jobs!$B$5:$B$1004,Jobs!$C$5:$C$1004,$A187))</f>
        <v/>
      </c>
      <c r="M187" s="27">
        <f>IF($A187="","",SUMIFS(Jobs!$J$5:$J$1004,Jobs!$C$5:$C$1004,$A187,Jobs!$K$5:$K$1004,"No"))</f>
        <v/>
      </c>
      <c r="N187" s="8">
        <f>IF($A187="","",IF(J187=0,"New",IF(N(M187)&gt;0,"Unpaid","Paid up")))</f>
        <v/>
      </c>
    </row>
    <row r="188">
      <c r="A188" s="6" t="n"/>
      <c r="B188" s="6" t="n"/>
      <c r="C188" s="6" t="n"/>
      <c r="D188" s="6" t="n"/>
      <c r="E188" s="6" t="n"/>
      <c r="F188" s="6" t="n"/>
      <c r="G188" s="25" t="n"/>
      <c r="H188" s="26" t="n"/>
      <c r="I188" s="6" t="n"/>
      <c r="J188" s="15">
        <f>IF($A188="","",COUNTIFS(Jobs!$C$5:$C$1004,$A188))</f>
        <v/>
      </c>
      <c r="K188" s="27">
        <f>IF($A188="","",SUMIFS(Jobs!$J$5:$J$1004,Jobs!$C$5:$C$1004,$A188))</f>
        <v/>
      </c>
      <c r="L188" s="28">
        <f>IF(OR($A188="",J188=0),"",_xlfn.MAXIFS(Jobs!$B$5:$B$1004,Jobs!$C$5:$C$1004,$A188))</f>
        <v/>
      </c>
      <c r="M188" s="27">
        <f>IF($A188="","",SUMIFS(Jobs!$J$5:$J$1004,Jobs!$C$5:$C$1004,$A188,Jobs!$K$5:$K$1004,"No"))</f>
        <v/>
      </c>
      <c r="N188" s="8">
        <f>IF($A188="","",IF(J188=0,"New",IF(N(M188)&gt;0,"Unpaid","Paid up")))</f>
        <v/>
      </c>
    </row>
    <row r="189">
      <c r="A189" s="6" t="n"/>
      <c r="B189" s="6" t="n"/>
      <c r="C189" s="6" t="n"/>
      <c r="D189" s="6" t="n"/>
      <c r="E189" s="6" t="n"/>
      <c r="F189" s="6" t="n"/>
      <c r="G189" s="25" t="n"/>
      <c r="H189" s="26" t="n"/>
      <c r="I189" s="6" t="n"/>
      <c r="J189" s="15">
        <f>IF($A189="","",COUNTIFS(Jobs!$C$5:$C$1004,$A189))</f>
        <v/>
      </c>
      <c r="K189" s="27">
        <f>IF($A189="","",SUMIFS(Jobs!$J$5:$J$1004,Jobs!$C$5:$C$1004,$A189))</f>
        <v/>
      </c>
      <c r="L189" s="28">
        <f>IF(OR($A189="",J189=0),"",_xlfn.MAXIFS(Jobs!$B$5:$B$1004,Jobs!$C$5:$C$1004,$A189))</f>
        <v/>
      </c>
      <c r="M189" s="27">
        <f>IF($A189="","",SUMIFS(Jobs!$J$5:$J$1004,Jobs!$C$5:$C$1004,$A189,Jobs!$K$5:$K$1004,"No"))</f>
        <v/>
      </c>
      <c r="N189" s="8">
        <f>IF($A189="","",IF(J189=0,"New",IF(N(M189)&gt;0,"Unpaid","Paid up")))</f>
        <v/>
      </c>
    </row>
    <row r="190">
      <c r="A190" s="6" t="n"/>
      <c r="B190" s="6" t="n"/>
      <c r="C190" s="6" t="n"/>
      <c r="D190" s="6" t="n"/>
      <c r="E190" s="6" t="n"/>
      <c r="F190" s="6" t="n"/>
      <c r="G190" s="25" t="n"/>
      <c r="H190" s="26" t="n"/>
      <c r="I190" s="6" t="n"/>
      <c r="J190" s="15">
        <f>IF($A190="","",COUNTIFS(Jobs!$C$5:$C$1004,$A190))</f>
        <v/>
      </c>
      <c r="K190" s="27">
        <f>IF($A190="","",SUMIFS(Jobs!$J$5:$J$1004,Jobs!$C$5:$C$1004,$A190))</f>
        <v/>
      </c>
      <c r="L190" s="28">
        <f>IF(OR($A190="",J190=0),"",_xlfn.MAXIFS(Jobs!$B$5:$B$1004,Jobs!$C$5:$C$1004,$A190))</f>
        <v/>
      </c>
      <c r="M190" s="27">
        <f>IF($A190="","",SUMIFS(Jobs!$J$5:$J$1004,Jobs!$C$5:$C$1004,$A190,Jobs!$K$5:$K$1004,"No"))</f>
        <v/>
      </c>
      <c r="N190" s="8">
        <f>IF($A190="","",IF(J190=0,"New",IF(N(M190)&gt;0,"Unpaid","Paid up")))</f>
        <v/>
      </c>
    </row>
    <row r="191">
      <c r="A191" s="6" t="n"/>
      <c r="B191" s="6" t="n"/>
      <c r="C191" s="6" t="n"/>
      <c r="D191" s="6" t="n"/>
      <c r="E191" s="6" t="n"/>
      <c r="F191" s="6" t="n"/>
      <c r="G191" s="25" t="n"/>
      <c r="H191" s="26" t="n"/>
      <c r="I191" s="6" t="n"/>
      <c r="J191" s="15">
        <f>IF($A191="","",COUNTIFS(Jobs!$C$5:$C$1004,$A191))</f>
        <v/>
      </c>
      <c r="K191" s="27">
        <f>IF($A191="","",SUMIFS(Jobs!$J$5:$J$1004,Jobs!$C$5:$C$1004,$A191))</f>
        <v/>
      </c>
      <c r="L191" s="28">
        <f>IF(OR($A191="",J191=0),"",_xlfn.MAXIFS(Jobs!$B$5:$B$1004,Jobs!$C$5:$C$1004,$A191))</f>
        <v/>
      </c>
      <c r="M191" s="27">
        <f>IF($A191="","",SUMIFS(Jobs!$J$5:$J$1004,Jobs!$C$5:$C$1004,$A191,Jobs!$K$5:$K$1004,"No"))</f>
        <v/>
      </c>
      <c r="N191" s="8">
        <f>IF($A191="","",IF(J191=0,"New",IF(N(M191)&gt;0,"Unpaid","Paid up")))</f>
        <v/>
      </c>
    </row>
    <row r="192">
      <c r="A192" s="6" t="n"/>
      <c r="B192" s="6" t="n"/>
      <c r="C192" s="6" t="n"/>
      <c r="D192" s="6" t="n"/>
      <c r="E192" s="6" t="n"/>
      <c r="F192" s="6" t="n"/>
      <c r="G192" s="25" t="n"/>
      <c r="H192" s="26" t="n"/>
      <c r="I192" s="6" t="n"/>
      <c r="J192" s="15">
        <f>IF($A192="","",COUNTIFS(Jobs!$C$5:$C$1004,$A192))</f>
        <v/>
      </c>
      <c r="K192" s="27">
        <f>IF($A192="","",SUMIFS(Jobs!$J$5:$J$1004,Jobs!$C$5:$C$1004,$A192))</f>
        <v/>
      </c>
      <c r="L192" s="28">
        <f>IF(OR($A192="",J192=0),"",_xlfn.MAXIFS(Jobs!$B$5:$B$1004,Jobs!$C$5:$C$1004,$A192))</f>
        <v/>
      </c>
      <c r="M192" s="27">
        <f>IF($A192="","",SUMIFS(Jobs!$J$5:$J$1004,Jobs!$C$5:$C$1004,$A192,Jobs!$K$5:$K$1004,"No"))</f>
        <v/>
      </c>
      <c r="N192" s="8">
        <f>IF($A192="","",IF(J192=0,"New",IF(N(M192)&gt;0,"Unpaid","Paid up")))</f>
        <v/>
      </c>
    </row>
    <row r="193">
      <c r="A193" s="6" t="n"/>
      <c r="B193" s="6" t="n"/>
      <c r="C193" s="6" t="n"/>
      <c r="D193" s="6" t="n"/>
      <c r="E193" s="6" t="n"/>
      <c r="F193" s="6" t="n"/>
      <c r="G193" s="25" t="n"/>
      <c r="H193" s="26" t="n"/>
      <c r="I193" s="6" t="n"/>
      <c r="J193" s="15">
        <f>IF($A193="","",COUNTIFS(Jobs!$C$5:$C$1004,$A193))</f>
        <v/>
      </c>
      <c r="K193" s="27">
        <f>IF($A193="","",SUMIFS(Jobs!$J$5:$J$1004,Jobs!$C$5:$C$1004,$A193))</f>
        <v/>
      </c>
      <c r="L193" s="28">
        <f>IF(OR($A193="",J193=0),"",_xlfn.MAXIFS(Jobs!$B$5:$B$1004,Jobs!$C$5:$C$1004,$A193))</f>
        <v/>
      </c>
      <c r="M193" s="27">
        <f>IF($A193="","",SUMIFS(Jobs!$J$5:$J$1004,Jobs!$C$5:$C$1004,$A193,Jobs!$K$5:$K$1004,"No"))</f>
        <v/>
      </c>
      <c r="N193" s="8">
        <f>IF($A193="","",IF(J193=0,"New",IF(N(M193)&gt;0,"Unpaid","Paid up")))</f>
        <v/>
      </c>
    </row>
    <row r="194">
      <c r="A194" s="6" t="n"/>
      <c r="B194" s="6" t="n"/>
      <c r="C194" s="6" t="n"/>
      <c r="D194" s="6" t="n"/>
      <c r="E194" s="6" t="n"/>
      <c r="F194" s="6" t="n"/>
      <c r="G194" s="25" t="n"/>
      <c r="H194" s="26" t="n"/>
      <c r="I194" s="6" t="n"/>
      <c r="J194" s="15">
        <f>IF($A194="","",COUNTIFS(Jobs!$C$5:$C$1004,$A194))</f>
        <v/>
      </c>
      <c r="K194" s="27">
        <f>IF($A194="","",SUMIFS(Jobs!$J$5:$J$1004,Jobs!$C$5:$C$1004,$A194))</f>
        <v/>
      </c>
      <c r="L194" s="28">
        <f>IF(OR($A194="",J194=0),"",_xlfn.MAXIFS(Jobs!$B$5:$B$1004,Jobs!$C$5:$C$1004,$A194))</f>
        <v/>
      </c>
      <c r="M194" s="27">
        <f>IF($A194="","",SUMIFS(Jobs!$J$5:$J$1004,Jobs!$C$5:$C$1004,$A194,Jobs!$K$5:$K$1004,"No"))</f>
        <v/>
      </c>
      <c r="N194" s="8">
        <f>IF($A194="","",IF(J194=0,"New",IF(N(M194)&gt;0,"Unpaid","Paid up")))</f>
        <v/>
      </c>
    </row>
    <row r="195">
      <c r="A195" s="6" t="n"/>
      <c r="B195" s="6" t="n"/>
      <c r="C195" s="6" t="n"/>
      <c r="D195" s="6" t="n"/>
      <c r="E195" s="6" t="n"/>
      <c r="F195" s="6" t="n"/>
      <c r="G195" s="25" t="n"/>
      <c r="H195" s="26" t="n"/>
      <c r="I195" s="6" t="n"/>
      <c r="J195" s="15">
        <f>IF($A195="","",COUNTIFS(Jobs!$C$5:$C$1004,$A195))</f>
        <v/>
      </c>
      <c r="K195" s="27">
        <f>IF($A195="","",SUMIFS(Jobs!$J$5:$J$1004,Jobs!$C$5:$C$1004,$A195))</f>
        <v/>
      </c>
      <c r="L195" s="28">
        <f>IF(OR($A195="",J195=0),"",_xlfn.MAXIFS(Jobs!$B$5:$B$1004,Jobs!$C$5:$C$1004,$A195))</f>
        <v/>
      </c>
      <c r="M195" s="27">
        <f>IF($A195="","",SUMIFS(Jobs!$J$5:$J$1004,Jobs!$C$5:$C$1004,$A195,Jobs!$K$5:$K$1004,"No"))</f>
        <v/>
      </c>
      <c r="N195" s="8">
        <f>IF($A195="","",IF(J195=0,"New",IF(N(M195)&gt;0,"Unpaid","Paid up")))</f>
        <v/>
      </c>
    </row>
    <row r="196">
      <c r="A196" s="6" t="n"/>
      <c r="B196" s="6" t="n"/>
      <c r="C196" s="6" t="n"/>
      <c r="D196" s="6" t="n"/>
      <c r="E196" s="6" t="n"/>
      <c r="F196" s="6" t="n"/>
      <c r="G196" s="25" t="n"/>
      <c r="H196" s="26" t="n"/>
      <c r="I196" s="6" t="n"/>
      <c r="J196" s="15">
        <f>IF($A196="","",COUNTIFS(Jobs!$C$5:$C$1004,$A196))</f>
        <v/>
      </c>
      <c r="K196" s="27">
        <f>IF($A196="","",SUMIFS(Jobs!$J$5:$J$1004,Jobs!$C$5:$C$1004,$A196))</f>
        <v/>
      </c>
      <c r="L196" s="28">
        <f>IF(OR($A196="",J196=0),"",_xlfn.MAXIFS(Jobs!$B$5:$B$1004,Jobs!$C$5:$C$1004,$A196))</f>
        <v/>
      </c>
      <c r="M196" s="27">
        <f>IF($A196="","",SUMIFS(Jobs!$J$5:$J$1004,Jobs!$C$5:$C$1004,$A196,Jobs!$K$5:$K$1004,"No"))</f>
        <v/>
      </c>
      <c r="N196" s="8">
        <f>IF($A196="","",IF(J196=0,"New",IF(N(M196)&gt;0,"Unpaid","Paid up")))</f>
        <v/>
      </c>
    </row>
    <row r="197">
      <c r="A197" s="6" t="n"/>
      <c r="B197" s="6" t="n"/>
      <c r="C197" s="6" t="n"/>
      <c r="D197" s="6" t="n"/>
      <c r="E197" s="6" t="n"/>
      <c r="F197" s="6" t="n"/>
      <c r="G197" s="25" t="n"/>
      <c r="H197" s="26" t="n"/>
      <c r="I197" s="6" t="n"/>
      <c r="J197" s="15">
        <f>IF($A197="","",COUNTIFS(Jobs!$C$5:$C$1004,$A197))</f>
        <v/>
      </c>
      <c r="K197" s="27">
        <f>IF($A197="","",SUMIFS(Jobs!$J$5:$J$1004,Jobs!$C$5:$C$1004,$A197))</f>
        <v/>
      </c>
      <c r="L197" s="28">
        <f>IF(OR($A197="",J197=0),"",_xlfn.MAXIFS(Jobs!$B$5:$B$1004,Jobs!$C$5:$C$1004,$A197))</f>
        <v/>
      </c>
      <c r="M197" s="27">
        <f>IF($A197="","",SUMIFS(Jobs!$J$5:$J$1004,Jobs!$C$5:$C$1004,$A197,Jobs!$K$5:$K$1004,"No"))</f>
        <v/>
      </c>
      <c r="N197" s="8">
        <f>IF($A197="","",IF(J197=0,"New",IF(N(M197)&gt;0,"Unpaid","Paid up")))</f>
        <v/>
      </c>
    </row>
    <row r="198">
      <c r="A198" s="6" t="n"/>
      <c r="B198" s="6" t="n"/>
      <c r="C198" s="6" t="n"/>
      <c r="D198" s="6" t="n"/>
      <c r="E198" s="6" t="n"/>
      <c r="F198" s="6" t="n"/>
      <c r="G198" s="25" t="n"/>
      <c r="H198" s="26" t="n"/>
      <c r="I198" s="6" t="n"/>
      <c r="J198" s="15">
        <f>IF($A198="","",COUNTIFS(Jobs!$C$5:$C$1004,$A198))</f>
        <v/>
      </c>
      <c r="K198" s="27">
        <f>IF($A198="","",SUMIFS(Jobs!$J$5:$J$1004,Jobs!$C$5:$C$1004,$A198))</f>
        <v/>
      </c>
      <c r="L198" s="28">
        <f>IF(OR($A198="",J198=0),"",_xlfn.MAXIFS(Jobs!$B$5:$B$1004,Jobs!$C$5:$C$1004,$A198))</f>
        <v/>
      </c>
      <c r="M198" s="27">
        <f>IF($A198="","",SUMIFS(Jobs!$J$5:$J$1004,Jobs!$C$5:$C$1004,$A198,Jobs!$K$5:$K$1004,"No"))</f>
        <v/>
      </c>
      <c r="N198" s="8">
        <f>IF($A198="","",IF(J198=0,"New",IF(N(M198)&gt;0,"Unpaid","Paid up")))</f>
        <v/>
      </c>
    </row>
    <row r="199">
      <c r="A199" s="6" t="n"/>
      <c r="B199" s="6" t="n"/>
      <c r="C199" s="6" t="n"/>
      <c r="D199" s="6" t="n"/>
      <c r="E199" s="6" t="n"/>
      <c r="F199" s="6" t="n"/>
      <c r="G199" s="25" t="n"/>
      <c r="H199" s="26" t="n"/>
      <c r="I199" s="6" t="n"/>
      <c r="J199" s="15">
        <f>IF($A199="","",COUNTIFS(Jobs!$C$5:$C$1004,$A199))</f>
        <v/>
      </c>
      <c r="K199" s="27">
        <f>IF($A199="","",SUMIFS(Jobs!$J$5:$J$1004,Jobs!$C$5:$C$1004,$A199))</f>
        <v/>
      </c>
      <c r="L199" s="28">
        <f>IF(OR($A199="",J199=0),"",_xlfn.MAXIFS(Jobs!$B$5:$B$1004,Jobs!$C$5:$C$1004,$A199))</f>
        <v/>
      </c>
      <c r="M199" s="27">
        <f>IF($A199="","",SUMIFS(Jobs!$J$5:$J$1004,Jobs!$C$5:$C$1004,$A199,Jobs!$K$5:$K$1004,"No"))</f>
        <v/>
      </c>
      <c r="N199" s="8">
        <f>IF($A199="","",IF(J199=0,"New",IF(N(M199)&gt;0,"Unpaid","Paid up")))</f>
        <v/>
      </c>
    </row>
    <row r="200">
      <c r="A200" s="6" t="n"/>
      <c r="B200" s="6" t="n"/>
      <c r="C200" s="6" t="n"/>
      <c r="D200" s="6" t="n"/>
      <c r="E200" s="6" t="n"/>
      <c r="F200" s="6" t="n"/>
      <c r="G200" s="25" t="n"/>
      <c r="H200" s="26" t="n"/>
      <c r="I200" s="6" t="n"/>
      <c r="J200" s="15">
        <f>IF($A200="","",COUNTIFS(Jobs!$C$5:$C$1004,$A200))</f>
        <v/>
      </c>
      <c r="K200" s="27">
        <f>IF($A200="","",SUMIFS(Jobs!$J$5:$J$1004,Jobs!$C$5:$C$1004,$A200))</f>
        <v/>
      </c>
      <c r="L200" s="28">
        <f>IF(OR($A200="",J200=0),"",_xlfn.MAXIFS(Jobs!$B$5:$B$1004,Jobs!$C$5:$C$1004,$A200))</f>
        <v/>
      </c>
      <c r="M200" s="27">
        <f>IF($A200="","",SUMIFS(Jobs!$J$5:$J$1004,Jobs!$C$5:$C$1004,$A200,Jobs!$K$5:$K$1004,"No"))</f>
        <v/>
      </c>
      <c r="N200" s="8">
        <f>IF($A200="","",IF(J200=0,"New",IF(N(M200)&gt;0,"Unpaid","Paid up")))</f>
        <v/>
      </c>
    </row>
    <row r="201">
      <c r="A201" s="6" t="n"/>
      <c r="B201" s="6" t="n"/>
      <c r="C201" s="6" t="n"/>
      <c r="D201" s="6" t="n"/>
      <c r="E201" s="6" t="n"/>
      <c r="F201" s="6" t="n"/>
      <c r="G201" s="25" t="n"/>
      <c r="H201" s="26" t="n"/>
      <c r="I201" s="6" t="n"/>
      <c r="J201" s="15">
        <f>IF($A201="","",COUNTIFS(Jobs!$C$5:$C$1004,$A201))</f>
        <v/>
      </c>
      <c r="K201" s="27">
        <f>IF($A201="","",SUMIFS(Jobs!$J$5:$J$1004,Jobs!$C$5:$C$1004,$A201))</f>
        <v/>
      </c>
      <c r="L201" s="28">
        <f>IF(OR($A201="",J201=0),"",_xlfn.MAXIFS(Jobs!$B$5:$B$1004,Jobs!$C$5:$C$1004,$A201))</f>
        <v/>
      </c>
      <c r="M201" s="27">
        <f>IF($A201="","",SUMIFS(Jobs!$J$5:$J$1004,Jobs!$C$5:$C$1004,$A201,Jobs!$K$5:$K$1004,"No"))</f>
        <v/>
      </c>
      <c r="N201" s="8">
        <f>IF($A201="","",IF(J201=0,"New",IF(N(M201)&gt;0,"Unpaid","Paid up")))</f>
        <v/>
      </c>
    </row>
    <row r="202">
      <c r="A202" s="6" t="n"/>
      <c r="B202" s="6" t="n"/>
      <c r="C202" s="6" t="n"/>
      <c r="D202" s="6" t="n"/>
      <c r="E202" s="6" t="n"/>
      <c r="F202" s="6" t="n"/>
      <c r="G202" s="25" t="n"/>
      <c r="H202" s="26" t="n"/>
      <c r="I202" s="6" t="n"/>
      <c r="J202" s="15">
        <f>IF($A202="","",COUNTIFS(Jobs!$C$5:$C$1004,$A202))</f>
        <v/>
      </c>
      <c r="K202" s="27">
        <f>IF($A202="","",SUMIFS(Jobs!$J$5:$J$1004,Jobs!$C$5:$C$1004,$A202))</f>
        <v/>
      </c>
      <c r="L202" s="28">
        <f>IF(OR($A202="",J202=0),"",_xlfn.MAXIFS(Jobs!$B$5:$B$1004,Jobs!$C$5:$C$1004,$A202))</f>
        <v/>
      </c>
      <c r="M202" s="27">
        <f>IF($A202="","",SUMIFS(Jobs!$J$5:$J$1004,Jobs!$C$5:$C$1004,$A202,Jobs!$K$5:$K$1004,"No"))</f>
        <v/>
      </c>
      <c r="N202" s="8">
        <f>IF($A202="","",IF(J202=0,"New",IF(N(M202)&gt;0,"Unpaid","Paid up")))</f>
        <v/>
      </c>
    </row>
    <row r="203">
      <c r="A203" s="6" t="n"/>
      <c r="B203" s="6" t="n"/>
      <c r="C203" s="6" t="n"/>
      <c r="D203" s="6" t="n"/>
      <c r="E203" s="6" t="n"/>
      <c r="F203" s="6" t="n"/>
      <c r="G203" s="25" t="n"/>
      <c r="H203" s="26" t="n"/>
      <c r="I203" s="6" t="n"/>
      <c r="J203" s="15">
        <f>IF($A203="","",COUNTIFS(Jobs!$C$5:$C$1004,$A203))</f>
        <v/>
      </c>
      <c r="K203" s="27">
        <f>IF($A203="","",SUMIFS(Jobs!$J$5:$J$1004,Jobs!$C$5:$C$1004,$A203))</f>
        <v/>
      </c>
      <c r="L203" s="28">
        <f>IF(OR($A203="",J203=0),"",_xlfn.MAXIFS(Jobs!$B$5:$B$1004,Jobs!$C$5:$C$1004,$A203))</f>
        <v/>
      </c>
      <c r="M203" s="27">
        <f>IF($A203="","",SUMIFS(Jobs!$J$5:$J$1004,Jobs!$C$5:$C$1004,$A203,Jobs!$K$5:$K$1004,"No"))</f>
        <v/>
      </c>
      <c r="N203" s="8">
        <f>IF($A203="","",IF(J203=0,"New",IF(N(M203)&gt;0,"Unpaid","Paid up")))</f>
        <v/>
      </c>
    </row>
    <row r="204">
      <c r="A204" s="6" t="n"/>
      <c r="B204" s="6" t="n"/>
      <c r="C204" s="6" t="n"/>
      <c r="D204" s="6" t="n"/>
      <c r="E204" s="6" t="n"/>
      <c r="F204" s="6" t="n"/>
      <c r="G204" s="25" t="n"/>
      <c r="H204" s="26" t="n"/>
      <c r="I204" s="6" t="n"/>
      <c r="J204" s="15">
        <f>IF($A204="","",COUNTIFS(Jobs!$C$5:$C$1004,$A204))</f>
        <v/>
      </c>
      <c r="K204" s="27">
        <f>IF($A204="","",SUMIFS(Jobs!$J$5:$J$1004,Jobs!$C$5:$C$1004,$A204))</f>
        <v/>
      </c>
      <c r="L204" s="28">
        <f>IF(OR($A204="",J204=0),"",_xlfn.MAXIFS(Jobs!$B$5:$B$1004,Jobs!$C$5:$C$1004,$A204))</f>
        <v/>
      </c>
      <c r="M204" s="27">
        <f>IF($A204="","",SUMIFS(Jobs!$J$5:$J$1004,Jobs!$C$5:$C$1004,$A204,Jobs!$K$5:$K$1004,"No"))</f>
        <v/>
      </c>
      <c r="N204" s="8">
        <f>IF($A204="","",IF(J204=0,"New",IF(N(M204)&gt;0,"Unpaid","Paid up")))</f>
        <v/>
      </c>
    </row>
    <row r="205">
      <c r="A205" s="6" t="n"/>
      <c r="B205" s="6" t="n"/>
      <c r="C205" s="6" t="n"/>
      <c r="D205" s="6" t="n"/>
      <c r="E205" s="6" t="n"/>
      <c r="F205" s="6" t="n"/>
      <c r="G205" s="25" t="n"/>
      <c r="H205" s="26" t="n"/>
      <c r="I205" s="6" t="n"/>
      <c r="J205" s="15">
        <f>IF($A205="","",COUNTIFS(Jobs!$C$5:$C$1004,$A205))</f>
        <v/>
      </c>
      <c r="K205" s="27">
        <f>IF($A205="","",SUMIFS(Jobs!$J$5:$J$1004,Jobs!$C$5:$C$1004,$A205))</f>
        <v/>
      </c>
      <c r="L205" s="28">
        <f>IF(OR($A205="",J205=0),"",_xlfn.MAXIFS(Jobs!$B$5:$B$1004,Jobs!$C$5:$C$1004,$A205))</f>
        <v/>
      </c>
      <c r="M205" s="27">
        <f>IF($A205="","",SUMIFS(Jobs!$J$5:$J$1004,Jobs!$C$5:$C$1004,$A205,Jobs!$K$5:$K$1004,"No"))</f>
        <v/>
      </c>
      <c r="N205" s="8">
        <f>IF($A205="","",IF(J205=0,"New",IF(N(M205)&gt;0,"Unpaid","Paid up")))</f>
        <v/>
      </c>
    </row>
    <row r="206">
      <c r="A206" s="6" t="n"/>
      <c r="B206" s="6" t="n"/>
      <c r="C206" s="6" t="n"/>
      <c r="D206" s="6" t="n"/>
      <c r="E206" s="6" t="n"/>
      <c r="F206" s="6" t="n"/>
      <c r="G206" s="25" t="n"/>
      <c r="H206" s="26" t="n"/>
      <c r="I206" s="6" t="n"/>
      <c r="J206" s="15">
        <f>IF($A206="","",COUNTIFS(Jobs!$C$5:$C$1004,$A206))</f>
        <v/>
      </c>
      <c r="K206" s="27">
        <f>IF($A206="","",SUMIFS(Jobs!$J$5:$J$1004,Jobs!$C$5:$C$1004,$A206))</f>
        <v/>
      </c>
      <c r="L206" s="28">
        <f>IF(OR($A206="",J206=0),"",_xlfn.MAXIFS(Jobs!$B$5:$B$1004,Jobs!$C$5:$C$1004,$A206))</f>
        <v/>
      </c>
      <c r="M206" s="27">
        <f>IF($A206="","",SUMIFS(Jobs!$J$5:$J$1004,Jobs!$C$5:$C$1004,$A206,Jobs!$K$5:$K$1004,"No"))</f>
        <v/>
      </c>
      <c r="N206" s="8">
        <f>IF($A206="","",IF(J206=0,"New",IF(N(M206)&gt;0,"Unpaid","Paid up")))</f>
        <v/>
      </c>
    </row>
    <row r="207">
      <c r="A207" s="6" t="n"/>
      <c r="B207" s="6" t="n"/>
      <c r="C207" s="6" t="n"/>
      <c r="D207" s="6" t="n"/>
      <c r="E207" s="6" t="n"/>
      <c r="F207" s="6" t="n"/>
      <c r="G207" s="25" t="n"/>
      <c r="H207" s="26" t="n"/>
      <c r="I207" s="6" t="n"/>
      <c r="J207" s="15">
        <f>IF($A207="","",COUNTIFS(Jobs!$C$5:$C$1004,$A207))</f>
        <v/>
      </c>
      <c r="K207" s="27">
        <f>IF($A207="","",SUMIFS(Jobs!$J$5:$J$1004,Jobs!$C$5:$C$1004,$A207))</f>
        <v/>
      </c>
      <c r="L207" s="28">
        <f>IF(OR($A207="",J207=0),"",_xlfn.MAXIFS(Jobs!$B$5:$B$1004,Jobs!$C$5:$C$1004,$A207))</f>
        <v/>
      </c>
      <c r="M207" s="27">
        <f>IF($A207="","",SUMIFS(Jobs!$J$5:$J$1004,Jobs!$C$5:$C$1004,$A207,Jobs!$K$5:$K$1004,"No"))</f>
        <v/>
      </c>
      <c r="N207" s="8">
        <f>IF($A207="","",IF(J207=0,"New",IF(N(M207)&gt;0,"Unpaid","Paid up")))</f>
        <v/>
      </c>
    </row>
    <row r="208">
      <c r="A208" s="6" t="n"/>
      <c r="B208" s="6" t="n"/>
      <c r="C208" s="6" t="n"/>
      <c r="D208" s="6" t="n"/>
      <c r="E208" s="6" t="n"/>
      <c r="F208" s="6" t="n"/>
      <c r="G208" s="25" t="n"/>
      <c r="H208" s="26" t="n"/>
      <c r="I208" s="6" t="n"/>
      <c r="J208" s="15">
        <f>IF($A208="","",COUNTIFS(Jobs!$C$5:$C$1004,$A208))</f>
        <v/>
      </c>
      <c r="K208" s="27">
        <f>IF($A208="","",SUMIFS(Jobs!$J$5:$J$1004,Jobs!$C$5:$C$1004,$A208))</f>
        <v/>
      </c>
      <c r="L208" s="28">
        <f>IF(OR($A208="",J208=0),"",_xlfn.MAXIFS(Jobs!$B$5:$B$1004,Jobs!$C$5:$C$1004,$A208))</f>
        <v/>
      </c>
      <c r="M208" s="27">
        <f>IF($A208="","",SUMIFS(Jobs!$J$5:$J$1004,Jobs!$C$5:$C$1004,$A208,Jobs!$K$5:$K$1004,"No"))</f>
        <v/>
      </c>
      <c r="N208" s="8">
        <f>IF($A208="","",IF(J208=0,"New",IF(N(M208)&gt;0,"Unpaid","Paid up")))</f>
        <v/>
      </c>
    </row>
    <row r="209">
      <c r="A209" s="6" t="n"/>
      <c r="B209" s="6" t="n"/>
      <c r="C209" s="6" t="n"/>
      <c r="D209" s="6" t="n"/>
      <c r="E209" s="6" t="n"/>
      <c r="F209" s="6" t="n"/>
      <c r="G209" s="25" t="n"/>
      <c r="H209" s="26" t="n"/>
      <c r="I209" s="6" t="n"/>
      <c r="J209" s="15">
        <f>IF($A209="","",COUNTIFS(Jobs!$C$5:$C$1004,$A209))</f>
        <v/>
      </c>
      <c r="K209" s="27">
        <f>IF($A209="","",SUMIFS(Jobs!$J$5:$J$1004,Jobs!$C$5:$C$1004,$A209))</f>
        <v/>
      </c>
      <c r="L209" s="28">
        <f>IF(OR($A209="",J209=0),"",_xlfn.MAXIFS(Jobs!$B$5:$B$1004,Jobs!$C$5:$C$1004,$A209))</f>
        <v/>
      </c>
      <c r="M209" s="27">
        <f>IF($A209="","",SUMIFS(Jobs!$J$5:$J$1004,Jobs!$C$5:$C$1004,$A209,Jobs!$K$5:$K$1004,"No"))</f>
        <v/>
      </c>
      <c r="N209" s="8">
        <f>IF($A209="","",IF(J209=0,"New",IF(N(M209)&gt;0,"Unpaid","Paid up")))</f>
        <v/>
      </c>
    </row>
    <row r="210">
      <c r="A210" s="6" t="n"/>
      <c r="B210" s="6" t="n"/>
      <c r="C210" s="6" t="n"/>
      <c r="D210" s="6" t="n"/>
      <c r="E210" s="6" t="n"/>
      <c r="F210" s="6" t="n"/>
      <c r="G210" s="25" t="n"/>
      <c r="H210" s="26" t="n"/>
      <c r="I210" s="6" t="n"/>
      <c r="J210" s="15">
        <f>IF($A210="","",COUNTIFS(Jobs!$C$5:$C$1004,$A210))</f>
        <v/>
      </c>
      <c r="K210" s="27">
        <f>IF($A210="","",SUMIFS(Jobs!$J$5:$J$1004,Jobs!$C$5:$C$1004,$A210))</f>
        <v/>
      </c>
      <c r="L210" s="28">
        <f>IF(OR($A210="",J210=0),"",_xlfn.MAXIFS(Jobs!$B$5:$B$1004,Jobs!$C$5:$C$1004,$A210))</f>
        <v/>
      </c>
      <c r="M210" s="27">
        <f>IF($A210="","",SUMIFS(Jobs!$J$5:$J$1004,Jobs!$C$5:$C$1004,$A210,Jobs!$K$5:$K$1004,"No"))</f>
        <v/>
      </c>
      <c r="N210" s="8">
        <f>IF($A210="","",IF(J210=0,"New",IF(N(M210)&gt;0,"Unpaid","Paid up")))</f>
        <v/>
      </c>
    </row>
    <row r="211">
      <c r="A211" s="6" t="n"/>
      <c r="B211" s="6" t="n"/>
      <c r="C211" s="6" t="n"/>
      <c r="D211" s="6" t="n"/>
      <c r="E211" s="6" t="n"/>
      <c r="F211" s="6" t="n"/>
      <c r="G211" s="25" t="n"/>
      <c r="H211" s="26" t="n"/>
      <c r="I211" s="6" t="n"/>
      <c r="J211" s="15">
        <f>IF($A211="","",COUNTIFS(Jobs!$C$5:$C$1004,$A211))</f>
        <v/>
      </c>
      <c r="K211" s="27">
        <f>IF($A211="","",SUMIFS(Jobs!$J$5:$J$1004,Jobs!$C$5:$C$1004,$A211))</f>
        <v/>
      </c>
      <c r="L211" s="28">
        <f>IF(OR($A211="",J211=0),"",_xlfn.MAXIFS(Jobs!$B$5:$B$1004,Jobs!$C$5:$C$1004,$A211))</f>
        <v/>
      </c>
      <c r="M211" s="27">
        <f>IF($A211="","",SUMIFS(Jobs!$J$5:$J$1004,Jobs!$C$5:$C$1004,$A211,Jobs!$K$5:$K$1004,"No"))</f>
        <v/>
      </c>
      <c r="N211" s="8">
        <f>IF($A211="","",IF(J211=0,"New",IF(N(M211)&gt;0,"Unpaid","Paid up")))</f>
        <v/>
      </c>
    </row>
    <row r="212">
      <c r="A212" s="6" t="n"/>
      <c r="B212" s="6" t="n"/>
      <c r="C212" s="6" t="n"/>
      <c r="D212" s="6" t="n"/>
      <c r="E212" s="6" t="n"/>
      <c r="F212" s="6" t="n"/>
      <c r="G212" s="25" t="n"/>
      <c r="H212" s="26" t="n"/>
      <c r="I212" s="6" t="n"/>
      <c r="J212" s="15">
        <f>IF($A212="","",COUNTIFS(Jobs!$C$5:$C$1004,$A212))</f>
        <v/>
      </c>
      <c r="K212" s="27">
        <f>IF($A212="","",SUMIFS(Jobs!$J$5:$J$1004,Jobs!$C$5:$C$1004,$A212))</f>
        <v/>
      </c>
      <c r="L212" s="28">
        <f>IF(OR($A212="",J212=0),"",_xlfn.MAXIFS(Jobs!$B$5:$B$1004,Jobs!$C$5:$C$1004,$A212))</f>
        <v/>
      </c>
      <c r="M212" s="27">
        <f>IF($A212="","",SUMIFS(Jobs!$J$5:$J$1004,Jobs!$C$5:$C$1004,$A212,Jobs!$K$5:$K$1004,"No"))</f>
        <v/>
      </c>
      <c r="N212" s="8">
        <f>IF($A212="","",IF(J212=0,"New",IF(N(M212)&gt;0,"Unpaid","Paid up")))</f>
        <v/>
      </c>
    </row>
    <row r="213">
      <c r="A213" s="6" t="n"/>
      <c r="B213" s="6" t="n"/>
      <c r="C213" s="6" t="n"/>
      <c r="D213" s="6" t="n"/>
      <c r="E213" s="6" t="n"/>
      <c r="F213" s="6" t="n"/>
      <c r="G213" s="25" t="n"/>
      <c r="H213" s="26" t="n"/>
      <c r="I213" s="6" t="n"/>
      <c r="J213" s="15">
        <f>IF($A213="","",COUNTIFS(Jobs!$C$5:$C$1004,$A213))</f>
        <v/>
      </c>
      <c r="K213" s="27">
        <f>IF($A213="","",SUMIFS(Jobs!$J$5:$J$1004,Jobs!$C$5:$C$1004,$A213))</f>
        <v/>
      </c>
      <c r="L213" s="28">
        <f>IF(OR($A213="",J213=0),"",_xlfn.MAXIFS(Jobs!$B$5:$B$1004,Jobs!$C$5:$C$1004,$A213))</f>
        <v/>
      </c>
      <c r="M213" s="27">
        <f>IF($A213="","",SUMIFS(Jobs!$J$5:$J$1004,Jobs!$C$5:$C$1004,$A213,Jobs!$K$5:$K$1004,"No"))</f>
        <v/>
      </c>
      <c r="N213" s="8">
        <f>IF($A213="","",IF(J213=0,"New",IF(N(M213)&gt;0,"Unpaid","Paid up")))</f>
        <v/>
      </c>
    </row>
    <row r="214">
      <c r="A214" s="6" t="n"/>
      <c r="B214" s="6" t="n"/>
      <c r="C214" s="6" t="n"/>
      <c r="D214" s="6" t="n"/>
      <c r="E214" s="6" t="n"/>
      <c r="F214" s="6" t="n"/>
      <c r="G214" s="25" t="n"/>
      <c r="H214" s="26" t="n"/>
      <c r="I214" s="6" t="n"/>
      <c r="J214" s="15">
        <f>IF($A214="","",COUNTIFS(Jobs!$C$5:$C$1004,$A214))</f>
        <v/>
      </c>
      <c r="K214" s="27">
        <f>IF($A214="","",SUMIFS(Jobs!$J$5:$J$1004,Jobs!$C$5:$C$1004,$A214))</f>
        <v/>
      </c>
      <c r="L214" s="28">
        <f>IF(OR($A214="",J214=0),"",_xlfn.MAXIFS(Jobs!$B$5:$B$1004,Jobs!$C$5:$C$1004,$A214))</f>
        <v/>
      </c>
      <c r="M214" s="27">
        <f>IF($A214="","",SUMIFS(Jobs!$J$5:$J$1004,Jobs!$C$5:$C$1004,$A214,Jobs!$K$5:$K$1004,"No"))</f>
        <v/>
      </c>
      <c r="N214" s="8">
        <f>IF($A214="","",IF(J214=0,"New",IF(N(M214)&gt;0,"Unpaid","Paid up")))</f>
        <v/>
      </c>
    </row>
    <row r="215">
      <c r="A215" s="6" t="n"/>
      <c r="B215" s="6" t="n"/>
      <c r="C215" s="6" t="n"/>
      <c r="D215" s="6" t="n"/>
      <c r="E215" s="6" t="n"/>
      <c r="F215" s="6" t="n"/>
      <c r="G215" s="25" t="n"/>
      <c r="H215" s="26" t="n"/>
      <c r="I215" s="6" t="n"/>
      <c r="J215" s="15">
        <f>IF($A215="","",COUNTIFS(Jobs!$C$5:$C$1004,$A215))</f>
        <v/>
      </c>
      <c r="K215" s="27">
        <f>IF($A215="","",SUMIFS(Jobs!$J$5:$J$1004,Jobs!$C$5:$C$1004,$A215))</f>
        <v/>
      </c>
      <c r="L215" s="28">
        <f>IF(OR($A215="",J215=0),"",_xlfn.MAXIFS(Jobs!$B$5:$B$1004,Jobs!$C$5:$C$1004,$A215))</f>
        <v/>
      </c>
      <c r="M215" s="27">
        <f>IF($A215="","",SUMIFS(Jobs!$J$5:$J$1004,Jobs!$C$5:$C$1004,$A215,Jobs!$K$5:$K$1004,"No"))</f>
        <v/>
      </c>
      <c r="N215" s="8">
        <f>IF($A215="","",IF(J215=0,"New",IF(N(M215)&gt;0,"Unpaid","Paid up")))</f>
        <v/>
      </c>
    </row>
    <row r="216">
      <c r="A216" s="6" t="n"/>
      <c r="B216" s="6" t="n"/>
      <c r="C216" s="6" t="n"/>
      <c r="D216" s="6" t="n"/>
      <c r="E216" s="6" t="n"/>
      <c r="F216" s="6" t="n"/>
      <c r="G216" s="25" t="n"/>
      <c r="H216" s="26" t="n"/>
      <c r="I216" s="6" t="n"/>
      <c r="J216" s="15">
        <f>IF($A216="","",COUNTIFS(Jobs!$C$5:$C$1004,$A216))</f>
        <v/>
      </c>
      <c r="K216" s="27">
        <f>IF($A216="","",SUMIFS(Jobs!$J$5:$J$1004,Jobs!$C$5:$C$1004,$A216))</f>
        <v/>
      </c>
      <c r="L216" s="28">
        <f>IF(OR($A216="",J216=0),"",_xlfn.MAXIFS(Jobs!$B$5:$B$1004,Jobs!$C$5:$C$1004,$A216))</f>
        <v/>
      </c>
      <c r="M216" s="27">
        <f>IF($A216="","",SUMIFS(Jobs!$J$5:$J$1004,Jobs!$C$5:$C$1004,$A216,Jobs!$K$5:$K$1004,"No"))</f>
        <v/>
      </c>
      <c r="N216" s="8">
        <f>IF($A216="","",IF(J216=0,"New",IF(N(M216)&gt;0,"Unpaid","Paid up")))</f>
        <v/>
      </c>
    </row>
    <row r="217">
      <c r="A217" s="6" t="n"/>
      <c r="B217" s="6" t="n"/>
      <c r="C217" s="6" t="n"/>
      <c r="D217" s="6" t="n"/>
      <c r="E217" s="6" t="n"/>
      <c r="F217" s="6" t="n"/>
      <c r="G217" s="25" t="n"/>
      <c r="H217" s="26" t="n"/>
      <c r="I217" s="6" t="n"/>
      <c r="J217" s="15">
        <f>IF($A217="","",COUNTIFS(Jobs!$C$5:$C$1004,$A217))</f>
        <v/>
      </c>
      <c r="K217" s="27">
        <f>IF($A217="","",SUMIFS(Jobs!$J$5:$J$1004,Jobs!$C$5:$C$1004,$A217))</f>
        <v/>
      </c>
      <c r="L217" s="28">
        <f>IF(OR($A217="",J217=0),"",_xlfn.MAXIFS(Jobs!$B$5:$B$1004,Jobs!$C$5:$C$1004,$A217))</f>
        <v/>
      </c>
      <c r="M217" s="27">
        <f>IF($A217="","",SUMIFS(Jobs!$J$5:$J$1004,Jobs!$C$5:$C$1004,$A217,Jobs!$K$5:$K$1004,"No"))</f>
        <v/>
      </c>
      <c r="N217" s="8">
        <f>IF($A217="","",IF(J217=0,"New",IF(N(M217)&gt;0,"Unpaid","Paid up")))</f>
        <v/>
      </c>
    </row>
    <row r="218">
      <c r="A218" s="6" t="n"/>
      <c r="B218" s="6" t="n"/>
      <c r="C218" s="6" t="n"/>
      <c r="D218" s="6" t="n"/>
      <c r="E218" s="6" t="n"/>
      <c r="F218" s="6" t="n"/>
      <c r="G218" s="25" t="n"/>
      <c r="H218" s="26" t="n"/>
      <c r="I218" s="6" t="n"/>
      <c r="J218" s="15">
        <f>IF($A218="","",COUNTIFS(Jobs!$C$5:$C$1004,$A218))</f>
        <v/>
      </c>
      <c r="K218" s="27">
        <f>IF($A218="","",SUMIFS(Jobs!$J$5:$J$1004,Jobs!$C$5:$C$1004,$A218))</f>
        <v/>
      </c>
      <c r="L218" s="28">
        <f>IF(OR($A218="",J218=0),"",_xlfn.MAXIFS(Jobs!$B$5:$B$1004,Jobs!$C$5:$C$1004,$A218))</f>
        <v/>
      </c>
      <c r="M218" s="27">
        <f>IF($A218="","",SUMIFS(Jobs!$J$5:$J$1004,Jobs!$C$5:$C$1004,$A218,Jobs!$K$5:$K$1004,"No"))</f>
        <v/>
      </c>
      <c r="N218" s="8">
        <f>IF($A218="","",IF(J218=0,"New",IF(N(M218)&gt;0,"Unpaid","Paid up")))</f>
        <v/>
      </c>
    </row>
    <row r="219">
      <c r="A219" s="6" t="n"/>
      <c r="B219" s="6" t="n"/>
      <c r="C219" s="6" t="n"/>
      <c r="D219" s="6" t="n"/>
      <c r="E219" s="6" t="n"/>
      <c r="F219" s="6" t="n"/>
      <c r="G219" s="25" t="n"/>
      <c r="H219" s="26" t="n"/>
      <c r="I219" s="6" t="n"/>
      <c r="J219" s="15">
        <f>IF($A219="","",COUNTIFS(Jobs!$C$5:$C$1004,$A219))</f>
        <v/>
      </c>
      <c r="K219" s="27">
        <f>IF($A219="","",SUMIFS(Jobs!$J$5:$J$1004,Jobs!$C$5:$C$1004,$A219))</f>
        <v/>
      </c>
      <c r="L219" s="28">
        <f>IF(OR($A219="",J219=0),"",_xlfn.MAXIFS(Jobs!$B$5:$B$1004,Jobs!$C$5:$C$1004,$A219))</f>
        <v/>
      </c>
      <c r="M219" s="27">
        <f>IF($A219="","",SUMIFS(Jobs!$J$5:$J$1004,Jobs!$C$5:$C$1004,$A219,Jobs!$K$5:$K$1004,"No"))</f>
        <v/>
      </c>
      <c r="N219" s="8">
        <f>IF($A219="","",IF(J219=0,"New",IF(N(M219)&gt;0,"Unpaid","Paid up")))</f>
        <v/>
      </c>
    </row>
    <row r="220">
      <c r="A220" s="6" t="n"/>
      <c r="B220" s="6" t="n"/>
      <c r="C220" s="6" t="n"/>
      <c r="D220" s="6" t="n"/>
      <c r="E220" s="6" t="n"/>
      <c r="F220" s="6" t="n"/>
      <c r="G220" s="25" t="n"/>
      <c r="H220" s="26" t="n"/>
      <c r="I220" s="6" t="n"/>
      <c r="J220" s="15">
        <f>IF($A220="","",COUNTIFS(Jobs!$C$5:$C$1004,$A220))</f>
        <v/>
      </c>
      <c r="K220" s="27">
        <f>IF($A220="","",SUMIFS(Jobs!$J$5:$J$1004,Jobs!$C$5:$C$1004,$A220))</f>
        <v/>
      </c>
      <c r="L220" s="28">
        <f>IF(OR($A220="",J220=0),"",_xlfn.MAXIFS(Jobs!$B$5:$B$1004,Jobs!$C$5:$C$1004,$A220))</f>
        <v/>
      </c>
      <c r="M220" s="27">
        <f>IF($A220="","",SUMIFS(Jobs!$J$5:$J$1004,Jobs!$C$5:$C$1004,$A220,Jobs!$K$5:$K$1004,"No"))</f>
        <v/>
      </c>
      <c r="N220" s="8">
        <f>IF($A220="","",IF(J220=0,"New",IF(N(M220)&gt;0,"Unpaid","Paid up")))</f>
        <v/>
      </c>
    </row>
    <row r="221">
      <c r="A221" s="6" t="n"/>
      <c r="B221" s="6" t="n"/>
      <c r="C221" s="6" t="n"/>
      <c r="D221" s="6" t="n"/>
      <c r="E221" s="6" t="n"/>
      <c r="F221" s="6" t="n"/>
      <c r="G221" s="25" t="n"/>
      <c r="H221" s="26" t="n"/>
      <c r="I221" s="6" t="n"/>
      <c r="J221" s="15">
        <f>IF($A221="","",COUNTIFS(Jobs!$C$5:$C$1004,$A221))</f>
        <v/>
      </c>
      <c r="K221" s="27">
        <f>IF($A221="","",SUMIFS(Jobs!$J$5:$J$1004,Jobs!$C$5:$C$1004,$A221))</f>
        <v/>
      </c>
      <c r="L221" s="28">
        <f>IF(OR($A221="",J221=0),"",_xlfn.MAXIFS(Jobs!$B$5:$B$1004,Jobs!$C$5:$C$1004,$A221))</f>
        <v/>
      </c>
      <c r="M221" s="27">
        <f>IF($A221="","",SUMIFS(Jobs!$J$5:$J$1004,Jobs!$C$5:$C$1004,$A221,Jobs!$K$5:$K$1004,"No"))</f>
        <v/>
      </c>
      <c r="N221" s="8">
        <f>IF($A221="","",IF(J221=0,"New",IF(N(M221)&gt;0,"Unpaid","Paid up")))</f>
        <v/>
      </c>
    </row>
    <row r="222">
      <c r="A222" s="6" t="n"/>
      <c r="B222" s="6" t="n"/>
      <c r="C222" s="6" t="n"/>
      <c r="D222" s="6" t="n"/>
      <c r="E222" s="6" t="n"/>
      <c r="F222" s="6" t="n"/>
      <c r="G222" s="25" t="n"/>
      <c r="H222" s="26" t="n"/>
      <c r="I222" s="6" t="n"/>
      <c r="J222" s="15">
        <f>IF($A222="","",COUNTIFS(Jobs!$C$5:$C$1004,$A222))</f>
        <v/>
      </c>
      <c r="K222" s="27">
        <f>IF($A222="","",SUMIFS(Jobs!$J$5:$J$1004,Jobs!$C$5:$C$1004,$A222))</f>
        <v/>
      </c>
      <c r="L222" s="28">
        <f>IF(OR($A222="",J222=0),"",_xlfn.MAXIFS(Jobs!$B$5:$B$1004,Jobs!$C$5:$C$1004,$A222))</f>
        <v/>
      </c>
      <c r="M222" s="27">
        <f>IF($A222="","",SUMIFS(Jobs!$J$5:$J$1004,Jobs!$C$5:$C$1004,$A222,Jobs!$K$5:$K$1004,"No"))</f>
        <v/>
      </c>
      <c r="N222" s="8">
        <f>IF($A222="","",IF(J222=0,"New",IF(N(M222)&gt;0,"Unpaid","Paid up")))</f>
        <v/>
      </c>
    </row>
    <row r="223">
      <c r="A223" s="6" t="n"/>
      <c r="B223" s="6" t="n"/>
      <c r="C223" s="6" t="n"/>
      <c r="D223" s="6" t="n"/>
      <c r="E223" s="6" t="n"/>
      <c r="F223" s="6" t="n"/>
      <c r="G223" s="25" t="n"/>
      <c r="H223" s="26" t="n"/>
      <c r="I223" s="6" t="n"/>
      <c r="J223" s="15">
        <f>IF($A223="","",COUNTIFS(Jobs!$C$5:$C$1004,$A223))</f>
        <v/>
      </c>
      <c r="K223" s="27">
        <f>IF($A223="","",SUMIFS(Jobs!$J$5:$J$1004,Jobs!$C$5:$C$1004,$A223))</f>
        <v/>
      </c>
      <c r="L223" s="28">
        <f>IF(OR($A223="",J223=0),"",_xlfn.MAXIFS(Jobs!$B$5:$B$1004,Jobs!$C$5:$C$1004,$A223))</f>
        <v/>
      </c>
      <c r="M223" s="27">
        <f>IF($A223="","",SUMIFS(Jobs!$J$5:$J$1004,Jobs!$C$5:$C$1004,$A223,Jobs!$K$5:$K$1004,"No"))</f>
        <v/>
      </c>
      <c r="N223" s="8">
        <f>IF($A223="","",IF(J223=0,"New",IF(N(M223)&gt;0,"Unpaid","Paid up")))</f>
        <v/>
      </c>
    </row>
    <row r="224">
      <c r="A224" s="6" t="n"/>
      <c r="B224" s="6" t="n"/>
      <c r="C224" s="6" t="n"/>
      <c r="D224" s="6" t="n"/>
      <c r="E224" s="6" t="n"/>
      <c r="F224" s="6" t="n"/>
      <c r="G224" s="25" t="n"/>
      <c r="H224" s="26" t="n"/>
      <c r="I224" s="6" t="n"/>
      <c r="J224" s="15">
        <f>IF($A224="","",COUNTIFS(Jobs!$C$5:$C$1004,$A224))</f>
        <v/>
      </c>
      <c r="K224" s="27">
        <f>IF($A224="","",SUMIFS(Jobs!$J$5:$J$1004,Jobs!$C$5:$C$1004,$A224))</f>
        <v/>
      </c>
      <c r="L224" s="28">
        <f>IF(OR($A224="",J224=0),"",_xlfn.MAXIFS(Jobs!$B$5:$B$1004,Jobs!$C$5:$C$1004,$A224))</f>
        <v/>
      </c>
      <c r="M224" s="27">
        <f>IF($A224="","",SUMIFS(Jobs!$J$5:$J$1004,Jobs!$C$5:$C$1004,$A224,Jobs!$K$5:$K$1004,"No"))</f>
        <v/>
      </c>
      <c r="N224" s="8">
        <f>IF($A224="","",IF(J224=0,"New",IF(N(M224)&gt;0,"Unpaid","Paid up")))</f>
        <v/>
      </c>
    </row>
    <row r="225">
      <c r="A225" s="6" t="n"/>
      <c r="B225" s="6" t="n"/>
      <c r="C225" s="6" t="n"/>
      <c r="D225" s="6" t="n"/>
      <c r="E225" s="6" t="n"/>
      <c r="F225" s="6" t="n"/>
      <c r="G225" s="25" t="n"/>
      <c r="H225" s="26" t="n"/>
      <c r="I225" s="6" t="n"/>
      <c r="J225" s="15">
        <f>IF($A225="","",COUNTIFS(Jobs!$C$5:$C$1004,$A225))</f>
        <v/>
      </c>
      <c r="K225" s="27">
        <f>IF($A225="","",SUMIFS(Jobs!$J$5:$J$1004,Jobs!$C$5:$C$1004,$A225))</f>
        <v/>
      </c>
      <c r="L225" s="28">
        <f>IF(OR($A225="",J225=0),"",_xlfn.MAXIFS(Jobs!$B$5:$B$1004,Jobs!$C$5:$C$1004,$A225))</f>
        <v/>
      </c>
      <c r="M225" s="27">
        <f>IF($A225="","",SUMIFS(Jobs!$J$5:$J$1004,Jobs!$C$5:$C$1004,$A225,Jobs!$K$5:$K$1004,"No"))</f>
        <v/>
      </c>
      <c r="N225" s="8">
        <f>IF($A225="","",IF(J225=0,"New",IF(N(M225)&gt;0,"Unpaid","Paid up")))</f>
        <v/>
      </c>
    </row>
    <row r="226">
      <c r="A226" s="6" t="n"/>
      <c r="B226" s="6" t="n"/>
      <c r="C226" s="6" t="n"/>
      <c r="D226" s="6" t="n"/>
      <c r="E226" s="6" t="n"/>
      <c r="F226" s="6" t="n"/>
      <c r="G226" s="25" t="n"/>
      <c r="H226" s="26" t="n"/>
      <c r="I226" s="6" t="n"/>
      <c r="J226" s="15">
        <f>IF($A226="","",COUNTIFS(Jobs!$C$5:$C$1004,$A226))</f>
        <v/>
      </c>
      <c r="K226" s="27">
        <f>IF($A226="","",SUMIFS(Jobs!$J$5:$J$1004,Jobs!$C$5:$C$1004,$A226))</f>
        <v/>
      </c>
      <c r="L226" s="28">
        <f>IF(OR($A226="",J226=0),"",_xlfn.MAXIFS(Jobs!$B$5:$B$1004,Jobs!$C$5:$C$1004,$A226))</f>
        <v/>
      </c>
      <c r="M226" s="27">
        <f>IF($A226="","",SUMIFS(Jobs!$J$5:$J$1004,Jobs!$C$5:$C$1004,$A226,Jobs!$K$5:$K$1004,"No"))</f>
        <v/>
      </c>
      <c r="N226" s="8">
        <f>IF($A226="","",IF(J226=0,"New",IF(N(M226)&gt;0,"Unpaid","Paid up")))</f>
        <v/>
      </c>
    </row>
    <row r="227">
      <c r="A227" s="6" t="n"/>
      <c r="B227" s="6" t="n"/>
      <c r="C227" s="6" t="n"/>
      <c r="D227" s="6" t="n"/>
      <c r="E227" s="6" t="n"/>
      <c r="F227" s="6" t="n"/>
      <c r="G227" s="25" t="n"/>
      <c r="H227" s="26" t="n"/>
      <c r="I227" s="6" t="n"/>
      <c r="J227" s="15">
        <f>IF($A227="","",COUNTIFS(Jobs!$C$5:$C$1004,$A227))</f>
        <v/>
      </c>
      <c r="K227" s="27">
        <f>IF($A227="","",SUMIFS(Jobs!$J$5:$J$1004,Jobs!$C$5:$C$1004,$A227))</f>
        <v/>
      </c>
      <c r="L227" s="28">
        <f>IF(OR($A227="",J227=0),"",_xlfn.MAXIFS(Jobs!$B$5:$B$1004,Jobs!$C$5:$C$1004,$A227))</f>
        <v/>
      </c>
      <c r="M227" s="27">
        <f>IF($A227="","",SUMIFS(Jobs!$J$5:$J$1004,Jobs!$C$5:$C$1004,$A227,Jobs!$K$5:$K$1004,"No"))</f>
        <v/>
      </c>
      <c r="N227" s="8">
        <f>IF($A227="","",IF(J227=0,"New",IF(N(M227)&gt;0,"Unpaid","Paid up")))</f>
        <v/>
      </c>
    </row>
    <row r="228">
      <c r="A228" s="6" t="n"/>
      <c r="B228" s="6" t="n"/>
      <c r="C228" s="6" t="n"/>
      <c r="D228" s="6" t="n"/>
      <c r="E228" s="6" t="n"/>
      <c r="F228" s="6" t="n"/>
      <c r="G228" s="25" t="n"/>
      <c r="H228" s="26" t="n"/>
      <c r="I228" s="6" t="n"/>
      <c r="J228" s="15">
        <f>IF($A228="","",COUNTIFS(Jobs!$C$5:$C$1004,$A228))</f>
        <v/>
      </c>
      <c r="K228" s="27">
        <f>IF($A228="","",SUMIFS(Jobs!$J$5:$J$1004,Jobs!$C$5:$C$1004,$A228))</f>
        <v/>
      </c>
      <c r="L228" s="28">
        <f>IF(OR($A228="",J228=0),"",_xlfn.MAXIFS(Jobs!$B$5:$B$1004,Jobs!$C$5:$C$1004,$A228))</f>
        <v/>
      </c>
      <c r="M228" s="27">
        <f>IF($A228="","",SUMIFS(Jobs!$J$5:$J$1004,Jobs!$C$5:$C$1004,$A228,Jobs!$K$5:$K$1004,"No"))</f>
        <v/>
      </c>
      <c r="N228" s="8">
        <f>IF($A228="","",IF(J228=0,"New",IF(N(M228)&gt;0,"Unpaid","Paid up")))</f>
        <v/>
      </c>
    </row>
    <row r="229">
      <c r="A229" s="6" t="n"/>
      <c r="B229" s="6" t="n"/>
      <c r="C229" s="6" t="n"/>
      <c r="D229" s="6" t="n"/>
      <c r="E229" s="6" t="n"/>
      <c r="F229" s="6" t="n"/>
      <c r="G229" s="25" t="n"/>
      <c r="H229" s="26" t="n"/>
      <c r="I229" s="6" t="n"/>
      <c r="J229" s="15">
        <f>IF($A229="","",COUNTIFS(Jobs!$C$5:$C$1004,$A229))</f>
        <v/>
      </c>
      <c r="K229" s="27">
        <f>IF($A229="","",SUMIFS(Jobs!$J$5:$J$1004,Jobs!$C$5:$C$1004,$A229))</f>
        <v/>
      </c>
      <c r="L229" s="28">
        <f>IF(OR($A229="",J229=0),"",_xlfn.MAXIFS(Jobs!$B$5:$B$1004,Jobs!$C$5:$C$1004,$A229))</f>
        <v/>
      </c>
      <c r="M229" s="27">
        <f>IF($A229="","",SUMIFS(Jobs!$J$5:$J$1004,Jobs!$C$5:$C$1004,$A229,Jobs!$K$5:$K$1004,"No"))</f>
        <v/>
      </c>
      <c r="N229" s="8">
        <f>IF($A229="","",IF(J229=0,"New",IF(N(M229)&gt;0,"Unpaid","Paid up")))</f>
        <v/>
      </c>
    </row>
    <row r="230">
      <c r="A230" s="6" t="n"/>
      <c r="B230" s="6" t="n"/>
      <c r="C230" s="6" t="n"/>
      <c r="D230" s="6" t="n"/>
      <c r="E230" s="6" t="n"/>
      <c r="F230" s="6" t="n"/>
      <c r="G230" s="25" t="n"/>
      <c r="H230" s="26" t="n"/>
      <c r="I230" s="6" t="n"/>
      <c r="J230" s="15">
        <f>IF($A230="","",COUNTIFS(Jobs!$C$5:$C$1004,$A230))</f>
        <v/>
      </c>
      <c r="K230" s="27">
        <f>IF($A230="","",SUMIFS(Jobs!$J$5:$J$1004,Jobs!$C$5:$C$1004,$A230))</f>
        <v/>
      </c>
      <c r="L230" s="28">
        <f>IF(OR($A230="",J230=0),"",_xlfn.MAXIFS(Jobs!$B$5:$B$1004,Jobs!$C$5:$C$1004,$A230))</f>
        <v/>
      </c>
      <c r="M230" s="27">
        <f>IF($A230="","",SUMIFS(Jobs!$J$5:$J$1004,Jobs!$C$5:$C$1004,$A230,Jobs!$K$5:$K$1004,"No"))</f>
        <v/>
      </c>
      <c r="N230" s="8">
        <f>IF($A230="","",IF(J230=0,"New",IF(N(M230)&gt;0,"Unpaid","Paid up")))</f>
        <v/>
      </c>
    </row>
    <row r="231">
      <c r="A231" s="6" t="n"/>
      <c r="B231" s="6" t="n"/>
      <c r="C231" s="6" t="n"/>
      <c r="D231" s="6" t="n"/>
      <c r="E231" s="6" t="n"/>
      <c r="F231" s="6" t="n"/>
      <c r="G231" s="25" t="n"/>
      <c r="H231" s="26" t="n"/>
      <c r="I231" s="6" t="n"/>
      <c r="J231" s="15">
        <f>IF($A231="","",COUNTIFS(Jobs!$C$5:$C$1004,$A231))</f>
        <v/>
      </c>
      <c r="K231" s="27">
        <f>IF($A231="","",SUMIFS(Jobs!$J$5:$J$1004,Jobs!$C$5:$C$1004,$A231))</f>
        <v/>
      </c>
      <c r="L231" s="28">
        <f>IF(OR($A231="",J231=0),"",_xlfn.MAXIFS(Jobs!$B$5:$B$1004,Jobs!$C$5:$C$1004,$A231))</f>
        <v/>
      </c>
      <c r="M231" s="27">
        <f>IF($A231="","",SUMIFS(Jobs!$J$5:$J$1004,Jobs!$C$5:$C$1004,$A231,Jobs!$K$5:$K$1004,"No"))</f>
        <v/>
      </c>
      <c r="N231" s="8">
        <f>IF($A231="","",IF(J231=0,"New",IF(N(M231)&gt;0,"Unpaid","Paid up")))</f>
        <v/>
      </c>
    </row>
    <row r="232">
      <c r="A232" s="6" t="n"/>
      <c r="B232" s="6" t="n"/>
      <c r="C232" s="6" t="n"/>
      <c r="D232" s="6" t="n"/>
      <c r="E232" s="6" t="n"/>
      <c r="F232" s="6" t="n"/>
      <c r="G232" s="25" t="n"/>
      <c r="H232" s="26" t="n"/>
      <c r="I232" s="6" t="n"/>
      <c r="J232" s="15">
        <f>IF($A232="","",COUNTIFS(Jobs!$C$5:$C$1004,$A232))</f>
        <v/>
      </c>
      <c r="K232" s="27">
        <f>IF($A232="","",SUMIFS(Jobs!$J$5:$J$1004,Jobs!$C$5:$C$1004,$A232))</f>
        <v/>
      </c>
      <c r="L232" s="28">
        <f>IF(OR($A232="",J232=0),"",_xlfn.MAXIFS(Jobs!$B$5:$B$1004,Jobs!$C$5:$C$1004,$A232))</f>
        <v/>
      </c>
      <c r="M232" s="27">
        <f>IF($A232="","",SUMIFS(Jobs!$J$5:$J$1004,Jobs!$C$5:$C$1004,$A232,Jobs!$K$5:$K$1004,"No"))</f>
        <v/>
      </c>
      <c r="N232" s="8">
        <f>IF($A232="","",IF(J232=0,"New",IF(N(M232)&gt;0,"Unpaid","Paid up")))</f>
        <v/>
      </c>
    </row>
    <row r="233">
      <c r="A233" s="6" t="n"/>
      <c r="B233" s="6" t="n"/>
      <c r="C233" s="6" t="n"/>
      <c r="D233" s="6" t="n"/>
      <c r="E233" s="6" t="n"/>
      <c r="F233" s="6" t="n"/>
      <c r="G233" s="25" t="n"/>
      <c r="H233" s="26" t="n"/>
      <c r="I233" s="6" t="n"/>
      <c r="J233" s="15">
        <f>IF($A233="","",COUNTIFS(Jobs!$C$5:$C$1004,$A233))</f>
        <v/>
      </c>
      <c r="K233" s="27">
        <f>IF($A233="","",SUMIFS(Jobs!$J$5:$J$1004,Jobs!$C$5:$C$1004,$A233))</f>
        <v/>
      </c>
      <c r="L233" s="28">
        <f>IF(OR($A233="",J233=0),"",_xlfn.MAXIFS(Jobs!$B$5:$B$1004,Jobs!$C$5:$C$1004,$A233))</f>
        <v/>
      </c>
      <c r="M233" s="27">
        <f>IF($A233="","",SUMIFS(Jobs!$J$5:$J$1004,Jobs!$C$5:$C$1004,$A233,Jobs!$K$5:$K$1004,"No"))</f>
        <v/>
      </c>
      <c r="N233" s="8">
        <f>IF($A233="","",IF(J233=0,"New",IF(N(M233)&gt;0,"Unpaid","Paid up")))</f>
        <v/>
      </c>
    </row>
    <row r="234">
      <c r="A234" s="6" t="n"/>
      <c r="B234" s="6" t="n"/>
      <c r="C234" s="6" t="n"/>
      <c r="D234" s="6" t="n"/>
      <c r="E234" s="6" t="n"/>
      <c r="F234" s="6" t="n"/>
      <c r="G234" s="25" t="n"/>
      <c r="H234" s="26" t="n"/>
      <c r="I234" s="6" t="n"/>
      <c r="J234" s="15">
        <f>IF($A234="","",COUNTIFS(Jobs!$C$5:$C$1004,$A234))</f>
        <v/>
      </c>
      <c r="K234" s="27">
        <f>IF($A234="","",SUMIFS(Jobs!$J$5:$J$1004,Jobs!$C$5:$C$1004,$A234))</f>
        <v/>
      </c>
      <c r="L234" s="28">
        <f>IF(OR($A234="",J234=0),"",_xlfn.MAXIFS(Jobs!$B$5:$B$1004,Jobs!$C$5:$C$1004,$A234))</f>
        <v/>
      </c>
      <c r="M234" s="27">
        <f>IF($A234="","",SUMIFS(Jobs!$J$5:$J$1004,Jobs!$C$5:$C$1004,$A234,Jobs!$K$5:$K$1004,"No"))</f>
        <v/>
      </c>
      <c r="N234" s="8">
        <f>IF($A234="","",IF(J234=0,"New",IF(N(M234)&gt;0,"Unpaid","Paid up")))</f>
        <v/>
      </c>
    </row>
    <row r="235">
      <c r="A235" s="6" t="n"/>
      <c r="B235" s="6" t="n"/>
      <c r="C235" s="6" t="n"/>
      <c r="D235" s="6" t="n"/>
      <c r="E235" s="6" t="n"/>
      <c r="F235" s="6" t="n"/>
      <c r="G235" s="25" t="n"/>
      <c r="H235" s="26" t="n"/>
      <c r="I235" s="6" t="n"/>
      <c r="J235" s="15">
        <f>IF($A235="","",COUNTIFS(Jobs!$C$5:$C$1004,$A235))</f>
        <v/>
      </c>
      <c r="K235" s="27">
        <f>IF($A235="","",SUMIFS(Jobs!$J$5:$J$1004,Jobs!$C$5:$C$1004,$A235))</f>
        <v/>
      </c>
      <c r="L235" s="28">
        <f>IF(OR($A235="",J235=0),"",_xlfn.MAXIFS(Jobs!$B$5:$B$1004,Jobs!$C$5:$C$1004,$A235))</f>
        <v/>
      </c>
      <c r="M235" s="27">
        <f>IF($A235="","",SUMIFS(Jobs!$J$5:$J$1004,Jobs!$C$5:$C$1004,$A235,Jobs!$K$5:$K$1004,"No"))</f>
        <v/>
      </c>
      <c r="N235" s="8">
        <f>IF($A235="","",IF(J235=0,"New",IF(N(M235)&gt;0,"Unpaid","Paid up")))</f>
        <v/>
      </c>
    </row>
    <row r="236">
      <c r="A236" s="6" t="n"/>
      <c r="B236" s="6" t="n"/>
      <c r="C236" s="6" t="n"/>
      <c r="D236" s="6" t="n"/>
      <c r="E236" s="6" t="n"/>
      <c r="F236" s="6" t="n"/>
      <c r="G236" s="25" t="n"/>
      <c r="H236" s="26" t="n"/>
      <c r="I236" s="6" t="n"/>
      <c r="J236" s="15">
        <f>IF($A236="","",COUNTIFS(Jobs!$C$5:$C$1004,$A236))</f>
        <v/>
      </c>
      <c r="K236" s="27">
        <f>IF($A236="","",SUMIFS(Jobs!$J$5:$J$1004,Jobs!$C$5:$C$1004,$A236))</f>
        <v/>
      </c>
      <c r="L236" s="28">
        <f>IF(OR($A236="",J236=0),"",_xlfn.MAXIFS(Jobs!$B$5:$B$1004,Jobs!$C$5:$C$1004,$A236))</f>
        <v/>
      </c>
      <c r="M236" s="27">
        <f>IF($A236="","",SUMIFS(Jobs!$J$5:$J$1004,Jobs!$C$5:$C$1004,$A236,Jobs!$K$5:$K$1004,"No"))</f>
        <v/>
      </c>
      <c r="N236" s="8">
        <f>IF($A236="","",IF(J236=0,"New",IF(N(M236)&gt;0,"Unpaid","Paid up")))</f>
        <v/>
      </c>
    </row>
    <row r="237">
      <c r="A237" s="6" t="n"/>
      <c r="B237" s="6" t="n"/>
      <c r="C237" s="6" t="n"/>
      <c r="D237" s="6" t="n"/>
      <c r="E237" s="6" t="n"/>
      <c r="F237" s="6" t="n"/>
      <c r="G237" s="25" t="n"/>
      <c r="H237" s="26" t="n"/>
      <c r="I237" s="6" t="n"/>
      <c r="J237" s="15">
        <f>IF($A237="","",COUNTIFS(Jobs!$C$5:$C$1004,$A237))</f>
        <v/>
      </c>
      <c r="K237" s="27">
        <f>IF($A237="","",SUMIFS(Jobs!$J$5:$J$1004,Jobs!$C$5:$C$1004,$A237))</f>
        <v/>
      </c>
      <c r="L237" s="28">
        <f>IF(OR($A237="",J237=0),"",_xlfn.MAXIFS(Jobs!$B$5:$B$1004,Jobs!$C$5:$C$1004,$A237))</f>
        <v/>
      </c>
      <c r="M237" s="27">
        <f>IF($A237="","",SUMIFS(Jobs!$J$5:$J$1004,Jobs!$C$5:$C$1004,$A237,Jobs!$K$5:$K$1004,"No"))</f>
        <v/>
      </c>
      <c r="N237" s="8">
        <f>IF($A237="","",IF(J237=0,"New",IF(N(M237)&gt;0,"Unpaid","Paid up")))</f>
        <v/>
      </c>
    </row>
    <row r="238">
      <c r="A238" s="6" t="n"/>
      <c r="B238" s="6" t="n"/>
      <c r="C238" s="6" t="n"/>
      <c r="D238" s="6" t="n"/>
      <c r="E238" s="6" t="n"/>
      <c r="F238" s="6" t="n"/>
      <c r="G238" s="25" t="n"/>
      <c r="H238" s="26" t="n"/>
      <c r="I238" s="6" t="n"/>
      <c r="J238" s="15">
        <f>IF($A238="","",COUNTIFS(Jobs!$C$5:$C$1004,$A238))</f>
        <v/>
      </c>
      <c r="K238" s="27">
        <f>IF($A238="","",SUMIFS(Jobs!$J$5:$J$1004,Jobs!$C$5:$C$1004,$A238))</f>
        <v/>
      </c>
      <c r="L238" s="28">
        <f>IF(OR($A238="",J238=0),"",_xlfn.MAXIFS(Jobs!$B$5:$B$1004,Jobs!$C$5:$C$1004,$A238))</f>
        <v/>
      </c>
      <c r="M238" s="27">
        <f>IF($A238="","",SUMIFS(Jobs!$J$5:$J$1004,Jobs!$C$5:$C$1004,$A238,Jobs!$K$5:$K$1004,"No"))</f>
        <v/>
      </c>
      <c r="N238" s="8">
        <f>IF($A238="","",IF(J238=0,"New",IF(N(M238)&gt;0,"Unpaid","Paid up")))</f>
        <v/>
      </c>
    </row>
    <row r="239">
      <c r="A239" s="6" t="n"/>
      <c r="B239" s="6" t="n"/>
      <c r="C239" s="6" t="n"/>
      <c r="D239" s="6" t="n"/>
      <c r="E239" s="6" t="n"/>
      <c r="F239" s="6" t="n"/>
      <c r="G239" s="25" t="n"/>
      <c r="H239" s="26" t="n"/>
      <c r="I239" s="6" t="n"/>
      <c r="J239" s="15">
        <f>IF($A239="","",COUNTIFS(Jobs!$C$5:$C$1004,$A239))</f>
        <v/>
      </c>
      <c r="K239" s="27">
        <f>IF($A239="","",SUMIFS(Jobs!$J$5:$J$1004,Jobs!$C$5:$C$1004,$A239))</f>
        <v/>
      </c>
      <c r="L239" s="28">
        <f>IF(OR($A239="",J239=0),"",_xlfn.MAXIFS(Jobs!$B$5:$B$1004,Jobs!$C$5:$C$1004,$A239))</f>
        <v/>
      </c>
      <c r="M239" s="27">
        <f>IF($A239="","",SUMIFS(Jobs!$J$5:$J$1004,Jobs!$C$5:$C$1004,$A239,Jobs!$K$5:$K$1004,"No"))</f>
        <v/>
      </c>
      <c r="N239" s="8">
        <f>IF($A239="","",IF(J239=0,"New",IF(N(M239)&gt;0,"Unpaid","Paid up")))</f>
        <v/>
      </c>
    </row>
    <row r="240">
      <c r="A240" s="6" t="n"/>
      <c r="B240" s="6" t="n"/>
      <c r="C240" s="6" t="n"/>
      <c r="D240" s="6" t="n"/>
      <c r="E240" s="6" t="n"/>
      <c r="F240" s="6" t="n"/>
      <c r="G240" s="25" t="n"/>
      <c r="H240" s="26" t="n"/>
      <c r="I240" s="6" t="n"/>
      <c r="J240" s="15">
        <f>IF($A240="","",COUNTIFS(Jobs!$C$5:$C$1004,$A240))</f>
        <v/>
      </c>
      <c r="K240" s="27">
        <f>IF($A240="","",SUMIFS(Jobs!$J$5:$J$1004,Jobs!$C$5:$C$1004,$A240))</f>
        <v/>
      </c>
      <c r="L240" s="28">
        <f>IF(OR($A240="",J240=0),"",_xlfn.MAXIFS(Jobs!$B$5:$B$1004,Jobs!$C$5:$C$1004,$A240))</f>
        <v/>
      </c>
      <c r="M240" s="27">
        <f>IF($A240="","",SUMIFS(Jobs!$J$5:$J$1004,Jobs!$C$5:$C$1004,$A240,Jobs!$K$5:$K$1004,"No"))</f>
        <v/>
      </c>
      <c r="N240" s="8">
        <f>IF($A240="","",IF(J240=0,"New",IF(N(M240)&gt;0,"Unpaid","Paid up")))</f>
        <v/>
      </c>
    </row>
    <row r="241">
      <c r="A241" s="6" t="n"/>
      <c r="B241" s="6" t="n"/>
      <c r="C241" s="6" t="n"/>
      <c r="D241" s="6" t="n"/>
      <c r="E241" s="6" t="n"/>
      <c r="F241" s="6" t="n"/>
      <c r="G241" s="25" t="n"/>
      <c r="H241" s="26" t="n"/>
      <c r="I241" s="6" t="n"/>
      <c r="J241" s="15">
        <f>IF($A241="","",COUNTIFS(Jobs!$C$5:$C$1004,$A241))</f>
        <v/>
      </c>
      <c r="K241" s="27">
        <f>IF($A241="","",SUMIFS(Jobs!$J$5:$J$1004,Jobs!$C$5:$C$1004,$A241))</f>
        <v/>
      </c>
      <c r="L241" s="28">
        <f>IF(OR($A241="",J241=0),"",_xlfn.MAXIFS(Jobs!$B$5:$B$1004,Jobs!$C$5:$C$1004,$A241))</f>
        <v/>
      </c>
      <c r="M241" s="27">
        <f>IF($A241="","",SUMIFS(Jobs!$J$5:$J$1004,Jobs!$C$5:$C$1004,$A241,Jobs!$K$5:$K$1004,"No"))</f>
        <v/>
      </c>
      <c r="N241" s="8">
        <f>IF($A241="","",IF(J241=0,"New",IF(N(M241)&gt;0,"Unpaid","Paid up")))</f>
        <v/>
      </c>
    </row>
    <row r="242">
      <c r="A242" s="6" t="n"/>
      <c r="B242" s="6" t="n"/>
      <c r="C242" s="6" t="n"/>
      <c r="D242" s="6" t="n"/>
      <c r="E242" s="6" t="n"/>
      <c r="F242" s="6" t="n"/>
      <c r="G242" s="25" t="n"/>
      <c r="H242" s="26" t="n"/>
      <c r="I242" s="6" t="n"/>
      <c r="J242" s="15">
        <f>IF($A242="","",COUNTIFS(Jobs!$C$5:$C$1004,$A242))</f>
        <v/>
      </c>
      <c r="K242" s="27">
        <f>IF($A242="","",SUMIFS(Jobs!$J$5:$J$1004,Jobs!$C$5:$C$1004,$A242))</f>
        <v/>
      </c>
      <c r="L242" s="28">
        <f>IF(OR($A242="",J242=0),"",_xlfn.MAXIFS(Jobs!$B$5:$B$1004,Jobs!$C$5:$C$1004,$A242))</f>
        <v/>
      </c>
      <c r="M242" s="27">
        <f>IF($A242="","",SUMIFS(Jobs!$J$5:$J$1004,Jobs!$C$5:$C$1004,$A242,Jobs!$K$5:$K$1004,"No"))</f>
        <v/>
      </c>
      <c r="N242" s="8">
        <f>IF($A242="","",IF(J242=0,"New",IF(N(M242)&gt;0,"Unpaid","Paid up")))</f>
        <v/>
      </c>
    </row>
    <row r="243">
      <c r="A243" s="6" t="n"/>
      <c r="B243" s="6" t="n"/>
      <c r="C243" s="6" t="n"/>
      <c r="D243" s="6" t="n"/>
      <c r="E243" s="6" t="n"/>
      <c r="F243" s="6" t="n"/>
      <c r="G243" s="25" t="n"/>
      <c r="H243" s="26" t="n"/>
      <c r="I243" s="6" t="n"/>
      <c r="J243" s="15">
        <f>IF($A243="","",COUNTIFS(Jobs!$C$5:$C$1004,$A243))</f>
        <v/>
      </c>
      <c r="K243" s="27">
        <f>IF($A243="","",SUMIFS(Jobs!$J$5:$J$1004,Jobs!$C$5:$C$1004,$A243))</f>
        <v/>
      </c>
      <c r="L243" s="28">
        <f>IF(OR($A243="",J243=0),"",_xlfn.MAXIFS(Jobs!$B$5:$B$1004,Jobs!$C$5:$C$1004,$A243))</f>
        <v/>
      </c>
      <c r="M243" s="27">
        <f>IF($A243="","",SUMIFS(Jobs!$J$5:$J$1004,Jobs!$C$5:$C$1004,$A243,Jobs!$K$5:$K$1004,"No"))</f>
        <v/>
      </c>
      <c r="N243" s="8">
        <f>IF($A243="","",IF(J243=0,"New",IF(N(M243)&gt;0,"Unpaid","Paid up")))</f>
        <v/>
      </c>
    </row>
    <row r="244">
      <c r="A244" s="6" t="n"/>
      <c r="B244" s="6" t="n"/>
      <c r="C244" s="6" t="n"/>
      <c r="D244" s="6" t="n"/>
      <c r="E244" s="6" t="n"/>
      <c r="F244" s="6" t="n"/>
      <c r="G244" s="25" t="n"/>
      <c r="H244" s="26" t="n"/>
      <c r="I244" s="6" t="n"/>
      <c r="J244" s="15">
        <f>IF($A244="","",COUNTIFS(Jobs!$C$5:$C$1004,$A244))</f>
        <v/>
      </c>
      <c r="K244" s="27">
        <f>IF($A244="","",SUMIFS(Jobs!$J$5:$J$1004,Jobs!$C$5:$C$1004,$A244))</f>
        <v/>
      </c>
      <c r="L244" s="28">
        <f>IF(OR($A244="",J244=0),"",_xlfn.MAXIFS(Jobs!$B$5:$B$1004,Jobs!$C$5:$C$1004,$A244))</f>
        <v/>
      </c>
      <c r="M244" s="27">
        <f>IF($A244="","",SUMIFS(Jobs!$J$5:$J$1004,Jobs!$C$5:$C$1004,$A244,Jobs!$K$5:$K$1004,"No"))</f>
        <v/>
      </c>
      <c r="N244" s="8">
        <f>IF($A244="","",IF(J244=0,"New",IF(N(M244)&gt;0,"Unpaid","Paid up")))</f>
        <v/>
      </c>
    </row>
    <row r="245">
      <c r="A245" s="6" t="n"/>
      <c r="B245" s="6" t="n"/>
      <c r="C245" s="6" t="n"/>
      <c r="D245" s="6" t="n"/>
      <c r="E245" s="6" t="n"/>
      <c r="F245" s="6" t="n"/>
      <c r="G245" s="25" t="n"/>
      <c r="H245" s="26" t="n"/>
      <c r="I245" s="6" t="n"/>
      <c r="J245" s="15">
        <f>IF($A245="","",COUNTIFS(Jobs!$C$5:$C$1004,$A245))</f>
        <v/>
      </c>
      <c r="K245" s="27">
        <f>IF($A245="","",SUMIFS(Jobs!$J$5:$J$1004,Jobs!$C$5:$C$1004,$A245))</f>
        <v/>
      </c>
      <c r="L245" s="28">
        <f>IF(OR($A245="",J245=0),"",_xlfn.MAXIFS(Jobs!$B$5:$B$1004,Jobs!$C$5:$C$1004,$A245))</f>
        <v/>
      </c>
      <c r="M245" s="27">
        <f>IF($A245="","",SUMIFS(Jobs!$J$5:$J$1004,Jobs!$C$5:$C$1004,$A245,Jobs!$K$5:$K$1004,"No"))</f>
        <v/>
      </c>
      <c r="N245" s="8">
        <f>IF($A245="","",IF(J245=0,"New",IF(N(M245)&gt;0,"Unpaid","Paid up")))</f>
        <v/>
      </c>
    </row>
    <row r="246">
      <c r="A246" s="6" t="n"/>
      <c r="B246" s="6" t="n"/>
      <c r="C246" s="6" t="n"/>
      <c r="D246" s="6" t="n"/>
      <c r="E246" s="6" t="n"/>
      <c r="F246" s="6" t="n"/>
      <c r="G246" s="25" t="n"/>
      <c r="H246" s="26" t="n"/>
      <c r="I246" s="6" t="n"/>
      <c r="J246" s="15">
        <f>IF($A246="","",COUNTIFS(Jobs!$C$5:$C$1004,$A246))</f>
        <v/>
      </c>
      <c r="K246" s="27">
        <f>IF($A246="","",SUMIFS(Jobs!$J$5:$J$1004,Jobs!$C$5:$C$1004,$A246))</f>
        <v/>
      </c>
      <c r="L246" s="28">
        <f>IF(OR($A246="",J246=0),"",_xlfn.MAXIFS(Jobs!$B$5:$B$1004,Jobs!$C$5:$C$1004,$A246))</f>
        <v/>
      </c>
      <c r="M246" s="27">
        <f>IF($A246="","",SUMIFS(Jobs!$J$5:$J$1004,Jobs!$C$5:$C$1004,$A246,Jobs!$K$5:$K$1004,"No"))</f>
        <v/>
      </c>
      <c r="N246" s="8">
        <f>IF($A246="","",IF(J246=0,"New",IF(N(M246)&gt;0,"Unpaid","Paid up")))</f>
        <v/>
      </c>
    </row>
    <row r="247">
      <c r="A247" s="6" t="n"/>
      <c r="B247" s="6" t="n"/>
      <c r="C247" s="6" t="n"/>
      <c r="D247" s="6" t="n"/>
      <c r="E247" s="6" t="n"/>
      <c r="F247" s="6" t="n"/>
      <c r="G247" s="25" t="n"/>
      <c r="H247" s="26" t="n"/>
      <c r="I247" s="6" t="n"/>
      <c r="J247" s="15">
        <f>IF($A247="","",COUNTIFS(Jobs!$C$5:$C$1004,$A247))</f>
        <v/>
      </c>
      <c r="K247" s="27">
        <f>IF($A247="","",SUMIFS(Jobs!$J$5:$J$1004,Jobs!$C$5:$C$1004,$A247))</f>
        <v/>
      </c>
      <c r="L247" s="28">
        <f>IF(OR($A247="",J247=0),"",_xlfn.MAXIFS(Jobs!$B$5:$B$1004,Jobs!$C$5:$C$1004,$A247))</f>
        <v/>
      </c>
      <c r="M247" s="27">
        <f>IF($A247="","",SUMIFS(Jobs!$J$5:$J$1004,Jobs!$C$5:$C$1004,$A247,Jobs!$K$5:$K$1004,"No"))</f>
        <v/>
      </c>
      <c r="N247" s="8">
        <f>IF($A247="","",IF(J247=0,"New",IF(N(M247)&gt;0,"Unpaid","Paid up")))</f>
        <v/>
      </c>
    </row>
    <row r="248">
      <c r="A248" s="6" t="n"/>
      <c r="B248" s="6" t="n"/>
      <c r="C248" s="6" t="n"/>
      <c r="D248" s="6" t="n"/>
      <c r="E248" s="6" t="n"/>
      <c r="F248" s="6" t="n"/>
      <c r="G248" s="25" t="n"/>
      <c r="H248" s="26" t="n"/>
      <c r="I248" s="6" t="n"/>
      <c r="J248" s="15">
        <f>IF($A248="","",COUNTIFS(Jobs!$C$5:$C$1004,$A248))</f>
        <v/>
      </c>
      <c r="K248" s="27">
        <f>IF($A248="","",SUMIFS(Jobs!$J$5:$J$1004,Jobs!$C$5:$C$1004,$A248))</f>
        <v/>
      </c>
      <c r="L248" s="28">
        <f>IF(OR($A248="",J248=0),"",_xlfn.MAXIFS(Jobs!$B$5:$B$1004,Jobs!$C$5:$C$1004,$A248))</f>
        <v/>
      </c>
      <c r="M248" s="27">
        <f>IF($A248="","",SUMIFS(Jobs!$J$5:$J$1004,Jobs!$C$5:$C$1004,$A248,Jobs!$K$5:$K$1004,"No"))</f>
        <v/>
      </c>
      <c r="N248" s="8">
        <f>IF($A248="","",IF(J248=0,"New",IF(N(M248)&gt;0,"Unpaid","Paid up")))</f>
        <v/>
      </c>
    </row>
    <row r="249">
      <c r="A249" s="6" t="n"/>
      <c r="B249" s="6" t="n"/>
      <c r="C249" s="6" t="n"/>
      <c r="D249" s="6" t="n"/>
      <c r="E249" s="6" t="n"/>
      <c r="F249" s="6" t="n"/>
      <c r="G249" s="25" t="n"/>
      <c r="H249" s="26" t="n"/>
      <c r="I249" s="6" t="n"/>
      <c r="J249" s="15">
        <f>IF($A249="","",COUNTIFS(Jobs!$C$5:$C$1004,$A249))</f>
        <v/>
      </c>
      <c r="K249" s="27">
        <f>IF($A249="","",SUMIFS(Jobs!$J$5:$J$1004,Jobs!$C$5:$C$1004,$A249))</f>
        <v/>
      </c>
      <c r="L249" s="28">
        <f>IF(OR($A249="",J249=0),"",_xlfn.MAXIFS(Jobs!$B$5:$B$1004,Jobs!$C$5:$C$1004,$A249))</f>
        <v/>
      </c>
      <c r="M249" s="27">
        <f>IF($A249="","",SUMIFS(Jobs!$J$5:$J$1004,Jobs!$C$5:$C$1004,$A249,Jobs!$K$5:$K$1004,"No"))</f>
        <v/>
      </c>
      <c r="N249" s="8">
        <f>IF($A249="","",IF(J249=0,"New",IF(N(M249)&gt;0,"Unpaid","Paid up")))</f>
        <v/>
      </c>
    </row>
    <row r="250">
      <c r="A250" s="6" t="n"/>
      <c r="B250" s="6" t="n"/>
      <c r="C250" s="6" t="n"/>
      <c r="D250" s="6" t="n"/>
      <c r="E250" s="6" t="n"/>
      <c r="F250" s="6" t="n"/>
      <c r="G250" s="25" t="n"/>
      <c r="H250" s="26" t="n"/>
      <c r="I250" s="6" t="n"/>
      <c r="J250" s="15">
        <f>IF($A250="","",COUNTIFS(Jobs!$C$5:$C$1004,$A250))</f>
        <v/>
      </c>
      <c r="K250" s="27">
        <f>IF($A250="","",SUMIFS(Jobs!$J$5:$J$1004,Jobs!$C$5:$C$1004,$A250))</f>
        <v/>
      </c>
      <c r="L250" s="28">
        <f>IF(OR($A250="",J250=0),"",_xlfn.MAXIFS(Jobs!$B$5:$B$1004,Jobs!$C$5:$C$1004,$A250))</f>
        <v/>
      </c>
      <c r="M250" s="27">
        <f>IF($A250="","",SUMIFS(Jobs!$J$5:$J$1004,Jobs!$C$5:$C$1004,$A250,Jobs!$K$5:$K$1004,"No"))</f>
        <v/>
      </c>
      <c r="N250" s="8">
        <f>IF($A250="","",IF(J250=0,"New",IF(N(M250)&gt;0,"Unpaid","Paid up")))</f>
        <v/>
      </c>
    </row>
    <row r="251">
      <c r="A251" s="6" t="n"/>
      <c r="B251" s="6" t="n"/>
      <c r="C251" s="6" t="n"/>
      <c r="D251" s="6" t="n"/>
      <c r="E251" s="6" t="n"/>
      <c r="F251" s="6" t="n"/>
      <c r="G251" s="25" t="n"/>
      <c r="H251" s="26" t="n"/>
      <c r="I251" s="6" t="n"/>
      <c r="J251" s="15">
        <f>IF($A251="","",COUNTIFS(Jobs!$C$5:$C$1004,$A251))</f>
        <v/>
      </c>
      <c r="K251" s="27">
        <f>IF($A251="","",SUMIFS(Jobs!$J$5:$J$1004,Jobs!$C$5:$C$1004,$A251))</f>
        <v/>
      </c>
      <c r="L251" s="28">
        <f>IF(OR($A251="",J251=0),"",_xlfn.MAXIFS(Jobs!$B$5:$B$1004,Jobs!$C$5:$C$1004,$A251))</f>
        <v/>
      </c>
      <c r="M251" s="27">
        <f>IF($A251="","",SUMIFS(Jobs!$J$5:$J$1004,Jobs!$C$5:$C$1004,$A251,Jobs!$K$5:$K$1004,"No"))</f>
        <v/>
      </c>
      <c r="N251" s="8">
        <f>IF($A251="","",IF(J251=0,"New",IF(N(M251)&gt;0,"Unpaid","Paid up")))</f>
        <v/>
      </c>
    </row>
    <row r="252">
      <c r="A252" s="6" t="n"/>
      <c r="B252" s="6" t="n"/>
      <c r="C252" s="6" t="n"/>
      <c r="D252" s="6" t="n"/>
      <c r="E252" s="6" t="n"/>
      <c r="F252" s="6" t="n"/>
      <c r="G252" s="25" t="n"/>
      <c r="H252" s="26" t="n"/>
      <c r="I252" s="6" t="n"/>
      <c r="J252" s="15">
        <f>IF($A252="","",COUNTIFS(Jobs!$C$5:$C$1004,$A252))</f>
        <v/>
      </c>
      <c r="K252" s="27">
        <f>IF($A252="","",SUMIFS(Jobs!$J$5:$J$1004,Jobs!$C$5:$C$1004,$A252))</f>
        <v/>
      </c>
      <c r="L252" s="28">
        <f>IF(OR($A252="",J252=0),"",_xlfn.MAXIFS(Jobs!$B$5:$B$1004,Jobs!$C$5:$C$1004,$A252))</f>
        <v/>
      </c>
      <c r="M252" s="27">
        <f>IF($A252="","",SUMIFS(Jobs!$J$5:$J$1004,Jobs!$C$5:$C$1004,$A252,Jobs!$K$5:$K$1004,"No"))</f>
        <v/>
      </c>
      <c r="N252" s="8">
        <f>IF($A252="","",IF(J252=0,"New",IF(N(M252)&gt;0,"Unpaid","Paid up")))</f>
        <v/>
      </c>
    </row>
    <row r="253">
      <c r="A253" s="6" t="n"/>
      <c r="B253" s="6" t="n"/>
      <c r="C253" s="6" t="n"/>
      <c r="D253" s="6" t="n"/>
      <c r="E253" s="6" t="n"/>
      <c r="F253" s="6" t="n"/>
      <c r="G253" s="25" t="n"/>
      <c r="H253" s="26" t="n"/>
      <c r="I253" s="6" t="n"/>
      <c r="J253" s="15">
        <f>IF($A253="","",COUNTIFS(Jobs!$C$5:$C$1004,$A253))</f>
        <v/>
      </c>
      <c r="K253" s="27">
        <f>IF($A253="","",SUMIFS(Jobs!$J$5:$J$1004,Jobs!$C$5:$C$1004,$A253))</f>
        <v/>
      </c>
      <c r="L253" s="28">
        <f>IF(OR($A253="",J253=0),"",_xlfn.MAXIFS(Jobs!$B$5:$B$1004,Jobs!$C$5:$C$1004,$A253))</f>
        <v/>
      </c>
      <c r="M253" s="27">
        <f>IF($A253="","",SUMIFS(Jobs!$J$5:$J$1004,Jobs!$C$5:$C$1004,$A253,Jobs!$K$5:$K$1004,"No"))</f>
        <v/>
      </c>
      <c r="N253" s="8">
        <f>IF($A253="","",IF(J253=0,"New",IF(N(M253)&gt;0,"Unpaid","Paid up")))</f>
        <v/>
      </c>
    </row>
    <row r="254">
      <c r="A254" s="6" t="n"/>
      <c r="B254" s="6" t="n"/>
      <c r="C254" s="6" t="n"/>
      <c r="D254" s="6" t="n"/>
      <c r="E254" s="6" t="n"/>
      <c r="F254" s="6" t="n"/>
      <c r="G254" s="25" t="n"/>
      <c r="H254" s="26" t="n"/>
      <c r="I254" s="6" t="n"/>
      <c r="J254" s="15">
        <f>IF($A254="","",COUNTIFS(Jobs!$C$5:$C$1004,$A254))</f>
        <v/>
      </c>
      <c r="K254" s="27">
        <f>IF($A254="","",SUMIFS(Jobs!$J$5:$J$1004,Jobs!$C$5:$C$1004,$A254))</f>
        <v/>
      </c>
      <c r="L254" s="28">
        <f>IF(OR($A254="",J254=0),"",_xlfn.MAXIFS(Jobs!$B$5:$B$1004,Jobs!$C$5:$C$1004,$A254))</f>
        <v/>
      </c>
      <c r="M254" s="27">
        <f>IF($A254="","",SUMIFS(Jobs!$J$5:$J$1004,Jobs!$C$5:$C$1004,$A254,Jobs!$K$5:$K$1004,"No"))</f>
        <v/>
      </c>
      <c r="N254" s="8">
        <f>IF($A254="","",IF(J254=0,"New",IF(N(M254)&gt;0,"Unpaid","Paid up")))</f>
        <v/>
      </c>
    </row>
    <row r="255">
      <c r="A255" s="6" t="n"/>
      <c r="B255" s="6" t="n"/>
      <c r="C255" s="6" t="n"/>
      <c r="D255" s="6" t="n"/>
      <c r="E255" s="6" t="n"/>
      <c r="F255" s="6" t="n"/>
      <c r="G255" s="25" t="n"/>
      <c r="H255" s="26" t="n"/>
      <c r="I255" s="6" t="n"/>
      <c r="J255" s="15">
        <f>IF($A255="","",COUNTIFS(Jobs!$C$5:$C$1004,$A255))</f>
        <v/>
      </c>
      <c r="K255" s="27">
        <f>IF($A255="","",SUMIFS(Jobs!$J$5:$J$1004,Jobs!$C$5:$C$1004,$A255))</f>
        <v/>
      </c>
      <c r="L255" s="28">
        <f>IF(OR($A255="",J255=0),"",_xlfn.MAXIFS(Jobs!$B$5:$B$1004,Jobs!$C$5:$C$1004,$A255))</f>
        <v/>
      </c>
      <c r="M255" s="27">
        <f>IF($A255="","",SUMIFS(Jobs!$J$5:$J$1004,Jobs!$C$5:$C$1004,$A255,Jobs!$K$5:$K$1004,"No"))</f>
        <v/>
      </c>
      <c r="N255" s="8">
        <f>IF($A255="","",IF(J255=0,"New",IF(N(M255)&gt;0,"Unpaid","Paid up")))</f>
        <v/>
      </c>
    </row>
    <row r="256">
      <c r="A256" s="6" t="n"/>
      <c r="B256" s="6" t="n"/>
      <c r="C256" s="6" t="n"/>
      <c r="D256" s="6" t="n"/>
      <c r="E256" s="6" t="n"/>
      <c r="F256" s="6" t="n"/>
      <c r="G256" s="25" t="n"/>
      <c r="H256" s="26" t="n"/>
      <c r="I256" s="6" t="n"/>
      <c r="J256" s="15">
        <f>IF($A256="","",COUNTIFS(Jobs!$C$5:$C$1004,$A256))</f>
        <v/>
      </c>
      <c r="K256" s="27">
        <f>IF($A256="","",SUMIFS(Jobs!$J$5:$J$1004,Jobs!$C$5:$C$1004,$A256))</f>
        <v/>
      </c>
      <c r="L256" s="28">
        <f>IF(OR($A256="",J256=0),"",_xlfn.MAXIFS(Jobs!$B$5:$B$1004,Jobs!$C$5:$C$1004,$A256))</f>
        <v/>
      </c>
      <c r="M256" s="27">
        <f>IF($A256="","",SUMIFS(Jobs!$J$5:$J$1004,Jobs!$C$5:$C$1004,$A256,Jobs!$K$5:$K$1004,"No"))</f>
        <v/>
      </c>
      <c r="N256" s="8">
        <f>IF($A256="","",IF(J256=0,"New",IF(N(M256)&gt;0,"Unpaid","Paid up")))</f>
        <v/>
      </c>
    </row>
    <row r="257">
      <c r="A257" s="6" t="n"/>
      <c r="B257" s="6" t="n"/>
      <c r="C257" s="6" t="n"/>
      <c r="D257" s="6" t="n"/>
      <c r="E257" s="6" t="n"/>
      <c r="F257" s="6" t="n"/>
      <c r="G257" s="25" t="n"/>
      <c r="H257" s="26" t="n"/>
      <c r="I257" s="6" t="n"/>
      <c r="J257" s="15">
        <f>IF($A257="","",COUNTIFS(Jobs!$C$5:$C$1004,$A257))</f>
        <v/>
      </c>
      <c r="K257" s="27">
        <f>IF($A257="","",SUMIFS(Jobs!$J$5:$J$1004,Jobs!$C$5:$C$1004,$A257))</f>
        <v/>
      </c>
      <c r="L257" s="28">
        <f>IF(OR($A257="",J257=0),"",_xlfn.MAXIFS(Jobs!$B$5:$B$1004,Jobs!$C$5:$C$1004,$A257))</f>
        <v/>
      </c>
      <c r="M257" s="27">
        <f>IF($A257="","",SUMIFS(Jobs!$J$5:$J$1004,Jobs!$C$5:$C$1004,$A257,Jobs!$K$5:$K$1004,"No"))</f>
        <v/>
      </c>
      <c r="N257" s="8">
        <f>IF($A257="","",IF(J257=0,"New",IF(N(M257)&gt;0,"Unpaid","Paid up")))</f>
        <v/>
      </c>
    </row>
    <row r="258">
      <c r="A258" s="6" t="n"/>
      <c r="B258" s="6" t="n"/>
      <c r="C258" s="6" t="n"/>
      <c r="D258" s="6" t="n"/>
      <c r="E258" s="6" t="n"/>
      <c r="F258" s="6" t="n"/>
      <c r="G258" s="25" t="n"/>
      <c r="H258" s="26" t="n"/>
      <c r="I258" s="6" t="n"/>
      <c r="J258" s="15">
        <f>IF($A258="","",COUNTIFS(Jobs!$C$5:$C$1004,$A258))</f>
        <v/>
      </c>
      <c r="K258" s="27">
        <f>IF($A258="","",SUMIFS(Jobs!$J$5:$J$1004,Jobs!$C$5:$C$1004,$A258))</f>
        <v/>
      </c>
      <c r="L258" s="28">
        <f>IF(OR($A258="",J258=0),"",_xlfn.MAXIFS(Jobs!$B$5:$B$1004,Jobs!$C$5:$C$1004,$A258))</f>
        <v/>
      </c>
      <c r="M258" s="27">
        <f>IF($A258="","",SUMIFS(Jobs!$J$5:$J$1004,Jobs!$C$5:$C$1004,$A258,Jobs!$K$5:$K$1004,"No"))</f>
        <v/>
      </c>
      <c r="N258" s="8">
        <f>IF($A258="","",IF(J258=0,"New",IF(N(M258)&gt;0,"Unpaid","Paid up")))</f>
        <v/>
      </c>
    </row>
    <row r="259">
      <c r="A259" s="6" t="n"/>
      <c r="B259" s="6" t="n"/>
      <c r="C259" s="6" t="n"/>
      <c r="D259" s="6" t="n"/>
      <c r="E259" s="6" t="n"/>
      <c r="F259" s="6" t="n"/>
      <c r="G259" s="25" t="n"/>
      <c r="H259" s="26" t="n"/>
      <c r="I259" s="6" t="n"/>
      <c r="J259" s="15">
        <f>IF($A259="","",COUNTIFS(Jobs!$C$5:$C$1004,$A259))</f>
        <v/>
      </c>
      <c r="K259" s="27">
        <f>IF($A259="","",SUMIFS(Jobs!$J$5:$J$1004,Jobs!$C$5:$C$1004,$A259))</f>
        <v/>
      </c>
      <c r="L259" s="28">
        <f>IF(OR($A259="",J259=0),"",_xlfn.MAXIFS(Jobs!$B$5:$B$1004,Jobs!$C$5:$C$1004,$A259))</f>
        <v/>
      </c>
      <c r="M259" s="27">
        <f>IF($A259="","",SUMIFS(Jobs!$J$5:$J$1004,Jobs!$C$5:$C$1004,$A259,Jobs!$K$5:$K$1004,"No"))</f>
        <v/>
      </c>
      <c r="N259" s="8">
        <f>IF($A259="","",IF(J259=0,"New",IF(N(M259)&gt;0,"Unpaid","Paid up")))</f>
        <v/>
      </c>
    </row>
    <row r="260">
      <c r="A260" s="6" t="n"/>
      <c r="B260" s="6" t="n"/>
      <c r="C260" s="6" t="n"/>
      <c r="D260" s="6" t="n"/>
      <c r="E260" s="6" t="n"/>
      <c r="F260" s="6" t="n"/>
      <c r="G260" s="25" t="n"/>
      <c r="H260" s="26" t="n"/>
      <c r="I260" s="6" t="n"/>
      <c r="J260" s="15">
        <f>IF($A260="","",COUNTIFS(Jobs!$C$5:$C$1004,$A260))</f>
        <v/>
      </c>
      <c r="K260" s="27">
        <f>IF($A260="","",SUMIFS(Jobs!$J$5:$J$1004,Jobs!$C$5:$C$1004,$A260))</f>
        <v/>
      </c>
      <c r="L260" s="28">
        <f>IF(OR($A260="",J260=0),"",_xlfn.MAXIFS(Jobs!$B$5:$B$1004,Jobs!$C$5:$C$1004,$A260))</f>
        <v/>
      </c>
      <c r="M260" s="27">
        <f>IF($A260="","",SUMIFS(Jobs!$J$5:$J$1004,Jobs!$C$5:$C$1004,$A260,Jobs!$K$5:$K$1004,"No"))</f>
        <v/>
      </c>
      <c r="N260" s="8">
        <f>IF($A260="","",IF(J260=0,"New",IF(N(M260)&gt;0,"Unpaid","Paid up")))</f>
        <v/>
      </c>
    </row>
    <row r="261">
      <c r="A261" s="6" t="n"/>
      <c r="B261" s="6" t="n"/>
      <c r="C261" s="6" t="n"/>
      <c r="D261" s="6" t="n"/>
      <c r="E261" s="6" t="n"/>
      <c r="F261" s="6" t="n"/>
      <c r="G261" s="25" t="n"/>
      <c r="H261" s="26" t="n"/>
      <c r="I261" s="6" t="n"/>
      <c r="J261" s="15">
        <f>IF($A261="","",COUNTIFS(Jobs!$C$5:$C$1004,$A261))</f>
        <v/>
      </c>
      <c r="K261" s="27">
        <f>IF($A261="","",SUMIFS(Jobs!$J$5:$J$1004,Jobs!$C$5:$C$1004,$A261))</f>
        <v/>
      </c>
      <c r="L261" s="28">
        <f>IF(OR($A261="",J261=0),"",_xlfn.MAXIFS(Jobs!$B$5:$B$1004,Jobs!$C$5:$C$1004,$A261))</f>
        <v/>
      </c>
      <c r="M261" s="27">
        <f>IF($A261="","",SUMIFS(Jobs!$J$5:$J$1004,Jobs!$C$5:$C$1004,$A261,Jobs!$K$5:$K$1004,"No"))</f>
        <v/>
      </c>
      <c r="N261" s="8">
        <f>IF($A261="","",IF(J261=0,"New",IF(N(M261)&gt;0,"Unpaid","Paid up")))</f>
        <v/>
      </c>
    </row>
    <row r="262">
      <c r="A262" s="6" t="n"/>
      <c r="B262" s="6" t="n"/>
      <c r="C262" s="6" t="n"/>
      <c r="D262" s="6" t="n"/>
      <c r="E262" s="6" t="n"/>
      <c r="F262" s="6" t="n"/>
      <c r="G262" s="25" t="n"/>
      <c r="H262" s="26" t="n"/>
      <c r="I262" s="6" t="n"/>
      <c r="J262" s="15">
        <f>IF($A262="","",COUNTIFS(Jobs!$C$5:$C$1004,$A262))</f>
        <v/>
      </c>
      <c r="K262" s="27">
        <f>IF($A262="","",SUMIFS(Jobs!$J$5:$J$1004,Jobs!$C$5:$C$1004,$A262))</f>
        <v/>
      </c>
      <c r="L262" s="28">
        <f>IF(OR($A262="",J262=0),"",_xlfn.MAXIFS(Jobs!$B$5:$B$1004,Jobs!$C$5:$C$1004,$A262))</f>
        <v/>
      </c>
      <c r="M262" s="27">
        <f>IF($A262="","",SUMIFS(Jobs!$J$5:$J$1004,Jobs!$C$5:$C$1004,$A262,Jobs!$K$5:$K$1004,"No"))</f>
        <v/>
      </c>
      <c r="N262" s="8">
        <f>IF($A262="","",IF(J262=0,"New",IF(N(M262)&gt;0,"Unpaid","Paid up")))</f>
        <v/>
      </c>
    </row>
    <row r="263">
      <c r="A263" s="6" t="n"/>
      <c r="B263" s="6" t="n"/>
      <c r="C263" s="6" t="n"/>
      <c r="D263" s="6" t="n"/>
      <c r="E263" s="6" t="n"/>
      <c r="F263" s="6" t="n"/>
      <c r="G263" s="25" t="n"/>
      <c r="H263" s="26" t="n"/>
      <c r="I263" s="6" t="n"/>
      <c r="J263" s="15">
        <f>IF($A263="","",COUNTIFS(Jobs!$C$5:$C$1004,$A263))</f>
        <v/>
      </c>
      <c r="K263" s="27">
        <f>IF($A263="","",SUMIFS(Jobs!$J$5:$J$1004,Jobs!$C$5:$C$1004,$A263))</f>
        <v/>
      </c>
      <c r="L263" s="28">
        <f>IF(OR($A263="",J263=0),"",_xlfn.MAXIFS(Jobs!$B$5:$B$1004,Jobs!$C$5:$C$1004,$A263))</f>
        <v/>
      </c>
      <c r="M263" s="27">
        <f>IF($A263="","",SUMIFS(Jobs!$J$5:$J$1004,Jobs!$C$5:$C$1004,$A263,Jobs!$K$5:$K$1004,"No"))</f>
        <v/>
      </c>
      <c r="N263" s="8">
        <f>IF($A263="","",IF(J263=0,"New",IF(N(M263)&gt;0,"Unpaid","Paid up")))</f>
        <v/>
      </c>
    </row>
    <row r="264">
      <c r="A264" s="6" t="n"/>
      <c r="B264" s="6" t="n"/>
      <c r="C264" s="6" t="n"/>
      <c r="D264" s="6" t="n"/>
      <c r="E264" s="6" t="n"/>
      <c r="F264" s="6" t="n"/>
      <c r="G264" s="25" t="n"/>
      <c r="H264" s="26" t="n"/>
      <c r="I264" s="6" t="n"/>
      <c r="J264" s="15">
        <f>IF($A264="","",COUNTIFS(Jobs!$C$5:$C$1004,$A264))</f>
        <v/>
      </c>
      <c r="K264" s="27">
        <f>IF($A264="","",SUMIFS(Jobs!$J$5:$J$1004,Jobs!$C$5:$C$1004,$A264))</f>
        <v/>
      </c>
      <c r="L264" s="28">
        <f>IF(OR($A264="",J264=0),"",_xlfn.MAXIFS(Jobs!$B$5:$B$1004,Jobs!$C$5:$C$1004,$A264))</f>
        <v/>
      </c>
      <c r="M264" s="27">
        <f>IF($A264="","",SUMIFS(Jobs!$J$5:$J$1004,Jobs!$C$5:$C$1004,$A264,Jobs!$K$5:$K$1004,"No"))</f>
        <v/>
      </c>
      <c r="N264" s="8">
        <f>IF($A264="","",IF(J264=0,"New",IF(N(M264)&gt;0,"Unpaid","Paid up")))</f>
        <v/>
      </c>
    </row>
    <row r="265">
      <c r="A265" s="6" t="n"/>
      <c r="B265" s="6" t="n"/>
      <c r="C265" s="6" t="n"/>
      <c r="D265" s="6" t="n"/>
      <c r="E265" s="6" t="n"/>
      <c r="F265" s="6" t="n"/>
      <c r="G265" s="25" t="n"/>
      <c r="H265" s="26" t="n"/>
      <c r="I265" s="6" t="n"/>
      <c r="J265" s="15">
        <f>IF($A265="","",COUNTIFS(Jobs!$C$5:$C$1004,$A265))</f>
        <v/>
      </c>
      <c r="K265" s="27">
        <f>IF($A265="","",SUMIFS(Jobs!$J$5:$J$1004,Jobs!$C$5:$C$1004,$A265))</f>
        <v/>
      </c>
      <c r="L265" s="28">
        <f>IF(OR($A265="",J265=0),"",_xlfn.MAXIFS(Jobs!$B$5:$B$1004,Jobs!$C$5:$C$1004,$A265))</f>
        <v/>
      </c>
      <c r="M265" s="27">
        <f>IF($A265="","",SUMIFS(Jobs!$J$5:$J$1004,Jobs!$C$5:$C$1004,$A265,Jobs!$K$5:$K$1004,"No"))</f>
        <v/>
      </c>
      <c r="N265" s="8">
        <f>IF($A265="","",IF(J265=0,"New",IF(N(M265)&gt;0,"Unpaid","Paid up")))</f>
        <v/>
      </c>
    </row>
    <row r="266">
      <c r="A266" s="6" t="n"/>
      <c r="B266" s="6" t="n"/>
      <c r="C266" s="6" t="n"/>
      <c r="D266" s="6" t="n"/>
      <c r="E266" s="6" t="n"/>
      <c r="F266" s="6" t="n"/>
      <c r="G266" s="25" t="n"/>
      <c r="H266" s="26" t="n"/>
      <c r="I266" s="6" t="n"/>
      <c r="J266" s="15">
        <f>IF($A266="","",COUNTIFS(Jobs!$C$5:$C$1004,$A266))</f>
        <v/>
      </c>
      <c r="K266" s="27">
        <f>IF($A266="","",SUMIFS(Jobs!$J$5:$J$1004,Jobs!$C$5:$C$1004,$A266))</f>
        <v/>
      </c>
      <c r="L266" s="28">
        <f>IF(OR($A266="",J266=0),"",_xlfn.MAXIFS(Jobs!$B$5:$B$1004,Jobs!$C$5:$C$1004,$A266))</f>
        <v/>
      </c>
      <c r="M266" s="27">
        <f>IF($A266="","",SUMIFS(Jobs!$J$5:$J$1004,Jobs!$C$5:$C$1004,$A266,Jobs!$K$5:$K$1004,"No"))</f>
        <v/>
      </c>
      <c r="N266" s="8">
        <f>IF($A266="","",IF(J266=0,"New",IF(N(M266)&gt;0,"Unpaid","Paid up")))</f>
        <v/>
      </c>
    </row>
    <row r="267">
      <c r="A267" s="6" t="n"/>
      <c r="B267" s="6" t="n"/>
      <c r="C267" s="6" t="n"/>
      <c r="D267" s="6" t="n"/>
      <c r="E267" s="6" t="n"/>
      <c r="F267" s="6" t="n"/>
      <c r="G267" s="25" t="n"/>
      <c r="H267" s="26" t="n"/>
      <c r="I267" s="6" t="n"/>
      <c r="J267" s="15">
        <f>IF($A267="","",COUNTIFS(Jobs!$C$5:$C$1004,$A267))</f>
        <v/>
      </c>
      <c r="K267" s="27">
        <f>IF($A267="","",SUMIFS(Jobs!$J$5:$J$1004,Jobs!$C$5:$C$1004,$A267))</f>
        <v/>
      </c>
      <c r="L267" s="28">
        <f>IF(OR($A267="",J267=0),"",_xlfn.MAXIFS(Jobs!$B$5:$B$1004,Jobs!$C$5:$C$1004,$A267))</f>
        <v/>
      </c>
      <c r="M267" s="27">
        <f>IF($A267="","",SUMIFS(Jobs!$J$5:$J$1004,Jobs!$C$5:$C$1004,$A267,Jobs!$K$5:$K$1004,"No"))</f>
        <v/>
      </c>
      <c r="N267" s="8">
        <f>IF($A267="","",IF(J267=0,"New",IF(N(M267)&gt;0,"Unpaid","Paid up")))</f>
        <v/>
      </c>
    </row>
    <row r="268">
      <c r="A268" s="6" t="n"/>
      <c r="B268" s="6" t="n"/>
      <c r="C268" s="6" t="n"/>
      <c r="D268" s="6" t="n"/>
      <c r="E268" s="6" t="n"/>
      <c r="F268" s="6" t="n"/>
      <c r="G268" s="25" t="n"/>
      <c r="H268" s="26" t="n"/>
      <c r="I268" s="6" t="n"/>
      <c r="J268" s="15">
        <f>IF($A268="","",COUNTIFS(Jobs!$C$5:$C$1004,$A268))</f>
        <v/>
      </c>
      <c r="K268" s="27">
        <f>IF($A268="","",SUMIFS(Jobs!$J$5:$J$1004,Jobs!$C$5:$C$1004,$A268))</f>
        <v/>
      </c>
      <c r="L268" s="28">
        <f>IF(OR($A268="",J268=0),"",_xlfn.MAXIFS(Jobs!$B$5:$B$1004,Jobs!$C$5:$C$1004,$A268))</f>
        <v/>
      </c>
      <c r="M268" s="27">
        <f>IF($A268="","",SUMIFS(Jobs!$J$5:$J$1004,Jobs!$C$5:$C$1004,$A268,Jobs!$K$5:$K$1004,"No"))</f>
        <v/>
      </c>
      <c r="N268" s="8">
        <f>IF($A268="","",IF(J268=0,"New",IF(N(M268)&gt;0,"Unpaid","Paid up")))</f>
        <v/>
      </c>
    </row>
    <row r="269">
      <c r="A269" s="6" t="n"/>
      <c r="B269" s="6" t="n"/>
      <c r="C269" s="6" t="n"/>
      <c r="D269" s="6" t="n"/>
      <c r="E269" s="6" t="n"/>
      <c r="F269" s="6" t="n"/>
      <c r="G269" s="25" t="n"/>
      <c r="H269" s="26" t="n"/>
      <c r="I269" s="6" t="n"/>
      <c r="J269" s="15">
        <f>IF($A269="","",COUNTIFS(Jobs!$C$5:$C$1004,$A269))</f>
        <v/>
      </c>
      <c r="K269" s="27">
        <f>IF($A269="","",SUMIFS(Jobs!$J$5:$J$1004,Jobs!$C$5:$C$1004,$A269))</f>
        <v/>
      </c>
      <c r="L269" s="28">
        <f>IF(OR($A269="",J269=0),"",_xlfn.MAXIFS(Jobs!$B$5:$B$1004,Jobs!$C$5:$C$1004,$A269))</f>
        <v/>
      </c>
      <c r="M269" s="27">
        <f>IF($A269="","",SUMIFS(Jobs!$J$5:$J$1004,Jobs!$C$5:$C$1004,$A269,Jobs!$K$5:$K$1004,"No"))</f>
        <v/>
      </c>
      <c r="N269" s="8">
        <f>IF($A269="","",IF(J269=0,"New",IF(N(M269)&gt;0,"Unpaid","Paid up")))</f>
        <v/>
      </c>
    </row>
    <row r="270">
      <c r="A270" s="6" t="n"/>
      <c r="B270" s="6" t="n"/>
      <c r="C270" s="6" t="n"/>
      <c r="D270" s="6" t="n"/>
      <c r="E270" s="6" t="n"/>
      <c r="F270" s="6" t="n"/>
      <c r="G270" s="25" t="n"/>
      <c r="H270" s="26" t="n"/>
      <c r="I270" s="6" t="n"/>
      <c r="J270" s="15">
        <f>IF($A270="","",COUNTIFS(Jobs!$C$5:$C$1004,$A270))</f>
        <v/>
      </c>
      <c r="K270" s="27">
        <f>IF($A270="","",SUMIFS(Jobs!$J$5:$J$1004,Jobs!$C$5:$C$1004,$A270))</f>
        <v/>
      </c>
      <c r="L270" s="28">
        <f>IF(OR($A270="",J270=0),"",_xlfn.MAXIFS(Jobs!$B$5:$B$1004,Jobs!$C$5:$C$1004,$A270))</f>
        <v/>
      </c>
      <c r="M270" s="27">
        <f>IF($A270="","",SUMIFS(Jobs!$J$5:$J$1004,Jobs!$C$5:$C$1004,$A270,Jobs!$K$5:$K$1004,"No"))</f>
        <v/>
      </c>
      <c r="N270" s="8">
        <f>IF($A270="","",IF(J270=0,"New",IF(N(M270)&gt;0,"Unpaid","Paid up")))</f>
        <v/>
      </c>
    </row>
    <row r="271">
      <c r="A271" s="6" t="n"/>
      <c r="B271" s="6" t="n"/>
      <c r="C271" s="6" t="n"/>
      <c r="D271" s="6" t="n"/>
      <c r="E271" s="6" t="n"/>
      <c r="F271" s="6" t="n"/>
      <c r="G271" s="25" t="n"/>
      <c r="H271" s="26" t="n"/>
      <c r="I271" s="6" t="n"/>
      <c r="J271" s="15">
        <f>IF($A271="","",COUNTIFS(Jobs!$C$5:$C$1004,$A271))</f>
        <v/>
      </c>
      <c r="K271" s="27">
        <f>IF($A271="","",SUMIFS(Jobs!$J$5:$J$1004,Jobs!$C$5:$C$1004,$A271))</f>
        <v/>
      </c>
      <c r="L271" s="28">
        <f>IF(OR($A271="",J271=0),"",_xlfn.MAXIFS(Jobs!$B$5:$B$1004,Jobs!$C$5:$C$1004,$A271))</f>
        <v/>
      </c>
      <c r="M271" s="27">
        <f>IF($A271="","",SUMIFS(Jobs!$J$5:$J$1004,Jobs!$C$5:$C$1004,$A271,Jobs!$K$5:$K$1004,"No"))</f>
        <v/>
      </c>
      <c r="N271" s="8">
        <f>IF($A271="","",IF(J271=0,"New",IF(N(M271)&gt;0,"Unpaid","Paid up")))</f>
        <v/>
      </c>
    </row>
    <row r="272">
      <c r="A272" s="6" t="n"/>
      <c r="B272" s="6" t="n"/>
      <c r="C272" s="6" t="n"/>
      <c r="D272" s="6" t="n"/>
      <c r="E272" s="6" t="n"/>
      <c r="F272" s="6" t="n"/>
      <c r="G272" s="25" t="n"/>
      <c r="H272" s="26" t="n"/>
      <c r="I272" s="6" t="n"/>
      <c r="J272" s="15">
        <f>IF($A272="","",COUNTIFS(Jobs!$C$5:$C$1004,$A272))</f>
        <v/>
      </c>
      <c r="K272" s="27">
        <f>IF($A272="","",SUMIFS(Jobs!$J$5:$J$1004,Jobs!$C$5:$C$1004,$A272))</f>
        <v/>
      </c>
      <c r="L272" s="28">
        <f>IF(OR($A272="",J272=0),"",_xlfn.MAXIFS(Jobs!$B$5:$B$1004,Jobs!$C$5:$C$1004,$A272))</f>
        <v/>
      </c>
      <c r="M272" s="27">
        <f>IF($A272="","",SUMIFS(Jobs!$J$5:$J$1004,Jobs!$C$5:$C$1004,$A272,Jobs!$K$5:$K$1004,"No"))</f>
        <v/>
      </c>
      <c r="N272" s="8">
        <f>IF($A272="","",IF(J272=0,"New",IF(N(M272)&gt;0,"Unpaid","Paid up")))</f>
        <v/>
      </c>
    </row>
    <row r="273">
      <c r="A273" s="6" t="n"/>
      <c r="B273" s="6" t="n"/>
      <c r="C273" s="6" t="n"/>
      <c r="D273" s="6" t="n"/>
      <c r="E273" s="6" t="n"/>
      <c r="F273" s="6" t="n"/>
      <c r="G273" s="25" t="n"/>
      <c r="H273" s="26" t="n"/>
      <c r="I273" s="6" t="n"/>
      <c r="J273" s="15">
        <f>IF($A273="","",COUNTIFS(Jobs!$C$5:$C$1004,$A273))</f>
        <v/>
      </c>
      <c r="K273" s="27">
        <f>IF($A273="","",SUMIFS(Jobs!$J$5:$J$1004,Jobs!$C$5:$C$1004,$A273))</f>
        <v/>
      </c>
      <c r="L273" s="28">
        <f>IF(OR($A273="",J273=0),"",_xlfn.MAXIFS(Jobs!$B$5:$B$1004,Jobs!$C$5:$C$1004,$A273))</f>
        <v/>
      </c>
      <c r="M273" s="27">
        <f>IF($A273="","",SUMIFS(Jobs!$J$5:$J$1004,Jobs!$C$5:$C$1004,$A273,Jobs!$K$5:$K$1004,"No"))</f>
        <v/>
      </c>
      <c r="N273" s="8">
        <f>IF($A273="","",IF(J273=0,"New",IF(N(M273)&gt;0,"Unpaid","Paid up")))</f>
        <v/>
      </c>
    </row>
    <row r="274">
      <c r="A274" s="6" t="n"/>
      <c r="B274" s="6" t="n"/>
      <c r="C274" s="6" t="n"/>
      <c r="D274" s="6" t="n"/>
      <c r="E274" s="6" t="n"/>
      <c r="F274" s="6" t="n"/>
      <c r="G274" s="25" t="n"/>
      <c r="H274" s="26" t="n"/>
      <c r="I274" s="6" t="n"/>
      <c r="J274" s="15">
        <f>IF($A274="","",COUNTIFS(Jobs!$C$5:$C$1004,$A274))</f>
        <v/>
      </c>
      <c r="K274" s="27">
        <f>IF($A274="","",SUMIFS(Jobs!$J$5:$J$1004,Jobs!$C$5:$C$1004,$A274))</f>
        <v/>
      </c>
      <c r="L274" s="28">
        <f>IF(OR($A274="",J274=0),"",_xlfn.MAXIFS(Jobs!$B$5:$B$1004,Jobs!$C$5:$C$1004,$A274))</f>
        <v/>
      </c>
      <c r="M274" s="27">
        <f>IF($A274="","",SUMIFS(Jobs!$J$5:$J$1004,Jobs!$C$5:$C$1004,$A274,Jobs!$K$5:$K$1004,"No"))</f>
        <v/>
      </c>
      <c r="N274" s="8">
        <f>IF($A274="","",IF(J274=0,"New",IF(N(M274)&gt;0,"Unpaid","Paid up")))</f>
        <v/>
      </c>
    </row>
    <row r="275">
      <c r="A275" s="6" t="n"/>
      <c r="B275" s="6" t="n"/>
      <c r="C275" s="6" t="n"/>
      <c r="D275" s="6" t="n"/>
      <c r="E275" s="6" t="n"/>
      <c r="F275" s="6" t="n"/>
      <c r="G275" s="25" t="n"/>
      <c r="H275" s="26" t="n"/>
      <c r="I275" s="6" t="n"/>
      <c r="J275" s="15">
        <f>IF($A275="","",COUNTIFS(Jobs!$C$5:$C$1004,$A275))</f>
        <v/>
      </c>
      <c r="K275" s="27">
        <f>IF($A275="","",SUMIFS(Jobs!$J$5:$J$1004,Jobs!$C$5:$C$1004,$A275))</f>
        <v/>
      </c>
      <c r="L275" s="28">
        <f>IF(OR($A275="",J275=0),"",_xlfn.MAXIFS(Jobs!$B$5:$B$1004,Jobs!$C$5:$C$1004,$A275))</f>
        <v/>
      </c>
      <c r="M275" s="27">
        <f>IF($A275="","",SUMIFS(Jobs!$J$5:$J$1004,Jobs!$C$5:$C$1004,$A275,Jobs!$K$5:$K$1004,"No"))</f>
        <v/>
      </c>
      <c r="N275" s="8">
        <f>IF($A275="","",IF(J275=0,"New",IF(N(M275)&gt;0,"Unpaid","Paid up")))</f>
        <v/>
      </c>
    </row>
    <row r="276">
      <c r="A276" s="6" t="n"/>
      <c r="B276" s="6" t="n"/>
      <c r="C276" s="6" t="n"/>
      <c r="D276" s="6" t="n"/>
      <c r="E276" s="6" t="n"/>
      <c r="F276" s="6" t="n"/>
      <c r="G276" s="25" t="n"/>
      <c r="H276" s="26" t="n"/>
      <c r="I276" s="6" t="n"/>
      <c r="J276" s="15">
        <f>IF($A276="","",COUNTIFS(Jobs!$C$5:$C$1004,$A276))</f>
        <v/>
      </c>
      <c r="K276" s="27">
        <f>IF($A276="","",SUMIFS(Jobs!$J$5:$J$1004,Jobs!$C$5:$C$1004,$A276))</f>
        <v/>
      </c>
      <c r="L276" s="28">
        <f>IF(OR($A276="",J276=0),"",_xlfn.MAXIFS(Jobs!$B$5:$B$1004,Jobs!$C$5:$C$1004,$A276))</f>
        <v/>
      </c>
      <c r="M276" s="27">
        <f>IF($A276="","",SUMIFS(Jobs!$J$5:$J$1004,Jobs!$C$5:$C$1004,$A276,Jobs!$K$5:$K$1004,"No"))</f>
        <v/>
      </c>
      <c r="N276" s="8">
        <f>IF($A276="","",IF(J276=0,"New",IF(N(M276)&gt;0,"Unpaid","Paid up")))</f>
        <v/>
      </c>
    </row>
    <row r="277">
      <c r="A277" s="6" t="n"/>
      <c r="B277" s="6" t="n"/>
      <c r="C277" s="6" t="n"/>
      <c r="D277" s="6" t="n"/>
      <c r="E277" s="6" t="n"/>
      <c r="F277" s="6" t="n"/>
      <c r="G277" s="25" t="n"/>
      <c r="H277" s="26" t="n"/>
      <c r="I277" s="6" t="n"/>
      <c r="J277" s="15">
        <f>IF($A277="","",COUNTIFS(Jobs!$C$5:$C$1004,$A277))</f>
        <v/>
      </c>
      <c r="K277" s="27">
        <f>IF($A277="","",SUMIFS(Jobs!$J$5:$J$1004,Jobs!$C$5:$C$1004,$A277))</f>
        <v/>
      </c>
      <c r="L277" s="28">
        <f>IF(OR($A277="",J277=0),"",_xlfn.MAXIFS(Jobs!$B$5:$B$1004,Jobs!$C$5:$C$1004,$A277))</f>
        <v/>
      </c>
      <c r="M277" s="27">
        <f>IF($A277="","",SUMIFS(Jobs!$J$5:$J$1004,Jobs!$C$5:$C$1004,$A277,Jobs!$K$5:$K$1004,"No"))</f>
        <v/>
      </c>
      <c r="N277" s="8">
        <f>IF($A277="","",IF(J277=0,"New",IF(N(M277)&gt;0,"Unpaid","Paid up")))</f>
        <v/>
      </c>
    </row>
    <row r="278">
      <c r="A278" s="6" t="n"/>
      <c r="B278" s="6" t="n"/>
      <c r="C278" s="6" t="n"/>
      <c r="D278" s="6" t="n"/>
      <c r="E278" s="6" t="n"/>
      <c r="F278" s="6" t="n"/>
      <c r="G278" s="25" t="n"/>
      <c r="H278" s="26" t="n"/>
      <c r="I278" s="6" t="n"/>
      <c r="J278" s="15">
        <f>IF($A278="","",COUNTIFS(Jobs!$C$5:$C$1004,$A278))</f>
        <v/>
      </c>
      <c r="K278" s="27">
        <f>IF($A278="","",SUMIFS(Jobs!$J$5:$J$1004,Jobs!$C$5:$C$1004,$A278))</f>
        <v/>
      </c>
      <c r="L278" s="28">
        <f>IF(OR($A278="",J278=0),"",_xlfn.MAXIFS(Jobs!$B$5:$B$1004,Jobs!$C$5:$C$1004,$A278))</f>
        <v/>
      </c>
      <c r="M278" s="27">
        <f>IF($A278="","",SUMIFS(Jobs!$J$5:$J$1004,Jobs!$C$5:$C$1004,$A278,Jobs!$K$5:$K$1004,"No"))</f>
        <v/>
      </c>
      <c r="N278" s="8">
        <f>IF($A278="","",IF(J278=0,"New",IF(N(M278)&gt;0,"Unpaid","Paid up")))</f>
        <v/>
      </c>
    </row>
    <row r="279">
      <c r="A279" s="6" t="n"/>
      <c r="B279" s="6" t="n"/>
      <c r="C279" s="6" t="n"/>
      <c r="D279" s="6" t="n"/>
      <c r="E279" s="6" t="n"/>
      <c r="F279" s="6" t="n"/>
      <c r="G279" s="25" t="n"/>
      <c r="H279" s="26" t="n"/>
      <c r="I279" s="6" t="n"/>
      <c r="J279" s="15">
        <f>IF($A279="","",COUNTIFS(Jobs!$C$5:$C$1004,$A279))</f>
        <v/>
      </c>
      <c r="K279" s="27">
        <f>IF($A279="","",SUMIFS(Jobs!$J$5:$J$1004,Jobs!$C$5:$C$1004,$A279))</f>
        <v/>
      </c>
      <c r="L279" s="28">
        <f>IF(OR($A279="",J279=0),"",_xlfn.MAXIFS(Jobs!$B$5:$B$1004,Jobs!$C$5:$C$1004,$A279))</f>
        <v/>
      </c>
      <c r="M279" s="27">
        <f>IF($A279="","",SUMIFS(Jobs!$J$5:$J$1004,Jobs!$C$5:$C$1004,$A279,Jobs!$K$5:$K$1004,"No"))</f>
        <v/>
      </c>
      <c r="N279" s="8">
        <f>IF($A279="","",IF(J279=0,"New",IF(N(M279)&gt;0,"Unpaid","Paid up")))</f>
        <v/>
      </c>
    </row>
    <row r="280">
      <c r="A280" s="6" t="n"/>
      <c r="B280" s="6" t="n"/>
      <c r="C280" s="6" t="n"/>
      <c r="D280" s="6" t="n"/>
      <c r="E280" s="6" t="n"/>
      <c r="F280" s="6" t="n"/>
      <c r="G280" s="25" t="n"/>
      <c r="H280" s="26" t="n"/>
      <c r="I280" s="6" t="n"/>
      <c r="J280" s="15">
        <f>IF($A280="","",COUNTIFS(Jobs!$C$5:$C$1004,$A280))</f>
        <v/>
      </c>
      <c r="K280" s="27">
        <f>IF($A280="","",SUMIFS(Jobs!$J$5:$J$1004,Jobs!$C$5:$C$1004,$A280))</f>
        <v/>
      </c>
      <c r="L280" s="28">
        <f>IF(OR($A280="",J280=0),"",_xlfn.MAXIFS(Jobs!$B$5:$B$1004,Jobs!$C$5:$C$1004,$A280))</f>
        <v/>
      </c>
      <c r="M280" s="27">
        <f>IF($A280="","",SUMIFS(Jobs!$J$5:$J$1004,Jobs!$C$5:$C$1004,$A280,Jobs!$K$5:$K$1004,"No"))</f>
        <v/>
      </c>
      <c r="N280" s="8">
        <f>IF($A280="","",IF(J280=0,"New",IF(N(M280)&gt;0,"Unpaid","Paid up")))</f>
        <v/>
      </c>
    </row>
    <row r="281">
      <c r="A281" s="6" t="n"/>
      <c r="B281" s="6" t="n"/>
      <c r="C281" s="6" t="n"/>
      <c r="D281" s="6" t="n"/>
      <c r="E281" s="6" t="n"/>
      <c r="F281" s="6" t="n"/>
      <c r="G281" s="25" t="n"/>
      <c r="H281" s="26" t="n"/>
      <c r="I281" s="6" t="n"/>
      <c r="J281" s="15">
        <f>IF($A281="","",COUNTIFS(Jobs!$C$5:$C$1004,$A281))</f>
        <v/>
      </c>
      <c r="K281" s="27">
        <f>IF($A281="","",SUMIFS(Jobs!$J$5:$J$1004,Jobs!$C$5:$C$1004,$A281))</f>
        <v/>
      </c>
      <c r="L281" s="28">
        <f>IF(OR($A281="",J281=0),"",_xlfn.MAXIFS(Jobs!$B$5:$B$1004,Jobs!$C$5:$C$1004,$A281))</f>
        <v/>
      </c>
      <c r="M281" s="27">
        <f>IF($A281="","",SUMIFS(Jobs!$J$5:$J$1004,Jobs!$C$5:$C$1004,$A281,Jobs!$K$5:$K$1004,"No"))</f>
        <v/>
      </c>
      <c r="N281" s="8">
        <f>IF($A281="","",IF(J281=0,"New",IF(N(M281)&gt;0,"Unpaid","Paid up")))</f>
        <v/>
      </c>
    </row>
    <row r="282">
      <c r="A282" s="6" t="n"/>
      <c r="B282" s="6" t="n"/>
      <c r="C282" s="6" t="n"/>
      <c r="D282" s="6" t="n"/>
      <c r="E282" s="6" t="n"/>
      <c r="F282" s="6" t="n"/>
      <c r="G282" s="25" t="n"/>
      <c r="H282" s="26" t="n"/>
      <c r="I282" s="6" t="n"/>
      <c r="J282" s="15">
        <f>IF($A282="","",COUNTIFS(Jobs!$C$5:$C$1004,$A282))</f>
        <v/>
      </c>
      <c r="K282" s="27">
        <f>IF($A282="","",SUMIFS(Jobs!$J$5:$J$1004,Jobs!$C$5:$C$1004,$A282))</f>
        <v/>
      </c>
      <c r="L282" s="28">
        <f>IF(OR($A282="",J282=0),"",_xlfn.MAXIFS(Jobs!$B$5:$B$1004,Jobs!$C$5:$C$1004,$A282))</f>
        <v/>
      </c>
      <c r="M282" s="27">
        <f>IF($A282="","",SUMIFS(Jobs!$J$5:$J$1004,Jobs!$C$5:$C$1004,$A282,Jobs!$K$5:$K$1004,"No"))</f>
        <v/>
      </c>
      <c r="N282" s="8">
        <f>IF($A282="","",IF(J282=0,"New",IF(N(M282)&gt;0,"Unpaid","Paid up")))</f>
        <v/>
      </c>
    </row>
    <row r="283">
      <c r="A283" s="6" t="n"/>
      <c r="B283" s="6" t="n"/>
      <c r="C283" s="6" t="n"/>
      <c r="D283" s="6" t="n"/>
      <c r="E283" s="6" t="n"/>
      <c r="F283" s="6" t="n"/>
      <c r="G283" s="25" t="n"/>
      <c r="H283" s="26" t="n"/>
      <c r="I283" s="6" t="n"/>
      <c r="J283" s="15">
        <f>IF($A283="","",COUNTIFS(Jobs!$C$5:$C$1004,$A283))</f>
        <v/>
      </c>
      <c r="K283" s="27">
        <f>IF($A283="","",SUMIFS(Jobs!$J$5:$J$1004,Jobs!$C$5:$C$1004,$A283))</f>
        <v/>
      </c>
      <c r="L283" s="28">
        <f>IF(OR($A283="",J283=0),"",_xlfn.MAXIFS(Jobs!$B$5:$B$1004,Jobs!$C$5:$C$1004,$A283))</f>
        <v/>
      </c>
      <c r="M283" s="27">
        <f>IF($A283="","",SUMIFS(Jobs!$J$5:$J$1004,Jobs!$C$5:$C$1004,$A283,Jobs!$K$5:$K$1004,"No"))</f>
        <v/>
      </c>
      <c r="N283" s="8">
        <f>IF($A283="","",IF(J283=0,"New",IF(N(M283)&gt;0,"Unpaid","Paid up")))</f>
        <v/>
      </c>
    </row>
    <row r="284">
      <c r="A284" s="6" t="n"/>
      <c r="B284" s="6" t="n"/>
      <c r="C284" s="6" t="n"/>
      <c r="D284" s="6" t="n"/>
      <c r="E284" s="6" t="n"/>
      <c r="F284" s="6" t="n"/>
      <c r="G284" s="25" t="n"/>
      <c r="H284" s="26" t="n"/>
      <c r="I284" s="6" t="n"/>
      <c r="J284" s="15">
        <f>IF($A284="","",COUNTIFS(Jobs!$C$5:$C$1004,$A284))</f>
        <v/>
      </c>
      <c r="K284" s="27">
        <f>IF($A284="","",SUMIFS(Jobs!$J$5:$J$1004,Jobs!$C$5:$C$1004,$A284))</f>
        <v/>
      </c>
      <c r="L284" s="28">
        <f>IF(OR($A284="",J284=0),"",_xlfn.MAXIFS(Jobs!$B$5:$B$1004,Jobs!$C$5:$C$1004,$A284))</f>
        <v/>
      </c>
      <c r="M284" s="27">
        <f>IF($A284="","",SUMIFS(Jobs!$J$5:$J$1004,Jobs!$C$5:$C$1004,$A284,Jobs!$K$5:$K$1004,"No"))</f>
        <v/>
      </c>
      <c r="N284" s="8">
        <f>IF($A284="","",IF(J284=0,"New",IF(N(M284)&gt;0,"Unpaid","Paid up")))</f>
        <v/>
      </c>
    </row>
    <row r="285">
      <c r="A285" s="6" t="n"/>
      <c r="B285" s="6" t="n"/>
      <c r="C285" s="6" t="n"/>
      <c r="D285" s="6" t="n"/>
      <c r="E285" s="6" t="n"/>
      <c r="F285" s="6" t="n"/>
      <c r="G285" s="25" t="n"/>
      <c r="H285" s="26" t="n"/>
      <c r="I285" s="6" t="n"/>
      <c r="J285" s="15">
        <f>IF($A285="","",COUNTIFS(Jobs!$C$5:$C$1004,$A285))</f>
        <v/>
      </c>
      <c r="K285" s="27">
        <f>IF($A285="","",SUMIFS(Jobs!$J$5:$J$1004,Jobs!$C$5:$C$1004,$A285))</f>
        <v/>
      </c>
      <c r="L285" s="28">
        <f>IF(OR($A285="",J285=0),"",_xlfn.MAXIFS(Jobs!$B$5:$B$1004,Jobs!$C$5:$C$1004,$A285))</f>
        <v/>
      </c>
      <c r="M285" s="27">
        <f>IF($A285="","",SUMIFS(Jobs!$J$5:$J$1004,Jobs!$C$5:$C$1004,$A285,Jobs!$K$5:$K$1004,"No"))</f>
        <v/>
      </c>
      <c r="N285" s="8">
        <f>IF($A285="","",IF(J285=0,"New",IF(N(M285)&gt;0,"Unpaid","Paid up")))</f>
        <v/>
      </c>
    </row>
    <row r="286">
      <c r="A286" s="6" t="n"/>
      <c r="B286" s="6" t="n"/>
      <c r="C286" s="6" t="n"/>
      <c r="D286" s="6" t="n"/>
      <c r="E286" s="6" t="n"/>
      <c r="F286" s="6" t="n"/>
      <c r="G286" s="25" t="n"/>
      <c r="H286" s="26" t="n"/>
      <c r="I286" s="6" t="n"/>
      <c r="J286" s="15">
        <f>IF($A286="","",COUNTIFS(Jobs!$C$5:$C$1004,$A286))</f>
        <v/>
      </c>
      <c r="K286" s="27">
        <f>IF($A286="","",SUMIFS(Jobs!$J$5:$J$1004,Jobs!$C$5:$C$1004,$A286))</f>
        <v/>
      </c>
      <c r="L286" s="28">
        <f>IF(OR($A286="",J286=0),"",_xlfn.MAXIFS(Jobs!$B$5:$B$1004,Jobs!$C$5:$C$1004,$A286))</f>
        <v/>
      </c>
      <c r="M286" s="27">
        <f>IF($A286="","",SUMIFS(Jobs!$J$5:$J$1004,Jobs!$C$5:$C$1004,$A286,Jobs!$K$5:$K$1004,"No"))</f>
        <v/>
      </c>
      <c r="N286" s="8">
        <f>IF($A286="","",IF(J286=0,"New",IF(N(M286)&gt;0,"Unpaid","Paid up")))</f>
        <v/>
      </c>
    </row>
    <row r="287">
      <c r="A287" s="6" t="n"/>
      <c r="B287" s="6" t="n"/>
      <c r="C287" s="6" t="n"/>
      <c r="D287" s="6" t="n"/>
      <c r="E287" s="6" t="n"/>
      <c r="F287" s="6" t="n"/>
      <c r="G287" s="25" t="n"/>
      <c r="H287" s="26" t="n"/>
      <c r="I287" s="6" t="n"/>
      <c r="J287" s="15">
        <f>IF($A287="","",COUNTIFS(Jobs!$C$5:$C$1004,$A287))</f>
        <v/>
      </c>
      <c r="K287" s="27">
        <f>IF($A287="","",SUMIFS(Jobs!$J$5:$J$1004,Jobs!$C$5:$C$1004,$A287))</f>
        <v/>
      </c>
      <c r="L287" s="28">
        <f>IF(OR($A287="",J287=0),"",_xlfn.MAXIFS(Jobs!$B$5:$B$1004,Jobs!$C$5:$C$1004,$A287))</f>
        <v/>
      </c>
      <c r="M287" s="27">
        <f>IF($A287="","",SUMIFS(Jobs!$J$5:$J$1004,Jobs!$C$5:$C$1004,$A287,Jobs!$K$5:$K$1004,"No"))</f>
        <v/>
      </c>
      <c r="N287" s="8">
        <f>IF($A287="","",IF(J287=0,"New",IF(N(M287)&gt;0,"Unpaid","Paid up")))</f>
        <v/>
      </c>
    </row>
    <row r="288">
      <c r="A288" s="6" t="n"/>
      <c r="B288" s="6" t="n"/>
      <c r="C288" s="6" t="n"/>
      <c r="D288" s="6" t="n"/>
      <c r="E288" s="6" t="n"/>
      <c r="F288" s="6" t="n"/>
      <c r="G288" s="25" t="n"/>
      <c r="H288" s="26" t="n"/>
      <c r="I288" s="6" t="n"/>
      <c r="J288" s="15">
        <f>IF($A288="","",COUNTIFS(Jobs!$C$5:$C$1004,$A288))</f>
        <v/>
      </c>
      <c r="K288" s="27">
        <f>IF($A288="","",SUMIFS(Jobs!$J$5:$J$1004,Jobs!$C$5:$C$1004,$A288))</f>
        <v/>
      </c>
      <c r="L288" s="28">
        <f>IF(OR($A288="",J288=0),"",_xlfn.MAXIFS(Jobs!$B$5:$B$1004,Jobs!$C$5:$C$1004,$A288))</f>
        <v/>
      </c>
      <c r="M288" s="27">
        <f>IF($A288="","",SUMIFS(Jobs!$J$5:$J$1004,Jobs!$C$5:$C$1004,$A288,Jobs!$K$5:$K$1004,"No"))</f>
        <v/>
      </c>
      <c r="N288" s="8">
        <f>IF($A288="","",IF(J288=0,"New",IF(N(M288)&gt;0,"Unpaid","Paid up")))</f>
        <v/>
      </c>
    </row>
    <row r="289">
      <c r="A289" s="6" t="n"/>
      <c r="B289" s="6" t="n"/>
      <c r="C289" s="6" t="n"/>
      <c r="D289" s="6" t="n"/>
      <c r="E289" s="6" t="n"/>
      <c r="F289" s="6" t="n"/>
      <c r="G289" s="25" t="n"/>
      <c r="H289" s="26" t="n"/>
      <c r="I289" s="6" t="n"/>
      <c r="J289" s="15">
        <f>IF($A289="","",COUNTIFS(Jobs!$C$5:$C$1004,$A289))</f>
        <v/>
      </c>
      <c r="K289" s="27">
        <f>IF($A289="","",SUMIFS(Jobs!$J$5:$J$1004,Jobs!$C$5:$C$1004,$A289))</f>
        <v/>
      </c>
      <c r="L289" s="28">
        <f>IF(OR($A289="",J289=0),"",_xlfn.MAXIFS(Jobs!$B$5:$B$1004,Jobs!$C$5:$C$1004,$A289))</f>
        <v/>
      </c>
      <c r="M289" s="27">
        <f>IF($A289="","",SUMIFS(Jobs!$J$5:$J$1004,Jobs!$C$5:$C$1004,$A289,Jobs!$K$5:$K$1004,"No"))</f>
        <v/>
      </c>
      <c r="N289" s="8">
        <f>IF($A289="","",IF(J289=0,"New",IF(N(M289)&gt;0,"Unpaid","Paid up")))</f>
        <v/>
      </c>
    </row>
    <row r="290">
      <c r="A290" s="6" t="n"/>
      <c r="B290" s="6" t="n"/>
      <c r="C290" s="6" t="n"/>
      <c r="D290" s="6" t="n"/>
      <c r="E290" s="6" t="n"/>
      <c r="F290" s="6" t="n"/>
      <c r="G290" s="25" t="n"/>
      <c r="H290" s="26" t="n"/>
      <c r="I290" s="6" t="n"/>
      <c r="J290" s="15">
        <f>IF($A290="","",COUNTIFS(Jobs!$C$5:$C$1004,$A290))</f>
        <v/>
      </c>
      <c r="K290" s="27">
        <f>IF($A290="","",SUMIFS(Jobs!$J$5:$J$1004,Jobs!$C$5:$C$1004,$A290))</f>
        <v/>
      </c>
      <c r="L290" s="28">
        <f>IF(OR($A290="",J290=0),"",_xlfn.MAXIFS(Jobs!$B$5:$B$1004,Jobs!$C$5:$C$1004,$A290))</f>
        <v/>
      </c>
      <c r="M290" s="27">
        <f>IF($A290="","",SUMIFS(Jobs!$J$5:$J$1004,Jobs!$C$5:$C$1004,$A290,Jobs!$K$5:$K$1004,"No"))</f>
        <v/>
      </c>
      <c r="N290" s="8">
        <f>IF($A290="","",IF(J290=0,"New",IF(N(M290)&gt;0,"Unpaid","Paid up")))</f>
        <v/>
      </c>
    </row>
    <row r="291">
      <c r="A291" s="6" t="n"/>
      <c r="B291" s="6" t="n"/>
      <c r="C291" s="6" t="n"/>
      <c r="D291" s="6" t="n"/>
      <c r="E291" s="6" t="n"/>
      <c r="F291" s="6" t="n"/>
      <c r="G291" s="25" t="n"/>
      <c r="H291" s="26" t="n"/>
      <c r="I291" s="6" t="n"/>
      <c r="J291" s="15">
        <f>IF($A291="","",COUNTIFS(Jobs!$C$5:$C$1004,$A291))</f>
        <v/>
      </c>
      <c r="K291" s="27">
        <f>IF($A291="","",SUMIFS(Jobs!$J$5:$J$1004,Jobs!$C$5:$C$1004,$A291))</f>
        <v/>
      </c>
      <c r="L291" s="28">
        <f>IF(OR($A291="",J291=0),"",_xlfn.MAXIFS(Jobs!$B$5:$B$1004,Jobs!$C$5:$C$1004,$A291))</f>
        <v/>
      </c>
      <c r="M291" s="27">
        <f>IF($A291="","",SUMIFS(Jobs!$J$5:$J$1004,Jobs!$C$5:$C$1004,$A291,Jobs!$K$5:$K$1004,"No"))</f>
        <v/>
      </c>
      <c r="N291" s="8">
        <f>IF($A291="","",IF(J291=0,"New",IF(N(M291)&gt;0,"Unpaid","Paid up")))</f>
        <v/>
      </c>
    </row>
    <row r="292">
      <c r="A292" s="6" t="n"/>
      <c r="B292" s="6" t="n"/>
      <c r="C292" s="6" t="n"/>
      <c r="D292" s="6" t="n"/>
      <c r="E292" s="6" t="n"/>
      <c r="F292" s="6" t="n"/>
      <c r="G292" s="25" t="n"/>
      <c r="H292" s="26" t="n"/>
      <c r="I292" s="6" t="n"/>
      <c r="J292" s="15">
        <f>IF($A292="","",COUNTIFS(Jobs!$C$5:$C$1004,$A292))</f>
        <v/>
      </c>
      <c r="K292" s="27">
        <f>IF($A292="","",SUMIFS(Jobs!$J$5:$J$1004,Jobs!$C$5:$C$1004,$A292))</f>
        <v/>
      </c>
      <c r="L292" s="28">
        <f>IF(OR($A292="",J292=0),"",_xlfn.MAXIFS(Jobs!$B$5:$B$1004,Jobs!$C$5:$C$1004,$A292))</f>
        <v/>
      </c>
      <c r="M292" s="27">
        <f>IF($A292="","",SUMIFS(Jobs!$J$5:$J$1004,Jobs!$C$5:$C$1004,$A292,Jobs!$K$5:$K$1004,"No"))</f>
        <v/>
      </c>
      <c r="N292" s="8">
        <f>IF($A292="","",IF(J292=0,"New",IF(N(M292)&gt;0,"Unpaid","Paid up")))</f>
        <v/>
      </c>
    </row>
    <row r="293">
      <c r="A293" s="6" t="n"/>
      <c r="B293" s="6" t="n"/>
      <c r="C293" s="6" t="n"/>
      <c r="D293" s="6" t="n"/>
      <c r="E293" s="6" t="n"/>
      <c r="F293" s="6" t="n"/>
      <c r="G293" s="25" t="n"/>
      <c r="H293" s="26" t="n"/>
      <c r="I293" s="6" t="n"/>
      <c r="J293" s="15">
        <f>IF($A293="","",COUNTIFS(Jobs!$C$5:$C$1004,$A293))</f>
        <v/>
      </c>
      <c r="K293" s="27">
        <f>IF($A293="","",SUMIFS(Jobs!$J$5:$J$1004,Jobs!$C$5:$C$1004,$A293))</f>
        <v/>
      </c>
      <c r="L293" s="28">
        <f>IF(OR($A293="",J293=0),"",_xlfn.MAXIFS(Jobs!$B$5:$B$1004,Jobs!$C$5:$C$1004,$A293))</f>
        <v/>
      </c>
      <c r="M293" s="27">
        <f>IF($A293="","",SUMIFS(Jobs!$J$5:$J$1004,Jobs!$C$5:$C$1004,$A293,Jobs!$K$5:$K$1004,"No"))</f>
        <v/>
      </c>
      <c r="N293" s="8">
        <f>IF($A293="","",IF(J293=0,"New",IF(N(M293)&gt;0,"Unpaid","Paid up")))</f>
        <v/>
      </c>
    </row>
    <row r="294">
      <c r="A294" s="6" t="n"/>
      <c r="B294" s="6" t="n"/>
      <c r="C294" s="6" t="n"/>
      <c r="D294" s="6" t="n"/>
      <c r="E294" s="6" t="n"/>
      <c r="F294" s="6" t="n"/>
      <c r="G294" s="25" t="n"/>
      <c r="H294" s="26" t="n"/>
      <c r="I294" s="6" t="n"/>
      <c r="J294" s="15">
        <f>IF($A294="","",COUNTIFS(Jobs!$C$5:$C$1004,$A294))</f>
        <v/>
      </c>
      <c r="K294" s="27">
        <f>IF($A294="","",SUMIFS(Jobs!$J$5:$J$1004,Jobs!$C$5:$C$1004,$A294))</f>
        <v/>
      </c>
      <c r="L294" s="28">
        <f>IF(OR($A294="",J294=0),"",_xlfn.MAXIFS(Jobs!$B$5:$B$1004,Jobs!$C$5:$C$1004,$A294))</f>
        <v/>
      </c>
      <c r="M294" s="27">
        <f>IF($A294="","",SUMIFS(Jobs!$J$5:$J$1004,Jobs!$C$5:$C$1004,$A294,Jobs!$K$5:$K$1004,"No"))</f>
        <v/>
      </c>
      <c r="N294" s="8">
        <f>IF($A294="","",IF(J294=0,"New",IF(N(M294)&gt;0,"Unpaid","Paid up")))</f>
        <v/>
      </c>
    </row>
    <row r="295">
      <c r="A295" s="6" t="n"/>
      <c r="B295" s="6" t="n"/>
      <c r="C295" s="6" t="n"/>
      <c r="D295" s="6" t="n"/>
      <c r="E295" s="6" t="n"/>
      <c r="F295" s="6" t="n"/>
      <c r="G295" s="25" t="n"/>
      <c r="H295" s="26" t="n"/>
      <c r="I295" s="6" t="n"/>
      <c r="J295" s="15">
        <f>IF($A295="","",COUNTIFS(Jobs!$C$5:$C$1004,$A295))</f>
        <v/>
      </c>
      <c r="K295" s="27">
        <f>IF($A295="","",SUMIFS(Jobs!$J$5:$J$1004,Jobs!$C$5:$C$1004,$A295))</f>
        <v/>
      </c>
      <c r="L295" s="28">
        <f>IF(OR($A295="",J295=0),"",_xlfn.MAXIFS(Jobs!$B$5:$B$1004,Jobs!$C$5:$C$1004,$A295))</f>
        <v/>
      </c>
      <c r="M295" s="27">
        <f>IF($A295="","",SUMIFS(Jobs!$J$5:$J$1004,Jobs!$C$5:$C$1004,$A295,Jobs!$K$5:$K$1004,"No"))</f>
        <v/>
      </c>
      <c r="N295" s="8">
        <f>IF($A295="","",IF(J295=0,"New",IF(N(M295)&gt;0,"Unpaid","Paid up")))</f>
        <v/>
      </c>
    </row>
    <row r="296">
      <c r="A296" s="6" t="n"/>
      <c r="B296" s="6" t="n"/>
      <c r="C296" s="6" t="n"/>
      <c r="D296" s="6" t="n"/>
      <c r="E296" s="6" t="n"/>
      <c r="F296" s="6" t="n"/>
      <c r="G296" s="25" t="n"/>
      <c r="H296" s="26" t="n"/>
      <c r="I296" s="6" t="n"/>
      <c r="J296" s="15">
        <f>IF($A296="","",COUNTIFS(Jobs!$C$5:$C$1004,$A296))</f>
        <v/>
      </c>
      <c r="K296" s="27">
        <f>IF($A296="","",SUMIFS(Jobs!$J$5:$J$1004,Jobs!$C$5:$C$1004,$A296))</f>
        <v/>
      </c>
      <c r="L296" s="28">
        <f>IF(OR($A296="",J296=0),"",_xlfn.MAXIFS(Jobs!$B$5:$B$1004,Jobs!$C$5:$C$1004,$A296))</f>
        <v/>
      </c>
      <c r="M296" s="27">
        <f>IF($A296="","",SUMIFS(Jobs!$J$5:$J$1004,Jobs!$C$5:$C$1004,$A296,Jobs!$K$5:$K$1004,"No"))</f>
        <v/>
      </c>
      <c r="N296" s="8">
        <f>IF($A296="","",IF(J296=0,"New",IF(N(M296)&gt;0,"Unpaid","Paid up")))</f>
        <v/>
      </c>
    </row>
    <row r="297">
      <c r="A297" s="6" t="n"/>
      <c r="B297" s="6" t="n"/>
      <c r="C297" s="6" t="n"/>
      <c r="D297" s="6" t="n"/>
      <c r="E297" s="6" t="n"/>
      <c r="F297" s="6" t="n"/>
      <c r="G297" s="25" t="n"/>
      <c r="H297" s="26" t="n"/>
      <c r="I297" s="6" t="n"/>
      <c r="J297" s="15">
        <f>IF($A297="","",COUNTIFS(Jobs!$C$5:$C$1004,$A297))</f>
        <v/>
      </c>
      <c r="K297" s="27">
        <f>IF($A297="","",SUMIFS(Jobs!$J$5:$J$1004,Jobs!$C$5:$C$1004,$A297))</f>
        <v/>
      </c>
      <c r="L297" s="28">
        <f>IF(OR($A297="",J297=0),"",_xlfn.MAXIFS(Jobs!$B$5:$B$1004,Jobs!$C$5:$C$1004,$A297))</f>
        <v/>
      </c>
      <c r="M297" s="27">
        <f>IF($A297="","",SUMIFS(Jobs!$J$5:$J$1004,Jobs!$C$5:$C$1004,$A297,Jobs!$K$5:$K$1004,"No"))</f>
        <v/>
      </c>
      <c r="N297" s="8">
        <f>IF($A297="","",IF(J297=0,"New",IF(N(M297)&gt;0,"Unpaid","Paid up")))</f>
        <v/>
      </c>
    </row>
    <row r="298">
      <c r="A298" s="6" t="n"/>
      <c r="B298" s="6" t="n"/>
      <c r="C298" s="6" t="n"/>
      <c r="D298" s="6" t="n"/>
      <c r="E298" s="6" t="n"/>
      <c r="F298" s="6" t="n"/>
      <c r="G298" s="25" t="n"/>
      <c r="H298" s="26" t="n"/>
      <c r="I298" s="6" t="n"/>
      <c r="J298" s="15">
        <f>IF($A298="","",COUNTIFS(Jobs!$C$5:$C$1004,$A298))</f>
        <v/>
      </c>
      <c r="K298" s="27">
        <f>IF($A298="","",SUMIFS(Jobs!$J$5:$J$1004,Jobs!$C$5:$C$1004,$A298))</f>
        <v/>
      </c>
      <c r="L298" s="28">
        <f>IF(OR($A298="",J298=0),"",_xlfn.MAXIFS(Jobs!$B$5:$B$1004,Jobs!$C$5:$C$1004,$A298))</f>
        <v/>
      </c>
      <c r="M298" s="27">
        <f>IF($A298="","",SUMIFS(Jobs!$J$5:$J$1004,Jobs!$C$5:$C$1004,$A298,Jobs!$K$5:$K$1004,"No"))</f>
        <v/>
      </c>
      <c r="N298" s="8">
        <f>IF($A298="","",IF(J298=0,"New",IF(N(M298)&gt;0,"Unpaid","Paid up")))</f>
        <v/>
      </c>
    </row>
    <row r="299">
      <c r="A299" s="6" t="n"/>
      <c r="B299" s="6" t="n"/>
      <c r="C299" s="6" t="n"/>
      <c r="D299" s="6" t="n"/>
      <c r="E299" s="6" t="n"/>
      <c r="F299" s="6" t="n"/>
      <c r="G299" s="25" t="n"/>
      <c r="H299" s="26" t="n"/>
      <c r="I299" s="6" t="n"/>
      <c r="J299" s="15">
        <f>IF($A299="","",COUNTIFS(Jobs!$C$5:$C$1004,$A299))</f>
        <v/>
      </c>
      <c r="K299" s="27">
        <f>IF($A299="","",SUMIFS(Jobs!$J$5:$J$1004,Jobs!$C$5:$C$1004,$A299))</f>
        <v/>
      </c>
      <c r="L299" s="28">
        <f>IF(OR($A299="",J299=0),"",_xlfn.MAXIFS(Jobs!$B$5:$B$1004,Jobs!$C$5:$C$1004,$A299))</f>
        <v/>
      </c>
      <c r="M299" s="27">
        <f>IF($A299="","",SUMIFS(Jobs!$J$5:$J$1004,Jobs!$C$5:$C$1004,$A299,Jobs!$K$5:$K$1004,"No"))</f>
        <v/>
      </c>
      <c r="N299" s="8">
        <f>IF($A299="","",IF(J299=0,"New",IF(N(M299)&gt;0,"Unpaid","Paid up")))</f>
        <v/>
      </c>
    </row>
    <row r="300">
      <c r="A300" s="6" t="n"/>
      <c r="B300" s="6" t="n"/>
      <c r="C300" s="6" t="n"/>
      <c r="D300" s="6" t="n"/>
      <c r="E300" s="6" t="n"/>
      <c r="F300" s="6" t="n"/>
      <c r="G300" s="25" t="n"/>
      <c r="H300" s="26" t="n"/>
      <c r="I300" s="6" t="n"/>
      <c r="J300" s="15">
        <f>IF($A300="","",COUNTIFS(Jobs!$C$5:$C$1004,$A300))</f>
        <v/>
      </c>
      <c r="K300" s="27">
        <f>IF($A300="","",SUMIFS(Jobs!$J$5:$J$1004,Jobs!$C$5:$C$1004,$A300))</f>
        <v/>
      </c>
      <c r="L300" s="28">
        <f>IF(OR($A300="",J300=0),"",_xlfn.MAXIFS(Jobs!$B$5:$B$1004,Jobs!$C$5:$C$1004,$A300))</f>
        <v/>
      </c>
      <c r="M300" s="27">
        <f>IF($A300="","",SUMIFS(Jobs!$J$5:$J$1004,Jobs!$C$5:$C$1004,$A300,Jobs!$K$5:$K$1004,"No"))</f>
        <v/>
      </c>
      <c r="N300" s="8">
        <f>IF($A300="","",IF(J300=0,"New",IF(N(M300)&gt;0,"Unpaid","Paid up")))</f>
        <v/>
      </c>
    </row>
    <row r="301">
      <c r="A301" s="6" t="n"/>
      <c r="B301" s="6" t="n"/>
      <c r="C301" s="6" t="n"/>
      <c r="D301" s="6" t="n"/>
      <c r="E301" s="6" t="n"/>
      <c r="F301" s="6" t="n"/>
      <c r="G301" s="25" t="n"/>
      <c r="H301" s="26" t="n"/>
      <c r="I301" s="6" t="n"/>
      <c r="J301" s="15">
        <f>IF($A301="","",COUNTIFS(Jobs!$C$5:$C$1004,$A301))</f>
        <v/>
      </c>
      <c r="K301" s="27">
        <f>IF($A301="","",SUMIFS(Jobs!$J$5:$J$1004,Jobs!$C$5:$C$1004,$A301))</f>
        <v/>
      </c>
      <c r="L301" s="28">
        <f>IF(OR($A301="",J301=0),"",_xlfn.MAXIFS(Jobs!$B$5:$B$1004,Jobs!$C$5:$C$1004,$A301))</f>
        <v/>
      </c>
      <c r="M301" s="27">
        <f>IF($A301="","",SUMIFS(Jobs!$J$5:$J$1004,Jobs!$C$5:$C$1004,$A301,Jobs!$K$5:$K$1004,"No"))</f>
        <v/>
      </c>
      <c r="N301" s="8">
        <f>IF($A301="","",IF(J301=0,"New",IF(N(M301)&gt;0,"Unpaid","Paid up")))</f>
        <v/>
      </c>
    </row>
    <row r="302">
      <c r="A302" s="6" t="n"/>
      <c r="B302" s="6" t="n"/>
      <c r="C302" s="6" t="n"/>
      <c r="D302" s="6" t="n"/>
      <c r="E302" s="6" t="n"/>
      <c r="F302" s="6" t="n"/>
      <c r="G302" s="25" t="n"/>
      <c r="H302" s="26" t="n"/>
      <c r="I302" s="6" t="n"/>
      <c r="J302" s="15">
        <f>IF($A302="","",COUNTIFS(Jobs!$C$5:$C$1004,$A302))</f>
        <v/>
      </c>
      <c r="K302" s="27">
        <f>IF($A302="","",SUMIFS(Jobs!$J$5:$J$1004,Jobs!$C$5:$C$1004,$A302))</f>
        <v/>
      </c>
      <c r="L302" s="28">
        <f>IF(OR($A302="",J302=0),"",_xlfn.MAXIFS(Jobs!$B$5:$B$1004,Jobs!$C$5:$C$1004,$A302))</f>
        <v/>
      </c>
      <c r="M302" s="27">
        <f>IF($A302="","",SUMIFS(Jobs!$J$5:$J$1004,Jobs!$C$5:$C$1004,$A302,Jobs!$K$5:$K$1004,"No"))</f>
        <v/>
      </c>
      <c r="N302" s="8">
        <f>IF($A302="","",IF(J302=0,"New",IF(N(M302)&gt;0,"Unpaid","Paid up")))</f>
        <v/>
      </c>
    </row>
    <row r="303">
      <c r="A303" s="6" t="n"/>
      <c r="B303" s="6" t="n"/>
      <c r="C303" s="6" t="n"/>
      <c r="D303" s="6" t="n"/>
      <c r="E303" s="6" t="n"/>
      <c r="F303" s="6" t="n"/>
      <c r="G303" s="25" t="n"/>
      <c r="H303" s="26" t="n"/>
      <c r="I303" s="6" t="n"/>
      <c r="J303" s="15">
        <f>IF($A303="","",COUNTIFS(Jobs!$C$5:$C$1004,$A303))</f>
        <v/>
      </c>
      <c r="K303" s="27">
        <f>IF($A303="","",SUMIFS(Jobs!$J$5:$J$1004,Jobs!$C$5:$C$1004,$A303))</f>
        <v/>
      </c>
      <c r="L303" s="28">
        <f>IF(OR($A303="",J303=0),"",_xlfn.MAXIFS(Jobs!$B$5:$B$1004,Jobs!$C$5:$C$1004,$A303))</f>
        <v/>
      </c>
      <c r="M303" s="27">
        <f>IF($A303="","",SUMIFS(Jobs!$J$5:$J$1004,Jobs!$C$5:$C$1004,$A303,Jobs!$K$5:$K$1004,"No"))</f>
        <v/>
      </c>
      <c r="N303" s="8">
        <f>IF($A303="","",IF(J303=0,"New",IF(N(M303)&gt;0,"Unpaid","Paid up")))</f>
        <v/>
      </c>
    </row>
    <row r="304">
      <c r="A304" s="6" t="n"/>
      <c r="B304" s="6" t="n"/>
      <c r="C304" s="6" t="n"/>
      <c r="D304" s="6" t="n"/>
      <c r="E304" s="6" t="n"/>
      <c r="F304" s="6" t="n"/>
      <c r="G304" s="25" t="n"/>
      <c r="H304" s="26" t="n"/>
      <c r="I304" s="6" t="n"/>
      <c r="J304" s="15">
        <f>IF($A304="","",COUNTIFS(Jobs!$C$5:$C$1004,$A304))</f>
        <v/>
      </c>
      <c r="K304" s="27">
        <f>IF($A304="","",SUMIFS(Jobs!$J$5:$J$1004,Jobs!$C$5:$C$1004,$A304))</f>
        <v/>
      </c>
      <c r="L304" s="28">
        <f>IF(OR($A304="",J304=0),"",_xlfn.MAXIFS(Jobs!$B$5:$B$1004,Jobs!$C$5:$C$1004,$A304))</f>
        <v/>
      </c>
      <c r="M304" s="27">
        <f>IF($A304="","",SUMIFS(Jobs!$J$5:$J$1004,Jobs!$C$5:$C$1004,$A304,Jobs!$K$5:$K$1004,"No"))</f>
        <v/>
      </c>
      <c r="N304" s="8">
        <f>IF($A304="","",IF(J304=0,"New",IF(N(M304)&gt;0,"Unpaid","Paid up")))</f>
        <v/>
      </c>
    </row>
  </sheetData>
  <autoFilter ref="A4:N304"/>
  <conditionalFormatting sqref="N5:N304">
    <cfRule type="cellIs" priority="1" operator="equal" dxfId="0">
      <formula>"Unpaid"</formula>
    </cfRule>
    <cfRule type="cellIs" priority="2" operator="equal" dxfId="1">
      <formula>"Due soon"</formula>
    </cfRule>
  </conditionalFormatting>
  <dataValidations count="2">
    <dataValidation sqref="E5:E304" showDropDown="0" showInputMessage="0" showErrorMessage="0" allowBlank="1" type="list">
      <formula1>Settings!$D$5:$D$12</formula1>
    </dataValidation>
    <dataValidation sqref="F5:F304" showDropDown="0" showInputMessage="0" showErrorMessage="0" allowBlank="1" type="list">
      <formula1>Settings!$D$33:$D$37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474F"/>
    <outlinePr summaryBelow="1" summaryRight="1"/>
    <pageSetUpPr/>
  </sheetPr>
  <dimension ref="A1:R10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24" customWidth="1" min="3" max="3"/>
    <col width="17" customWidth="1" min="4" max="4"/>
    <col width="8" customWidth="1" min="5" max="5"/>
    <col width="12" customWidth="1" min="6" max="6"/>
    <col width="11" customWidth="1" min="7" max="7"/>
    <col width="11" customWidth="1" min="8" max="8"/>
    <col width="11" customWidth="1" min="9" max="9"/>
    <col width="12" customWidth="1" min="10" max="10"/>
    <col width="8" customWidth="1" min="11" max="11"/>
    <col width="13" customWidth="1" min="12" max="12"/>
    <col width="11" customWidth="1" min="13" max="13"/>
    <col width="8" customWidth="1" min="14" max="14"/>
    <col width="11" customWidth="1" min="15" max="15"/>
    <col width="11" customWidth="1" min="16" max="16"/>
    <col width="12" customWidth="1" min="17" max="17"/>
    <col width="24" customWidth="1" min="18" max="18"/>
  </cols>
  <sheetData>
    <row r="1" ht="30" customHeight="1">
      <c r="A1" s="1" t="inlineStr">
        <is>
          <t>Jobs</t>
        </is>
      </c>
    </row>
    <row r="2">
      <c r="A2" s="2" t="inlineStr">
        <is>
          <t>Log every push. Price fills in from the client; type a Price override to change one job.</t>
        </is>
      </c>
    </row>
    <row r="4" ht="32" customHeight="1">
      <c r="A4" s="13" t="inlineStr">
        <is>
          <t>Job ID</t>
        </is>
      </c>
      <c r="B4" s="13" t="inlineStr">
        <is>
          <t>Date</t>
        </is>
      </c>
      <c r="C4" s="13" t="inlineStr">
        <is>
          <t>Client</t>
        </is>
      </c>
      <c r="D4" s="13" t="inlineStr">
        <is>
          <t>Service</t>
        </is>
      </c>
      <c r="E4" s="13" t="inlineStr">
        <is>
          <t>Hours</t>
        </is>
      </c>
      <c r="F4" s="13" t="inlineStr">
        <is>
          <t>Crew</t>
        </is>
      </c>
      <c r="G4" s="13" t="inlineStr">
        <is>
          <t>Price override</t>
        </is>
      </c>
      <c r="H4" s="13" t="inlineStr">
        <is>
          <t>Price</t>
        </is>
      </c>
      <c r="I4" s="13" t="inlineStr">
        <is>
          <t>Add-on charges</t>
        </is>
      </c>
      <c r="J4" s="13" t="inlineStr">
        <is>
          <t>Total charged</t>
        </is>
      </c>
      <c r="K4" s="13" t="inlineStr">
        <is>
          <t>Paid?</t>
        </is>
      </c>
      <c r="L4" s="13" t="inlineStr">
        <is>
          <t>Payment method</t>
        </is>
      </c>
      <c r="M4" s="13" t="inlineStr">
        <is>
          <t>Salt / materials cost</t>
        </is>
      </c>
      <c r="N4" s="13" t="inlineStr">
        <is>
          <t>Miles</t>
        </is>
      </c>
      <c r="O4" s="13" t="inlineStr">
        <is>
          <t>Labor cost</t>
        </is>
      </c>
      <c r="P4" s="13" t="inlineStr">
        <is>
          <t>Mileage cost</t>
        </is>
      </c>
      <c r="Q4" s="13" t="inlineStr">
        <is>
          <t>Profit</t>
        </is>
      </c>
      <c r="R4" s="13" t="inlineStr">
        <is>
          <t>Notes</t>
        </is>
      </c>
    </row>
    <row r="5">
      <c r="A5" s="8">
        <f>IF(B5="","","J-"&amp;TEXT(ROW()-4,"0000"))</f>
        <v/>
      </c>
      <c r="B5" s="26" t="n">
        <v>46338</v>
      </c>
      <c r="C5" s="6" t="inlineStr">
        <is>
          <t>EXAMPLE – Johnson Family</t>
        </is>
      </c>
      <c r="D5" s="6" t="n"/>
      <c r="E5" s="29" t="n">
        <v>0.4</v>
      </c>
      <c r="F5" s="6" t="inlineStr">
        <is>
          <t>Me</t>
        </is>
      </c>
      <c r="G5" s="25" t="n"/>
      <c r="H5" s="27">
        <f>IF(C5="","",IF(G5&lt;&gt;"",G5,IFERROR(INDEX(Clients!$G$5:$G$304,MATCH(C5,Clients!$A$5:$A$304,0)),0)))</f>
        <v/>
      </c>
      <c r="I5" s="25" t="n">
        <v>25</v>
      </c>
      <c r="J5" s="27">
        <f>IF(C5="","",H5+N(I5))</f>
        <v/>
      </c>
      <c r="K5" s="6" t="inlineStr">
        <is>
          <t>Yes</t>
        </is>
      </c>
      <c r="L5" s="6" t="inlineStr">
        <is>
          <t>Zelle</t>
        </is>
      </c>
      <c r="M5" s="25" t="n">
        <v>6</v>
      </c>
      <c r="N5" s="10" t="n">
        <v>5</v>
      </c>
      <c r="O5" s="27">
        <f>IF(C5="","",N(E5)*Settings!$B$8)</f>
        <v/>
      </c>
      <c r="P5" s="27">
        <f>IF(C5="","",N(N5)*Settings!$B$10)</f>
        <v/>
      </c>
      <c r="Q5" s="27">
        <f>IF(C5="","",J5-N(M5)-O5-P5)</f>
        <v/>
      </c>
      <c r="R5" s="6" t="n"/>
    </row>
    <row r="6">
      <c r="A6" s="17">
        <f>IF(B6="","","J-"&amp;TEXT(ROW()-4,"0000"))</f>
        <v/>
      </c>
      <c r="B6" s="26" t="n">
        <v>46338</v>
      </c>
      <c r="C6" s="6" t="inlineStr">
        <is>
          <t>EXAMPLE – Bright Dental</t>
        </is>
      </c>
      <c r="D6" s="6" t="n"/>
      <c r="E6" s="29" t="n">
        <v>1.5</v>
      </c>
      <c r="F6" s="6" t="inlineStr">
        <is>
          <t>Crew 2</t>
        </is>
      </c>
      <c r="G6" s="25" t="n"/>
      <c r="H6" s="30">
        <f>IF(C6="","",IF(G6&lt;&gt;"",G6,IFERROR(INDEX(Clients!$G$5:$G$304,MATCH(C6,Clients!$A$5:$A$304,0)),0)))</f>
        <v/>
      </c>
      <c r="I6" s="25" t="n">
        <v>40</v>
      </c>
      <c r="J6" s="30">
        <f>IF(C6="","",H6+N(I6))</f>
        <v/>
      </c>
      <c r="K6" s="6" t="inlineStr">
        <is>
          <t>Yes</t>
        </is>
      </c>
      <c r="L6" s="6" t="inlineStr">
        <is>
          <t>Card</t>
        </is>
      </c>
      <c r="M6" s="25" t="n">
        <v>22</v>
      </c>
      <c r="N6" s="10" t="n">
        <v>4</v>
      </c>
      <c r="O6" s="30">
        <f>IF(C6="","",N(E6)*Settings!$B$8)</f>
        <v/>
      </c>
      <c r="P6" s="30">
        <f>IF(C6="","",N(N6)*Settings!$B$10)</f>
        <v/>
      </c>
      <c r="Q6" s="30">
        <f>IF(C6="","",J6-N(M6)-O6-P6)</f>
        <v/>
      </c>
      <c r="R6" s="6" t="n"/>
    </row>
    <row r="7">
      <c r="A7" s="8">
        <f>IF(B7="","","J-"&amp;TEXT(ROW()-4,"0000"))</f>
        <v/>
      </c>
      <c r="B7" s="26" t="n">
        <v>46346</v>
      </c>
      <c r="C7" s="6" t="inlineStr">
        <is>
          <t>EXAMPLE – Bright Dental</t>
        </is>
      </c>
      <c r="D7" s="6" t="n"/>
      <c r="E7" s="29" t="n">
        <v>1.75</v>
      </c>
      <c r="F7" s="6" t="inlineStr">
        <is>
          <t>Crew 2</t>
        </is>
      </c>
      <c r="G7" s="25" t="n"/>
      <c r="H7" s="27">
        <f>IF(C7="","",IF(G7&lt;&gt;"",G7,IFERROR(INDEX(Clients!$G$5:$G$304,MATCH(C7,Clients!$A$5:$A$304,0)),0)))</f>
        <v/>
      </c>
      <c r="I7" s="25" t="n">
        <v>40</v>
      </c>
      <c r="J7" s="27">
        <f>IF(C7="","",H7+N(I7))</f>
        <v/>
      </c>
      <c r="K7" s="6" t="inlineStr">
        <is>
          <t>No</t>
        </is>
      </c>
      <c r="L7" s="6" t="n"/>
      <c r="M7" s="25" t="n">
        <v>22</v>
      </c>
      <c r="N7" s="10" t="n">
        <v>4</v>
      </c>
      <c r="O7" s="27">
        <f>IF(C7="","",N(E7)*Settings!$B$8)</f>
        <v/>
      </c>
      <c r="P7" s="27">
        <f>IF(C7="","",N(N7)*Settings!$B$10)</f>
        <v/>
      </c>
      <c r="Q7" s="27">
        <f>IF(C7="","",J7-N(M7)-O7-P7)</f>
        <v/>
      </c>
      <c r="R7" s="6" t="n"/>
    </row>
    <row r="8">
      <c r="A8" s="17">
        <f>IF(B8="","","J-"&amp;TEXT(ROW()-4,"0000"))</f>
        <v/>
      </c>
      <c r="B8" s="26" t="n"/>
      <c r="C8" s="6" t="n"/>
      <c r="D8" s="6" t="n"/>
      <c r="E8" s="29" t="n"/>
      <c r="F8" s="6" t="n"/>
      <c r="G8" s="25" t="n"/>
      <c r="H8" s="30">
        <f>IF(C8="","",IF(G8&lt;&gt;"",G8,IFERROR(INDEX(Clients!$G$5:$G$304,MATCH(C8,Clients!$A$5:$A$304,0)),0)))</f>
        <v/>
      </c>
      <c r="I8" s="25" t="n"/>
      <c r="J8" s="30">
        <f>IF(C8="","",H8+N(I8))</f>
        <v/>
      </c>
      <c r="K8" s="6" t="n"/>
      <c r="L8" s="6" t="n"/>
      <c r="M8" s="25" t="n"/>
      <c r="N8" s="10" t="n"/>
      <c r="O8" s="30">
        <f>IF(C8="","",N(E8)*Settings!$B$8)</f>
        <v/>
      </c>
      <c r="P8" s="30">
        <f>IF(C8="","",N(N8)*Settings!$B$10)</f>
        <v/>
      </c>
      <c r="Q8" s="30">
        <f>IF(C8="","",J8-N(M8)-O8-P8)</f>
        <v/>
      </c>
      <c r="R8" s="6" t="n"/>
    </row>
    <row r="9">
      <c r="A9" s="8">
        <f>IF(B9="","","J-"&amp;TEXT(ROW()-4,"0000"))</f>
        <v/>
      </c>
      <c r="B9" s="26" t="n"/>
      <c r="C9" s="6" t="n"/>
      <c r="D9" s="6" t="n"/>
      <c r="E9" s="29" t="n"/>
      <c r="F9" s="6" t="n"/>
      <c r="G9" s="25" t="n"/>
      <c r="H9" s="27">
        <f>IF(C9="","",IF(G9&lt;&gt;"",G9,IFERROR(INDEX(Clients!$G$5:$G$304,MATCH(C9,Clients!$A$5:$A$304,0)),0)))</f>
        <v/>
      </c>
      <c r="I9" s="25" t="n"/>
      <c r="J9" s="27">
        <f>IF(C9="","",H9+N(I9))</f>
        <v/>
      </c>
      <c r="K9" s="6" t="n"/>
      <c r="L9" s="6" t="n"/>
      <c r="M9" s="25" t="n"/>
      <c r="N9" s="10" t="n"/>
      <c r="O9" s="27">
        <f>IF(C9="","",N(E9)*Settings!$B$8)</f>
        <v/>
      </c>
      <c r="P9" s="27">
        <f>IF(C9="","",N(N9)*Settings!$B$10)</f>
        <v/>
      </c>
      <c r="Q9" s="27">
        <f>IF(C9="","",J9-N(M9)-O9-P9)</f>
        <v/>
      </c>
      <c r="R9" s="6" t="n"/>
    </row>
    <row r="10">
      <c r="A10" s="17">
        <f>IF(B10="","","J-"&amp;TEXT(ROW()-4,"0000"))</f>
        <v/>
      </c>
      <c r="B10" s="26" t="n"/>
      <c r="C10" s="6" t="n"/>
      <c r="D10" s="6" t="n"/>
      <c r="E10" s="29" t="n"/>
      <c r="F10" s="6" t="n"/>
      <c r="G10" s="25" t="n"/>
      <c r="H10" s="30">
        <f>IF(C10="","",IF(G10&lt;&gt;"",G10,IFERROR(INDEX(Clients!$G$5:$G$304,MATCH(C10,Clients!$A$5:$A$304,0)),0)))</f>
        <v/>
      </c>
      <c r="I10" s="25" t="n"/>
      <c r="J10" s="30">
        <f>IF(C10="","",H10+N(I10))</f>
        <v/>
      </c>
      <c r="K10" s="6" t="n"/>
      <c r="L10" s="6" t="n"/>
      <c r="M10" s="25" t="n"/>
      <c r="N10" s="10" t="n"/>
      <c r="O10" s="30">
        <f>IF(C10="","",N(E10)*Settings!$B$8)</f>
        <v/>
      </c>
      <c r="P10" s="30">
        <f>IF(C10="","",N(N10)*Settings!$B$10)</f>
        <v/>
      </c>
      <c r="Q10" s="30">
        <f>IF(C10="","",J10-N(M10)-O10-P10)</f>
        <v/>
      </c>
      <c r="R10" s="6" t="n"/>
    </row>
    <row r="11">
      <c r="A11" s="8">
        <f>IF(B11="","","J-"&amp;TEXT(ROW()-4,"0000"))</f>
        <v/>
      </c>
      <c r="B11" s="26" t="n"/>
      <c r="C11" s="6" t="n"/>
      <c r="D11" s="6" t="n"/>
      <c r="E11" s="29" t="n"/>
      <c r="F11" s="6" t="n"/>
      <c r="G11" s="25" t="n"/>
      <c r="H11" s="27">
        <f>IF(C11="","",IF(G11&lt;&gt;"",G11,IFERROR(INDEX(Clients!$G$5:$G$304,MATCH(C11,Clients!$A$5:$A$304,0)),0)))</f>
        <v/>
      </c>
      <c r="I11" s="25" t="n"/>
      <c r="J11" s="27">
        <f>IF(C11="","",H11+N(I11))</f>
        <v/>
      </c>
      <c r="K11" s="6" t="n"/>
      <c r="L11" s="6" t="n"/>
      <c r="M11" s="25" t="n"/>
      <c r="N11" s="10" t="n"/>
      <c r="O11" s="27">
        <f>IF(C11="","",N(E11)*Settings!$B$8)</f>
        <v/>
      </c>
      <c r="P11" s="27">
        <f>IF(C11="","",N(N11)*Settings!$B$10)</f>
        <v/>
      </c>
      <c r="Q11" s="27">
        <f>IF(C11="","",J11-N(M11)-O11-P11)</f>
        <v/>
      </c>
      <c r="R11" s="6" t="n"/>
    </row>
    <row r="12">
      <c r="A12" s="17">
        <f>IF(B12="","","J-"&amp;TEXT(ROW()-4,"0000"))</f>
        <v/>
      </c>
      <c r="B12" s="26" t="n"/>
      <c r="C12" s="6" t="n"/>
      <c r="D12" s="6" t="n"/>
      <c r="E12" s="29" t="n"/>
      <c r="F12" s="6" t="n"/>
      <c r="G12" s="25" t="n"/>
      <c r="H12" s="30">
        <f>IF(C12="","",IF(G12&lt;&gt;"",G12,IFERROR(INDEX(Clients!$G$5:$G$304,MATCH(C12,Clients!$A$5:$A$304,0)),0)))</f>
        <v/>
      </c>
      <c r="I12" s="25" t="n"/>
      <c r="J12" s="30">
        <f>IF(C12="","",H12+N(I12))</f>
        <v/>
      </c>
      <c r="K12" s="6" t="n"/>
      <c r="L12" s="6" t="n"/>
      <c r="M12" s="25" t="n"/>
      <c r="N12" s="10" t="n"/>
      <c r="O12" s="30">
        <f>IF(C12="","",N(E12)*Settings!$B$8)</f>
        <v/>
      </c>
      <c r="P12" s="30">
        <f>IF(C12="","",N(N12)*Settings!$B$10)</f>
        <v/>
      </c>
      <c r="Q12" s="30">
        <f>IF(C12="","",J12-N(M12)-O12-P12)</f>
        <v/>
      </c>
      <c r="R12" s="6" t="n"/>
    </row>
    <row r="13">
      <c r="A13" s="8">
        <f>IF(B13="","","J-"&amp;TEXT(ROW()-4,"0000"))</f>
        <v/>
      </c>
      <c r="B13" s="26" t="n"/>
      <c r="C13" s="6" t="n"/>
      <c r="D13" s="6" t="n"/>
      <c r="E13" s="29" t="n"/>
      <c r="F13" s="6" t="n"/>
      <c r="G13" s="25" t="n"/>
      <c r="H13" s="27">
        <f>IF(C13="","",IF(G13&lt;&gt;"",G13,IFERROR(INDEX(Clients!$G$5:$G$304,MATCH(C13,Clients!$A$5:$A$304,0)),0)))</f>
        <v/>
      </c>
      <c r="I13" s="25" t="n"/>
      <c r="J13" s="27">
        <f>IF(C13="","",H13+N(I13))</f>
        <v/>
      </c>
      <c r="K13" s="6" t="n"/>
      <c r="L13" s="6" t="n"/>
      <c r="M13" s="25" t="n"/>
      <c r="N13" s="10" t="n"/>
      <c r="O13" s="27">
        <f>IF(C13="","",N(E13)*Settings!$B$8)</f>
        <v/>
      </c>
      <c r="P13" s="27">
        <f>IF(C13="","",N(N13)*Settings!$B$10)</f>
        <v/>
      </c>
      <c r="Q13" s="27">
        <f>IF(C13="","",J13-N(M13)-O13-P13)</f>
        <v/>
      </c>
      <c r="R13" s="6" t="n"/>
    </row>
    <row r="14">
      <c r="A14" s="17">
        <f>IF(B14="","","J-"&amp;TEXT(ROW()-4,"0000"))</f>
        <v/>
      </c>
      <c r="B14" s="26" t="n"/>
      <c r="C14" s="6" t="n"/>
      <c r="D14" s="6" t="n"/>
      <c r="E14" s="29" t="n"/>
      <c r="F14" s="6" t="n"/>
      <c r="G14" s="25" t="n"/>
      <c r="H14" s="30">
        <f>IF(C14="","",IF(G14&lt;&gt;"",G14,IFERROR(INDEX(Clients!$G$5:$G$304,MATCH(C14,Clients!$A$5:$A$304,0)),0)))</f>
        <v/>
      </c>
      <c r="I14" s="25" t="n"/>
      <c r="J14" s="30">
        <f>IF(C14="","",H14+N(I14))</f>
        <v/>
      </c>
      <c r="K14" s="6" t="n"/>
      <c r="L14" s="6" t="n"/>
      <c r="M14" s="25" t="n"/>
      <c r="N14" s="10" t="n"/>
      <c r="O14" s="30">
        <f>IF(C14="","",N(E14)*Settings!$B$8)</f>
        <v/>
      </c>
      <c r="P14" s="30">
        <f>IF(C14="","",N(N14)*Settings!$B$10)</f>
        <v/>
      </c>
      <c r="Q14" s="30">
        <f>IF(C14="","",J14-N(M14)-O14-P14)</f>
        <v/>
      </c>
      <c r="R14" s="6" t="n"/>
    </row>
    <row r="15">
      <c r="A15" s="8">
        <f>IF(B15="","","J-"&amp;TEXT(ROW()-4,"0000"))</f>
        <v/>
      </c>
      <c r="B15" s="26" t="n"/>
      <c r="C15" s="6" t="n"/>
      <c r="D15" s="6" t="n"/>
      <c r="E15" s="29" t="n"/>
      <c r="F15" s="6" t="n"/>
      <c r="G15" s="25" t="n"/>
      <c r="H15" s="27">
        <f>IF(C15="","",IF(G15&lt;&gt;"",G15,IFERROR(INDEX(Clients!$G$5:$G$304,MATCH(C15,Clients!$A$5:$A$304,0)),0)))</f>
        <v/>
      </c>
      <c r="I15" s="25" t="n"/>
      <c r="J15" s="27">
        <f>IF(C15="","",H15+N(I15))</f>
        <v/>
      </c>
      <c r="K15" s="6" t="n"/>
      <c r="L15" s="6" t="n"/>
      <c r="M15" s="25" t="n"/>
      <c r="N15" s="10" t="n"/>
      <c r="O15" s="27">
        <f>IF(C15="","",N(E15)*Settings!$B$8)</f>
        <v/>
      </c>
      <c r="P15" s="27">
        <f>IF(C15="","",N(N15)*Settings!$B$10)</f>
        <v/>
      </c>
      <c r="Q15" s="27">
        <f>IF(C15="","",J15-N(M15)-O15-P15)</f>
        <v/>
      </c>
      <c r="R15" s="6" t="n"/>
    </row>
    <row r="16">
      <c r="A16" s="17">
        <f>IF(B16="","","J-"&amp;TEXT(ROW()-4,"0000"))</f>
        <v/>
      </c>
      <c r="B16" s="26" t="n"/>
      <c r="C16" s="6" t="n"/>
      <c r="D16" s="6" t="n"/>
      <c r="E16" s="29" t="n"/>
      <c r="F16" s="6" t="n"/>
      <c r="G16" s="25" t="n"/>
      <c r="H16" s="30">
        <f>IF(C16="","",IF(G16&lt;&gt;"",G16,IFERROR(INDEX(Clients!$G$5:$G$304,MATCH(C16,Clients!$A$5:$A$304,0)),0)))</f>
        <v/>
      </c>
      <c r="I16" s="25" t="n"/>
      <c r="J16" s="30">
        <f>IF(C16="","",H16+N(I16))</f>
        <v/>
      </c>
      <c r="K16" s="6" t="n"/>
      <c r="L16" s="6" t="n"/>
      <c r="M16" s="25" t="n"/>
      <c r="N16" s="10" t="n"/>
      <c r="O16" s="30">
        <f>IF(C16="","",N(E16)*Settings!$B$8)</f>
        <v/>
      </c>
      <c r="P16" s="30">
        <f>IF(C16="","",N(N16)*Settings!$B$10)</f>
        <v/>
      </c>
      <c r="Q16" s="30">
        <f>IF(C16="","",J16-N(M16)-O16-P16)</f>
        <v/>
      </c>
      <c r="R16" s="6" t="n"/>
    </row>
    <row r="17">
      <c r="A17" s="8">
        <f>IF(B17="","","J-"&amp;TEXT(ROW()-4,"0000"))</f>
        <v/>
      </c>
      <c r="B17" s="26" t="n"/>
      <c r="C17" s="6" t="n"/>
      <c r="D17" s="6" t="n"/>
      <c r="E17" s="29" t="n"/>
      <c r="F17" s="6" t="n"/>
      <c r="G17" s="25" t="n"/>
      <c r="H17" s="27">
        <f>IF(C17="","",IF(G17&lt;&gt;"",G17,IFERROR(INDEX(Clients!$G$5:$G$304,MATCH(C17,Clients!$A$5:$A$304,0)),0)))</f>
        <v/>
      </c>
      <c r="I17" s="25" t="n"/>
      <c r="J17" s="27">
        <f>IF(C17="","",H17+N(I17))</f>
        <v/>
      </c>
      <c r="K17" s="6" t="n"/>
      <c r="L17" s="6" t="n"/>
      <c r="M17" s="25" t="n"/>
      <c r="N17" s="10" t="n"/>
      <c r="O17" s="27">
        <f>IF(C17="","",N(E17)*Settings!$B$8)</f>
        <v/>
      </c>
      <c r="P17" s="27">
        <f>IF(C17="","",N(N17)*Settings!$B$10)</f>
        <v/>
      </c>
      <c r="Q17" s="27">
        <f>IF(C17="","",J17-N(M17)-O17-P17)</f>
        <v/>
      </c>
      <c r="R17" s="6" t="n"/>
    </row>
    <row r="18">
      <c r="A18" s="17">
        <f>IF(B18="","","J-"&amp;TEXT(ROW()-4,"0000"))</f>
        <v/>
      </c>
      <c r="B18" s="26" t="n"/>
      <c r="C18" s="6" t="n"/>
      <c r="D18" s="6" t="n"/>
      <c r="E18" s="29" t="n"/>
      <c r="F18" s="6" t="n"/>
      <c r="G18" s="25" t="n"/>
      <c r="H18" s="30">
        <f>IF(C18="","",IF(G18&lt;&gt;"",G18,IFERROR(INDEX(Clients!$G$5:$G$304,MATCH(C18,Clients!$A$5:$A$304,0)),0)))</f>
        <v/>
      </c>
      <c r="I18" s="25" t="n"/>
      <c r="J18" s="30">
        <f>IF(C18="","",H18+N(I18))</f>
        <v/>
      </c>
      <c r="K18" s="6" t="n"/>
      <c r="L18" s="6" t="n"/>
      <c r="M18" s="25" t="n"/>
      <c r="N18" s="10" t="n"/>
      <c r="O18" s="30">
        <f>IF(C18="","",N(E18)*Settings!$B$8)</f>
        <v/>
      </c>
      <c r="P18" s="30">
        <f>IF(C18="","",N(N18)*Settings!$B$10)</f>
        <v/>
      </c>
      <c r="Q18" s="30">
        <f>IF(C18="","",J18-N(M18)-O18-P18)</f>
        <v/>
      </c>
      <c r="R18" s="6" t="n"/>
    </row>
    <row r="19">
      <c r="A19" s="8">
        <f>IF(B19="","","J-"&amp;TEXT(ROW()-4,"0000"))</f>
        <v/>
      </c>
      <c r="B19" s="26" t="n"/>
      <c r="C19" s="6" t="n"/>
      <c r="D19" s="6" t="n"/>
      <c r="E19" s="29" t="n"/>
      <c r="F19" s="6" t="n"/>
      <c r="G19" s="25" t="n"/>
      <c r="H19" s="27">
        <f>IF(C19="","",IF(G19&lt;&gt;"",G19,IFERROR(INDEX(Clients!$G$5:$G$304,MATCH(C19,Clients!$A$5:$A$304,0)),0)))</f>
        <v/>
      </c>
      <c r="I19" s="25" t="n"/>
      <c r="J19" s="27">
        <f>IF(C19="","",H19+N(I19))</f>
        <v/>
      </c>
      <c r="K19" s="6" t="n"/>
      <c r="L19" s="6" t="n"/>
      <c r="M19" s="25" t="n"/>
      <c r="N19" s="10" t="n"/>
      <c r="O19" s="27">
        <f>IF(C19="","",N(E19)*Settings!$B$8)</f>
        <v/>
      </c>
      <c r="P19" s="27">
        <f>IF(C19="","",N(N19)*Settings!$B$10)</f>
        <v/>
      </c>
      <c r="Q19" s="27">
        <f>IF(C19="","",J19-N(M19)-O19-P19)</f>
        <v/>
      </c>
      <c r="R19" s="6" t="n"/>
    </row>
    <row r="20">
      <c r="A20" s="17">
        <f>IF(B20="","","J-"&amp;TEXT(ROW()-4,"0000"))</f>
        <v/>
      </c>
      <c r="B20" s="26" t="n"/>
      <c r="C20" s="6" t="n"/>
      <c r="D20" s="6" t="n"/>
      <c r="E20" s="29" t="n"/>
      <c r="F20" s="6" t="n"/>
      <c r="G20" s="25" t="n"/>
      <c r="H20" s="30">
        <f>IF(C20="","",IF(G20&lt;&gt;"",G20,IFERROR(INDEX(Clients!$G$5:$G$304,MATCH(C20,Clients!$A$5:$A$304,0)),0)))</f>
        <v/>
      </c>
      <c r="I20" s="25" t="n"/>
      <c r="J20" s="30">
        <f>IF(C20="","",H20+N(I20))</f>
        <v/>
      </c>
      <c r="K20" s="6" t="n"/>
      <c r="L20" s="6" t="n"/>
      <c r="M20" s="25" t="n"/>
      <c r="N20" s="10" t="n"/>
      <c r="O20" s="30">
        <f>IF(C20="","",N(E20)*Settings!$B$8)</f>
        <v/>
      </c>
      <c r="P20" s="30">
        <f>IF(C20="","",N(N20)*Settings!$B$10)</f>
        <v/>
      </c>
      <c r="Q20" s="30">
        <f>IF(C20="","",J20-N(M20)-O20-P20)</f>
        <v/>
      </c>
      <c r="R20" s="6" t="n"/>
    </row>
    <row r="21">
      <c r="A21" s="8">
        <f>IF(B21="","","J-"&amp;TEXT(ROW()-4,"0000"))</f>
        <v/>
      </c>
      <c r="B21" s="26" t="n"/>
      <c r="C21" s="6" t="n"/>
      <c r="D21" s="6" t="n"/>
      <c r="E21" s="29" t="n"/>
      <c r="F21" s="6" t="n"/>
      <c r="G21" s="25" t="n"/>
      <c r="H21" s="27">
        <f>IF(C21="","",IF(G21&lt;&gt;"",G21,IFERROR(INDEX(Clients!$G$5:$G$304,MATCH(C21,Clients!$A$5:$A$304,0)),0)))</f>
        <v/>
      </c>
      <c r="I21" s="25" t="n"/>
      <c r="J21" s="27">
        <f>IF(C21="","",H21+N(I21))</f>
        <v/>
      </c>
      <c r="K21" s="6" t="n"/>
      <c r="L21" s="6" t="n"/>
      <c r="M21" s="25" t="n"/>
      <c r="N21" s="10" t="n"/>
      <c r="O21" s="27">
        <f>IF(C21="","",N(E21)*Settings!$B$8)</f>
        <v/>
      </c>
      <c r="P21" s="27">
        <f>IF(C21="","",N(N21)*Settings!$B$10)</f>
        <v/>
      </c>
      <c r="Q21" s="27">
        <f>IF(C21="","",J21-N(M21)-O21-P21)</f>
        <v/>
      </c>
      <c r="R21" s="6" t="n"/>
    </row>
    <row r="22">
      <c r="A22" s="17">
        <f>IF(B22="","","J-"&amp;TEXT(ROW()-4,"0000"))</f>
        <v/>
      </c>
      <c r="B22" s="26" t="n"/>
      <c r="C22" s="6" t="n"/>
      <c r="D22" s="6" t="n"/>
      <c r="E22" s="29" t="n"/>
      <c r="F22" s="6" t="n"/>
      <c r="G22" s="25" t="n"/>
      <c r="H22" s="30">
        <f>IF(C22="","",IF(G22&lt;&gt;"",G22,IFERROR(INDEX(Clients!$G$5:$G$304,MATCH(C22,Clients!$A$5:$A$304,0)),0)))</f>
        <v/>
      </c>
      <c r="I22" s="25" t="n"/>
      <c r="J22" s="30">
        <f>IF(C22="","",H22+N(I22))</f>
        <v/>
      </c>
      <c r="K22" s="6" t="n"/>
      <c r="L22" s="6" t="n"/>
      <c r="M22" s="25" t="n"/>
      <c r="N22" s="10" t="n"/>
      <c r="O22" s="30">
        <f>IF(C22="","",N(E22)*Settings!$B$8)</f>
        <v/>
      </c>
      <c r="P22" s="30">
        <f>IF(C22="","",N(N22)*Settings!$B$10)</f>
        <v/>
      </c>
      <c r="Q22" s="30">
        <f>IF(C22="","",J22-N(M22)-O22-P22)</f>
        <v/>
      </c>
      <c r="R22" s="6" t="n"/>
    </row>
    <row r="23">
      <c r="A23" s="8">
        <f>IF(B23="","","J-"&amp;TEXT(ROW()-4,"0000"))</f>
        <v/>
      </c>
      <c r="B23" s="26" t="n"/>
      <c r="C23" s="6" t="n"/>
      <c r="D23" s="6" t="n"/>
      <c r="E23" s="29" t="n"/>
      <c r="F23" s="6" t="n"/>
      <c r="G23" s="25" t="n"/>
      <c r="H23" s="27">
        <f>IF(C23="","",IF(G23&lt;&gt;"",G23,IFERROR(INDEX(Clients!$G$5:$G$304,MATCH(C23,Clients!$A$5:$A$304,0)),0)))</f>
        <v/>
      </c>
      <c r="I23" s="25" t="n"/>
      <c r="J23" s="27">
        <f>IF(C23="","",H23+N(I23))</f>
        <v/>
      </c>
      <c r="K23" s="6" t="n"/>
      <c r="L23" s="6" t="n"/>
      <c r="M23" s="25" t="n"/>
      <c r="N23" s="10" t="n"/>
      <c r="O23" s="27">
        <f>IF(C23="","",N(E23)*Settings!$B$8)</f>
        <v/>
      </c>
      <c r="P23" s="27">
        <f>IF(C23="","",N(N23)*Settings!$B$10)</f>
        <v/>
      </c>
      <c r="Q23" s="27">
        <f>IF(C23="","",J23-N(M23)-O23-P23)</f>
        <v/>
      </c>
      <c r="R23" s="6" t="n"/>
    </row>
    <row r="24">
      <c r="A24" s="17">
        <f>IF(B24="","","J-"&amp;TEXT(ROW()-4,"0000"))</f>
        <v/>
      </c>
      <c r="B24" s="26" t="n"/>
      <c r="C24" s="6" t="n"/>
      <c r="D24" s="6" t="n"/>
      <c r="E24" s="29" t="n"/>
      <c r="F24" s="6" t="n"/>
      <c r="G24" s="25" t="n"/>
      <c r="H24" s="30">
        <f>IF(C24="","",IF(G24&lt;&gt;"",G24,IFERROR(INDEX(Clients!$G$5:$G$304,MATCH(C24,Clients!$A$5:$A$304,0)),0)))</f>
        <v/>
      </c>
      <c r="I24" s="25" t="n"/>
      <c r="J24" s="30">
        <f>IF(C24="","",H24+N(I24))</f>
        <v/>
      </c>
      <c r="K24" s="6" t="n"/>
      <c r="L24" s="6" t="n"/>
      <c r="M24" s="25" t="n"/>
      <c r="N24" s="10" t="n"/>
      <c r="O24" s="30">
        <f>IF(C24="","",N(E24)*Settings!$B$8)</f>
        <v/>
      </c>
      <c r="P24" s="30">
        <f>IF(C24="","",N(N24)*Settings!$B$10)</f>
        <v/>
      </c>
      <c r="Q24" s="30">
        <f>IF(C24="","",J24-N(M24)-O24-P24)</f>
        <v/>
      </c>
      <c r="R24" s="6" t="n"/>
    </row>
    <row r="25">
      <c r="A25" s="8">
        <f>IF(B25="","","J-"&amp;TEXT(ROW()-4,"0000"))</f>
        <v/>
      </c>
      <c r="B25" s="26" t="n"/>
      <c r="C25" s="6" t="n"/>
      <c r="D25" s="6" t="n"/>
      <c r="E25" s="29" t="n"/>
      <c r="F25" s="6" t="n"/>
      <c r="G25" s="25" t="n"/>
      <c r="H25" s="27">
        <f>IF(C25="","",IF(G25&lt;&gt;"",G25,IFERROR(INDEX(Clients!$G$5:$G$304,MATCH(C25,Clients!$A$5:$A$304,0)),0)))</f>
        <v/>
      </c>
      <c r="I25" s="25" t="n"/>
      <c r="J25" s="27">
        <f>IF(C25="","",H25+N(I25))</f>
        <v/>
      </c>
      <c r="K25" s="6" t="n"/>
      <c r="L25" s="6" t="n"/>
      <c r="M25" s="25" t="n"/>
      <c r="N25" s="10" t="n"/>
      <c r="O25" s="27">
        <f>IF(C25="","",N(E25)*Settings!$B$8)</f>
        <v/>
      </c>
      <c r="P25" s="27">
        <f>IF(C25="","",N(N25)*Settings!$B$10)</f>
        <v/>
      </c>
      <c r="Q25" s="27">
        <f>IF(C25="","",J25-N(M25)-O25-P25)</f>
        <v/>
      </c>
      <c r="R25" s="6" t="n"/>
    </row>
    <row r="26">
      <c r="A26" s="17">
        <f>IF(B26="","","J-"&amp;TEXT(ROW()-4,"0000"))</f>
        <v/>
      </c>
      <c r="B26" s="26" t="n"/>
      <c r="C26" s="6" t="n"/>
      <c r="D26" s="6" t="n"/>
      <c r="E26" s="29" t="n"/>
      <c r="F26" s="6" t="n"/>
      <c r="G26" s="25" t="n"/>
      <c r="H26" s="30">
        <f>IF(C26="","",IF(G26&lt;&gt;"",G26,IFERROR(INDEX(Clients!$G$5:$G$304,MATCH(C26,Clients!$A$5:$A$304,0)),0)))</f>
        <v/>
      </c>
      <c r="I26" s="25" t="n"/>
      <c r="J26" s="30">
        <f>IF(C26="","",H26+N(I26))</f>
        <v/>
      </c>
      <c r="K26" s="6" t="n"/>
      <c r="L26" s="6" t="n"/>
      <c r="M26" s="25" t="n"/>
      <c r="N26" s="10" t="n"/>
      <c r="O26" s="30">
        <f>IF(C26="","",N(E26)*Settings!$B$8)</f>
        <v/>
      </c>
      <c r="P26" s="30">
        <f>IF(C26="","",N(N26)*Settings!$B$10)</f>
        <v/>
      </c>
      <c r="Q26" s="30">
        <f>IF(C26="","",J26-N(M26)-O26-P26)</f>
        <v/>
      </c>
      <c r="R26" s="6" t="n"/>
    </row>
    <row r="27">
      <c r="A27" s="8">
        <f>IF(B27="","","J-"&amp;TEXT(ROW()-4,"0000"))</f>
        <v/>
      </c>
      <c r="B27" s="26" t="n"/>
      <c r="C27" s="6" t="n"/>
      <c r="D27" s="6" t="n"/>
      <c r="E27" s="29" t="n"/>
      <c r="F27" s="6" t="n"/>
      <c r="G27" s="25" t="n"/>
      <c r="H27" s="27">
        <f>IF(C27="","",IF(G27&lt;&gt;"",G27,IFERROR(INDEX(Clients!$G$5:$G$304,MATCH(C27,Clients!$A$5:$A$304,0)),0)))</f>
        <v/>
      </c>
      <c r="I27" s="25" t="n"/>
      <c r="J27" s="27">
        <f>IF(C27="","",H27+N(I27))</f>
        <v/>
      </c>
      <c r="K27" s="6" t="n"/>
      <c r="L27" s="6" t="n"/>
      <c r="M27" s="25" t="n"/>
      <c r="N27" s="10" t="n"/>
      <c r="O27" s="27">
        <f>IF(C27="","",N(E27)*Settings!$B$8)</f>
        <v/>
      </c>
      <c r="P27" s="27">
        <f>IF(C27="","",N(N27)*Settings!$B$10)</f>
        <v/>
      </c>
      <c r="Q27" s="27">
        <f>IF(C27="","",J27-N(M27)-O27-P27)</f>
        <v/>
      </c>
      <c r="R27" s="6" t="n"/>
    </row>
    <row r="28">
      <c r="A28" s="17">
        <f>IF(B28="","","J-"&amp;TEXT(ROW()-4,"0000"))</f>
        <v/>
      </c>
      <c r="B28" s="26" t="n"/>
      <c r="C28" s="6" t="n"/>
      <c r="D28" s="6" t="n"/>
      <c r="E28" s="29" t="n"/>
      <c r="F28" s="6" t="n"/>
      <c r="G28" s="25" t="n"/>
      <c r="H28" s="30">
        <f>IF(C28="","",IF(G28&lt;&gt;"",G28,IFERROR(INDEX(Clients!$G$5:$G$304,MATCH(C28,Clients!$A$5:$A$304,0)),0)))</f>
        <v/>
      </c>
      <c r="I28" s="25" t="n"/>
      <c r="J28" s="30">
        <f>IF(C28="","",H28+N(I28))</f>
        <v/>
      </c>
      <c r="K28" s="6" t="n"/>
      <c r="L28" s="6" t="n"/>
      <c r="M28" s="25" t="n"/>
      <c r="N28" s="10" t="n"/>
      <c r="O28" s="30">
        <f>IF(C28="","",N(E28)*Settings!$B$8)</f>
        <v/>
      </c>
      <c r="P28" s="30">
        <f>IF(C28="","",N(N28)*Settings!$B$10)</f>
        <v/>
      </c>
      <c r="Q28" s="30">
        <f>IF(C28="","",J28-N(M28)-O28-P28)</f>
        <v/>
      </c>
      <c r="R28" s="6" t="n"/>
    </row>
    <row r="29">
      <c r="A29" s="8">
        <f>IF(B29="","","J-"&amp;TEXT(ROW()-4,"0000"))</f>
        <v/>
      </c>
      <c r="B29" s="26" t="n"/>
      <c r="C29" s="6" t="n"/>
      <c r="D29" s="6" t="n"/>
      <c r="E29" s="29" t="n"/>
      <c r="F29" s="6" t="n"/>
      <c r="G29" s="25" t="n"/>
      <c r="H29" s="27">
        <f>IF(C29="","",IF(G29&lt;&gt;"",G29,IFERROR(INDEX(Clients!$G$5:$G$304,MATCH(C29,Clients!$A$5:$A$304,0)),0)))</f>
        <v/>
      </c>
      <c r="I29" s="25" t="n"/>
      <c r="J29" s="27">
        <f>IF(C29="","",H29+N(I29))</f>
        <v/>
      </c>
      <c r="K29" s="6" t="n"/>
      <c r="L29" s="6" t="n"/>
      <c r="M29" s="25" t="n"/>
      <c r="N29" s="10" t="n"/>
      <c r="O29" s="27">
        <f>IF(C29="","",N(E29)*Settings!$B$8)</f>
        <v/>
      </c>
      <c r="P29" s="27">
        <f>IF(C29="","",N(N29)*Settings!$B$10)</f>
        <v/>
      </c>
      <c r="Q29" s="27">
        <f>IF(C29="","",J29-N(M29)-O29-P29)</f>
        <v/>
      </c>
      <c r="R29" s="6" t="n"/>
    </row>
    <row r="30">
      <c r="A30" s="17">
        <f>IF(B30="","","J-"&amp;TEXT(ROW()-4,"0000"))</f>
        <v/>
      </c>
      <c r="B30" s="26" t="n"/>
      <c r="C30" s="6" t="n"/>
      <c r="D30" s="6" t="n"/>
      <c r="E30" s="29" t="n"/>
      <c r="F30" s="6" t="n"/>
      <c r="G30" s="25" t="n"/>
      <c r="H30" s="30">
        <f>IF(C30="","",IF(G30&lt;&gt;"",G30,IFERROR(INDEX(Clients!$G$5:$G$304,MATCH(C30,Clients!$A$5:$A$304,0)),0)))</f>
        <v/>
      </c>
      <c r="I30" s="25" t="n"/>
      <c r="J30" s="30">
        <f>IF(C30="","",H30+N(I30))</f>
        <v/>
      </c>
      <c r="K30" s="6" t="n"/>
      <c r="L30" s="6" t="n"/>
      <c r="M30" s="25" t="n"/>
      <c r="N30" s="10" t="n"/>
      <c r="O30" s="30">
        <f>IF(C30="","",N(E30)*Settings!$B$8)</f>
        <v/>
      </c>
      <c r="P30" s="30">
        <f>IF(C30="","",N(N30)*Settings!$B$10)</f>
        <v/>
      </c>
      <c r="Q30" s="30">
        <f>IF(C30="","",J30-N(M30)-O30-P30)</f>
        <v/>
      </c>
      <c r="R30" s="6" t="n"/>
    </row>
    <row r="31">
      <c r="A31" s="8">
        <f>IF(B31="","","J-"&amp;TEXT(ROW()-4,"0000"))</f>
        <v/>
      </c>
      <c r="B31" s="26" t="n"/>
      <c r="C31" s="6" t="n"/>
      <c r="D31" s="6" t="n"/>
      <c r="E31" s="29" t="n"/>
      <c r="F31" s="6" t="n"/>
      <c r="G31" s="25" t="n"/>
      <c r="H31" s="27">
        <f>IF(C31="","",IF(G31&lt;&gt;"",G31,IFERROR(INDEX(Clients!$G$5:$G$304,MATCH(C31,Clients!$A$5:$A$304,0)),0)))</f>
        <v/>
      </c>
      <c r="I31" s="25" t="n"/>
      <c r="J31" s="27">
        <f>IF(C31="","",H31+N(I31))</f>
        <v/>
      </c>
      <c r="K31" s="6" t="n"/>
      <c r="L31" s="6" t="n"/>
      <c r="M31" s="25" t="n"/>
      <c r="N31" s="10" t="n"/>
      <c r="O31" s="27">
        <f>IF(C31="","",N(E31)*Settings!$B$8)</f>
        <v/>
      </c>
      <c r="P31" s="27">
        <f>IF(C31="","",N(N31)*Settings!$B$10)</f>
        <v/>
      </c>
      <c r="Q31" s="27">
        <f>IF(C31="","",J31-N(M31)-O31-P31)</f>
        <v/>
      </c>
      <c r="R31" s="6" t="n"/>
    </row>
    <row r="32">
      <c r="A32" s="17">
        <f>IF(B32="","","J-"&amp;TEXT(ROW()-4,"0000"))</f>
        <v/>
      </c>
      <c r="B32" s="26" t="n"/>
      <c r="C32" s="6" t="n"/>
      <c r="D32" s="6" t="n"/>
      <c r="E32" s="29" t="n"/>
      <c r="F32" s="6" t="n"/>
      <c r="G32" s="25" t="n"/>
      <c r="H32" s="30">
        <f>IF(C32="","",IF(G32&lt;&gt;"",G32,IFERROR(INDEX(Clients!$G$5:$G$304,MATCH(C32,Clients!$A$5:$A$304,0)),0)))</f>
        <v/>
      </c>
      <c r="I32" s="25" t="n"/>
      <c r="J32" s="30">
        <f>IF(C32="","",H32+N(I32))</f>
        <v/>
      </c>
      <c r="K32" s="6" t="n"/>
      <c r="L32" s="6" t="n"/>
      <c r="M32" s="25" t="n"/>
      <c r="N32" s="10" t="n"/>
      <c r="O32" s="30">
        <f>IF(C32="","",N(E32)*Settings!$B$8)</f>
        <v/>
      </c>
      <c r="P32" s="30">
        <f>IF(C32="","",N(N32)*Settings!$B$10)</f>
        <v/>
      </c>
      <c r="Q32" s="30">
        <f>IF(C32="","",J32-N(M32)-O32-P32)</f>
        <v/>
      </c>
      <c r="R32" s="6" t="n"/>
    </row>
    <row r="33">
      <c r="A33" s="8">
        <f>IF(B33="","","J-"&amp;TEXT(ROW()-4,"0000"))</f>
        <v/>
      </c>
      <c r="B33" s="26" t="n"/>
      <c r="C33" s="6" t="n"/>
      <c r="D33" s="6" t="n"/>
      <c r="E33" s="29" t="n"/>
      <c r="F33" s="6" t="n"/>
      <c r="G33" s="25" t="n"/>
      <c r="H33" s="27">
        <f>IF(C33="","",IF(G33&lt;&gt;"",G33,IFERROR(INDEX(Clients!$G$5:$G$304,MATCH(C33,Clients!$A$5:$A$304,0)),0)))</f>
        <v/>
      </c>
      <c r="I33" s="25" t="n"/>
      <c r="J33" s="27">
        <f>IF(C33="","",H33+N(I33))</f>
        <v/>
      </c>
      <c r="K33" s="6" t="n"/>
      <c r="L33" s="6" t="n"/>
      <c r="M33" s="25" t="n"/>
      <c r="N33" s="10" t="n"/>
      <c r="O33" s="27">
        <f>IF(C33="","",N(E33)*Settings!$B$8)</f>
        <v/>
      </c>
      <c r="P33" s="27">
        <f>IF(C33="","",N(N33)*Settings!$B$10)</f>
        <v/>
      </c>
      <c r="Q33" s="27">
        <f>IF(C33="","",J33-N(M33)-O33-P33)</f>
        <v/>
      </c>
      <c r="R33" s="6" t="n"/>
    </row>
    <row r="34">
      <c r="A34" s="17">
        <f>IF(B34="","","J-"&amp;TEXT(ROW()-4,"0000"))</f>
        <v/>
      </c>
      <c r="B34" s="26" t="n"/>
      <c r="C34" s="6" t="n"/>
      <c r="D34" s="6" t="n"/>
      <c r="E34" s="29" t="n"/>
      <c r="F34" s="6" t="n"/>
      <c r="G34" s="25" t="n"/>
      <c r="H34" s="30">
        <f>IF(C34="","",IF(G34&lt;&gt;"",G34,IFERROR(INDEX(Clients!$G$5:$G$304,MATCH(C34,Clients!$A$5:$A$304,0)),0)))</f>
        <v/>
      </c>
      <c r="I34" s="25" t="n"/>
      <c r="J34" s="30">
        <f>IF(C34="","",H34+N(I34))</f>
        <v/>
      </c>
      <c r="K34" s="6" t="n"/>
      <c r="L34" s="6" t="n"/>
      <c r="M34" s="25" t="n"/>
      <c r="N34" s="10" t="n"/>
      <c r="O34" s="30">
        <f>IF(C34="","",N(E34)*Settings!$B$8)</f>
        <v/>
      </c>
      <c r="P34" s="30">
        <f>IF(C34="","",N(N34)*Settings!$B$10)</f>
        <v/>
      </c>
      <c r="Q34" s="30">
        <f>IF(C34="","",J34-N(M34)-O34-P34)</f>
        <v/>
      </c>
      <c r="R34" s="6" t="n"/>
    </row>
    <row r="35">
      <c r="A35" s="8">
        <f>IF(B35="","","J-"&amp;TEXT(ROW()-4,"0000"))</f>
        <v/>
      </c>
      <c r="B35" s="26" t="n"/>
      <c r="C35" s="6" t="n"/>
      <c r="D35" s="6" t="n"/>
      <c r="E35" s="29" t="n"/>
      <c r="F35" s="6" t="n"/>
      <c r="G35" s="25" t="n"/>
      <c r="H35" s="27">
        <f>IF(C35="","",IF(G35&lt;&gt;"",G35,IFERROR(INDEX(Clients!$G$5:$G$304,MATCH(C35,Clients!$A$5:$A$304,0)),0)))</f>
        <v/>
      </c>
      <c r="I35" s="25" t="n"/>
      <c r="J35" s="27">
        <f>IF(C35="","",H35+N(I35))</f>
        <v/>
      </c>
      <c r="K35" s="6" t="n"/>
      <c r="L35" s="6" t="n"/>
      <c r="M35" s="25" t="n"/>
      <c r="N35" s="10" t="n"/>
      <c r="O35" s="27">
        <f>IF(C35="","",N(E35)*Settings!$B$8)</f>
        <v/>
      </c>
      <c r="P35" s="27">
        <f>IF(C35="","",N(N35)*Settings!$B$10)</f>
        <v/>
      </c>
      <c r="Q35" s="27">
        <f>IF(C35="","",J35-N(M35)-O35-P35)</f>
        <v/>
      </c>
      <c r="R35" s="6" t="n"/>
    </row>
    <row r="36">
      <c r="A36" s="17">
        <f>IF(B36="","","J-"&amp;TEXT(ROW()-4,"0000"))</f>
        <v/>
      </c>
      <c r="B36" s="26" t="n"/>
      <c r="C36" s="6" t="n"/>
      <c r="D36" s="6" t="n"/>
      <c r="E36" s="29" t="n"/>
      <c r="F36" s="6" t="n"/>
      <c r="G36" s="25" t="n"/>
      <c r="H36" s="30">
        <f>IF(C36="","",IF(G36&lt;&gt;"",G36,IFERROR(INDEX(Clients!$G$5:$G$304,MATCH(C36,Clients!$A$5:$A$304,0)),0)))</f>
        <v/>
      </c>
      <c r="I36" s="25" t="n"/>
      <c r="J36" s="30">
        <f>IF(C36="","",H36+N(I36))</f>
        <v/>
      </c>
      <c r="K36" s="6" t="n"/>
      <c r="L36" s="6" t="n"/>
      <c r="M36" s="25" t="n"/>
      <c r="N36" s="10" t="n"/>
      <c r="O36" s="30">
        <f>IF(C36="","",N(E36)*Settings!$B$8)</f>
        <v/>
      </c>
      <c r="P36" s="30">
        <f>IF(C36="","",N(N36)*Settings!$B$10)</f>
        <v/>
      </c>
      <c r="Q36" s="30">
        <f>IF(C36="","",J36-N(M36)-O36-P36)</f>
        <v/>
      </c>
      <c r="R36" s="6" t="n"/>
    </row>
    <row r="37">
      <c r="A37" s="8">
        <f>IF(B37="","","J-"&amp;TEXT(ROW()-4,"0000"))</f>
        <v/>
      </c>
      <c r="B37" s="26" t="n"/>
      <c r="C37" s="6" t="n"/>
      <c r="D37" s="6" t="n"/>
      <c r="E37" s="29" t="n"/>
      <c r="F37" s="6" t="n"/>
      <c r="G37" s="25" t="n"/>
      <c r="H37" s="27">
        <f>IF(C37="","",IF(G37&lt;&gt;"",G37,IFERROR(INDEX(Clients!$G$5:$G$304,MATCH(C37,Clients!$A$5:$A$304,0)),0)))</f>
        <v/>
      </c>
      <c r="I37" s="25" t="n"/>
      <c r="J37" s="27">
        <f>IF(C37="","",H37+N(I37))</f>
        <v/>
      </c>
      <c r="K37" s="6" t="n"/>
      <c r="L37" s="6" t="n"/>
      <c r="M37" s="25" t="n"/>
      <c r="N37" s="10" t="n"/>
      <c r="O37" s="27">
        <f>IF(C37="","",N(E37)*Settings!$B$8)</f>
        <v/>
      </c>
      <c r="P37" s="27">
        <f>IF(C37="","",N(N37)*Settings!$B$10)</f>
        <v/>
      </c>
      <c r="Q37" s="27">
        <f>IF(C37="","",J37-N(M37)-O37-P37)</f>
        <v/>
      </c>
      <c r="R37" s="6" t="n"/>
    </row>
    <row r="38">
      <c r="A38" s="17">
        <f>IF(B38="","","J-"&amp;TEXT(ROW()-4,"0000"))</f>
        <v/>
      </c>
      <c r="B38" s="26" t="n"/>
      <c r="C38" s="6" t="n"/>
      <c r="D38" s="6" t="n"/>
      <c r="E38" s="29" t="n"/>
      <c r="F38" s="6" t="n"/>
      <c r="G38" s="25" t="n"/>
      <c r="H38" s="30">
        <f>IF(C38="","",IF(G38&lt;&gt;"",G38,IFERROR(INDEX(Clients!$G$5:$G$304,MATCH(C38,Clients!$A$5:$A$304,0)),0)))</f>
        <v/>
      </c>
      <c r="I38" s="25" t="n"/>
      <c r="J38" s="30">
        <f>IF(C38="","",H38+N(I38))</f>
        <v/>
      </c>
      <c r="K38" s="6" t="n"/>
      <c r="L38" s="6" t="n"/>
      <c r="M38" s="25" t="n"/>
      <c r="N38" s="10" t="n"/>
      <c r="O38" s="30">
        <f>IF(C38="","",N(E38)*Settings!$B$8)</f>
        <v/>
      </c>
      <c r="P38" s="30">
        <f>IF(C38="","",N(N38)*Settings!$B$10)</f>
        <v/>
      </c>
      <c r="Q38" s="30">
        <f>IF(C38="","",J38-N(M38)-O38-P38)</f>
        <v/>
      </c>
      <c r="R38" s="6" t="n"/>
    </row>
    <row r="39">
      <c r="A39" s="8">
        <f>IF(B39="","","J-"&amp;TEXT(ROW()-4,"0000"))</f>
        <v/>
      </c>
      <c r="B39" s="26" t="n"/>
      <c r="C39" s="6" t="n"/>
      <c r="D39" s="6" t="n"/>
      <c r="E39" s="29" t="n"/>
      <c r="F39" s="6" t="n"/>
      <c r="G39" s="25" t="n"/>
      <c r="H39" s="27">
        <f>IF(C39="","",IF(G39&lt;&gt;"",G39,IFERROR(INDEX(Clients!$G$5:$G$304,MATCH(C39,Clients!$A$5:$A$304,0)),0)))</f>
        <v/>
      </c>
      <c r="I39" s="25" t="n"/>
      <c r="J39" s="27">
        <f>IF(C39="","",H39+N(I39))</f>
        <v/>
      </c>
      <c r="K39" s="6" t="n"/>
      <c r="L39" s="6" t="n"/>
      <c r="M39" s="25" t="n"/>
      <c r="N39" s="10" t="n"/>
      <c r="O39" s="27">
        <f>IF(C39="","",N(E39)*Settings!$B$8)</f>
        <v/>
      </c>
      <c r="P39" s="27">
        <f>IF(C39="","",N(N39)*Settings!$B$10)</f>
        <v/>
      </c>
      <c r="Q39" s="27">
        <f>IF(C39="","",J39-N(M39)-O39-P39)</f>
        <v/>
      </c>
      <c r="R39" s="6" t="n"/>
    </row>
    <row r="40">
      <c r="A40" s="17">
        <f>IF(B40="","","J-"&amp;TEXT(ROW()-4,"0000"))</f>
        <v/>
      </c>
      <c r="B40" s="26" t="n"/>
      <c r="C40" s="6" t="n"/>
      <c r="D40" s="6" t="n"/>
      <c r="E40" s="29" t="n"/>
      <c r="F40" s="6" t="n"/>
      <c r="G40" s="25" t="n"/>
      <c r="H40" s="30">
        <f>IF(C40="","",IF(G40&lt;&gt;"",G40,IFERROR(INDEX(Clients!$G$5:$G$304,MATCH(C40,Clients!$A$5:$A$304,0)),0)))</f>
        <v/>
      </c>
      <c r="I40" s="25" t="n"/>
      <c r="J40" s="30">
        <f>IF(C40="","",H40+N(I40))</f>
        <v/>
      </c>
      <c r="K40" s="6" t="n"/>
      <c r="L40" s="6" t="n"/>
      <c r="M40" s="25" t="n"/>
      <c r="N40" s="10" t="n"/>
      <c r="O40" s="30">
        <f>IF(C40="","",N(E40)*Settings!$B$8)</f>
        <v/>
      </c>
      <c r="P40" s="30">
        <f>IF(C40="","",N(N40)*Settings!$B$10)</f>
        <v/>
      </c>
      <c r="Q40" s="30">
        <f>IF(C40="","",J40-N(M40)-O40-P40)</f>
        <v/>
      </c>
      <c r="R40" s="6" t="n"/>
    </row>
    <row r="41">
      <c r="A41" s="8">
        <f>IF(B41="","","J-"&amp;TEXT(ROW()-4,"0000"))</f>
        <v/>
      </c>
      <c r="B41" s="26" t="n"/>
      <c r="C41" s="6" t="n"/>
      <c r="D41" s="6" t="n"/>
      <c r="E41" s="29" t="n"/>
      <c r="F41" s="6" t="n"/>
      <c r="G41" s="25" t="n"/>
      <c r="H41" s="27">
        <f>IF(C41="","",IF(G41&lt;&gt;"",G41,IFERROR(INDEX(Clients!$G$5:$G$304,MATCH(C41,Clients!$A$5:$A$304,0)),0)))</f>
        <v/>
      </c>
      <c r="I41" s="25" t="n"/>
      <c r="J41" s="27">
        <f>IF(C41="","",H41+N(I41))</f>
        <v/>
      </c>
      <c r="K41" s="6" t="n"/>
      <c r="L41" s="6" t="n"/>
      <c r="M41" s="25" t="n"/>
      <c r="N41" s="10" t="n"/>
      <c r="O41" s="27">
        <f>IF(C41="","",N(E41)*Settings!$B$8)</f>
        <v/>
      </c>
      <c r="P41" s="27">
        <f>IF(C41="","",N(N41)*Settings!$B$10)</f>
        <v/>
      </c>
      <c r="Q41" s="27">
        <f>IF(C41="","",J41-N(M41)-O41-P41)</f>
        <v/>
      </c>
      <c r="R41" s="6" t="n"/>
    </row>
    <row r="42">
      <c r="A42" s="17">
        <f>IF(B42="","","J-"&amp;TEXT(ROW()-4,"0000"))</f>
        <v/>
      </c>
      <c r="B42" s="26" t="n"/>
      <c r="C42" s="6" t="n"/>
      <c r="D42" s="6" t="n"/>
      <c r="E42" s="29" t="n"/>
      <c r="F42" s="6" t="n"/>
      <c r="G42" s="25" t="n"/>
      <c r="H42" s="30">
        <f>IF(C42="","",IF(G42&lt;&gt;"",G42,IFERROR(INDEX(Clients!$G$5:$G$304,MATCH(C42,Clients!$A$5:$A$304,0)),0)))</f>
        <v/>
      </c>
      <c r="I42" s="25" t="n"/>
      <c r="J42" s="30">
        <f>IF(C42="","",H42+N(I42))</f>
        <v/>
      </c>
      <c r="K42" s="6" t="n"/>
      <c r="L42" s="6" t="n"/>
      <c r="M42" s="25" t="n"/>
      <c r="N42" s="10" t="n"/>
      <c r="O42" s="30">
        <f>IF(C42="","",N(E42)*Settings!$B$8)</f>
        <v/>
      </c>
      <c r="P42" s="30">
        <f>IF(C42="","",N(N42)*Settings!$B$10)</f>
        <v/>
      </c>
      <c r="Q42" s="30">
        <f>IF(C42="","",J42-N(M42)-O42-P42)</f>
        <v/>
      </c>
      <c r="R42" s="6" t="n"/>
    </row>
    <row r="43">
      <c r="A43" s="8">
        <f>IF(B43="","","J-"&amp;TEXT(ROW()-4,"0000"))</f>
        <v/>
      </c>
      <c r="B43" s="26" t="n"/>
      <c r="C43" s="6" t="n"/>
      <c r="D43" s="6" t="n"/>
      <c r="E43" s="29" t="n"/>
      <c r="F43" s="6" t="n"/>
      <c r="G43" s="25" t="n"/>
      <c r="H43" s="27">
        <f>IF(C43="","",IF(G43&lt;&gt;"",G43,IFERROR(INDEX(Clients!$G$5:$G$304,MATCH(C43,Clients!$A$5:$A$304,0)),0)))</f>
        <v/>
      </c>
      <c r="I43" s="25" t="n"/>
      <c r="J43" s="27">
        <f>IF(C43="","",H43+N(I43))</f>
        <v/>
      </c>
      <c r="K43" s="6" t="n"/>
      <c r="L43" s="6" t="n"/>
      <c r="M43" s="25" t="n"/>
      <c r="N43" s="10" t="n"/>
      <c r="O43" s="27">
        <f>IF(C43="","",N(E43)*Settings!$B$8)</f>
        <v/>
      </c>
      <c r="P43" s="27">
        <f>IF(C43="","",N(N43)*Settings!$B$10)</f>
        <v/>
      </c>
      <c r="Q43" s="27">
        <f>IF(C43="","",J43-N(M43)-O43-P43)</f>
        <v/>
      </c>
      <c r="R43" s="6" t="n"/>
    </row>
    <row r="44">
      <c r="A44" s="17">
        <f>IF(B44="","","J-"&amp;TEXT(ROW()-4,"0000"))</f>
        <v/>
      </c>
      <c r="B44" s="26" t="n"/>
      <c r="C44" s="6" t="n"/>
      <c r="D44" s="6" t="n"/>
      <c r="E44" s="29" t="n"/>
      <c r="F44" s="6" t="n"/>
      <c r="G44" s="25" t="n"/>
      <c r="H44" s="30">
        <f>IF(C44="","",IF(G44&lt;&gt;"",G44,IFERROR(INDEX(Clients!$G$5:$G$304,MATCH(C44,Clients!$A$5:$A$304,0)),0)))</f>
        <v/>
      </c>
      <c r="I44" s="25" t="n"/>
      <c r="J44" s="30">
        <f>IF(C44="","",H44+N(I44))</f>
        <v/>
      </c>
      <c r="K44" s="6" t="n"/>
      <c r="L44" s="6" t="n"/>
      <c r="M44" s="25" t="n"/>
      <c r="N44" s="10" t="n"/>
      <c r="O44" s="30">
        <f>IF(C44="","",N(E44)*Settings!$B$8)</f>
        <v/>
      </c>
      <c r="P44" s="30">
        <f>IF(C44="","",N(N44)*Settings!$B$10)</f>
        <v/>
      </c>
      <c r="Q44" s="30">
        <f>IF(C44="","",J44-N(M44)-O44-P44)</f>
        <v/>
      </c>
      <c r="R44" s="6" t="n"/>
    </row>
    <row r="45">
      <c r="A45" s="8">
        <f>IF(B45="","","J-"&amp;TEXT(ROW()-4,"0000"))</f>
        <v/>
      </c>
      <c r="B45" s="26" t="n"/>
      <c r="C45" s="6" t="n"/>
      <c r="D45" s="6" t="n"/>
      <c r="E45" s="29" t="n"/>
      <c r="F45" s="6" t="n"/>
      <c r="G45" s="25" t="n"/>
      <c r="H45" s="27">
        <f>IF(C45="","",IF(G45&lt;&gt;"",G45,IFERROR(INDEX(Clients!$G$5:$G$304,MATCH(C45,Clients!$A$5:$A$304,0)),0)))</f>
        <v/>
      </c>
      <c r="I45" s="25" t="n"/>
      <c r="J45" s="27">
        <f>IF(C45="","",H45+N(I45))</f>
        <v/>
      </c>
      <c r="K45" s="6" t="n"/>
      <c r="L45" s="6" t="n"/>
      <c r="M45" s="25" t="n"/>
      <c r="N45" s="10" t="n"/>
      <c r="O45" s="27">
        <f>IF(C45="","",N(E45)*Settings!$B$8)</f>
        <v/>
      </c>
      <c r="P45" s="27">
        <f>IF(C45="","",N(N45)*Settings!$B$10)</f>
        <v/>
      </c>
      <c r="Q45" s="27">
        <f>IF(C45="","",J45-N(M45)-O45-P45)</f>
        <v/>
      </c>
      <c r="R45" s="6" t="n"/>
    </row>
    <row r="46">
      <c r="A46" s="17">
        <f>IF(B46="","","J-"&amp;TEXT(ROW()-4,"0000"))</f>
        <v/>
      </c>
      <c r="B46" s="26" t="n"/>
      <c r="C46" s="6" t="n"/>
      <c r="D46" s="6" t="n"/>
      <c r="E46" s="29" t="n"/>
      <c r="F46" s="6" t="n"/>
      <c r="G46" s="25" t="n"/>
      <c r="H46" s="30">
        <f>IF(C46="","",IF(G46&lt;&gt;"",G46,IFERROR(INDEX(Clients!$G$5:$G$304,MATCH(C46,Clients!$A$5:$A$304,0)),0)))</f>
        <v/>
      </c>
      <c r="I46" s="25" t="n"/>
      <c r="J46" s="30">
        <f>IF(C46="","",H46+N(I46))</f>
        <v/>
      </c>
      <c r="K46" s="6" t="n"/>
      <c r="L46" s="6" t="n"/>
      <c r="M46" s="25" t="n"/>
      <c r="N46" s="10" t="n"/>
      <c r="O46" s="30">
        <f>IF(C46="","",N(E46)*Settings!$B$8)</f>
        <v/>
      </c>
      <c r="P46" s="30">
        <f>IF(C46="","",N(N46)*Settings!$B$10)</f>
        <v/>
      </c>
      <c r="Q46" s="30">
        <f>IF(C46="","",J46-N(M46)-O46-P46)</f>
        <v/>
      </c>
      <c r="R46" s="6" t="n"/>
    </row>
    <row r="47">
      <c r="A47" s="8">
        <f>IF(B47="","","J-"&amp;TEXT(ROW()-4,"0000"))</f>
        <v/>
      </c>
      <c r="B47" s="26" t="n"/>
      <c r="C47" s="6" t="n"/>
      <c r="D47" s="6" t="n"/>
      <c r="E47" s="29" t="n"/>
      <c r="F47" s="6" t="n"/>
      <c r="G47" s="25" t="n"/>
      <c r="H47" s="27">
        <f>IF(C47="","",IF(G47&lt;&gt;"",G47,IFERROR(INDEX(Clients!$G$5:$G$304,MATCH(C47,Clients!$A$5:$A$304,0)),0)))</f>
        <v/>
      </c>
      <c r="I47" s="25" t="n"/>
      <c r="J47" s="27">
        <f>IF(C47="","",H47+N(I47))</f>
        <v/>
      </c>
      <c r="K47" s="6" t="n"/>
      <c r="L47" s="6" t="n"/>
      <c r="M47" s="25" t="n"/>
      <c r="N47" s="10" t="n"/>
      <c r="O47" s="27">
        <f>IF(C47="","",N(E47)*Settings!$B$8)</f>
        <v/>
      </c>
      <c r="P47" s="27">
        <f>IF(C47="","",N(N47)*Settings!$B$10)</f>
        <v/>
      </c>
      <c r="Q47" s="27">
        <f>IF(C47="","",J47-N(M47)-O47-P47)</f>
        <v/>
      </c>
      <c r="R47" s="6" t="n"/>
    </row>
    <row r="48">
      <c r="A48" s="17">
        <f>IF(B48="","","J-"&amp;TEXT(ROW()-4,"0000"))</f>
        <v/>
      </c>
      <c r="B48" s="26" t="n"/>
      <c r="C48" s="6" t="n"/>
      <c r="D48" s="6" t="n"/>
      <c r="E48" s="29" t="n"/>
      <c r="F48" s="6" t="n"/>
      <c r="G48" s="25" t="n"/>
      <c r="H48" s="30">
        <f>IF(C48="","",IF(G48&lt;&gt;"",G48,IFERROR(INDEX(Clients!$G$5:$G$304,MATCH(C48,Clients!$A$5:$A$304,0)),0)))</f>
        <v/>
      </c>
      <c r="I48" s="25" t="n"/>
      <c r="J48" s="30">
        <f>IF(C48="","",H48+N(I48))</f>
        <v/>
      </c>
      <c r="K48" s="6" t="n"/>
      <c r="L48" s="6" t="n"/>
      <c r="M48" s="25" t="n"/>
      <c r="N48" s="10" t="n"/>
      <c r="O48" s="30">
        <f>IF(C48="","",N(E48)*Settings!$B$8)</f>
        <v/>
      </c>
      <c r="P48" s="30">
        <f>IF(C48="","",N(N48)*Settings!$B$10)</f>
        <v/>
      </c>
      <c r="Q48" s="30">
        <f>IF(C48="","",J48-N(M48)-O48-P48)</f>
        <v/>
      </c>
      <c r="R48" s="6" t="n"/>
    </row>
    <row r="49">
      <c r="A49" s="8">
        <f>IF(B49="","","J-"&amp;TEXT(ROW()-4,"0000"))</f>
        <v/>
      </c>
      <c r="B49" s="26" t="n"/>
      <c r="C49" s="6" t="n"/>
      <c r="D49" s="6" t="n"/>
      <c r="E49" s="29" t="n"/>
      <c r="F49" s="6" t="n"/>
      <c r="G49" s="25" t="n"/>
      <c r="H49" s="27">
        <f>IF(C49="","",IF(G49&lt;&gt;"",G49,IFERROR(INDEX(Clients!$G$5:$G$304,MATCH(C49,Clients!$A$5:$A$304,0)),0)))</f>
        <v/>
      </c>
      <c r="I49" s="25" t="n"/>
      <c r="J49" s="27">
        <f>IF(C49="","",H49+N(I49))</f>
        <v/>
      </c>
      <c r="K49" s="6" t="n"/>
      <c r="L49" s="6" t="n"/>
      <c r="M49" s="25" t="n"/>
      <c r="N49" s="10" t="n"/>
      <c r="O49" s="27">
        <f>IF(C49="","",N(E49)*Settings!$B$8)</f>
        <v/>
      </c>
      <c r="P49" s="27">
        <f>IF(C49="","",N(N49)*Settings!$B$10)</f>
        <v/>
      </c>
      <c r="Q49" s="27">
        <f>IF(C49="","",J49-N(M49)-O49-P49)</f>
        <v/>
      </c>
      <c r="R49" s="6" t="n"/>
    </row>
    <row r="50">
      <c r="A50" s="17">
        <f>IF(B50="","","J-"&amp;TEXT(ROW()-4,"0000"))</f>
        <v/>
      </c>
      <c r="B50" s="26" t="n"/>
      <c r="C50" s="6" t="n"/>
      <c r="D50" s="6" t="n"/>
      <c r="E50" s="29" t="n"/>
      <c r="F50" s="6" t="n"/>
      <c r="G50" s="25" t="n"/>
      <c r="H50" s="30">
        <f>IF(C50="","",IF(G50&lt;&gt;"",G50,IFERROR(INDEX(Clients!$G$5:$G$304,MATCH(C50,Clients!$A$5:$A$304,0)),0)))</f>
        <v/>
      </c>
      <c r="I50" s="25" t="n"/>
      <c r="J50" s="30">
        <f>IF(C50="","",H50+N(I50))</f>
        <v/>
      </c>
      <c r="K50" s="6" t="n"/>
      <c r="L50" s="6" t="n"/>
      <c r="M50" s="25" t="n"/>
      <c r="N50" s="10" t="n"/>
      <c r="O50" s="30">
        <f>IF(C50="","",N(E50)*Settings!$B$8)</f>
        <v/>
      </c>
      <c r="P50" s="30">
        <f>IF(C50="","",N(N50)*Settings!$B$10)</f>
        <v/>
      </c>
      <c r="Q50" s="30">
        <f>IF(C50="","",J50-N(M50)-O50-P50)</f>
        <v/>
      </c>
      <c r="R50" s="6" t="n"/>
    </row>
    <row r="51">
      <c r="A51" s="8">
        <f>IF(B51="","","J-"&amp;TEXT(ROW()-4,"0000"))</f>
        <v/>
      </c>
      <c r="B51" s="26" t="n"/>
      <c r="C51" s="6" t="n"/>
      <c r="D51" s="6" t="n"/>
      <c r="E51" s="29" t="n"/>
      <c r="F51" s="6" t="n"/>
      <c r="G51" s="25" t="n"/>
      <c r="H51" s="27">
        <f>IF(C51="","",IF(G51&lt;&gt;"",G51,IFERROR(INDEX(Clients!$G$5:$G$304,MATCH(C51,Clients!$A$5:$A$304,0)),0)))</f>
        <v/>
      </c>
      <c r="I51" s="25" t="n"/>
      <c r="J51" s="27">
        <f>IF(C51="","",H51+N(I51))</f>
        <v/>
      </c>
      <c r="K51" s="6" t="n"/>
      <c r="L51" s="6" t="n"/>
      <c r="M51" s="25" t="n"/>
      <c r="N51" s="10" t="n"/>
      <c r="O51" s="27">
        <f>IF(C51="","",N(E51)*Settings!$B$8)</f>
        <v/>
      </c>
      <c r="P51" s="27">
        <f>IF(C51="","",N(N51)*Settings!$B$10)</f>
        <v/>
      </c>
      <c r="Q51" s="27">
        <f>IF(C51="","",J51-N(M51)-O51-P51)</f>
        <v/>
      </c>
      <c r="R51" s="6" t="n"/>
    </row>
    <row r="52">
      <c r="A52" s="17">
        <f>IF(B52="","","J-"&amp;TEXT(ROW()-4,"0000"))</f>
        <v/>
      </c>
      <c r="B52" s="26" t="n"/>
      <c r="C52" s="6" t="n"/>
      <c r="D52" s="6" t="n"/>
      <c r="E52" s="29" t="n"/>
      <c r="F52" s="6" t="n"/>
      <c r="G52" s="25" t="n"/>
      <c r="H52" s="30">
        <f>IF(C52="","",IF(G52&lt;&gt;"",G52,IFERROR(INDEX(Clients!$G$5:$G$304,MATCH(C52,Clients!$A$5:$A$304,0)),0)))</f>
        <v/>
      </c>
      <c r="I52" s="25" t="n"/>
      <c r="J52" s="30">
        <f>IF(C52="","",H52+N(I52))</f>
        <v/>
      </c>
      <c r="K52" s="6" t="n"/>
      <c r="L52" s="6" t="n"/>
      <c r="M52" s="25" t="n"/>
      <c r="N52" s="10" t="n"/>
      <c r="O52" s="30">
        <f>IF(C52="","",N(E52)*Settings!$B$8)</f>
        <v/>
      </c>
      <c r="P52" s="30">
        <f>IF(C52="","",N(N52)*Settings!$B$10)</f>
        <v/>
      </c>
      <c r="Q52" s="30">
        <f>IF(C52="","",J52-N(M52)-O52-P52)</f>
        <v/>
      </c>
      <c r="R52" s="6" t="n"/>
    </row>
    <row r="53">
      <c r="A53" s="8">
        <f>IF(B53="","","J-"&amp;TEXT(ROW()-4,"0000"))</f>
        <v/>
      </c>
      <c r="B53" s="26" t="n"/>
      <c r="C53" s="6" t="n"/>
      <c r="D53" s="6" t="n"/>
      <c r="E53" s="29" t="n"/>
      <c r="F53" s="6" t="n"/>
      <c r="G53" s="25" t="n"/>
      <c r="H53" s="27">
        <f>IF(C53="","",IF(G53&lt;&gt;"",G53,IFERROR(INDEX(Clients!$G$5:$G$304,MATCH(C53,Clients!$A$5:$A$304,0)),0)))</f>
        <v/>
      </c>
      <c r="I53" s="25" t="n"/>
      <c r="J53" s="27">
        <f>IF(C53="","",H53+N(I53))</f>
        <v/>
      </c>
      <c r="K53" s="6" t="n"/>
      <c r="L53" s="6" t="n"/>
      <c r="M53" s="25" t="n"/>
      <c r="N53" s="10" t="n"/>
      <c r="O53" s="27">
        <f>IF(C53="","",N(E53)*Settings!$B$8)</f>
        <v/>
      </c>
      <c r="P53" s="27">
        <f>IF(C53="","",N(N53)*Settings!$B$10)</f>
        <v/>
      </c>
      <c r="Q53" s="27">
        <f>IF(C53="","",J53-N(M53)-O53-P53)</f>
        <v/>
      </c>
      <c r="R53" s="6" t="n"/>
    </row>
    <row r="54">
      <c r="A54" s="17">
        <f>IF(B54="","","J-"&amp;TEXT(ROW()-4,"0000"))</f>
        <v/>
      </c>
      <c r="B54" s="26" t="n"/>
      <c r="C54" s="6" t="n"/>
      <c r="D54" s="6" t="n"/>
      <c r="E54" s="29" t="n"/>
      <c r="F54" s="6" t="n"/>
      <c r="G54" s="25" t="n"/>
      <c r="H54" s="30">
        <f>IF(C54="","",IF(G54&lt;&gt;"",G54,IFERROR(INDEX(Clients!$G$5:$G$304,MATCH(C54,Clients!$A$5:$A$304,0)),0)))</f>
        <v/>
      </c>
      <c r="I54" s="25" t="n"/>
      <c r="J54" s="30">
        <f>IF(C54="","",H54+N(I54))</f>
        <v/>
      </c>
      <c r="K54" s="6" t="n"/>
      <c r="L54" s="6" t="n"/>
      <c r="M54" s="25" t="n"/>
      <c r="N54" s="10" t="n"/>
      <c r="O54" s="30">
        <f>IF(C54="","",N(E54)*Settings!$B$8)</f>
        <v/>
      </c>
      <c r="P54" s="30">
        <f>IF(C54="","",N(N54)*Settings!$B$10)</f>
        <v/>
      </c>
      <c r="Q54" s="30">
        <f>IF(C54="","",J54-N(M54)-O54-P54)</f>
        <v/>
      </c>
      <c r="R54" s="6" t="n"/>
    </row>
    <row r="55">
      <c r="A55" s="8">
        <f>IF(B55="","","J-"&amp;TEXT(ROW()-4,"0000"))</f>
        <v/>
      </c>
      <c r="B55" s="26" t="n"/>
      <c r="C55" s="6" t="n"/>
      <c r="D55" s="6" t="n"/>
      <c r="E55" s="29" t="n"/>
      <c r="F55" s="6" t="n"/>
      <c r="G55" s="25" t="n"/>
      <c r="H55" s="27">
        <f>IF(C55="","",IF(G55&lt;&gt;"",G55,IFERROR(INDEX(Clients!$G$5:$G$304,MATCH(C55,Clients!$A$5:$A$304,0)),0)))</f>
        <v/>
      </c>
      <c r="I55" s="25" t="n"/>
      <c r="J55" s="27">
        <f>IF(C55="","",H55+N(I55))</f>
        <v/>
      </c>
      <c r="K55" s="6" t="n"/>
      <c r="L55" s="6" t="n"/>
      <c r="M55" s="25" t="n"/>
      <c r="N55" s="10" t="n"/>
      <c r="O55" s="27">
        <f>IF(C55="","",N(E55)*Settings!$B$8)</f>
        <v/>
      </c>
      <c r="P55" s="27">
        <f>IF(C55="","",N(N55)*Settings!$B$10)</f>
        <v/>
      </c>
      <c r="Q55" s="27">
        <f>IF(C55="","",J55-N(M55)-O55-P55)</f>
        <v/>
      </c>
      <c r="R55" s="6" t="n"/>
    </row>
    <row r="56">
      <c r="A56" s="17">
        <f>IF(B56="","","J-"&amp;TEXT(ROW()-4,"0000"))</f>
        <v/>
      </c>
      <c r="B56" s="26" t="n"/>
      <c r="C56" s="6" t="n"/>
      <c r="D56" s="6" t="n"/>
      <c r="E56" s="29" t="n"/>
      <c r="F56" s="6" t="n"/>
      <c r="G56" s="25" t="n"/>
      <c r="H56" s="30">
        <f>IF(C56="","",IF(G56&lt;&gt;"",G56,IFERROR(INDEX(Clients!$G$5:$G$304,MATCH(C56,Clients!$A$5:$A$304,0)),0)))</f>
        <v/>
      </c>
      <c r="I56" s="25" t="n"/>
      <c r="J56" s="30">
        <f>IF(C56="","",H56+N(I56))</f>
        <v/>
      </c>
      <c r="K56" s="6" t="n"/>
      <c r="L56" s="6" t="n"/>
      <c r="M56" s="25" t="n"/>
      <c r="N56" s="10" t="n"/>
      <c r="O56" s="30">
        <f>IF(C56="","",N(E56)*Settings!$B$8)</f>
        <v/>
      </c>
      <c r="P56" s="30">
        <f>IF(C56="","",N(N56)*Settings!$B$10)</f>
        <v/>
      </c>
      <c r="Q56" s="30">
        <f>IF(C56="","",J56-N(M56)-O56-P56)</f>
        <v/>
      </c>
      <c r="R56" s="6" t="n"/>
    </row>
    <row r="57">
      <c r="A57" s="8">
        <f>IF(B57="","","J-"&amp;TEXT(ROW()-4,"0000"))</f>
        <v/>
      </c>
      <c r="B57" s="26" t="n"/>
      <c r="C57" s="6" t="n"/>
      <c r="D57" s="6" t="n"/>
      <c r="E57" s="29" t="n"/>
      <c r="F57" s="6" t="n"/>
      <c r="G57" s="25" t="n"/>
      <c r="H57" s="27">
        <f>IF(C57="","",IF(G57&lt;&gt;"",G57,IFERROR(INDEX(Clients!$G$5:$G$304,MATCH(C57,Clients!$A$5:$A$304,0)),0)))</f>
        <v/>
      </c>
      <c r="I57" s="25" t="n"/>
      <c r="J57" s="27">
        <f>IF(C57="","",H57+N(I57))</f>
        <v/>
      </c>
      <c r="K57" s="6" t="n"/>
      <c r="L57" s="6" t="n"/>
      <c r="M57" s="25" t="n"/>
      <c r="N57" s="10" t="n"/>
      <c r="O57" s="27">
        <f>IF(C57="","",N(E57)*Settings!$B$8)</f>
        <v/>
      </c>
      <c r="P57" s="27">
        <f>IF(C57="","",N(N57)*Settings!$B$10)</f>
        <v/>
      </c>
      <c r="Q57" s="27">
        <f>IF(C57="","",J57-N(M57)-O57-P57)</f>
        <v/>
      </c>
      <c r="R57" s="6" t="n"/>
    </row>
    <row r="58">
      <c r="A58" s="17">
        <f>IF(B58="","","J-"&amp;TEXT(ROW()-4,"0000"))</f>
        <v/>
      </c>
      <c r="B58" s="26" t="n"/>
      <c r="C58" s="6" t="n"/>
      <c r="D58" s="6" t="n"/>
      <c r="E58" s="29" t="n"/>
      <c r="F58" s="6" t="n"/>
      <c r="G58" s="25" t="n"/>
      <c r="H58" s="30">
        <f>IF(C58="","",IF(G58&lt;&gt;"",G58,IFERROR(INDEX(Clients!$G$5:$G$304,MATCH(C58,Clients!$A$5:$A$304,0)),0)))</f>
        <v/>
      </c>
      <c r="I58" s="25" t="n"/>
      <c r="J58" s="30">
        <f>IF(C58="","",H58+N(I58))</f>
        <v/>
      </c>
      <c r="K58" s="6" t="n"/>
      <c r="L58" s="6" t="n"/>
      <c r="M58" s="25" t="n"/>
      <c r="N58" s="10" t="n"/>
      <c r="O58" s="30">
        <f>IF(C58="","",N(E58)*Settings!$B$8)</f>
        <v/>
      </c>
      <c r="P58" s="30">
        <f>IF(C58="","",N(N58)*Settings!$B$10)</f>
        <v/>
      </c>
      <c r="Q58" s="30">
        <f>IF(C58="","",J58-N(M58)-O58-P58)</f>
        <v/>
      </c>
      <c r="R58" s="6" t="n"/>
    </row>
    <row r="59">
      <c r="A59" s="8">
        <f>IF(B59="","","J-"&amp;TEXT(ROW()-4,"0000"))</f>
        <v/>
      </c>
      <c r="B59" s="26" t="n"/>
      <c r="C59" s="6" t="n"/>
      <c r="D59" s="6" t="n"/>
      <c r="E59" s="29" t="n"/>
      <c r="F59" s="6" t="n"/>
      <c r="G59" s="25" t="n"/>
      <c r="H59" s="27">
        <f>IF(C59="","",IF(G59&lt;&gt;"",G59,IFERROR(INDEX(Clients!$G$5:$G$304,MATCH(C59,Clients!$A$5:$A$304,0)),0)))</f>
        <v/>
      </c>
      <c r="I59" s="25" t="n"/>
      <c r="J59" s="27">
        <f>IF(C59="","",H59+N(I59))</f>
        <v/>
      </c>
      <c r="K59" s="6" t="n"/>
      <c r="L59" s="6" t="n"/>
      <c r="M59" s="25" t="n"/>
      <c r="N59" s="10" t="n"/>
      <c r="O59" s="27">
        <f>IF(C59="","",N(E59)*Settings!$B$8)</f>
        <v/>
      </c>
      <c r="P59" s="27">
        <f>IF(C59="","",N(N59)*Settings!$B$10)</f>
        <v/>
      </c>
      <c r="Q59" s="27">
        <f>IF(C59="","",J59-N(M59)-O59-P59)</f>
        <v/>
      </c>
      <c r="R59" s="6" t="n"/>
    </row>
    <row r="60">
      <c r="A60" s="17">
        <f>IF(B60="","","J-"&amp;TEXT(ROW()-4,"0000"))</f>
        <v/>
      </c>
      <c r="B60" s="26" t="n"/>
      <c r="C60" s="6" t="n"/>
      <c r="D60" s="6" t="n"/>
      <c r="E60" s="29" t="n"/>
      <c r="F60" s="6" t="n"/>
      <c r="G60" s="25" t="n"/>
      <c r="H60" s="30">
        <f>IF(C60="","",IF(G60&lt;&gt;"",G60,IFERROR(INDEX(Clients!$G$5:$G$304,MATCH(C60,Clients!$A$5:$A$304,0)),0)))</f>
        <v/>
      </c>
      <c r="I60" s="25" t="n"/>
      <c r="J60" s="30">
        <f>IF(C60="","",H60+N(I60))</f>
        <v/>
      </c>
      <c r="K60" s="6" t="n"/>
      <c r="L60" s="6" t="n"/>
      <c r="M60" s="25" t="n"/>
      <c r="N60" s="10" t="n"/>
      <c r="O60" s="30">
        <f>IF(C60="","",N(E60)*Settings!$B$8)</f>
        <v/>
      </c>
      <c r="P60" s="30">
        <f>IF(C60="","",N(N60)*Settings!$B$10)</f>
        <v/>
      </c>
      <c r="Q60" s="30">
        <f>IF(C60="","",J60-N(M60)-O60-P60)</f>
        <v/>
      </c>
      <c r="R60" s="6" t="n"/>
    </row>
    <row r="61">
      <c r="A61" s="8">
        <f>IF(B61="","","J-"&amp;TEXT(ROW()-4,"0000"))</f>
        <v/>
      </c>
      <c r="B61" s="26" t="n"/>
      <c r="C61" s="6" t="n"/>
      <c r="D61" s="6" t="n"/>
      <c r="E61" s="29" t="n"/>
      <c r="F61" s="6" t="n"/>
      <c r="G61" s="25" t="n"/>
      <c r="H61" s="27">
        <f>IF(C61="","",IF(G61&lt;&gt;"",G61,IFERROR(INDEX(Clients!$G$5:$G$304,MATCH(C61,Clients!$A$5:$A$304,0)),0)))</f>
        <v/>
      </c>
      <c r="I61" s="25" t="n"/>
      <c r="J61" s="27">
        <f>IF(C61="","",H61+N(I61))</f>
        <v/>
      </c>
      <c r="K61" s="6" t="n"/>
      <c r="L61" s="6" t="n"/>
      <c r="M61" s="25" t="n"/>
      <c r="N61" s="10" t="n"/>
      <c r="O61" s="27">
        <f>IF(C61="","",N(E61)*Settings!$B$8)</f>
        <v/>
      </c>
      <c r="P61" s="27">
        <f>IF(C61="","",N(N61)*Settings!$B$10)</f>
        <v/>
      </c>
      <c r="Q61" s="27">
        <f>IF(C61="","",J61-N(M61)-O61-P61)</f>
        <v/>
      </c>
      <c r="R61" s="6" t="n"/>
    </row>
    <row r="62">
      <c r="A62" s="17">
        <f>IF(B62="","","J-"&amp;TEXT(ROW()-4,"0000"))</f>
        <v/>
      </c>
      <c r="B62" s="26" t="n"/>
      <c r="C62" s="6" t="n"/>
      <c r="D62" s="6" t="n"/>
      <c r="E62" s="29" t="n"/>
      <c r="F62" s="6" t="n"/>
      <c r="G62" s="25" t="n"/>
      <c r="H62" s="30">
        <f>IF(C62="","",IF(G62&lt;&gt;"",G62,IFERROR(INDEX(Clients!$G$5:$G$304,MATCH(C62,Clients!$A$5:$A$304,0)),0)))</f>
        <v/>
      </c>
      <c r="I62" s="25" t="n"/>
      <c r="J62" s="30">
        <f>IF(C62="","",H62+N(I62))</f>
        <v/>
      </c>
      <c r="K62" s="6" t="n"/>
      <c r="L62" s="6" t="n"/>
      <c r="M62" s="25" t="n"/>
      <c r="N62" s="10" t="n"/>
      <c r="O62" s="30">
        <f>IF(C62="","",N(E62)*Settings!$B$8)</f>
        <v/>
      </c>
      <c r="P62" s="30">
        <f>IF(C62="","",N(N62)*Settings!$B$10)</f>
        <v/>
      </c>
      <c r="Q62" s="30">
        <f>IF(C62="","",J62-N(M62)-O62-P62)</f>
        <v/>
      </c>
      <c r="R62" s="6" t="n"/>
    </row>
    <row r="63">
      <c r="A63" s="8">
        <f>IF(B63="","","J-"&amp;TEXT(ROW()-4,"0000"))</f>
        <v/>
      </c>
      <c r="B63" s="26" t="n"/>
      <c r="C63" s="6" t="n"/>
      <c r="D63" s="6" t="n"/>
      <c r="E63" s="29" t="n"/>
      <c r="F63" s="6" t="n"/>
      <c r="G63" s="25" t="n"/>
      <c r="H63" s="27">
        <f>IF(C63="","",IF(G63&lt;&gt;"",G63,IFERROR(INDEX(Clients!$G$5:$G$304,MATCH(C63,Clients!$A$5:$A$304,0)),0)))</f>
        <v/>
      </c>
      <c r="I63" s="25" t="n"/>
      <c r="J63" s="27">
        <f>IF(C63="","",H63+N(I63))</f>
        <v/>
      </c>
      <c r="K63" s="6" t="n"/>
      <c r="L63" s="6" t="n"/>
      <c r="M63" s="25" t="n"/>
      <c r="N63" s="10" t="n"/>
      <c r="O63" s="27">
        <f>IF(C63="","",N(E63)*Settings!$B$8)</f>
        <v/>
      </c>
      <c r="P63" s="27">
        <f>IF(C63="","",N(N63)*Settings!$B$10)</f>
        <v/>
      </c>
      <c r="Q63" s="27">
        <f>IF(C63="","",J63-N(M63)-O63-P63)</f>
        <v/>
      </c>
      <c r="R63" s="6" t="n"/>
    </row>
    <row r="64">
      <c r="A64" s="17">
        <f>IF(B64="","","J-"&amp;TEXT(ROW()-4,"0000"))</f>
        <v/>
      </c>
      <c r="B64" s="26" t="n"/>
      <c r="C64" s="6" t="n"/>
      <c r="D64" s="6" t="n"/>
      <c r="E64" s="29" t="n"/>
      <c r="F64" s="6" t="n"/>
      <c r="G64" s="25" t="n"/>
      <c r="H64" s="30">
        <f>IF(C64="","",IF(G64&lt;&gt;"",G64,IFERROR(INDEX(Clients!$G$5:$G$304,MATCH(C64,Clients!$A$5:$A$304,0)),0)))</f>
        <v/>
      </c>
      <c r="I64" s="25" t="n"/>
      <c r="J64" s="30">
        <f>IF(C64="","",H64+N(I64))</f>
        <v/>
      </c>
      <c r="K64" s="6" t="n"/>
      <c r="L64" s="6" t="n"/>
      <c r="M64" s="25" t="n"/>
      <c r="N64" s="10" t="n"/>
      <c r="O64" s="30">
        <f>IF(C64="","",N(E64)*Settings!$B$8)</f>
        <v/>
      </c>
      <c r="P64" s="30">
        <f>IF(C64="","",N(N64)*Settings!$B$10)</f>
        <v/>
      </c>
      <c r="Q64" s="30">
        <f>IF(C64="","",J64-N(M64)-O64-P64)</f>
        <v/>
      </c>
      <c r="R64" s="6" t="n"/>
    </row>
    <row r="65">
      <c r="A65" s="8">
        <f>IF(B65="","","J-"&amp;TEXT(ROW()-4,"0000"))</f>
        <v/>
      </c>
      <c r="B65" s="26" t="n"/>
      <c r="C65" s="6" t="n"/>
      <c r="D65" s="6" t="n"/>
      <c r="E65" s="29" t="n"/>
      <c r="F65" s="6" t="n"/>
      <c r="G65" s="25" t="n"/>
      <c r="H65" s="27">
        <f>IF(C65="","",IF(G65&lt;&gt;"",G65,IFERROR(INDEX(Clients!$G$5:$G$304,MATCH(C65,Clients!$A$5:$A$304,0)),0)))</f>
        <v/>
      </c>
      <c r="I65" s="25" t="n"/>
      <c r="J65" s="27">
        <f>IF(C65="","",H65+N(I65))</f>
        <v/>
      </c>
      <c r="K65" s="6" t="n"/>
      <c r="L65" s="6" t="n"/>
      <c r="M65" s="25" t="n"/>
      <c r="N65" s="10" t="n"/>
      <c r="O65" s="27">
        <f>IF(C65="","",N(E65)*Settings!$B$8)</f>
        <v/>
      </c>
      <c r="P65" s="27">
        <f>IF(C65="","",N(N65)*Settings!$B$10)</f>
        <v/>
      </c>
      <c r="Q65" s="27">
        <f>IF(C65="","",J65-N(M65)-O65-P65)</f>
        <v/>
      </c>
      <c r="R65" s="6" t="n"/>
    </row>
    <row r="66">
      <c r="A66" s="17">
        <f>IF(B66="","","J-"&amp;TEXT(ROW()-4,"0000"))</f>
        <v/>
      </c>
      <c r="B66" s="26" t="n"/>
      <c r="C66" s="6" t="n"/>
      <c r="D66" s="6" t="n"/>
      <c r="E66" s="29" t="n"/>
      <c r="F66" s="6" t="n"/>
      <c r="G66" s="25" t="n"/>
      <c r="H66" s="30">
        <f>IF(C66="","",IF(G66&lt;&gt;"",G66,IFERROR(INDEX(Clients!$G$5:$G$304,MATCH(C66,Clients!$A$5:$A$304,0)),0)))</f>
        <v/>
      </c>
      <c r="I66" s="25" t="n"/>
      <c r="J66" s="30">
        <f>IF(C66="","",H66+N(I66))</f>
        <v/>
      </c>
      <c r="K66" s="6" t="n"/>
      <c r="L66" s="6" t="n"/>
      <c r="M66" s="25" t="n"/>
      <c r="N66" s="10" t="n"/>
      <c r="O66" s="30">
        <f>IF(C66="","",N(E66)*Settings!$B$8)</f>
        <v/>
      </c>
      <c r="P66" s="30">
        <f>IF(C66="","",N(N66)*Settings!$B$10)</f>
        <v/>
      </c>
      <c r="Q66" s="30">
        <f>IF(C66="","",J66-N(M66)-O66-P66)</f>
        <v/>
      </c>
      <c r="R66" s="6" t="n"/>
    </row>
    <row r="67">
      <c r="A67" s="8">
        <f>IF(B67="","","J-"&amp;TEXT(ROW()-4,"0000"))</f>
        <v/>
      </c>
      <c r="B67" s="26" t="n"/>
      <c r="C67" s="6" t="n"/>
      <c r="D67" s="6" t="n"/>
      <c r="E67" s="29" t="n"/>
      <c r="F67" s="6" t="n"/>
      <c r="G67" s="25" t="n"/>
      <c r="H67" s="27">
        <f>IF(C67="","",IF(G67&lt;&gt;"",G67,IFERROR(INDEX(Clients!$G$5:$G$304,MATCH(C67,Clients!$A$5:$A$304,0)),0)))</f>
        <v/>
      </c>
      <c r="I67" s="25" t="n"/>
      <c r="J67" s="27">
        <f>IF(C67="","",H67+N(I67))</f>
        <v/>
      </c>
      <c r="K67" s="6" t="n"/>
      <c r="L67" s="6" t="n"/>
      <c r="M67" s="25" t="n"/>
      <c r="N67" s="10" t="n"/>
      <c r="O67" s="27">
        <f>IF(C67="","",N(E67)*Settings!$B$8)</f>
        <v/>
      </c>
      <c r="P67" s="27">
        <f>IF(C67="","",N(N67)*Settings!$B$10)</f>
        <v/>
      </c>
      <c r="Q67" s="27">
        <f>IF(C67="","",J67-N(M67)-O67-P67)</f>
        <v/>
      </c>
      <c r="R67" s="6" t="n"/>
    </row>
    <row r="68">
      <c r="A68" s="17">
        <f>IF(B68="","","J-"&amp;TEXT(ROW()-4,"0000"))</f>
        <v/>
      </c>
      <c r="B68" s="26" t="n"/>
      <c r="C68" s="6" t="n"/>
      <c r="D68" s="6" t="n"/>
      <c r="E68" s="29" t="n"/>
      <c r="F68" s="6" t="n"/>
      <c r="G68" s="25" t="n"/>
      <c r="H68" s="30">
        <f>IF(C68="","",IF(G68&lt;&gt;"",G68,IFERROR(INDEX(Clients!$G$5:$G$304,MATCH(C68,Clients!$A$5:$A$304,0)),0)))</f>
        <v/>
      </c>
      <c r="I68" s="25" t="n"/>
      <c r="J68" s="30">
        <f>IF(C68="","",H68+N(I68))</f>
        <v/>
      </c>
      <c r="K68" s="6" t="n"/>
      <c r="L68" s="6" t="n"/>
      <c r="M68" s="25" t="n"/>
      <c r="N68" s="10" t="n"/>
      <c r="O68" s="30">
        <f>IF(C68="","",N(E68)*Settings!$B$8)</f>
        <v/>
      </c>
      <c r="P68" s="30">
        <f>IF(C68="","",N(N68)*Settings!$B$10)</f>
        <v/>
      </c>
      <c r="Q68" s="30">
        <f>IF(C68="","",J68-N(M68)-O68-P68)</f>
        <v/>
      </c>
      <c r="R68" s="6" t="n"/>
    </row>
    <row r="69">
      <c r="A69" s="8">
        <f>IF(B69="","","J-"&amp;TEXT(ROW()-4,"0000"))</f>
        <v/>
      </c>
      <c r="B69" s="26" t="n"/>
      <c r="C69" s="6" t="n"/>
      <c r="D69" s="6" t="n"/>
      <c r="E69" s="29" t="n"/>
      <c r="F69" s="6" t="n"/>
      <c r="G69" s="25" t="n"/>
      <c r="H69" s="27">
        <f>IF(C69="","",IF(G69&lt;&gt;"",G69,IFERROR(INDEX(Clients!$G$5:$G$304,MATCH(C69,Clients!$A$5:$A$304,0)),0)))</f>
        <v/>
      </c>
      <c r="I69" s="25" t="n"/>
      <c r="J69" s="27">
        <f>IF(C69="","",H69+N(I69))</f>
        <v/>
      </c>
      <c r="K69" s="6" t="n"/>
      <c r="L69" s="6" t="n"/>
      <c r="M69" s="25" t="n"/>
      <c r="N69" s="10" t="n"/>
      <c r="O69" s="27">
        <f>IF(C69="","",N(E69)*Settings!$B$8)</f>
        <v/>
      </c>
      <c r="P69" s="27">
        <f>IF(C69="","",N(N69)*Settings!$B$10)</f>
        <v/>
      </c>
      <c r="Q69" s="27">
        <f>IF(C69="","",J69-N(M69)-O69-P69)</f>
        <v/>
      </c>
      <c r="R69" s="6" t="n"/>
    </row>
    <row r="70">
      <c r="A70" s="17">
        <f>IF(B70="","","J-"&amp;TEXT(ROW()-4,"0000"))</f>
        <v/>
      </c>
      <c r="B70" s="26" t="n"/>
      <c r="C70" s="6" t="n"/>
      <c r="D70" s="6" t="n"/>
      <c r="E70" s="29" t="n"/>
      <c r="F70" s="6" t="n"/>
      <c r="G70" s="25" t="n"/>
      <c r="H70" s="30">
        <f>IF(C70="","",IF(G70&lt;&gt;"",G70,IFERROR(INDEX(Clients!$G$5:$G$304,MATCH(C70,Clients!$A$5:$A$304,0)),0)))</f>
        <v/>
      </c>
      <c r="I70" s="25" t="n"/>
      <c r="J70" s="30">
        <f>IF(C70="","",H70+N(I70))</f>
        <v/>
      </c>
      <c r="K70" s="6" t="n"/>
      <c r="L70" s="6" t="n"/>
      <c r="M70" s="25" t="n"/>
      <c r="N70" s="10" t="n"/>
      <c r="O70" s="30">
        <f>IF(C70="","",N(E70)*Settings!$B$8)</f>
        <v/>
      </c>
      <c r="P70" s="30">
        <f>IF(C70="","",N(N70)*Settings!$B$10)</f>
        <v/>
      </c>
      <c r="Q70" s="30">
        <f>IF(C70="","",J70-N(M70)-O70-P70)</f>
        <v/>
      </c>
      <c r="R70" s="6" t="n"/>
    </row>
    <row r="71">
      <c r="A71" s="8">
        <f>IF(B71="","","J-"&amp;TEXT(ROW()-4,"0000"))</f>
        <v/>
      </c>
      <c r="B71" s="26" t="n"/>
      <c r="C71" s="6" t="n"/>
      <c r="D71" s="6" t="n"/>
      <c r="E71" s="29" t="n"/>
      <c r="F71" s="6" t="n"/>
      <c r="G71" s="25" t="n"/>
      <c r="H71" s="27">
        <f>IF(C71="","",IF(G71&lt;&gt;"",G71,IFERROR(INDEX(Clients!$G$5:$G$304,MATCH(C71,Clients!$A$5:$A$304,0)),0)))</f>
        <v/>
      </c>
      <c r="I71" s="25" t="n"/>
      <c r="J71" s="27">
        <f>IF(C71="","",H71+N(I71))</f>
        <v/>
      </c>
      <c r="K71" s="6" t="n"/>
      <c r="L71" s="6" t="n"/>
      <c r="M71" s="25" t="n"/>
      <c r="N71" s="10" t="n"/>
      <c r="O71" s="27">
        <f>IF(C71="","",N(E71)*Settings!$B$8)</f>
        <v/>
      </c>
      <c r="P71" s="27">
        <f>IF(C71="","",N(N71)*Settings!$B$10)</f>
        <v/>
      </c>
      <c r="Q71" s="27">
        <f>IF(C71="","",J71-N(M71)-O71-P71)</f>
        <v/>
      </c>
      <c r="R71" s="6" t="n"/>
    </row>
    <row r="72">
      <c r="A72" s="17">
        <f>IF(B72="","","J-"&amp;TEXT(ROW()-4,"0000"))</f>
        <v/>
      </c>
      <c r="B72" s="26" t="n"/>
      <c r="C72" s="6" t="n"/>
      <c r="D72" s="6" t="n"/>
      <c r="E72" s="29" t="n"/>
      <c r="F72" s="6" t="n"/>
      <c r="G72" s="25" t="n"/>
      <c r="H72" s="30">
        <f>IF(C72="","",IF(G72&lt;&gt;"",G72,IFERROR(INDEX(Clients!$G$5:$G$304,MATCH(C72,Clients!$A$5:$A$304,0)),0)))</f>
        <v/>
      </c>
      <c r="I72" s="25" t="n"/>
      <c r="J72" s="30">
        <f>IF(C72="","",H72+N(I72))</f>
        <v/>
      </c>
      <c r="K72" s="6" t="n"/>
      <c r="L72" s="6" t="n"/>
      <c r="M72" s="25" t="n"/>
      <c r="N72" s="10" t="n"/>
      <c r="O72" s="30">
        <f>IF(C72="","",N(E72)*Settings!$B$8)</f>
        <v/>
      </c>
      <c r="P72" s="30">
        <f>IF(C72="","",N(N72)*Settings!$B$10)</f>
        <v/>
      </c>
      <c r="Q72" s="30">
        <f>IF(C72="","",J72-N(M72)-O72-P72)</f>
        <v/>
      </c>
      <c r="R72" s="6" t="n"/>
    </row>
    <row r="73">
      <c r="A73" s="8">
        <f>IF(B73="","","J-"&amp;TEXT(ROW()-4,"0000"))</f>
        <v/>
      </c>
      <c r="B73" s="26" t="n"/>
      <c r="C73" s="6" t="n"/>
      <c r="D73" s="6" t="n"/>
      <c r="E73" s="29" t="n"/>
      <c r="F73" s="6" t="n"/>
      <c r="G73" s="25" t="n"/>
      <c r="H73" s="27">
        <f>IF(C73="","",IF(G73&lt;&gt;"",G73,IFERROR(INDEX(Clients!$G$5:$G$304,MATCH(C73,Clients!$A$5:$A$304,0)),0)))</f>
        <v/>
      </c>
      <c r="I73" s="25" t="n"/>
      <c r="J73" s="27">
        <f>IF(C73="","",H73+N(I73))</f>
        <v/>
      </c>
      <c r="K73" s="6" t="n"/>
      <c r="L73" s="6" t="n"/>
      <c r="M73" s="25" t="n"/>
      <c r="N73" s="10" t="n"/>
      <c r="O73" s="27">
        <f>IF(C73="","",N(E73)*Settings!$B$8)</f>
        <v/>
      </c>
      <c r="P73" s="27">
        <f>IF(C73="","",N(N73)*Settings!$B$10)</f>
        <v/>
      </c>
      <c r="Q73" s="27">
        <f>IF(C73="","",J73-N(M73)-O73-P73)</f>
        <v/>
      </c>
      <c r="R73" s="6" t="n"/>
    </row>
    <row r="74">
      <c r="A74" s="17">
        <f>IF(B74="","","J-"&amp;TEXT(ROW()-4,"0000"))</f>
        <v/>
      </c>
      <c r="B74" s="26" t="n"/>
      <c r="C74" s="6" t="n"/>
      <c r="D74" s="6" t="n"/>
      <c r="E74" s="29" t="n"/>
      <c r="F74" s="6" t="n"/>
      <c r="G74" s="25" t="n"/>
      <c r="H74" s="30">
        <f>IF(C74="","",IF(G74&lt;&gt;"",G74,IFERROR(INDEX(Clients!$G$5:$G$304,MATCH(C74,Clients!$A$5:$A$304,0)),0)))</f>
        <v/>
      </c>
      <c r="I74" s="25" t="n"/>
      <c r="J74" s="30">
        <f>IF(C74="","",H74+N(I74))</f>
        <v/>
      </c>
      <c r="K74" s="6" t="n"/>
      <c r="L74" s="6" t="n"/>
      <c r="M74" s="25" t="n"/>
      <c r="N74" s="10" t="n"/>
      <c r="O74" s="30">
        <f>IF(C74="","",N(E74)*Settings!$B$8)</f>
        <v/>
      </c>
      <c r="P74" s="30">
        <f>IF(C74="","",N(N74)*Settings!$B$10)</f>
        <v/>
      </c>
      <c r="Q74" s="30">
        <f>IF(C74="","",J74-N(M74)-O74-P74)</f>
        <v/>
      </c>
      <c r="R74" s="6" t="n"/>
    </row>
    <row r="75">
      <c r="A75" s="8">
        <f>IF(B75="","","J-"&amp;TEXT(ROW()-4,"0000"))</f>
        <v/>
      </c>
      <c r="B75" s="26" t="n"/>
      <c r="C75" s="6" t="n"/>
      <c r="D75" s="6" t="n"/>
      <c r="E75" s="29" t="n"/>
      <c r="F75" s="6" t="n"/>
      <c r="G75" s="25" t="n"/>
      <c r="H75" s="27">
        <f>IF(C75="","",IF(G75&lt;&gt;"",G75,IFERROR(INDEX(Clients!$G$5:$G$304,MATCH(C75,Clients!$A$5:$A$304,0)),0)))</f>
        <v/>
      </c>
      <c r="I75" s="25" t="n"/>
      <c r="J75" s="27">
        <f>IF(C75="","",H75+N(I75))</f>
        <v/>
      </c>
      <c r="K75" s="6" t="n"/>
      <c r="L75" s="6" t="n"/>
      <c r="M75" s="25" t="n"/>
      <c r="N75" s="10" t="n"/>
      <c r="O75" s="27">
        <f>IF(C75="","",N(E75)*Settings!$B$8)</f>
        <v/>
      </c>
      <c r="P75" s="27">
        <f>IF(C75="","",N(N75)*Settings!$B$10)</f>
        <v/>
      </c>
      <c r="Q75" s="27">
        <f>IF(C75="","",J75-N(M75)-O75-P75)</f>
        <v/>
      </c>
      <c r="R75" s="6" t="n"/>
    </row>
    <row r="76">
      <c r="A76" s="17">
        <f>IF(B76="","","J-"&amp;TEXT(ROW()-4,"0000"))</f>
        <v/>
      </c>
      <c r="B76" s="26" t="n"/>
      <c r="C76" s="6" t="n"/>
      <c r="D76" s="6" t="n"/>
      <c r="E76" s="29" t="n"/>
      <c r="F76" s="6" t="n"/>
      <c r="G76" s="25" t="n"/>
      <c r="H76" s="30">
        <f>IF(C76="","",IF(G76&lt;&gt;"",G76,IFERROR(INDEX(Clients!$G$5:$G$304,MATCH(C76,Clients!$A$5:$A$304,0)),0)))</f>
        <v/>
      </c>
      <c r="I76" s="25" t="n"/>
      <c r="J76" s="30">
        <f>IF(C76="","",H76+N(I76))</f>
        <v/>
      </c>
      <c r="K76" s="6" t="n"/>
      <c r="L76" s="6" t="n"/>
      <c r="M76" s="25" t="n"/>
      <c r="N76" s="10" t="n"/>
      <c r="O76" s="30">
        <f>IF(C76="","",N(E76)*Settings!$B$8)</f>
        <v/>
      </c>
      <c r="P76" s="30">
        <f>IF(C76="","",N(N76)*Settings!$B$10)</f>
        <v/>
      </c>
      <c r="Q76" s="30">
        <f>IF(C76="","",J76-N(M76)-O76-P76)</f>
        <v/>
      </c>
      <c r="R76" s="6" t="n"/>
    </row>
    <row r="77">
      <c r="A77" s="8">
        <f>IF(B77="","","J-"&amp;TEXT(ROW()-4,"0000"))</f>
        <v/>
      </c>
      <c r="B77" s="26" t="n"/>
      <c r="C77" s="6" t="n"/>
      <c r="D77" s="6" t="n"/>
      <c r="E77" s="29" t="n"/>
      <c r="F77" s="6" t="n"/>
      <c r="G77" s="25" t="n"/>
      <c r="H77" s="27">
        <f>IF(C77="","",IF(G77&lt;&gt;"",G77,IFERROR(INDEX(Clients!$G$5:$G$304,MATCH(C77,Clients!$A$5:$A$304,0)),0)))</f>
        <v/>
      </c>
      <c r="I77" s="25" t="n"/>
      <c r="J77" s="27">
        <f>IF(C77="","",H77+N(I77))</f>
        <v/>
      </c>
      <c r="K77" s="6" t="n"/>
      <c r="L77" s="6" t="n"/>
      <c r="M77" s="25" t="n"/>
      <c r="N77" s="10" t="n"/>
      <c r="O77" s="27">
        <f>IF(C77="","",N(E77)*Settings!$B$8)</f>
        <v/>
      </c>
      <c r="P77" s="27">
        <f>IF(C77="","",N(N77)*Settings!$B$10)</f>
        <v/>
      </c>
      <c r="Q77" s="27">
        <f>IF(C77="","",J77-N(M77)-O77-P77)</f>
        <v/>
      </c>
      <c r="R77" s="6" t="n"/>
    </row>
    <row r="78">
      <c r="A78" s="17">
        <f>IF(B78="","","J-"&amp;TEXT(ROW()-4,"0000"))</f>
        <v/>
      </c>
      <c r="B78" s="26" t="n"/>
      <c r="C78" s="6" t="n"/>
      <c r="D78" s="6" t="n"/>
      <c r="E78" s="29" t="n"/>
      <c r="F78" s="6" t="n"/>
      <c r="G78" s="25" t="n"/>
      <c r="H78" s="30">
        <f>IF(C78="","",IF(G78&lt;&gt;"",G78,IFERROR(INDEX(Clients!$G$5:$G$304,MATCH(C78,Clients!$A$5:$A$304,0)),0)))</f>
        <v/>
      </c>
      <c r="I78" s="25" t="n"/>
      <c r="J78" s="30">
        <f>IF(C78="","",H78+N(I78))</f>
        <v/>
      </c>
      <c r="K78" s="6" t="n"/>
      <c r="L78" s="6" t="n"/>
      <c r="M78" s="25" t="n"/>
      <c r="N78" s="10" t="n"/>
      <c r="O78" s="30">
        <f>IF(C78="","",N(E78)*Settings!$B$8)</f>
        <v/>
      </c>
      <c r="P78" s="30">
        <f>IF(C78="","",N(N78)*Settings!$B$10)</f>
        <v/>
      </c>
      <c r="Q78" s="30">
        <f>IF(C78="","",J78-N(M78)-O78-P78)</f>
        <v/>
      </c>
      <c r="R78" s="6" t="n"/>
    </row>
    <row r="79">
      <c r="A79" s="8">
        <f>IF(B79="","","J-"&amp;TEXT(ROW()-4,"0000"))</f>
        <v/>
      </c>
      <c r="B79" s="26" t="n"/>
      <c r="C79" s="6" t="n"/>
      <c r="D79" s="6" t="n"/>
      <c r="E79" s="29" t="n"/>
      <c r="F79" s="6" t="n"/>
      <c r="G79" s="25" t="n"/>
      <c r="H79" s="27">
        <f>IF(C79="","",IF(G79&lt;&gt;"",G79,IFERROR(INDEX(Clients!$G$5:$G$304,MATCH(C79,Clients!$A$5:$A$304,0)),0)))</f>
        <v/>
      </c>
      <c r="I79" s="25" t="n"/>
      <c r="J79" s="27">
        <f>IF(C79="","",H79+N(I79))</f>
        <v/>
      </c>
      <c r="K79" s="6" t="n"/>
      <c r="L79" s="6" t="n"/>
      <c r="M79" s="25" t="n"/>
      <c r="N79" s="10" t="n"/>
      <c r="O79" s="27">
        <f>IF(C79="","",N(E79)*Settings!$B$8)</f>
        <v/>
      </c>
      <c r="P79" s="27">
        <f>IF(C79="","",N(N79)*Settings!$B$10)</f>
        <v/>
      </c>
      <c r="Q79" s="27">
        <f>IF(C79="","",J79-N(M79)-O79-P79)</f>
        <v/>
      </c>
      <c r="R79" s="6" t="n"/>
    </row>
    <row r="80">
      <c r="A80" s="17">
        <f>IF(B80="","","J-"&amp;TEXT(ROW()-4,"0000"))</f>
        <v/>
      </c>
      <c r="B80" s="26" t="n"/>
      <c r="C80" s="6" t="n"/>
      <c r="D80" s="6" t="n"/>
      <c r="E80" s="29" t="n"/>
      <c r="F80" s="6" t="n"/>
      <c r="G80" s="25" t="n"/>
      <c r="H80" s="30">
        <f>IF(C80="","",IF(G80&lt;&gt;"",G80,IFERROR(INDEX(Clients!$G$5:$G$304,MATCH(C80,Clients!$A$5:$A$304,0)),0)))</f>
        <v/>
      </c>
      <c r="I80" s="25" t="n"/>
      <c r="J80" s="30">
        <f>IF(C80="","",H80+N(I80))</f>
        <v/>
      </c>
      <c r="K80" s="6" t="n"/>
      <c r="L80" s="6" t="n"/>
      <c r="M80" s="25" t="n"/>
      <c r="N80" s="10" t="n"/>
      <c r="O80" s="30">
        <f>IF(C80="","",N(E80)*Settings!$B$8)</f>
        <v/>
      </c>
      <c r="P80" s="30">
        <f>IF(C80="","",N(N80)*Settings!$B$10)</f>
        <v/>
      </c>
      <c r="Q80" s="30">
        <f>IF(C80="","",J80-N(M80)-O80-P80)</f>
        <v/>
      </c>
      <c r="R80" s="6" t="n"/>
    </row>
    <row r="81">
      <c r="A81" s="8">
        <f>IF(B81="","","J-"&amp;TEXT(ROW()-4,"0000"))</f>
        <v/>
      </c>
      <c r="B81" s="26" t="n"/>
      <c r="C81" s="6" t="n"/>
      <c r="D81" s="6" t="n"/>
      <c r="E81" s="29" t="n"/>
      <c r="F81" s="6" t="n"/>
      <c r="G81" s="25" t="n"/>
      <c r="H81" s="27">
        <f>IF(C81="","",IF(G81&lt;&gt;"",G81,IFERROR(INDEX(Clients!$G$5:$G$304,MATCH(C81,Clients!$A$5:$A$304,0)),0)))</f>
        <v/>
      </c>
      <c r="I81" s="25" t="n"/>
      <c r="J81" s="27">
        <f>IF(C81="","",H81+N(I81))</f>
        <v/>
      </c>
      <c r="K81" s="6" t="n"/>
      <c r="L81" s="6" t="n"/>
      <c r="M81" s="25" t="n"/>
      <c r="N81" s="10" t="n"/>
      <c r="O81" s="27">
        <f>IF(C81="","",N(E81)*Settings!$B$8)</f>
        <v/>
      </c>
      <c r="P81" s="27">
        <f>IF(C81="","",N(N81)*Settings!$B$10)</f>
        <v/>
      </c>
      <c r="Q81" s="27">
        <f>IF(C81="","",J81-N(M81)-O81-P81)</f>
        <v/>
      </c>
      <c r="R81" s="6" t="n"/>
    </row>
    <row r="82">
      <c r="A82" s="17">
        <f>IF(B82="","","J-"&amp;TEXT(ROW()-4,"0000"))</f>
        <v/>
      </c>
      <c r="B82" s="26" t="n"/>
      <c r="C82" s="6" t="n"/>
      <c r="D82" s="6" t="n"/>
      <c r="E82" s="29" t="n"/>
      <c r="F82" s="6" t="n"/>
      <c r="G82" s="25" t="n"/>
      <c r="H82" s="30">
        <f>IF(C82="","",IF(G82&lt;&gt;"",G82,IFERROR(INDEX(Clients!$G$5:$G$304,MATCH(C82,Clients!$A$5:$A$304,0)),0)))</f>
        <v/>
      </c>
      <c r="I82" s="25" t="n"/>
      <c r="J82" s="30">
        <f>IF(C82="","",H82+N(I82))</f>
        <v/>
      </c>
      <c r="K82" s="6" t="n"/>
      <c r="L82" s="6" t="n"/>
      <c r="M82" s="25" t="n"/>
      <c r="N82" s="10" t="n"/>
      <c r="O82" s="30">
        <f>IF(C82="","",N(E82)*Settings!$B$8)</f>
        <v/>
      </c>
      <c r="P82" s="30">
        <f>IF(C82="","",N(N82)*Settings!$B$10)</f>
        <v/>
      </c>
      <c r="Q82" s="30">
        <f>IF(C82="","",J82-N(M82)-O82-P82)</f>
        <v/>
      </c>
      <c r="R82" s="6" t="n"/>
    </row>
    <row r="83">
      <c r="A83" s="8">
        <f>IF(B83="","","J-"&amp;TEXT(ROW()-4,"0000"))</f>
        <v/>
      </c>
      <c r="B83" s="26" t="n"/>
      <c r="C83" s="6" t="n"/>
      <c r="D83" s="6" t="n"/>
      <c r="E83" s="29" t="n"/>
      <c r="F83" s="6" t="n"/>
      <c r="G83" s="25" t="n"/>
      <c r="H83" s="27">
        <f>IF(C83="","",IF(G83&lt;&gt;"",G83,IFERROR(INDEX(Clients!$G$5:$G$304,MATCH(C83,Clients!$A$5:$A$304,0)),0)))</f>
        <v/>
      </c>
      <c r="I83" s="25" t="n"/>
      <c r="J83" s="27">
        <f>IF(C83="","",H83+N(I83))</f>
        <v/>
      </c>
      <c r="K83" s="6" t="n"/>
      <c r="L83" s="6" t="n"/>
      <c r="M83" s="25" t="n"/>
      <c r="N83" s="10" t="n"/>
      <c r="O83" s="27">
        <f>IF(C83="","",N(E83)*Settings!$B$8)</f>
        <v/>
      </c>
      <c r="P83" s="27">
        <f>IF(C83="","",N(N83)*Settings!$B$10)</f>
        <v/>
      </c>
      <c r="Q83" s="27">
        <f>IF(C83="","",J83-N(M83)-O83-P83)</f>
        <v/>
      </c>
      <c r="R83" s="6" t="n"/>
    </row>
    <row r="84">
      <c r="A84" s="17">
        <f>IF(B84="","","J-"&amp;TEXT(ROW()-4,"0000"))</f>
        <v/>
      </c>
      <c r="B84" s="26" t="n"/>
      <c r="C84" s="6" t="n"/>
      <c r="D84" s="6" t="n"/>
      <c r="E84" s="29" t="n"/>
      <c r="F84" s="6" t="n"/>
      <c r="G84" s="25" t="n"/>
      <c r="H84" s="30">
        <f>IF(C84="","",IF(G84&lt;&gt;"",G84,IFERROR(INDEX(Clients!$G$5:$G$304,MATCH(C84,Clients!$A$5:$A$304,0)),0)))</f>
        <v/>
      </c>
      <c r="I84" s="25" t="n"/>
      <c r="J84" s="30">
        <f>IF(C84="","",H84+N(I84))</f>
        <v/>
      </c>
      <c r="K84" s="6" t="n"/>
      <c r="L84" s="6" t="n"/>
      <c r="M84" s="25" t="n"/>
      <c r="N84" s="10" t="n"/>
      <c r="O84" s="30">
        <f>IF(C84="","",N(E84)*Settings!$B$8)</f>
        <v/>
      </c>
      <c r="P84" s="30">
        <f>IF(C84="","",N(N84)*Settings!$B$10)</f>
        <v/>
      </c>
      <c r="Q84" s="30">
        <f>IF(C84="","",J84-N(M84)-O84-P84)</f>
        <v/>
      </c>
      <c r="R84" s="6" t="n"/>
    </row>
    <row r="85">
      <c r="A85" s="8">
        <f>IF(B85="","","J-"&amp;TEXT(ROW()-4,"0000"))</f>
        <v/>
      </c>
      <c r="B85" s="26" t="n"/>
      <c r="C85" s="6" t="n"/>
      <c r="D85" s="6" t="n"/>
      <c r="E85" s="29" t="n"/>
      <c r="F85" s="6" t="n"/>
      <c r="G85" s="25" t="n"/>
      <c r="H85" s="27">
        <f>IF(C85="","",IF(G85&lt;&gt;"",G85,IFERROR(INDEX(Clients!$G$5:$G$304,MATCH(C85,Clients!$A$5:$A$304,0)),0)))</f>
        <v/>
      </c>
      <c r="I85" s="25" t="n"/>
      <c r="J85" s="27">
        <f>IF(C85="","",H85+N(I85))</f>
        <v/>
      </c>
      <c r="K85" s="6" t="n"/>
      <c r="L85" s="6" t="n"/>
      <c r="M85" s="25" t="n"/>
      <c r="N85" s="10" t="n"/>
      <c r="O85" s="27">
        <f>IF(C85="","",N(E85)*Settings!$B$8)</f>
        <v/>
      </c>
      <c r="P85" s="27">
        <f>IF(C85="","",N(N85)*Settings!$B$10)</f>
        <v/>
      </c>
      <c r="Q85" s="27">
        <f>IF(C85="","",J85-N(M85)-O85-P85)</f>
        <v/>
      </c>
      <c r="R85" s="6" t="n"/>
    </row>
    <row r="86">
      <c r="A86" s="17">
        <f>IF(B86="","","J-"&amp;TEXT(ROW()-4,"0000"))</f>
        <v/>
      </c>
      <c r="B86" s="26" t="n"/>
      <c r="C86" s="6" t="n"/>
      <c r="D86" s="6" t="n"/>
      <c r="E86" s="29" t="n"/>
      <c r="F86" s="6" t="n"/>
      <c r="G86" s="25" t="n"/>
      <c r="H86" s="30">
        <f>IF(C86="","",IF(G86&lt;&gt;"",G86,IFERROR(INDEX(Clients!$G$5:$G$304,MATCH(C86,Clients!$A$5:$A$304,0)),0)))</f>
        <v/>
      </c>
      <c r="I86" s="25" t="n"/>
      <c r="J86" s="30">
        <f>IF(C86="","",H86+N(I86))</f>
        <v/>
      </c>
      <c r="K86" s="6" t="n"/>
      <c r="L86" s="6" t="n"/>
      <c r="M86" s="25" t="n"/>
      <c r="N86" s="10" t="n"/>
      <c r="O86" s="30">
        <f>IF(C86="","",N(E86)*Settings!$B$8)</f>
        <v/>
      </c>
      <c r="P86" s="30">
        <f>IF(C86="","",N(N86)*Settings!$B$10)</f>
        <v/>
      </c>
      <c r="Q86" s="30">
        <f>IF(C86="","",J86-N(M86)-O86-P86)</f>
        <v/>
      </c>
      <c r="R86" s="6" t="n"/>
    </row>
    <row r="87">
      <c r="A87" s="8">
        <f>IF(B87="","","J-"&amp;TEXT(ROW()-4,"0000"))</f>
        <v/>
      </c>
      <c r="B87" s="26" t="n"/>
      <c r="C87" s="6" t="n"/>
      <c r="D87" s="6" t="n"/>
      <c r="E87" s="29" t="n"/>
      <c r="F87" s="6" t="n"/>
      <c r="G87" s="25" t="n"/>
      <c r="H87" s="27">
        <f>IF(C87="","",IF(G87&lt;&gt;"",G87,IFERROR(INDEX(Clients!$G$5:$G$304,MATCH(C87,Clients!$A$5:$A$304,0)),0)))</f>
        <v/>
      </c>
      <c r="I87" s="25" t="n"/>
      <c r="J87" s="27">
        <f>IF(C87="","",H87+N(I87))</f>
        <v/>
      </c>
      <c r="K87" s="6" t="n"/>
      <c r="L87" s="6" t="n"/>
      <c r="M87" s="25" t="n"/>
      <c r="N87" s="10" t="n"/>
      <c r="O87" s="27">
        <f>IF(C87="","",N(E87)*Settings!$B$8)</f>
        <v/>
      </c>
      <c r="P87" s="27">
        <f>IF(C87="","",N(N87)*Settings!$B$10)</f>
        <v/>
      </c>
      <c r="Q87" s="27">
        <f>IF(C87="","",J87-N(M87)-O87-P87)</f>
        <v/>
      </c>
      <c r="R87" s="6" t="n"/>
    </row>
    <row r="88">
      <c r="A88" s="17">
        <f>IF(B88="","","J-"&amp;TEXT(ROW()-4,"0000"))</f>
        <v/>
      </c>
      <c r="B88" s="26" t="n"/>
      <c r="C88" s="6" t="n"/>
      <c r="D88" s="6" t="n"/>
      <c r="E88" s="29" t="n"/>
      <c r="F88" s="6" t="n"/>
      <c r="G88" s="25" t="n"/>
      <c r="H88" s="30">
        <f>IF(C88="","",IF(G88&lt;&gt;"",G88,IFERROR(INDEX(Clients!$G$5:$G$304,MATCH(C88,Clients!$A$5:$A$304,0)),0)))</f>
        <v/>
      </c>
      <c r="I88" s="25" t="n"/>
      <c r="J88" s="30">
        <f>IF(C88="","",H88+N(I88))</f>
        <v/>
      </c>
      <c r="K88" s="6" t="n"/>
      <c r="L88" s="6" t="n"/>
      <c r="M88" s="25" t="n"/>
      <c r="N88" s="10" t="n"/>
      <c r="O88" s="30">
        <f>IF(C88="","",N(E88)*Settings!$B$8)</f>
        <v/>
      </c>
      <c r="P88" s="30">
        <f>IF(C88="","",N(N88)*Settings!$B$10)</f>
        <v/>
      </c>
      <c r="Q88" s="30">
        <f>IF(C88="","",J88-N(M88)-O88-P88)</f>
        <v/>
      </c>
      <c r="R88" s="6" t="n"/>
    </row>
    <row r="89">
      <c r="A89" s="8">
        <f>IF(B89="","","J-"&amp;TEXT(ROW()-4,"0000"))</f>
        <v/>
      </c>
      <c r="B89" s="26" t="n"/>
      <c r="C89" s="6" t="n"/>
      <c r="D89" s="6" t="n"/>
      <c r="E89" s="29" t="n"/>
      <c r="F89" s="6" t="n"/>
      <c r="G89" s="25" t="n"/>
      <c r="H89" s="27">
        <f>IF(C89="","",IF(G89&lt;&gt;"",G89,IFERROR(INDEX(Clients!$G$5:$G$304,MATCH(C89,Clients!$A$5:$A$304,0)),0)))</f>
        <v/>
      </c>
      <c r="I89" s="25" t="n"/>
      <c r="J89" s="27">
        <f>IF(C89="","",H89+N(I89))</f>
        <v/>
      </c>
      <c r="K89" s="6" t="n"/>
      <c r="L89" s="6" t="n"/>
      <c r="M89" s="25" t="n"/>
      <c r="N89" s="10" t="n"/>
      <c r="O89" s="27">
        <f>IF(C89="","",N(E89)*Settings!$B$8)</f>
        <v/>
      </c>
      <c r="P89" s="27">
        <f>IF(C89="","",N(N89)*Settings!$B$10)</f>
        <v/>
      </c>
      <c r="Q89" s="27">
        <f>IF(C89="","",J89-N(M89)-O89-P89)</f>
        <v/>
      </c>
      <c r="R89" s="6" t="n"/>
    </row>
    <row r="90">
      <c r="A90" s="17">
        <f>IF(B90="","","J-"&amp;TEXT(ROW()-4,"0000"))</f>
        <v/>
      </c>
      <c r="B90" s="26" t="n"/>
      <c r="C90" s="6" t="n"/>
      <c r="D90" s="6" t="n"/>
      <c r="E90" s="29" t="n"/>
      <c r="F90" s="6" t="n"/>
      <c r="G90" s="25" t="n"/>
      <c r="H90" s="30">
        <f>IF(C90="","",IF(G90&lt;&gt;"",G90,IFERROR(INDEX(Clients!$G$5:$G$304,MATCH(C90,Clients!$A$5:$A$304,0)),0)))</f>
        <v/>
      </c>
      <c r="I90" s="25" t="n"/>
      <c r="J90" s="30">
        <f>IF(C90="","",H90+N(I90))</f>
        <v/>
      </c>
      <c r="K90" s="6" t="n"/>
      <c r="L90" s="6" t="n"/>
      <c r="M90" s="25" t="n"/>
      <c r="N90" s="10" t="n"/>
      <c r="O90" s="30">
        <f>IF(C90="","",N(E90)*Settings!$B$8)</f>
        <v/>
      </c>
      <c r="P90" s="30">
        <f>IF(C90="","",N(N90)*Settings!$B$10)</f>
        <v/>
      </c>
      <c r="Q90" s="30">
        <f>IF(C90="","",J90-N(M90)-O90-P90)</f>
        <v/>
      </c>
      <c r="R90" s="6" t="n"/>
    </row>
    <row r="91">
      <c r="A91" s="8">
        <f>IF(B91="","","J-"&amp;TEXT(ROW()-4,"0000"))</f>
        <v/>
      </c>
      <c r="B91" s="26" t="n"/>
      <c r="C91" s="6" t="n"/>
      <c r="D91" s="6" t="n"/>
      <c r="E91" s="29" t="n"/>
      <c r="F91" s="6" t="n"/>
      <c r="G91" s="25" t="n"/>
      <c r="H91" s="27">
        <f>IF(C91="","",IF(G91&lt;&gt;"",G91,IFERROR(INDEX(Clients!$G$5:$G$304,MATCH(C91,Clients!$A$5:$A$304,0)),0)))</f>
        <v/>
      </c>
      <c r="I91" s="25" t="n"/>
      <c r="J91" s="27">
        <f>IF(C91="","",H91+N(I91))</f>
        <v/>
      </c>
      <c r="K91" s="6" t="n"/>
      <c r="L91" s="6" t="n"/>
      <c r="M91" s="25" t="n"/>
      <c r="N91" s="10" t="n"/>
      <c r="O91" s="27">
        <f>IF(C91="","",N(E91)*Settings!$B$8)</f>
        <v/>
      </c>
      <c r="P91" s="27">
        <f>IF(C91="","",N(N91)*Settings!$B$10)</f>
        <v/>
      </c>
      <c r="Q91" s="27">
        <f>IF(C91="","",J91-N(M91)-O91-P91)</f>
        <v/>
      </c>
      <c r="R91" s="6" t="n"/>
    </row>
    <row r="92">
      <c r="A92" s="17">
        <f>IF(B92="","","J-"&amp;TEXT(ROW()-4,"0000"))</f>
        <v/>
      </c>
      <c r="B92" s="26" t="n"/>
      <c r="C92" s="6" t="n"/>
      <c r="D92" s="6" t="n"/>
      <c r="E92" s="29" t="n"/>
      <c r="F92" s="6" t="n"/>
      <c r="G92" s="25" t="n"/>
      <c r="H92" s="30">
        <f>IF(C92="","",IF(G92&lt;&gt;"",G92,IFERROR(INDEX(Clients!$G$5:$G$304,MATCH(C92,Clients!$A$5:$A$304,0)),0)))</f>
        <v/>
      </c>
      <c r="I92" s="25" t="n"/>
      <c r="J92" s="30">
        <f>IF(C92="","",H92+N(I92))</f>
        <v/>
      </c>
      <c r="K92" s="6" t="n"/>
      <c r="L92" s="6" t="n"/>
      <c r="M92" s="25" t="n"/>
      <c r="N92" s="10" t="n"/>
      <c r="O92" s="30">
        <f>IF(C92="","",N(E92)*Settings!$B$8)</f>
        <v/>
      </c>
      <c r="P92" s="30">
        <f>IF(C92="","",N(N92)*Settings!$B$10)</f>
        <v/>
      </c>
      <c r="Q92" s="30">
        <f>IF(C92="","",J92-N(M92)-O92-P92)</f>
        <v/>
      </c>
      <c r="R92" s="6" t="n"/>
    </row>
    <row r="93">
      <c r="A93" s="8">
        <f>IF(B93="","","J-"&amp;TEXT(ROW()-4,"0000"))</f>
        <v/>
      </c>
      <c r="B93" s="26" t="n"/>
      <c r="C93" s="6" t="n"/>
      <c r="D93" s="6" t="n"/>
      <c r="E93" s="29" t="n"/>
      <c r="F93" s="6" t="n"/>
      <c r="G93" s="25" t="n"/>
      <c r="H93" s="27">
        <f>IF(C93="","",IF(G93&lt;&gt;"",G93,IFERROR(INDEX(Clients!$G$5:$G$304,MATCH(C93,Clients!$A$5:$A$304,0)),0)))</f>
        <v/>
      </c>
      <c r="I93" s="25" t="n"/>
      <c r="J93" s="27">
        <f>IF(C93="","",H93+N(I93))</f>
        <v/>
      </c>
      <c r="K93" s="6" t="n"/>
      <c r="L93" s="6" t="n"/>
      <c r="M93" s="25" t="n"/>
      <c r="N93" s="10" t="n"/>
      <c r="O93" s="27">
        <f>IF(C93="","",N(E93)*Settings!$B$8)</f>
        <v/>
      </c>
      <c r="P93" s="27">
        <f>IF(C93="","",N(N93)*Settings!$B$10)</f>
        <v/>
      </c>
      <c r="Q93" s="27">
        <f>IF(C93="","",J93-N(M93)-O93-P93)</f>
        <v/>
      </c>
      <c r="R93" s="6" t="n"/>
    </row>
    <row r="94">
      <c r="A94" s="17">
        <f>IF(B94="","","J-"&amp;TEXT(ROW()-4,"0000"))</f>
        <v/>
      </c>
      <c r="B94" s="26" t="n"/>
      <c r="C94" s="6" t="n"/>
      <c r="D94" s="6" t="n"/>
      <c r="E94" s="29" t="n"/>
      <c r="F94" s="6" t="n"/>
      <c r="G94" s="25" t="n"/>
      <c r="H94" s="30">
        <f>IF(C94="","",IF(G94&lt;&gt;"",G94,IFERROR(INDEX(Clients!$G$5:$G$304,MATCH(C94,Clients!$A$5:$A$304,0)),0)))</f>
        <v/>
      </c>
      <c r="I94" s="25" t="n"/>
      <c r="J94" s="30">
        <f>IF(C94="","",H94+N(I94))</f>
        <v/>
      </c>
      <c r="K94" s="6" t="n"/>
      <c r="L94" s="6" t="n"/>
      <c r="M94" s="25" t="n"/>
      <c r="N94" s="10" t="n"/>
      <c r="O94" s="30">
        <f>IF(C94="","",N(E94)*Settings!$B$8)</f>
        <v/>
      </c>
      <c r="P94" s="30">
        <f>IF(C94="","",N(N94)*Settings!$B$10)</f>
        <v/>
      </c>
      <c r="Q94" s="30">
        <f>IF(C94="","",J94-N(M94)-O94-P94)</f>
        <v/>
      </c>
      <c r="R94" s="6" t="n"/>
    </row>
    <row r="95">
      <c r="A95" s="8">
        <f>IF(B95="","","J-"&amp;TEXT(ROW()-4,"0000"))</f>
        <v/>
      </c>
      <c r="B95" s="26" t="n"/>
      <c r="C95" s="6" t="n"/>
      <c r="D95" s="6" t="n"/>
      <c r="E95" s="29" t="n"/>
      <c r="F95" s="6" t="n"/>
      <c r="G95" s="25" t="n"/>
      <c r="H95" s="27">
        <f>IF(C95="","",IF(G95&lt;&gt;"",G95,IFERROR(INDEX(Clients!$G$5:$G$304,MATCH(C95,Clients!$A$5:$A$304,0)),0)))</f>
        <v/>
      </c>
      <c r="I95" s="25" t="n"/>
      <c r="J95" s="27">
        <f>IF(C95="","",H95+N(I95))</f>
        <v/>
      </c>
      <c r="K95" s="6" t="n"/>
      <c r="L95" s="6" t="n"/>
      <c r="M95" s="25" t="n"/>
      <c r="N95" s="10" t="n"/>
      <c r="O95" s="27">
        <f>IF(C95="","",N(E95)*Settings!$B$8)</f>
        <v/>
      </c>
      <c r="P95" s="27">
        <f>IF(C95="","",N(N95)*Settings!$B$10)</f>
        <v/>
      </c>
      <c r="Q95" s="27">
        <f>IF(C95="","",J95-N(M95)-O95-P95)</f>
        <v/>
      </c>
      <c r="R95" s="6" t="n"/>
    </row>
    <row r="96">
      <c r="A96" s="17">
        <f>IF(B96="","","J-"&amp;TEXT(ROW()-4,"0000"))</f>
        <v/>
      </c>
      <c r="B96" s="26" t="n"/>
      <c r="C96" s="6" t="n"/>
      <c r="D96" s="6" t="n"/>
      <c r="E96" s="29" t="n"/>
      <c r="F96" s="6" t="n"/>
      <c r="G96" s="25" t="n"/>
      <c r="H96" s="30">
        <f>IF(C96="","",IF(G96&lt;&gt;"",G96,IFERROR(INDEX(Clients!$G$5:$G$304,MATCH(C96,Clients!$A$5:$A$304,0)),0)))</f>
        <v/>
      </c>
      <c r="I96" s="25" t="n"/>
      <c r="J96" s="30">
        <f>IF(C96="","",H96+N(I96))</f>
        <v/>
      </c>
      <c r="K96" s="6" t="n"/>
      <c r="L96" s="6" t="n"/>
      <c r="M96" s="25" t="n"/>
      <c r="N96" s="10" t="n"/>
      <c r="O96" s="30">
        <f>IF(C96="","",N(E96)*Settings!$B$8)</f>
        <v/>
      </c>
      <c r="P96" s="30">
        <f>IF(C96="","",N(N96)*Settings!$B$10)</f>
        <v/>
      </c>
      <c r="Q96" s="30">
        <f>IF(C96="","",J96-N(M96)-O96-P96)</f>
        <v/>
      </c>
      <c r="R96" s="6" t="n"/>
    </row>
    <row r="97">
      <c r="A97" s="8">
        <f>IF(B97="","","J-"&amp;TEXT(ROW()-4,"0000"))</f>
        <v/>
      </c>
      <c r="B97" s="26" t="n"/>
      <c r="C97" s="6" t="n"/>
      <c r="D97" s="6" t="n"/>
      <c r="E97" s="29" t="n"/>
      <c r="F97" s="6" t="n"/>
      <c r="G97" s="25" t="n"/>
      <c r="H97" s="27">
        <f>IF(C97="","",IF(G97&lt;&gt;"",G97,IFERROR(INDEX(Clients!$G$5:$G$304,MATCH(C97,Clients!$A$5:$A$304,0)),0)))</f>
        <v/>
      </c>
      <c r="I97" s="25" t="n"/>
      <c r="J97" s="27">
        <f>IF(C97="","",H97+N(I97))</f>
        <v/>
      </c>
      <c r="K97" s="6" t="n"/>
      <c r="L97" s="6" t="n"/>
      <c r="M97" s="25" t="n"/>
      <c r="N97" s="10" t="n"/>
      <c r="O97" s="27">
        <f>IF(C97="","",N(E97)*Settings!$B$8)</f>
        <v/>
      </c>
      <c r="P97" s="27">
        <f>IF(C97="","",N(N97)*Settings!$B$10)</f>
        <v/>
      </c>
      <c r="Q97" s="27">
        <f>IF(C97="","",J97-N(M97)-O97-P97)</f>
        <v/>
      </c>
      <c r="R97" s="6" t="n"/>
    </row>
    <row r="98">
      <c r="A98" s="17">
        <f>IF(B98="","","J-"&amp;TEXT(ROW()-4,"0000"))</f>
        <v/>
      </c>
      <c r="B98" s="26" t="n"/>
      <c r="C98" s="6" t="n"/>
      <c r="D98" s="6" t="n"/>
      <c r="E98" s="29" t="n"/>
      <c r="F98" s="6" t="n"/>
      <c r="G98" s="25" t="n"/>
      <c r="H98" s="30">
        <f>IF(C98="","",IF(G98&lt;&gt;"",G98,IFERROR(INDEX(Clients!$G$5:$G$304,MATCH(C98,Clients!$A$5:$A$304,0)),0)))</f>
        <v/>
      </c>
      <c r="I98" s="25" t="n"/>
      <c r="J98" s="30">
        <f>IF(C98="","",H98+N(I98))</f>
        <v/>
      </c>
      <c r="K98" s="6" t="n"/>
      <c r="L98" s="6" t="n"/>
      <c r="M98" s="25" t="n"/>
      <c r="N98" s="10" t="n"/>
      <c r="O98" s="30">
        <f>IF(C98="","",N(E98)*Settings!$B$8)</f>
        <v/>
      </c>
      <c r="P98" s="30">
        <f>IF(C98="","",N(N98)*Settings!$B$10)</f>
        <v/>
      </c>
      <c r="Q98" s="30">
        <f>IF(C98="","",J98-N(M98)-O98-P98)</f>
        <v/>
      </c>
      <c r="R98" s="6" t="n"/>
    </row>
    <row r="99">
      <c r="A99" s="8">
        <f>IF(B99="","","J-"&amp;TEXT(ROW()-4,"0000"))</f>
        <v/>
      </c>
      <c r="B99" s="26" t="n"/>
      <c r="C99" s="6" t="n"/>
      <c r="D99" s="6" t="n"/>
      <c r="E99" s="29" t="n"/>
      <c r="F99" s="6" t="n"/>
      <c r="G99" s="25" t="n"/>
      <c r="H99" s="27">
        <f>IF(C99="","",IF(G99&lt;&gt;"",G99,IFERROR(INDEX(Clients!$G$5:$G$304,MATCH(C99,Clients!$A$5:$A$304,0)),0)))</f>
        <v/>
      </c>
      <c r="I99" s="25" t="n"/>
      <c r="J99" s="27">
        <f>IF(C99="","",H99+N(I99))</f>
        <v/>
      </c>
      <c r="K99" s="6" t="n"/>
      <c r="L99" s="6" t="n"/>
      <c r="M99" s="25" t="n"/>
      <c r="N99" s="10" t="n"/>
      <c r="O99" s="27">
        <f>IF(C99="","",N(E99)*Settings!$B$8)</f>
        <v/>
      </c>
      <c r="P99" s="27">
        <f>IF(C99="","",N(N99)*Settings!$B$10)</f>
        <v/>
      </c>
      <c r="Q99" s="27">
        <f>IF(C99="","",J99-N(M99)-O99-P99)</f>
        <v/>
      </c>
      <c r="R99" s="6" t="n"/>
    </row>
    <row r="100">
      <c r="A100" s="17">
        <f>IF(B100="","","J-"&amp;TEXT(ROW()-4,"0000"))</f>
        <v/>
      </c>
      <c r="B100" s="26" t="n"/>
      <c r="C100" s="6" t="n"/>
      <c r="D100" s="6" t="n"/>
      <c r="E100" s="29" t="n"/>
      <c r="F100" s="6" t="n"/>
      <c r="G100" s="25" t="n"/>
      <c r="H100" s="30">
        <f>IF(C100="","",IF(G100&lt;&gt;"",G100,IFERROR(INDEX(Clients!$G$5:$G$304,MATCH(C100,Clients!$A$5:$A$304,0)),0)))</f>
        <v/>
      </c>
      <c r="I100" s="25" t="n"/>
      <c r="J100" s="30">
        <f>IF(C100="","",H100+N(I100))</f>
        <v/>
      </c>
      <c r="K100" s="6" t="n"/>
      <c r="L100" s="6" t="n"/>
      <c r="M100" s="25" t="n"/>
      <c r="N100" s="10" t="n"/>
      <c r="O100" s="30">
        <f>IF(C100="","",N(E100)*Settings!$B$8)</f>
        <v/>
      </c>
      <c r="P100" s="30">
        <f>IF(C100="","",N(N100)*Settings!$B$10)</f>
        <v/>
      </c>
      <c r="Q100" s="30">
        <f>IF(C100="","",J100-N(M100)-O100-P100)</f>
        <v/>
      </c>
      <c r="R100" s="6" t="n"/>
    </row>
    <row r="101">
      <c r="A101" s="8">
        <f>IF(B101="","","J-"&amp;TEXT(ROW()-4,"0000"))</f>
        <v/>
      </c>
      <c r="B101" s="26" t="n"/>
      <c r="C101" s="6" t="n"/>
      <c r="D101" s="6" t="n"/>
      <c r="E101" s="29" t="n"/>
      <c r="F101" s="6" t="n"/>
      <c r="G101" s="25" t="n"/>
      <c r="H101" s="27">
        <f>IF(C101="","",IF(G101&lt;&gt;"",G101,IFERROR(INDEX(Clients!$G$5:$G$304,MATCH(C101,Clients!$A$5:$A$304,0)),0)))</f>
        <v/>
      </c>
      <c r="I101" s="25" t="n"/>
      <c r="J101" s="27">
        <f>IF(C101="","",H101+N(I101))</f>
        <v/>
      </c>
      <c r="K101" s="6" t="n"/>
      <c r="L101" s="6" t="n"/>
      <c r="M101" s="25" t="n"/>
      <c r="N101" s="10" t="n"/>
      <c r="O101" s="27">
        <f>IF(C101="","",N(E101)*Settings!$B$8)</f>
        <v/>
      </c>
      <c r="P101" s="27">
        <f>IF(C101="","",N(N101)*Settings!$B$10)</f>
        <v/>
      </c>
      <c r="Q101" s="27">
        <f>IF(C101="","",J101-N(M101)-O101-P101)</f>
        <v/>
      </c>
      <c r="R101" s="6" t="n"/>
    </row>
    <row r="102">
      <c r="A102" s="17">
        <f>IF(B102="","","J-"&amp;TEXT(ROW()-4,"0000"))</f>
        <v/>
      </c>
      <c r="B102" s="26" t="n"/>
      <c r="C102" s="6" t="n"/>
      <c r="D102" s="6" t="n"/>
      <c r="E102" s="29" t="n"/>
      <c r="F102" s="6" t="n"/>
      <c r="G102" s="25" t="n"/>
      <c r="H102" s="30">
        <f>IF(C102="","",IF(G102&lt;&gt;"",G102,IFERROR(INDEX(Clients!$G$5:$G$304,MATCH(C102,Clients!$A$5:$A$304,0)),0)))</f>
        <v/>
      </c>
      <c r="I102" s="25" t="n"/>
      <c r="J102" s="30">
        <f>IF(C102="","",H102+N(I102))</f>
        <v/>
      </c>
      <c r="K102" s="6" t="n"/>
      <c r="L102" s="6" t="n"/>
      <c r="M102" s="25" t="n"/>
      <c r="N102" s="10" t="n"/>
      <c r="O102" s="30">
        <f>IF(C102="","",N(E102)*Settings!$B$8)</f>
        <v/>
      </c>
      <c r="P102" s="30">
        <f>IF(C102="","",N(N102)*Settings!$B$10)</f>
        <v/>
      </c>
      <c r="Q102" s="30">
        <f>IF(C102="","",J102-N(M102)-O102-P102)</f>
        <v/>
      </c>
      <c r="R102" s="6" t="n"/>
    </row>
    <row r="103">
      <c r="A103" s="8">
        <f>IF(B103="","","J-"&amp;TEXT(ROW()-4,"0000"))</f>
        <v/>
      </c>
      <c r="B103" s="26" t="n"/>
      <c r="C103" s="6" t="n"/>
      <c r="D103" s="6" t="n"/>
      <c r="E103" s="29" t="n"/>
      <c r="F103" s="6" t="n"/>
      <c r="G103" s="25" t="n"/>
      <c r="H103" s="27">
        <f>IF(C103="","",IF(G103&lt;&gt;"",G103,IFERROR(INDEX(Clients!$G$5:$G$304,MATCH(C103,Clients!$A$5:$A$304,0)),0)))</f>
        <v/>
      </c>
      <c r="I103" s="25" t="n"/>
      <c r="J103" s="27">
        <f>IF(C103="","",H103+N(I103))</f>
        <v/>
      </c>
      <c r="K103" s="6" t="n"/>
      <c r="L103" s="6" t="n"/>
      <c r="M103" s="25" t="n"/>
      <c r="N103" s="10" t="n"/>
      <c r="O103" s="27">
        <f>IF(C103="","",N(E103)*Settings!$B$8)</f>
        <v/>
      </c>
      <c r="P103" s="27">
        <f>IF(C103="","",N(N103)*Settings!$B$10)</f>
        <v/>
      </c>
      <c r="Q103" s="27">
        <f>IF(C103="","",J103-N(M103)-O103-P103)</f>
        <v/>
      </c>
      <c r="R103" s="6" t="n"/>
    </row>
    <row r="104">
      <c r="A104" s="17">
        <f>IF(B104="","","J-"&amp;TEXT(ROW()-4,"0000"))</f>
        <v/>
      </c>
      <c r="B104" s="26" t="n"/>
      <c r="C104" s="6" t="n"/>
      <c r="D104" s="6" t="n"/>
      <c r="E104" s="29" t="n"/>
      <c r="F104" s="6" t="n"/>
      <c r="G104" s="25" t="n"/>
      <c r="H104" s="30">
        <f>IF(C104="","",IF(G104&lt;&gt;"",G104,IFERROR(INDEX(Clients!$G$5:$G$304,MATCH(C104,Clients!$A$5:$A$304,0)),0)))</f>
        <v/>
      </c>
      <c r="I104" s="25" t="n"/>
      <c r="J104" s="30">
        <f>IF(C104="","",H104+N(I104))</f>
        <v/>
      </c>
      <c r="K104" s="6" t="n"/>
      <c r="L104" s="6" t="n"/>
      <c r="M104" s="25" t="n"/>
      <c r="N104" s="10" t="n"/>
      <c r="O104" s="30">
        <f>IF(C104="","",N(E104)*Settings!$B$8)</f>
        <v/>
      </c>
      <c r="P104" s="30">
        <f>IF(C104="","",N(N104)*Settings!$B$10)</f>
        <v/>
      </c>
      <c r="Q104" s="30">
        <f>IF(C104="","",J104-N(M104)-O104-P104)</f>
        <v/>
      </c>
      <c r="R104" s="6" t="n"/>
    </row>
    <row r="105">
      <c r="A105" s="8">
        <f>IF(B105="","","J-"&amp;TEXT(ROW()-4,"0000"))</f>
        <v/>
      </c>
      <c r="B105" s="26" t="n"/>
      <c r="C105" s="6" t="n"/>
      <c r="D105" s="6" t="n"/>
      <c r="E105" s="29" t="n"/>
      <c r="F105" s="6" t="n"/>
      <c r="G105" s="25" t="n"/>
      <c r="H105" s="27">
        <f>IF(C105="","",IF(G105&lt;&gt;"",G105,IFERROR(INDEX(Clients!$G$5:$G$304,MATCH(C105,Clients!$A$5:$A$304,0)),0)))</f>
        <v/>
      </c>
      <c r="I105" s="25" t="n"/>
      <c r="J105" s="27">
        <f>IF(C105="","",H105+N(I105))</f>
        <v/>
      </c>
      <c r="K105" s="6" t="n"/>
      <c r="L105" s="6" t="n"/>
      <c r="M105" s="25" t="n"/>
      <c r="N105" s="10" t="n"/>
      <c r="O105" s="27">
        <f>IF(C105="","",N(E105)*Settings!$B$8)</f>
        <v/>
      </c>
      <c r="P105" s="27">
        <f>IF(C105="","",N(N105)*Settings!$B$10)</f>
        <v/>
      </c>
      <c r="Q105" s="27">
        <f>IF(C105="","",J105-N(M105)-O105-P105)</f>
        <v/>
      </c>
      <c r="R105" s="6" t="n"/>
    </row>
    <row r="106">
      <c r="A106" s="17">
        <f>IF(B106="","","J-"&amp;TEXT(ROW()-4,"0000"))</f>
        <v/>
      </c>
      <c r="B106" s="26" t="n"/>
      <c r="C106" s="6" t="n"/>
      <c r="D106" s="6" t="n"/>
      <c r="E106" s="29" t="n"/>
      <c r="F106" s="6" t="n"/>
      <c r="G106" s="25" t="n"/>
      <c r="H106" s="30">
        <f>IF(C106="","",IF(G106&lt;&gt;"",G106,IFERROR(INDEX(Clients!$G$5:$G$304,MATCH(C106,Clients!$A$5:$A$304,0)),0)))</f>
        <v/>
      </c>
      <c r="I106" s="25" t="n"/>
      <c r="J106" s="30">
        <f>IF(C106="","",H106+N(I106))</f>
        <v/>
      </c>
      <c r="K106" s="6" t="n"/>
      <c r="L106" s="6" t="n"/>
      <c r="M106" s="25" t="n"/>
      <c r="N106" s="10" t="n"/>
      <c r="O106" s="30">
        <f>IF(C106="","",N(E106)*Settings!$B$8)</f>
        <v/>
      </c>
      <c r="P106" s="30">
        <f>IF(C106="","",N(N106)*Settings!$B$10)</f>
        <v/>
      </c>
      <c r="Q106" s="30">
        <f>IF(C106="","",J106-N(M106)-O106-P106)</f>
        <v/>
      </c>
      <c r="R106" s="6" t="n"/>
    </row>
    <row r="107">
      <c r="A107" s="8">
        <f>IF(B107="","","J-"&amp;TEXT(ROW()-4,"0000"))</f>
        <v/>
      </c>
      <c r="B107" s="26" t="n"/>
      <c r="C107" s="6" t="n"/>
      <c r="D107" s="6" t="n"/>
      <c r="E107" s="29" t="n"/>
      <c r="F107" s="6" t="n"/>
      <c r="G107" s="25" t="n"/>
      <c r="H107" s="27">
        <f>IF(C107="","",IF(G107&lt;&gt;"",G107,IFERROR(INDEX(Clients!$G$5:$G$304,MATCH(C107,Clients!$A$5:$A$304,0)),0)))</f>
        <v/>
      </c>
      <c r="I107" s="25" t="n"/>
      <c r="J107" s="27">
        <f>IF(C107="","",H107+N(I107))</f>
        <v/>
      </c>
      <c r="K107" s="6" t="n"/>
      <c r="L107" s="6" t="n"/>
      <c r="M107" s="25" t="n"/>
      <c r="N107" s="10" t="n"/>
      <c r="O107" s="27">
        <f>IF(C107="","",N(E107)*Settings!$B$8)</f>
        <v/>
      </c>
      <c r="P107" s="27">
        <f>IF(C107="","",N(N107)*Settings!$B$10)</f>
        <v/>
      </c>
      <c r="Q107" s="27">
        <f>IF(C107="","",J107-N(M107)-O107-P107)</f>
        <v/>
      </c>
      <c r="R107" s="6" t="n"/>
    </row>
    <row r="108">
      <c r="A108" s="17">
        <f>IF(B108="","","J-"&amp;TEXT(ROW()-4,"0000"))</f>
        <v/>
      </c>
      <c r="B108" s="26" t="n"/>
      <c r="C108" s="6" t="n"/>
      <c r="D108" s="6" t="n"/>
      <c r="E108" s="29" t="n"/>
      <c r="F108" s="6" t="n"/>
      <c r="G108" s="25" t="n"/>
      <c r="H108" s="30">
        <f>IF(C108="","",IF(G108&lt;&gt;"",G108,IFERROR(INDEX(Clients!$G$5:$G$304,MATCH(C108,Clients!$A$5:$A$304,0)),0)))</f>
        <v/>
      </c>
      <c r="I108" s="25" t="n"/>
      <c r="J108" s="30">
        <f>IF(C108="","",H108+N(I108))</f>
        <v/>
      </c>
      <c r="K108" s="6" t="n"/>
      <c r="L108" s="6" t="n"/>
      <c r="M108" s="25" t="n"/>
      <c r="N108" s="10" t="n"/>
      <c r="O108" s="30">
        <f>IF(C108="","",N(E108)*Settings!$B$8)</f>
        <v/>
      </c>
      <c r="P108" s="30">
        <f>IF(C108="","",N(N108)*Settings!$B$10)</f>
        <v/>
      </c>
      <c r="Q108" s="30">
        <f>IF(C108="","",J108-N(M108)-O108-P108)</f>
        <v/>
      </c>
      <c r="R108" s="6" t="n"/>
    </row>
    <row r="109">
      <c r="A109" s="8">
        <f>IF(B109="","","J-"&amp;TEXT(ROW()-4,"0000"))</f>
        <v/>
      </c>
      <c r="B109" s="26" t="n"/>
      <c r="C109" s="6" t="n"/>
      <c r="D109" s="6" t="n"/>
      <c r="E109" s="29" t="n"/>
      <c r="F109" s="6" t="n"/>
      <c r="G109" s="25" t="n"/>
      <c r="H109" s="27">
        <f>IF(C109="","",IF(G109&lt;&gt;"",G109,IFERROR(INDEX(Clients!$G$5:$G$304,MATCH(C109,Clients!$A$5:$A$304,0)),0)))</f>
        <v/>
      </c>
      <c r="I109" s="25" t="n"/>
      <c r="J109" s="27">
        <f>IF(C109="","",H109+N(I109))</f>
        <v/>
      </c>
      <c r="K109" s="6" t="n"/>
      <c r="L109" s="6" t="n"/>
      <c r="M109" s="25" t="n"/>
      <c r="N109" s="10" t="n"/>
      <c r="O109" s="27">
        <f>IF(C109="","",N(E109)*Settings!$B$8)</f>
        <v/>
      </c>
      <c r="P109" s="27">
        <f>IF(C109="","",N(N109)*Settings!$B$10)</f>
        <v/>
      </c>
      <c r="Q109" s="27">
        <f>IF(C109="","",J109-N(M109)-O109-P109)</f>
        <v/>
      </c>
      <c r="R109" s="6" t="n"/>
    </row>
    <row r="110">
      <c r="A110" s="17">
        <f>IF(B110="","","J-"&amp;TEXT(ROW()-4,"0000"))</f>
        <v/>
      </c>
      <c r="B110" s="26" t="n"/>
      <c r="C110" s="6" t="n"/>
      <c r="D110" s="6" t="n"/>
      <c r="E110" s="29" t="n"/>
      <c r="F110" s="6" t="n"/>
      <c r="G110" s="25" t="n"/>
      <c r="H110" s="30">
        <f>IF(C110="","",IF(G110&lt;&gt;"",G110,IFERROR(INDEX(Clients!$G$5:$G$304,MATCH(C110,Clients!$A$5:$A$304,0)),0)))</f>
        <v/>
      </c>
      <c r="I110" s="25" t="n"/>
      <c r="J110" s="30">
        <f>IF(C110="","",H110+N(I110))</f>
        <v/>
      </c>
      <c r="K110" s="6" t="n"/>
      <c r="L110" s="6" t="n"/>
      <c r="M110" s="25" t="n"/>
      <c r="N110" s="10" t="n"/>
      <c r="O110" s="30">
        <f>IF(C110="","",N(E110)*Settings!$B$8)</f>
        <v/>
      </c>
      <c r="P110" s="30">
        <f>IF(C110="","",N(N110)*Settings!$B$10)</f>
        <v/>
      </c>
      <c r="Q110" s="30">
        <f>IF(C110="","",J110-N(M110)-O110-P110)</f>
        <v/>
      </c>
      <c r="R110" s="6" t="n"/>
    </row>
    <row r="111">
      <c r="A111" s="8">
        <f>IF(B111="","","J-"&amp;TEXT(ROW()-4,"0000"))</f>
        <v/>
      </c>
      <c r="B111" s="26" t="n"/>
      <c r="C111" s="6" t="n"/>
      <c r="D111" s="6" t="n"/>
      <c r="E111" s="29" t="n"/>
      <c r="F111" s="6" t="n"/>
      <c r="G111" s="25" t="n"/>
      <c r="H111" s="27">
        <f>IF(C111="","",IF(G111&lt;&gt;"",G111,IFERROR(INDEX(Clients!$G$5:$G$304,MATCH(C111,Clients!$A$5:$A$304,0)),0)))</f>
        <v/>
      </c>
      <c r="I111" s="25" t="n"/>
      <c r="J111" s="27">
        <f>IF(C111="","",H111+N(I111))</f>
        <v/>
      </c>
      <c r="K111" s="6" t="n"/>
      <c r="L111" s="6" t="n"/>
      <c r="M111" s="25" t="n"/>
      <c r="N111" s="10" t="n"/>
      <c r="O111" s="27">
        <f>IF(C111="","",N(E111)*Settings!$B$8)</f>
        <v/>
      </c>
      <c r="P111" s="27">
        <f>IF(C111="","",N(N111)*Settings!$B$10)</f>
        <v/>
      </c>
      <c r="Q111" s="27">
        <f>IF(C111="","",J111-N(M111)-O111-P111)</f>
        <v/>
      </c>
      <c r="R111" s="6" t="n"/>
    </row>
    <row r="112">
      <c r="A112" s="17">
        <f>IF(B112="","","J-"&amp;TEXT(ROW()-4,"0000"))</f>
        <v/>
      </c>
      <c r="B112" s="26" t="n"/>
      <c r="C112" s="6" t="n"/>
      <c r="D112" s="6" t="n"/>
      <c r="E112" s="29" t="n"/>
      <c r="F112" s="6" t="n"/>
      <c r="G112" s="25" t="n"/>
      <c r="H112" s="30">
        <f>IF(C112="","",IF(G112&lt;&gt;"",G112,IFERROR(INDEX(Clients!$G$5:$G$304,MATCH(C112,Clients!$A$5:$A$304,0)),0)))</f>
        <v/>
      </c>
      <c r="I112" s="25" t="n"/>
      <c r="J112" s="30">
        <f>IF(C112="","",H112+N(I112))</f>
        <v/>
      </c>
      <c r="K112" s="6" t="n"/>
      <c r="L112" s="6" t="n"/>
      <c r="M112" s="25" t="n"/>
      <c r="N112" s="10" t="n"/>
      <c r="O112" s="30">
        <f>IF(C112="","",N(E112)*Settings!$B$8)</f>
        <v/>
      </c>
      <c r="P112" s="30">
        <f>IF(C112="","",N(N112)*Settings!$B$10)</f>
        <v/>
      </c>
      <c r="Q112" s="30">
        <f>IF(C112="","",J112-N(M112)-O112-P112)</f>
        <v/>
      </c>
      <c r="R112" s="6" t="n"/>
    </row>
    <row r="113">
      <c r="A113" s="8">
        <f>IF(B113="","","J-"&amp;TEXT(ROW()-4,"0000"))</f>
        <v/>
      </c>
      <c r="B113" s="26" t="n"/>
      <c r="C113" s="6" t="n"/>
      <c r="D113" s="6" t="n"/>
      <c r="E113" s="29" t="n"/>
      <c r="F113" s="6" t="n"/>
      <c r="G113" s="25" t="n"/>
      <c r="H113" s="27">
        <f>IF(C113="","",IF(G113&lt;&gt;"",G113,IFERROR(INDEX(Clients!$G$5:$G$304,MATCH(C113,Clients!$A$5:$A$304,0)),0)))</f>
        <v/>
      </c>
      <c r="I113" s="25" t="n"/>
      <c r="J113" s="27">
        <f>IF(C113="","",H113+N(I113))</f>
        <v/>
      </c>
      <c r="K113" s="6" t="n"/>
      <c r="L113" s="6" t="n"/>
      <c r="M113" s="25" t="n"/>
      <c r="N113" s="10" t="n"/>
      <c r="O113" s="27">
        <f>IF(C113="","",N(E113)*Settings!$B$8)</f>
        <v/>
      </c>
      <c r="P113" s="27">
        <f>IF(C113="","",N(N113)*Settings!$B$10)</f>
        <v/>
      </c>
      <c r="Q113" s="27">
        <f>IF(C113="","",J113-N(M113)-O113-P113)</f>
        <v/>
      </c>
      <c r="R113" s="6" t="n"/>
    </row>
    <row r="114">
      <c r="A114" s="17">
        <f>IF(B114="","","J-"&amp;TEXT(ROW()-4,"0000"))</f>
        <v/>
      </c>
      <c r="B114" s="26" t="n"/>
      <c r="C114" s="6" t="n"/>
      <c r="D114" s="6" t="n"/>
      <c r="E114" s="29" t="n"/>
      <c r="F114" s="6" t="n"/>
      <c r="G114" s="25" t="n"/>
      <c r="H114" s="30">
        <f>IF(C114="","",IF(G114&lt;&gt;"",G114,IFERROR(INDEX(Clients!$G$5:$G$304,MATCH(C114,Clients!$A$5:$A$304,0)),0)))</f>
        <v/>
      </c>
      <c r="I114" s="25" t="n"/>
      <c r="J114" s="30">
        <f>IF(C114="","",H114+N(I114))</f>
        <v/>
      </c>
      <c r="K114" s="6" t="n"/>
      <c r="L114" s="6" t="n"/>
      <c r="M114" s="25" t="n"/>
      <c r="N114" s="10" t="n"/>
      <c r="O114" s="30">
        <f>IF(C114="","",N(E114)*Settings!$B$8)</f>
        <v/>
      </c>
      <c r="P114" s="30">
        <f>IF(C114="","",N(N114)*Settings!$B$10)</f>
        <v/>
      </c>
      <c r="Q114" s="30">
        <f>IF(C114="","",J114-N(M114)-O114-P114)</f>
        <v/>
      </c>
      <c r="R114" s="6" t="n"/>
    </row>
    <row r="115">
      <c r="A115" s="8">
        <f>IF(B115="","","J-"&amp;TEXT(ROW()-4,"0000"))</f>
        <v/>
      </c>
      <c r="B115" s="26" t="n"/>
      <c r="C115" s="6" t="n"/>
      <c r="D115" s="6" t="n"/>
      <c r="E115" s="29" t="n"/>
      <c r="F115" s="6" t="n"/>
      <c r="G115" s="25" t="n"/>
      <c r="H115" s="27">
        <f>IF(C115="","",IF(G115&lt;&gt;"",G115,IFERROR(INDEX(Clients!$G$5:$G$304,MATCH(C115,Clients!$A$5:$A$304,0)),0)))</f>
        <v/>
      </c>
      <c r="I115" s="25" t="n"/>
      <c r="J115" s="27">
        <f>IF(C115="","",H115+N(I115))</f>
        <v/>
      </c>
      <c r="K115" s="6" t="n"/>
      <c r="L115" s="6" t="n"/>
      <c r="M115" s="25" t="n"/>
      <c r="N115" s="10" t="n"/>
      <c r="O115" s="27">
        <f>IF(C115="","",N(E115)*Settings!$B$8)</f>
        <v/>
      </c>
      <c r="P115" s="27">
        <f>IF(C115="","",N(N115)*Settings!$B$10)</f>
        <v/>
      </c>
      <c r="Q115" s="27">
        <f>IF(C115="","",J115-N(M115)-O115-P115)</f>
        <v/>
      </c>
      <c r="R115" s="6" t="n"/>
    </row>
    <row r="116">
      <c r="A116" s="17">
        <f>IF(B116="","","J-"&amp;TEXT(ROW()-4,"0000"))</f>
        <v/>
      </c>
      <c r="B116" s="26" t="n"/>
      <c r="C116" s="6" t="n"/>
      <c r="D116" s="6" t="n"/>
      <c r="E116" s="29" t="n"/>
      <c r="F116" s="6" t="n"/>
      <c r="G116" s="25" t="n"/>
      <c r="H116" s="30">
        <f>IF(C116="","",IF(G116&lt;&gt;"",G116,IFERROR(INDEX(Clients!$G$5:$G$304,MATCH(C116,Clients!$A$5:$A$304,0)),0)))</f>
        <v/>
      </c>
      <c r="I116" s="25" t="n"/>
      <c r="J116" s="30">
        <f>IF(C116="","",H116+N(I116))</f>
        <v/>
      </c>
      <c r="K116" s="6" t="n"/>
      <c r="L116" s="6" t="n"/>
      <c r="M116" s="25" t="n"/>
      <c r="N116" s="10" t="n"/>
      <c r="O116" s="30">
        <f>IF(C116="","",N(E116)*Settings!$B$8)</f>
        <v/>
      </c>
      <c r="P116" s="30">
        <f>IF(C116="","",N(N116)*Settings!$B$10)</f>
        <v/>
      </c>
      <c r="Q116" s="30">
        <f>IF(C116="","",J116-N(M116)-O116-P116)</f>
        <v/>
      </c>
      <c r="R116" s="6" t="n"/>
    </row>
    <row r="117">
      <c r="A117" s="8">
        <f>IF(B117="","","J-"&amp;TEXT(ROW()-4,"0000"))</f>
        <v/>
      </c>
      <c r="B117" s="26" t="n"/>
      <c r="C117" s="6" t="n"/>
      <c r="D117" s="6" t="n"/>
      <c r="E117" s="29" t="n"/>
      <c r="F117" s="6" t="n"/>
      <c r="G117" s="25" t="n"/>
      <c r="H117" s="27">
        <f>IF(C117="","",IF(G117&lt;&gt;"",G117,IFERROR(INDEX(Clients!$G$5:$G$304,MATCH(C117,Clients!$A$5:$A$304,0)),0)))</f>
        <v/>
      </c>
      <c r="I117" s="25" t="n"/>
      <c r="J117" s="27">
        <f>IF(C117="","",H117+N(I117))</f>
        <v/>
      </c>
      <c r="K117" s="6" t="n"/>
      <c r="L117" s="6" t="n"/>
      <c r="M117" s="25" t="n"/>
      <c r="N117" s="10" t="n"/>
      <c r="O117" s="27">
        <f>IF(C117="","",N(E117)*Settings!$B$8)</f>
        <v/>
      </c>
      <c r="P117" s="27">
        <f>IF(C117="","",N(N117)*Settings!$B$10)</f>
        <v/>
      </c>
      <c r="Q117" s="27">
        <f>IF(C117="","",J117-N(M117)-O117-P117)</f>
        <v/>
      </c>
      <c r="R117" s="6" t="n"/>
    </row>
    <row r="118">
      <c r="A118" s="17">
        <f>IF(B118="","","J-"&amp;TEXT(ROW()-4,"0000"))</f>
        <v/>
      </c>
      <c r="B118" s="26" t="n"/>
      <c r="C118" s="6" t="n"/>
      <c r="D118" s="6" t="n"/>
      <c r="E118" s="29" t="n"/>
      <c r="F118" s="6" t="n"/>
      <c r="G118" s="25" t="n"/>
      <c r="H118" s="30">
        <f>IF(C118="","",IF(G118&lt;&gt;"",G118,IFERROR(INDEX(Clients!$G$5:$G$304,MATCH(C118,Clients!$A$5:$A$304,0)),0)))</f>
        <v/>
      </c>
      <c r="I118" s="25" t="n"/>
      <c r="J118" s="30">
        <f>IF(C118="","",H118+N(I118))</f>
        <v/>
      </c>
      <c r="K118" s="6" t="n"/>
      <c r="L118" s="6" t="n"/>
      <c r="M118" s="25" t="n"/>
      <c r="N118" s="10" t="n"/>
      <c r="O118" s="30">
        <f>IF(C118="","",N(E118)*Settings!$B$8)</f>
        <v/>
      </c>
      <c r="P118" s="30">
        <f>IF(C118="","",N(N118)*Settings!$B$10)</f>
        <v/>
      </c>
      <c r="Q118" s="30">
        <f>IF(C118="","",J118-N(M118)-O118-P118)</f>
        <v/>
      </c>
      <c r="R118" s="6" t="n"/>
    </row>
    <row r="119">
      <c r="A119" s="8">
        <f>IF(B119="","","J-"&amp;TEXT(ROW()-4,"0000"))</f>
        <v/>
      </c>
      <c r="B119" s="26" t="n"/>
      <c r="C119" s="6" t="n"/>
      <c r="D119" s="6" t="n"/>
      <c r="E119" s="29" t="n"/>
      <c r="F119" s="6" t="n"/>
      <c r="G119" s="25" t="n"/>
      <c r="H119" s="27">
        <f>IF(C119="","",IF(G119&lt;&gt;"",G119,IFERROR(INDEX(Clients!$G$5:$G$304,MATCH(C119,Clients!$A$5:$A$304,0)),0)))</f>
        <v/>
      </c>
      <c r="I119" s="25" t="n"/>
      <c r="J119" s="27">
        <f>IF(C119="","",H119+N(I119))</f>
        <v/>
      </c>
      <c r="K119" s="6" t="n"/>
      <c r="L119" s="6" t="n"/>
      <c r="M119" s="25" t="n"/>
      <c r="N119" s="10" t="n"/>
      <c r="O119" s="27">
        <f>IF(C119="","",N(E119)*Settings!$B$8)</f>
        <v/>
      </c>
      <c r="P119" s="27">
        <f>IF(C119="","",N(N119)*Settings!$B$10)</f>
        <v/>
      </c>
      <c r="Q119" s="27">
        <f>IF(C119="","",J119-N(M119)-O119-P119)</f>
        <v/>
      </c>
      <c r="R119" s="6" t="n"/>
    </row>
    <row r="120">
      <c r="A120" s="17">
        <f>IF(B120="","","J-"&amp;TEXT(ROW()-4,"0000"))</f>
        <v/>
      </c>
      <c r="B120" s="26" t="n"/>
      <c r="C120" s="6" t="n"/>
      <c r="D120" s="6" t="n"/>
      <c r="E120" s="29" t="n"/>
      <c r="F120" s="6" t="n"/>
      <c r="G120" s="25" t="n"/>
      <c r="H120" s="30">
        <f>IF(C120="","",IF(G120&lt;&gt;"",G120,IFERROR(INDEX(Clients!$G$5:$G$304,MATCH(C120,Clients!$A$5:$A$304,0)),0)))</f>
        <v/>
      </c>
      <c r="I120" s="25" t="n"/>
      <c r="J120" s="30">
        <f>IF(C120="","",H120+N(I120))</f>
        <v/>
      </c>
      <c r="K120" s="6" t="n"/>
      <c r="L120" s="6" t="n"/>
      <c r="M120" s="25" t="n"/>
      <c r="N120" s="10" t="n"/>
      <c r="O120" s="30">
        <f>IF(C120="","",N(E120)*Settings!$B$8)</f>
        <v/>
      </c>
      <c r="P120" s="30">
        <f>IF(C120="","",N(N120)*Settings!$B$10)</f>
        <v/>
      </c>
      <c r="Q120" s="30">
        <f>IF(C120="","",J120-N(M120)-O120-P120)</f>
        <v/>
      </c>
      <c r="R120" s="6" t="n"/>
    </row>
    <row r="121">
      <c r="A121" s="8">
        <f>IF(B121="","","J-"&amp;TEXT(ROW()-4,"0000"))</f>
        <v/>
      </c>
      <c r="B121" s="26" t="n"/>
      <c r="C121" s="6" t="n"/>
      <c r="D121" s="6" t="n"/>
      <c r="E121" s="29" t="n"/>
      <c r="F121" s="6" t="n"/>
      <c r="G121" s="25" t="n"/>
      <c r="H121" s="27">
        <f>IF(C121="","",IF(G121&lt;&gt;"",G121,IFERROR(INDEX(Clients!$G$5:$G$304,MATCH(C121,Clients!$A$5:$A$304,0)),0)))</f>
        <v/>
      </c>
      <c r="I121" s="25" t="n"/>
      <c r="J121" s="27">
        <f>IF(C121="","",H121+N(I121))</f>
        <v/>
      </c>
      <c r="K121" s="6" t="n"/>
      <c r="L121" s="6" t="n"/>
      <c r="M121" s="25" t="n"/>
      <c r="N121" s="10" t="n"/>
      <c r="O121" s="27">
        <f>IF(C121="","",N(E121)*Settings!$B$8)</f>
        <v/>
      </c>
      <c r="P121" s="27">
        <f>IF(C121="","",N(N121)*Settings!$B$10)</f>
        <v/>
      </c>
      <c r="Q121" s="27">
        <f>IF(C121="","",J121-N(M121)-O121-P121)</f>
        <v/>
      </c>
      <c r="R121" s="6" t="n"/>
    </row>
    <row r="122">
      <c r="A122" s="17">
        <f>IF(B122="","","J-"&amp;TEXT(ROW()-4,"0000"))</f>
        <v/>
      </c>
      <c r="B122" s="26" t="n"/>
      <c r="C122" s="6" t="n"/>
      <c r="D122" s="6" t="n"/>
      <c r="E122" s="29" t="n"/>
      <c r="F122" s="6" t="n"/>
      <c r="G122" s="25" t="n"/>
      <c r="H122" s="30">
        <f>IF(C122="","",IF(G122&lt;&gt;"",G122,IFERROR(INDEX(Clients!$G$5:$G$304,MATCH(C122,Clients!$A$5:$A$304,0)),0)))</f>
        <v/>
      </c>
      <c r="I122" s="25" t="n"/>
      <c r="J122" s="30">
        <f>IF(C122="","",H122+N(I122))</f>
        <v/>
      </c>
      <c r="K122" s="6" t="n"/>
      <c r="L122" s="6" t="n"/>
      <c r="M122" s="25" t="n"/>
      <c r="N122" s="10" t="n"/>
      <c r="O122" s="30">
        <f>IF(C122="","",N(E122)*Settings!$B$8)</f>
        <v/>
      </c>
      <c r="P122" s="30">
        <f>IF(C122="","",N(N122)*Settings!$B$10)</f>
        <v/>
      </c>
      <c r="Q122" s="30">
        <f>IF(C122="","",J122-N(M122)-O122-P122)</f>
        <v/>
      </c>
      <c r="R122" s="6" t="n"/>
    </row>
    <row r="123">
      <c r="A123" s="8">
        <f>IF(B123="","","J-"&amp;TEXT(ROW()-4,"0000"))</f>
        <v/>
      </c>
      <c r="B123" s="26" t="n"/>
      <c r="C123" s="6" t="n"/>
      <c r="D123" s="6" t="n"/>
      <c r="E123" s="29" t="n"/>
      <c r="F123" s="6" t="n"/>
      <c r="G123" s="25" t="n"/>
      <c r="H123" s="27">
        <f>IF(C123="","",IF(G123&lt;&gt;"",G123,IFERROR(INDEX(Clients!$G$5:$G$304,MATCH(C123,Clients!$A$5:$A$304,0)),0)))</f>
        <v/>
      </c>
      <c r="I123" s="25" t="n"/>
      <c r="J123" s="27">
        <f>IF(C123="","",H123+N(I123))</f>
        <v/>
      </c>
      <c r="K123" s="6" t="n"/>
      <c r="L123" s="6" t="n"/>
      <c r="M123" s="25" t="n"/>
      <c r="N123" s="10" t="n"/>
      <c r="O123" s="27">
        <f>IF(C123="","",N(E123)*Settings!$B$8)</f>
        <v/>
      </c>
      <c r="P123" s="27">
        <f>IF(C123="","",N(N123)*Settings!$B$10)</f>
        <v/>
      </c>
      <c r="Q123" s="27">
        <f>IF(C123="","",J123-N(M123)-O123-P123)</f>
        <v/>
      </c>
      <c r="R123" s="6" t="n"/>
    </row>
    <row r="124">
      <c r="A124" s="17">
        <f>IF(B124="","","J-"&amp;TEXT(ROW()-4,"0000"))</f>
        <v/>
      </c>
      <c r="B124" s="26" t="n"/>
      <c r="C124" s="6" t="n"/>
      <c r="D124" s="6" t="n"/>
      <c r="E124" s="29" t="n"/>
      <c r="F124" s="6" t="n"/>
      <c r="G124" s="25" t="n"/>
      <c r="H124" s="30">
        <f>IF(C124="","",IF(G124&lt;&gt;"",G124,IFERROR(INDEX(Clients!$G$5:$G$304,MATCH(C124,Clients!$A$5:$A$304,0)),0)))</f>
        <v/>
      </c>
      <c r="I124" s="25" t="n"/>
      <c r="J124" s="30">
        <f>IF(C124="","",H124+N(I124))</f>
        <v/>
      </c>
      <c r="K124" s="6" t="n"/>
      <c r="L124" s="6" t="n"/>
      <c r="M124" s="25" t="n"/>
      <c r="N124" s="10" t="n"/>
      <c r="O124" s="30">
        <f>IF(C124="","",N(E124)*Settings!$B$8)</f>
        <v/>
      </c>
      <c r="P124" s="30">
        <f>IF(C124="","",N(N124)*Settings!$B$10)</f>
        <v/>
      </c>
      <c r="Q124" s="30">
        <f>IF(C124="","",J124-N(M124)-O124-P124)</f>
        <v/>
      </c>
      <c r="R124" s="6" t="n"/>
    </row>
    <row r="125">
      <c r="A125" s="8">
        <f>IF(B125="","","J-"&amp;TEXT(ROW()-4,"0000"))</f>
        <v/>
      </c>
      <c r="B125" s="26" t="n"/>
      <c r="C125" s="6" t="n"/>
      <c r="D125" s="6" t="n"/>
      <c r="E125" s="29" t="n"/>
      <c r="F125" s="6" t="n"/>
      <c r="G125" s="25" t="n"/>
      <c r="H125" s="27">
        <f>IF(C125="","",IF(G125&lt;&gt;"",G125,IFERROR(INDEX(Clients!$G$5:$G$304,MATCH(C125,Clients!$A$5:$A$304,0)),0)))</f>
        <v/>
      </c>
      <c r="I125" s="25" t="n"/>
      <c r="J125" s="27">
        <f>IF(C125="","",H125+N(I125))</f>
        <v/>
      </c>
      <c r="K125" s="6" t="n"/>
      <c r="L125" s="6" t="n"/>
      <c r="M125" s="25" t="n"/>
      <c r="N125" s="10" t="n"/>
      <c r="O125" s="27">
        <f>IF(C125="","",N(E125)*Settings!$B$8)</f>
        <v/>
      </c>
      <c r="P125" s="27">
        <f>IF(C125="","",N(N125)*Settings!$B$10)</f>
        <v/>
      </c>
      <c r="Q125" s="27">
        <f>IF(C125="","",J125-N(M125)-O125-P125)</f>
        <v/>
      </c>
      <c r="R125" s="6" t="n"/>
    </row>
    <row r="126">
      <c r="A126" s="17">
        <f>IF(B126="","","J-"&amp;TEXT(ROW()-4,"0000"))</f>
        <v/>
      </c>
      <c r="B126" s="26" t="n"/>
      <c r="C126" s="6" t="n"/>
      <c r="D126" s="6" t="n"/>
      <c r="E126" s="29" t="n"/>
      <c r="F126" s="6" t="n"/>
      <c r="G126" s="25" t="n"/>
      <c r="H126" s="30">
        <f>IF(C126="","",IF(G126&lt;&gt;"",G126,IFERROR(INDEX(Clients!$G$5:$G$304,MATCH(C126,Clients!$A$5:$A$304,0)),0)))</f>
        <v/>
      </c>
      <c r="I126" s="25" t="n"/>
      <c r="J126" s="30">
        <f>IF(C126="","",H126+N(I126))</f>
        <v/>
      </c>
      <c r="K126" s="6" t="n"/>
      <c r="L126" s="6" t="n"/>
      <c r="M126" s="25" t="n"/>
      <c r="N126" s="10" t="n"/>
      <c r="O126" s="30">
        <f>IF(C126="","",N(E126)*Settings!$B$8)</f>
        <v/>
      </c>
      <c r="P126" s="30">
        <f>IF(C126="","",N(N126)*Settings!$B$10)</f>
        <v/>
      </c>
      <c r="Q126" s="30">
        <f>IF(C126="","",J126-N(M126)-O126-P126)</f>
        <v/>
      </c>
      <c r="R126" s="6" t="n"/>
    </row>
    <row r="127">
      <c r="A127" s="8">
        <f>IF(B127="","","J-"&amp;TEXT(ROW()-4,"0000"))</f>
        <v/>
      </c>
      <c r="B127" s="26" t="n"/>
      <c r="C127" s="6" t="n"/>
      <c r="D127" s="6" t="n"/>
      <c r="E127" s="29" t="n"/>
      <c r="F127" s="6" t="n"/>
      <c r="G127" s="25" t="n"/>
      <c r="H127" s="27">
        <f>IF(C127="","",IF(G127&lt;&gt;"",G127,IFERROR(INDEX(Clients!$G$5:$G$304,MATCH(C127,Clients!$A$5:$A$304,0)),0)))</f>
        <v/>
      </c>
      <c r="I127" s="25" t="n"/>
      <c r="J127" s="27">
        <f>IF(C127="","",H127+N(I127))</f>
        <v/>
      </c>
      <c r="K127" s="6" t="n"/>
      <c r="L127" s="6" t="n"/>
      <c r="M127" s="25" t="n"/>
      <c r="N127" s="10" t="n"/>
      <c r="O127" s="27">
        <f>IF(C127="","",N(E127)*Settings!$B$8)</f>
        <v/>
      </c>
      <c r="P127" s="27">
        <f>IF(C127="","",N(N127)*Settings!$B$10)</f>
        <v/>
      </c>
      <c r="Q127" s="27">
        <f>IF(C127="","",J127-N(M127)-O127-P127)</f>
        <v/>
      </c>
      <c r="R127" s="6" t="n"/>
    </row>
    <row r="128">
      <c r="A128" s="17">
        <f>IF(B128="","","J-"&amp;TEXT(ROW()-4,"0000"))</f>
        <v/>
      </c>
      <c r="B128" s="26" t="n"/>
      <c r="C128" s="6" t="n"/>
      <c r="D128" s="6" t="n"/>
      <c r="E128" s="29" t="n"/>
      <c r="F128" s="6" t="n"/>
      <c r="G128" s="25" t="n"/>
      <c r="H128" s="30">
        <f>IF(C128="","",IF(G128&lt;&gt;"",G128,IFERROR(INDEX(Clients!$G$5:$G$304,MATCH(C128,Clients!$A$5:$A$304,0)),0)))</f>
        <v/>
      </c>
      <c r="I128" s="25" t="n"/>
      <c r="J128" s="30">
        <f>IF(C128="","",H128+N(I128))</f>
        <v/>
      </c>
      <c r="K128" s="6" t="n"/>
      <c r="L128" s="6" t="n"/>
      <c r="M128" s="25" t="n"/>
      <c r="N128" s="10" t="n"/>
      <c r="O128" s="30">
        <f>IF(C128="","",N(E128)*Settings!$B$8)</f>
        <v/>
      </c>
      <c r="P128" s="30">
        <f>IF(C128="","",N(N128)*Settings!$B$10)</f>
        <v/>
      </c>
      <c r="Q128" s="30">
        <f>IF(C128="","",J128-N(M128)-O128-P128)</f>
        <v/>
      </c>
      <c r="R128" s="6" t="n"/>
    </row>
    <row r="129">
      <c r="A129" s="8">
        <f>IF(B129="","","J-"&amp;TEXT(ROW()-4,"0000"))</f>
        <v/>
      </c>
      <c r="B129" s="26" t="n"/>
      <c r="C129" s="6" t="n"/>
      <c r="D129" s="6" t="n"/>
      <c r="E129" s="29" t="n"/>
      <c r="F129" s="6" t="n"/>
      <c r="G129" s="25" t="n"/>
      <c r="H129" s="27">
        <f>IF(C129="","",IF(G129&lt;&gt;"",G129,IFERROR(INDEX(Clients!$G$5:$G$304,MATCH(C129,Clients!$A$5:$A$304,0)),0)))</f>
        <v/>
      </c>
      <c r="I129" s="25" t="n"/>
      <c r="J129" s="27">
        <f>IF(C129="","",H129+N(I129))</f>
        <v/>
      </c>
      <c r="K129" s="6" t="n"/>
      <c r="L129" s="6" t="n"/>
      <c r="M129" s="25" t="n"/>
      <c r="N129" s="10" t="n"/>
      <c r="O129" s="27">
        <f>IF(C129="","",N(E129)*Settings!$B$8)</f>
        <v/>
      </c>
      <c r="P129" s="27">
        <f>IF(C129="","",N(N129)*Settings!$B$10)</f>
        <v/>
      </c>
      <c r="Q129" s="27">
        <f>IF(C129="","",J129-N(M129)-O129-P129)</f>
        <v/>
      </c>
      <c r="R129" s="6" t="n"/>
    </row>
    <row r="130">
      <c r="A130" s="17">
        <f>IF(B130="","","J-"&amp;TEXT(ROW()-4,"0000"))</f>
        <v/>
      </c>
      <c r="B130" s="26" t="n"/>
      <c r="C130" s="6" t="n"/>
      <c r="D130" s="6" t="n"/>
      <c r="E130" s="29" t="n"/>
      <c r="F130" s="6" t="n"/>
      <c r="G130" s="25" t="n"/>
      <c r="H130" s="30">
        <f>IF(C130="","",IF(G130&lt;&gt;"",G130,IFERROR(INDEX(Clients!$G$5:$G$304,MATCH(C130,Clients!$A$5:$A$304,0)),0)))</f>
        <v/>
      </c>
      <c r="I130" s="25" t="n"/>
      <c r="J130" s="30">
        <f>IF(C130="","",H130+N(I130))</f>
        <v/>
      </c>
      <c r="K130" s="6" t="n"/>
      <c r="L130" s="6" t="n"/>
      <c r="M130" s="25" t="n"/>
      <c r="N130" s="10" t="n"/>
      <c r="O130" s="30">
        <f>IF(C130="","",N(E130)*Settings!$B$8)</f>
        <v/>
      </c>
      <c r="P130" s="30">
        <f>IF(C130="","",N(N130)*Settings!$B$10)</f>
        <v/>
      </c>
      <c r="Q130" s="30">
        <f>IF(C130="","",J130-N(M130)-O130-P130)</f>
        <v/>
      </c>
      <c r="R130" s="6" t="n"/>
    </row>
    <row r="131">
      <c r="A131" s="8">
        <f>IF(B131="","","J-"&amp;TEXT(ROW()-4,"0000"))</f>
        <v/>
      </c>
      <c r="B131" s="26" t="n"/>
      <c r="C131" s="6" t="n"/>
      <c r="D131" s="6" t="n"/>
      <c r="E131" s="29" t="n"/>
      <c r="F131" s="6" t="n"/>
      <c r="G131" s="25" t="n"/>
      <c r="H131" s="27">
        <f>IF(C131="","",IF(G131&lt;&gt;"",G131,IFERROR(INDEX(Clients!$G$5:$G$304,MATCH(C131,Clients!$A$5:$A$304,0)),0)))</f>
        <v/>
      </c>
      <c r="I131" s="25" t="n"/>
      <c r="J131" s="27">
        <f>IF(C131="","",H131+N(I131))</f>
        <v/>
      </c>
      <c r="K131" s="6" t="n"/>
      <c r="L131" s="6" t="n"/>
      <c r="M131" s="25" t="n"/>
      <c r="N131" s="10" t="n"/>
      <c r="O131" s="27">
        <f>IF(C131="","",N(E131)*Settings!$B$8)</f>
        <v/>
      </c>
      <c r="P131" s="27">
        <f>IF(C131="","",N(N131)*Settings!$B$10)</f>
        <v/>
      </c>
      <c r="Q131" s="27">
        <f>IF(C131="","",J131-N(M131)-O131-P131)</f>
        <v/>
      </c>
      <c r="R131" s="6" t="n"/>
    </row>
    <row r="132">
      <c r="A132" s="17">
        <f>IF(B132="","","J-"&amp;TEXT(ROW()-4,"0000"))</f>
        <v/>
      </c>
      <c r="B132" s="26" t="n"/>
      <c r="C132" s="6" t="n"/>
      <c r="D132" s="6" t="n"/>
      <c r="E132" s="29" t="n"/>
      <c r="F132" s="6" t="n"/>
      <c r="G132" s="25" t="n"/>
      <c r="H132" s="30">
        <f>IF(C132="","",IF(G132&lt;&gt;"",G132,IFERROR(INDEX(Clients!$G$5:$G$304,MATCH(C132,Clients!$A$5:$A$304,0)),0)))</f>
        <v/>
      </c>
      <c r="I132" s="25" t="n"/>
      <c r="J132" s="30">
        <f>IF(C132="","",H132+N(I132))</f>
        <v/>
      </c>
      <c r="K132" s="6" t="n"/>
      <c r="L132" s="6" t="n"/>
      <c r="M132" s="25" t="n"/>
      <c r="N132" s="10" t="n"/>
      <c r="O132" s="30">
        <f>IF(C132="","",N(E132)*Settings!$B$8)</f>
        <v/>
      </c>
      <c r="P132" s="30">
        <f>IF(C132="","",N(N132)*Settings!$B$10)</f>
        <v/>
      </c>
      <c r="Q132" s="30">
        <f>IF(C132="","",J132-N(M132)-O132-P132)</f>
        <v/>
      </c>
      <c r="R132" s="6" t="n"/>
    </row>
    <row r="133">
      <c r="A133" s="8">
        <f>IF(B133="","","J-"&amp;TEXT(ROW()-4,"0000"))</f>
        <v/>
      </c>
      <c r="B133" s="26" t="n"/>
      <c r="C133" s="6" t="n"/>
      <c r="D133" s="6" t="n"/>
      <c r="E133" s="29" t="n"/>
      <c r="F133" s="6" t="n"/>
      <c r="G133" s="25" t="n"/>
      <c r="H133" s="27">
        <f>IF(C133="","",IF(G133&lt;&gt;"",G133,IFERROR(INDEX(Clients!$G$5:$G$304,MATCH(C133,Clients!$A$5:$A$304,0)),0)))</f>
        <v/>
      </c>
      <c r="I133" s="25" t="n"/>
      <c r="J133" s="27">
        <f>IF(C133="","",H133+N(I133))</f>
        <v/>
      </c>
      <c r="K133" s="6" t="n"/>
      <c r="L133" s="6" t="n"/>
      <c r="M133" s="25" t="n"/>
      <c r="N133" s="10" t="n"/>
      <c r="O133" s="27">
        <f>IF(C133="","",N(E133)*Settings!$B$8)</f>
        <v/>
      </c>
      <c r="P133" s="27">
        <f>IF(C133="","",N(N133)*Settings!$B$10)</f>
        <v/>
      </c>
      <c r="Q133" s="27">
        <f>IF(C133="","",J133-N(M133)-O133-P133)</f>
        <v/>
      </c>
      <c r="R133" s="6" t="n"/>
    </row>
    <row r="134">
      <c r="A134" s="17">
        <f>IF(B134="","","J-"&amp;TEXT(ROW()-4,"0000"))</f>
        <v/>
      </c>
      <c r="B134" s="26" t="n"/>
      <c r="C134" s="6" t="n"/>
      <c r="D134" s="6" t="n"/>
      <c r="E134" s="29" t="n"/>
      <c r="F134" s="6" t="n"/>
      <c r="G134" s="25" t="n"/>
      <c r="H134" s="30">
        <f>IF(C134="","",IF(G134&lt;&gt;"",G134,IFERROR(INDEX(Clients!$G$5:$G$304,MATCH(C134,Clients!$A$5:$A$304,0)),0)))</f>
        <v/>
      </c>
      <c r="I134" s="25" t="n"/>
      <c r="J134" s="30">
        <f>IF(C134="","",H134+N(I134))</f>
        <v/>
      </c>
      <c r="K134" s="6" t="n"/>
      <c r="L134" s="6" t="n"/>
      <c r="M134" s="25" t="n"/>
      <c r="N134" s="10" t="n"/>
      <c r="O134" s="30">
        <f>IF(C134="","",N(E134)*Settings!$B$8)</f>
        <v/>
      </c>
      <c r="P134" s="30">
        <f>IF(C134="","",N(N134)*Settings!$B$10)</f>
        <v/>
      </c>
      <c r="Q134" s="30">
        <f>IF(C134="","",J134-N(M134)-O134-P134)</f>
        <v/>
      </c>
      <c r="R134" s="6" t="n"/>
    </row>
    <row r="135">
      <c r="A135" s="8">
        <f>IF(B135="","","J-"&amp;TEXT(ROW()-4,"0000"))</f>
        <v/>
      </c>
      <c r="B135" s="26" t="n"/>
      <c r="C135" s="6" t="n"/>
      <c r="D135" s="6" t="n"/>
      <c r="E135" s="29" t="n"/>
      <c r="F135" s="6" t="n"/>
      <c r="G135" s="25" t="n"/>
      <c r="H135" s="27">
        <f>IF(C135="","",IF(G135&lt;&gt;"",G135,IFERROR(INDEX(Clients!$G$5:$G$304,MATCH(C135,Clients!$A$5:$A$304,0)),0)))</f>
        <v/>
      </c>
      <c r="I135" s="25" t="n"/>
      <c r="J135" s="27">
        <f>IF(C135="","",H135+N(I135))</f>
        <v/>
      </c>
      <c r="K135" s="6" t="n"/>
      <c r="L135" s="6" t="n"/>
      <c r="M135" s="25" t="n"/>
      <c r="N135" s="10" t="n"/>
      <c r="O135" s="27">
        <f>IF(C135="","",N(E135)*Settings!$B$8)</f>
        <v/>
      </c>
      <c r="P135" s="27">
        <f>IF(C135="","",N(N135)*Settings!$B$10)</f>
        <v/>
      </c>
      <c r="Q135" s="27">
        <f>IF(C135="","",J135-N(M135)-O135-P135)</f>
        <v/>
      </c>
      <c r="R135" s="6" t="n"/>
    </row>
    <row r="136">
      <c r="A136" s="17">
        <f>IF(B136="","","J-"&amp;TEXT(ROW()-4,"0000"))</f>
        <v/>
      </c>
      <c r="B136" s="26" t="n"/>
      <c r="C136" s="6" t="n"/>
      <c r="D136" s="6" t="n"/>
      <c r="E136" s="29" t="n"/>
      <c r="F136" s="6" t="n"/>
      <c r="G136" s="25" t="n"/>
      <c r="H136" s="30">
        <f>IF(C136="","",IF(G136&lt;&gt;"",G136,IFERROR(INDEX(Clients!$G$5:$G$304,MATCH(C136,Clients!$A$5:$A$304,0)),0)))</f>
        <v/>
      </c>
      <c r="I136" s="25" t="n"/>
      <c r="J136" s="30">
        <f>IF(C136="","",H136+N(I136))</f>
        <v/>
      </c>
      <c r="K136" s="6" t="n"/>
      <c r="L136" s="6" t="n"/>
      <c r="M136" s="25" t="n"/>
      <c r="N136" s="10" t="n"/>
      <c r="O136" s="30">
        <f>IF(C136="","",N(E136)*Settings!$B$8)</f>
        <v/>
      </c>
      <c r="P136" s="30">
        <f>IF(C136="","",N(N136)*Settings!$B$10)</f>
        <v/>
      </c>
      <c r="Q136" s="30">
        <f>IF(C136="","",J136-N(M136)-O136-P136)</f>
        <v/>
      </c>
      <c r="R136" s="6" t="n"/>
    </row>
    <row r="137">
      <c r="A137" s="8">
        <f>IF(B137="","","J-"&amp;TEXT(ROW()-4,"0000"))</f>
        <v/>
      </c>
      <c r="B137" s="26" t="n"/>
      <c r="C137" s="6" t="n"/>
      <c r="D137" s="6" t="n"/>
      <c r="E137" s="29" t="n"/>
      <c r="F137" s="6" t="n"/>
      <c r="G137" s="25" t="n"/>
      <c r="H137" s="27">
        <f>IF(C137="","",IF(G137&lt;&gt;"",G137,IFERROR(INDEX(Clients!$G$5:$G$304,MATCH(C137,Clients!$A$5:$A$304,0)),0)))</f>
        <v/>
      </c>
      <c r="I137" s="25" t="n"/>
      <c r="J137" s="27">
        <f>IF(C137="","",H137+N(I137))</f>
        <v/>
      </c>
      <c r="K137" s="6" t="n"/>
      <c r="L137" s="6" t="n"/>
      <c r="M137" s="25" t="n"/>
      <c r="N137" s="10" t="n"/>
      <c r="O137" s="27">
        <f>IF(C137="","",N(E137)*Settings!$B$8)</f>
        <v/>
      </c>
      <c r="P137" s="27">
        <f>IF(C137="","",N(N137)*Settings!$B$10)</f>
        <v/>
      </c>
      <c r="Q137" s="27">
        <f>IF(C137="","",J137-N(M137)-O137-P137)</f>
        <v/>
      </c>
      <c r="R137" s="6" t="n"/>
    </row>
    <row r="138">
      <c r="A138" s="17">
        <f>IF(B138="","","J-"&amp;TEXT(ROW()-4,"0000"))</f>
        <v/>
      </c>
      <c r="B138" s="26" t="n"/>
      <c r="C138" s="6" t="n"/>
      <c r="D138" s="6" t="n"/>
      <c r="E138" s="29" t="n"/>
      <c r="F138" s="6" t="n"/>
      <c r="G138" s="25" t="n"/>
      <c r="H138" s="30">
        <f>IF(C138="","",IF(G138&lt;&gt;"",G138,IFERROR(INDEX(Clients!$G$5:$G$304,MATCH(C138,Clients!$A$5:$A$304,0)),0)))</f>
        <v/>
      </c>
      <c r="I138" s="25" t="n"/>
      <c r="J138" s="30">
        <f>IF(C138="","",H138+N(I138))</f>
        <v/>
      </c>
      <c r="K138" s="6" t="n"/>
      <c r="L138" s="6" t="n"/>
      <c r="M138" s="25" t="n"/>
      <c r="N138" s="10" t="n"/>
      <c r="O138" s="30">
        <f>IF(C138="","",N(E138)*Settings!$B$8)</f>
        <v/>
      </c>
      <c r="P138" s="30">
        <f>IF(C138="","",N(N138)*Settings!$B$10)</f>
        <v/>
      </c>
      <c r="Q138" s="30">
        <f>IF(C138="","",J138-N(M138)-O138-P138)</f>
        <v/>
      </c>
      <c r="R138" s="6" t="n"/>
    </row>
    <row r="139">
      <c r="A139" s="8">
        <f>IF(B139="","","J-"&amp;TEXT(ROW()-4,"0000"))</f>
        <v/>
      </c>
      <c r="B139" s="26" t="n"/>
      <c r="C139" s="6" t="n"/>
      <c r="D139" s="6" t="n"/>
      <c r="E139" s="29" t="n"/>
      <c r="F139" s="6" t="n"/>
      <c r="G139" s="25" t="n"/>
      <c r="H139" s="27">
        <f>IF(C139="","",IF(G139&lt;&gt;"",G139,IFERROR(INDEX(Clients!$G$5:$G$304,MATCH(C139,Clients!$A$5:$A$304,0)),0)))</f>
        <v/>
      </c>
      <c r="I139" s="25" t="n"/>
      <c r="J139" s="27">
        <f>IF(C139="","",H139+N(I139))</f>
        <v/>
      </c>
      <c r="K139" s="6" t="n"/>
      <c r="L139" s="6" t="n"/>
      <c r="M139" s="25" t="n"/>
      <c r="N139" s="10" t="n"/>
      <c r="O139" s="27">
        <f>IF(C139="","",N(E139)*Settings!$B$8)</f>
        <v/>
      </c>
      <c r="P139" s="27">
        <f>IF(C139="","",N(N139)*Settings!$B$10)</f>
        <v/>
      </c>
      <c r="Q139" s="27">
        <f>IF(C139="","",J139-N(M139)-O139-P139)</f>
        <v/>
      </c>
      <c r="R139" s="6" t="n"/>
    </row>
    <row r="140">
      <c r="A140" s="17">
        <f>IF(B140="","","J-"&amp;TEXT(ROW()-4,"0000"))</f>
        <v/>
      </c>
      <c r="B140" s="26" t="n"/>
      <c r="C140" s="6" t="n"/>
      <c r="D140" s="6" t="n"/>
      <c r="E140" s="29" t="n"/>
      <c r="F140" s="6" t="n"/>
      <c r="G140" s="25" t="n"/>
      <c r="H140" s="30">
        <f>IF(C140="","",IF(G140&lt;&gt;"",G140,IFERROR(INDEX(Clients!$G$5:$G$304,MATCH(C140,Clients!$A$5:$A$304,0)),0)))</f>
        <v/>
      </c>
      <c r="I140" s="25" t="n"/>
      <c r="J140" s="30">
        <f>IF(C140="","",H140+N(I140))</f>
        <v/>
      </c>
      <c r="K140" s="6" t="n"/>
      <c r="L140" s="6" t="n"/>
      <c r="M140" s="25" t="n"/>
      <c r="N140" s="10" t="n"/>
      <c r="O140" s="30">
        <f>IF(C140="","",N(E140)*Settings!$B$8)</f>
        <v/>
      </c>
      <c r="P140" s="30">
        <f>IF(C140="","",N(N140)*Settings!$B$10)</f>
        <v/>
      </c>
      <c r="Q140" s="30">
        <f>IF(C140="","",J140-N(M140)-O140-P140)</f>
        <v/>
      </c>
      <c r="R140" s="6" t="n"/>
    </row>
    <row r="141">
      <c r="A141" s="8">
        <f>IF(B141="","","J-"&amp;TEXT(ROW()-4,"0000"))</f>
        <v/>
      </c>
      <c r="B141" s="26" t="n"/>
      <c r="C141" s="6" t="n"/>
      <c r="D141" s="6" t="n"/>
      <c r="E141" s="29" t="n"/>
      <c r="F141" s="6" t="n"/>
      <c r="G141" s="25" t="n"/>
      <c r="H141" s="27">
        <f>IF(C141="","",IF(G141&lt;&gt;"",G141,IFERROR(INDEX(Clients!$G$5:$G$304,MATCH(C141,Clients!$A$5:$A$304,0)),0)))</f>
        <v/>
      </c>
      <c r="I141" s="25" t="n"/>
      <c r="J141" s="27">
        <f>IF(C141="","",H141+N(I141))</f>
        <v/>
      </c>
      <c r="K141" s="6" t="n"/>
      <c r="L141" s="6" t="n"/>
      <c r="M141" s="25" t="n"/>
      <c r="N141" s="10" t="n"/>
      <c r="O141" s="27">
        <f>IF(C141="","",N(E141)*Settings!$B$8)</f>
        <v/>
      </c>
      <c r="P141" s="27">
        <f>IF(C141="","",N(N141)*Settings!$B$10)</f>
        <v/>
      </c>
      <c r="Q141" s="27">
        <f>IF(C141="","",J141-N(M141)-O141-P141)</f>
        <v/>
      </c>
      <c r="R141" s="6" t="n"/>
    </row>
    <row r="142">
      <c r="A142" s="17">
        <f>IF(B142="","","J-"&amp;TEXT(ROW()-4,"0000"))</f>
        <v/>
      </c>
      <c r="B142" s="26" t="n"/>
      <c r="C142" s="6" t="n"/>
      <c r="D142" s="6" t="n"/>
      <c r="E142" s="29" t="n"/>
      <c r="F142" s="6" t="n"/>
      <c r="G142" s="25" t="n"/>
      <c r="H142" s="30">
        <f>IF(C142="","",IF(G142&lt;&gt;"",G142,IFERROR(INDEX(Clients!$G$5:$G$304,MATCH(C142,Clients!$A$5:$A$304,0)),0)))</f>
        <v/>
      </c>
      <c r="I142" s="25" t="n"/>
      <c r="J142" s="30">
        <f>IF(C142="","",H142+N(I142))</f>
        <v/>
      </c>
      <c r="K142" s="6" t="n"/>
      <c r="L142" s="6" t="n"/>
      <c r="M142" s="25" t="n"/>
      <c r="N142" s="10" t="n"/>
      <c r="O142" s="30">
        <f>IF(C142="","",N(E142)*Settings!$B$8)</f>
        <v/>
      </c>
      <c r="P142" s="30">
        <f>IF(C142="","",N(N142)*Settings!$B$10)</f>
        <v/>
      </c>
      <c r="Q142" s="30">
        <f>IF(C142="","",J142-N(M142)-O142-P142)</f>
        <v/>
      </c>
      <c r="R142" s="6" t="n"/>
    </row>
    <row r="143">
      <c r="A143" s="8">
        <f>IF(B143="","","J-"&amp;TEXT(ROW()-4,"0000"))</f>
        <v/>
      </c>
      <c r="B143" s="26" t="n"/>
      <c r="C143" s="6" t="n"/>
      <c r="D143" s="6" t="n"/>
      <c r="E143" s="29" t="n"/>
      <c r="F143" s="6" t="n"/>
      <c r="G143" s="25" t="n"/>
      <c r="H143" s="27">
        <f>IF(C143="","",IF(G143&lt;&gt;"",G143,IFERROR(INDEX(Clients!$G$5:$G$304,MATCH(C143,Clients!$A$5:$A$304,0)),0)))</f>
        <v/>
      </c>
      <c r="I143" s="25" t="n"/>
      <c r="J143" s="27">
        <f>IF(C143="","",H143+N(I143))</f>
        <v/>
      </c>
      <c r="K143" s="6" t="n"/>
      <c r="L143" s="6" t="n"/>
      <c r="M143" s="25" t="n"/>
      <c r="N143" s="10" t="n"/>
      <c r="O143" s="27">
        <f>IF(C143="","",N(E143)*Settings!$B$8)</f>
        <v/>
      </c>
      <c r="P143" s="27">
        <f>IF(C143="","",N(N143)*Settings!$B$10)</f>
        <v/>
      </c>
      <c r="Q143" s="27">
        <f>IF(C143="","",J143-N(M143)-O143-P143)</f>
        <v/>
      </c>
      <c r="R143" s="6" t="n"/>
    </row>
    <row r="144">
      <c r="A144" s="17">
        <f>IF(B144="","","J-"&amp;TEXT(ROW()-4,"0000"))</f>
        <v/>
      </c>
      <c r="B144" s="26" t="n"/>
      <c r="C144" s="6" t="n"/>
      <c r="D144" s="6" t="n"/>
      <c r="E144" s="29" t="n"/>
      <c r="F144" s="6" t="n"/>
      <c r="G144" s="25" t="n"/>
      <c r="H144" s="30">
        <f>IF(C144="","",IF(G144&lt;&gt;"",G144,IFERROR(INDEX(Clients!$G$5:$G$304,MATCH(C144,Clients!$A$5:$A$304,0)),0)))</f>
        <v/>
      </c>
      <c r="I144" s="25" t="n"/>
      <c r="J144" s="30">
        <f>IF(C144="","",H144+N(I144))</f>
        <v/>
      </c>
      <c r="K144" s="6" t="n"/>
      <c r="L144" s="6" t="n"/>
      <c r="M144" s="25" t="n"/>
      <c r="N144" s="10" t="n"/>
      <c r="O144" s="30">
        <f>IF(C144="","",N(E144)*Settings!$B$8)</f>
        <v/>
      </c>
      <c r="P144" s="30">
        <f>IF(C144="","",N(N144)*Settings!$B$10)</f>
        <v/>
      </c>
      <c r="Q144" s="30">
        <f>IF(C144="","",J144-N(M144)-O144-P144)</f>
        <v/>
      </c>
      <c r="R144" s="6" t="n"/>
    </row>
    <row r="145">
      <c r="A145" s="8">
        <f>IF(B145="","","J-"&amp;TEXT(ROW()-4,"0000"))</f>
        <v/>
      </c>
      <c r="B145" s="26" t="n"/>
      <c r="C145" s="6" t="n"/>
      <c r="D145" s="6" t="n"/>
      <c r="E145" s="29" t="n"/>
      <c r="F145" s="6" t="n"/>
      <c r="G145" s="25" t="n"/>
      <c r="H145" s="27">
        <f>IF(C145="","",IF(G145&lt;&gt;"",G145,IFERROR(INDEX(Clients!$G$5:$G$304,MATCH(C145,Clients!$A$5:$A$304,0)),0)))</f>
        <v/>
      </c>
      <c r="I145" s="25" t="n"/>
      <c r="J145" s="27">
        <f>IF(C145="","",H145+N(I145))</f>
        <v/>
      </c>
      <c r="K145" s="6" t="n"/>
      <c r="L145" s="6" t="n"/>
      <c r="M145" s="25" t="n"/>
      <c r="N145" s="10" t="n"/>
      <c r="O145" s="27">
        <f>IF(C145="","",N(E145)*Settings!$B$8)</f>
        <v/>
      </c>
      <c r="P145" s="27">
        <f>IF(C145="","",N(N145)*Settings!$B$10)</f>
        <v/>
      </c>
      <c r="Q145" s="27">
        <f>IF(C145="","",J145-N(M145)-O145-P145)</f>
        <v/>
      </c>
      <c r="R145" s="6" t="n"/>
    </row>
    <row r="146">
      <c r="A146" s="17">
        <f>IF(B146="","","J-"&amp;TEXT(ROW()-4,"0000"))</f>
        <v/>
      </c>
      <c r="B146" s="26" t="n"/>
      <c r="C146" s="6" t="n"/>
      <c r="D146" s="6" t="n"/>
      <c r="E146" s="29" t="n"/>
      <c r="F146" s="6" t="n"/>
      <c r="G146" s="25" t="n"/>
      <c r="H146" s="30">
        <f>IF(C146="","",IF(G146&lt;&gt;"",G146,IFERROR(INDEX(Clients!$G$5:$G$304,MATCH(C146,Clients!$A$5:$A$304,0)),0)))</f>
        <v/>
      </c>
      <c r="I146" s="25" t="n"/>
      <c r="J146" s="30">
        <f>IF(C146="","",H146+N(I146))</f>
        <v/>
      </c>
      <c r="K146" s="6" t="n"/>
      <c r="L146" s="6" t="n"/>
      <c r="M146" s="25" t="n"/>
      <c r="N146" s="10" t="n"/>
      <c r="O146" s="30">
        <f>IF(C146="","",N(E146)*Settings!$B$8)</f>
        <v/>
      </c>
      <c r="P146" s="30">
        <f>IF(C146="","",N(N146)*Settings!$B$10)</f>
        <v/>
      </c>
      <c r="Q146" s="30">
        <f>IF(C146="","",J146-N(M146)-O146-P146)</f>
        <v/>
      </c>
      <c r="R146" s="6" t="n"/>
    </row>
    <row r="147">
      <c r="A147" s="8">
        <f>IF(B147="","","J-"&amp;TEXT(ROW()-4,"0000"))</f>
        <v/>
      </c>
      <c r="B147" s="26" t="n"/>
      <c r="C147" s="6" t="n"/>
      <c r="D147" s="6" t="n"/>
      <c r="E147" s="29" t="n"/>
      <c r="F147" s="6" t="n"/>
      <c r="G147" s="25" t="n"/>
      <c r="H147" s="27">
        <f>IF(C147="","",IF(G147&lt;&gt;"",G147,IFERROR(INDEX(Clients!$G$5:$G$304,MATCH(C147,Clients!$A$5:$A$304,0)),0)))</f>
        <v/>
      </c>
      <c r="I147" s="25" t="n"/>
      <c r="J147" s="27">
        <f>IF(C147="","",H147+N(I147))</f>
        <v/>
      </c>
      <c r="K147" s="6" t="n"/>
      <c r="L147" s="6" t="n"/>
      <c r="M147" s="25" t="n"/>
      <c r="N147" s="10" t="n"/>
      <c r="O147" s="27">
        <f>IF(C147="","",N(E147)*Settings!$B$8)</f>
        <v/>
      </c>
      <c r="P147" s="27">
        <f>IF(C147="","",N(N147)*Settings!$B$10)</f>
        <v/>
      </c>
      <c r="Q147" s="27">
        <f>IF(C147="","",J147-N(M147)-O147-P147)</f>
        <v/>
      </c>
      <c r="R147" s="6" t="n"/>
    </row>
    <row r="148">
      <c r="A148" s="17">
        <f>IF(B148="","","J-"&amp;TEXT(ROW()-4,"0000"))</f>
        <v/>
      </c>
      <c r="B148" s="26" t="n"/>
      <c r="C148" s="6" t="n"/>
      <c r="D148" s="6" t="n"/>
      <c r="E148" s="29" t="n"/>
      <c r="F148" s="6" t="n"/>
      <c r="G148" s="25" t="n"/>
      <c r="H148" s="30">
        <f>IF(C148="","",IF(G148&lt;&gt;"",G148,IFERROR(INDEX(Clients!$G$5:$G$304,MATCH(C148,Clients!$A$5:$A$304,0)),0)))</f>
        <v/>
      </c>
      <c r="I148" s="25" t="n"/>
      <c r="J148" s="30">
        <f>IF(C148="","",H148+N(I148))</f>
        <v/>
      </c>
      <c r="K148" s="6" t="n"/>
      <c r="L148" s="6" t="n"/>
      <c r="M148" s="25" t="n"/>
      <c r="N148" s="10" t="n"/>
      <c r="O148" s="30">
        <f>IF(C148="","",N(E148)*Settings!$B$8)</f>
        <v/>
      </c>
      <c r="P148" s="30">
        <f>IF(C148="","",N(N148)*Settings!$B$10)</f>
        <v/>
      </c>
      <c r="Q148" s="30">
        <f>IF(C148="","",J148-N(M148)-O148-P148)</f>
        <v/>
      </c>
      <c r="R148" s="6" t="n"/>
    </row>
    <row r="149">
      <c r="A149" s="8">
        <f>IF(B149="","","J-"&amp;TEXT(ROW()-4,"0000"))</f>
        <v/>
      </c>
      <c r="B149" s="26" t="n"/>
      <c r="C149" s="6" t="n"/>
      <c r="D149" s="6" t="n"/>
      <c r="E149" s="29" t="n"/>
      <c r="F149" s="6" t="n"/>
      <c r="G149" s="25" t="n"/>
      <c r="H149" s="27">
        <f>IF(C149="","",IF(G149&lt;&gt;"",G149,IFERROR(INDEX(Clients!$G$5:$G$304,MATCH(C149,Clients!$A$5:$A$304,0)),0)))</f>
        <v/>
      </c>
      <c r="I149" s="25" t="n"/>
      <c r="J149" s="27">
        <f>IF(C149="","",H149+N(I149))</f>
        <v/>
      </c>
      <c r="K149" s="6" t="n"/>
      <c r="L149" s="6" t="n"/>
      <c r="M149" s="25" t="n"/>
      <c r="N149" s="10" t="n"/>
      <c r="O149" s="27">
        <f>IF(C149="","",N(E149)*Settings!$B$8)</f>
        <v/>
      </c>
      <c r="P149" s="27">
        <f>IF(C149="","",N(N149)*Settings!$B$10)</f>
        <v/>
      </c>
      <c r="Q149" s="27">
        <f>IF(C149="","",J149-N(M149)-O149-P149)</f>
        <v/>
      </c>
      <c r="R149" s="6" t="n"/>
    </row>
    <row r="150">
      <c r="A150" s="17">
        <f>IF(B150="","","J-"&amp;TEXT(ROW()-4,"0000"))</f>
        <v/>
      </c>
      <c r="B150" s="26" t="n"/>
      <c r="C150" s="6" t="n"/>
      <c r="D150" s="6" t="n"/>
      <c r="E150" s="29" t="n"/>
      <c r="F150" s="6" t="n"/>
      <c r="G150" s="25" t="n"/>
      <c r="H150" s="30">
        <f>IF(C150="","",IF(G150&lt;&gt;"",G150,IFERROR(INDEX(Clients!$G$5:$G$304,MATCH(C150,Clients!$A$5:$A$304,0)),0)))</f>
        <v/>
      </c>
      <c r="I150" s="25" t="n"/>
      <c r="J150" s="30">
        <f>IF(C150="","",H150+N(I150))</f>
        <v/>
      </c>
      <c r="K150" s="6" t="n"/>
      <c r="L150" s="6" t="n"/>
      <c r="M150" s="25" t="n"/>
      <c r="N150" s="10" t="n"/>
      <c r="O150" s="30">
        <f>IF(C150="","",N(E150)*Settings!$B$8)</f>
        <v/>
      </c>
      <c r="P150" s="30">
        <f>IF(C150="","",N(N150)*Settings!$B$10)</f>
        <v/>
      </c>
      <c r="Q150" s="30">
        <f>IF(C150="","",J150-N(M150)-O150-P150)</f>
        <v/>
      </c>
      <c r="R150" s="6" t="n"/>
    </row>
    <row r="151">
      <c r="A151" s="8">
        <f>IF(B151="","","J-"&amp;TEXT(ROW()-4,"0000"))</f>
        <v/>
      </c>
      <c r="B151" s="26" t="n"/>
      <c r="C151" s="6" t="n"/>
      <c r="D151" s="6" t="n"/>
      <c r="E151" s="29" t="n"/>
      <c r="F151" s="6" t="n"/>
      <c r="G151" s="25" t="n"/>
      <c r="H151" s="27">
        <f>IF(C151="","",IF(G151&lt;&gt;"",G151,IFERROR(INDEX(Clients!$G$5:$G$304,MATCH(C151,Clients!$A$5:$A$304,0)),0)))</f>
        <v/>
      </c>
      <c r="I151" s="25" t="n"/>
      <c r="J151" s="27">
        <f>IF(C151="","",H151+N(I151))</f>
        <v/>
      </c>
      <c r="K151" s="6" t="n"/>
      <c r="L151" s="6" t="n"/>
      <c r="M151" s="25" t="n"/>
      <c r="N151" s="10" t="n"/>
      <c r="O151" s="27">
        <f>IF(C151="","",N(E151)*Settings!$B$8)</f>
        <v/>
      </c>
      <c r="P151" s="27">
        <f>IF(C151="","",N(N151)*Settings!$B$10)</f>
        <v/>
      </c>
      <c r="Q151" s="27">
        <f>IF(C151="","",J151-N(M151)-O151-P151)</f>
        <v/>
      </c>
      <c r="R151" s="6" t="n"/>
    </row>
    <row r="152">
      <c r="A152" s="17">
        <f>IF(B152="","","J-"&amp;TEXT(ROW()-4,"0000"))</f>
        <v/>
      </c>
      <c r="B152" s="26" t="n"/>
      <c r="C152" s="6" t="n"/>
      <c r="D152" s="6" t="n"/>
      <c r="E152" s="29" t="n"/>
      <c r="F152" s="6" t="n"/>
      <c r="G152" s="25" t="n"/>
      <c r="H152" s="30">
        <f>IF(C152="","",IF(G152&lt;&gt;"",G152,IFERROR(INDEX(Clients!$G$5:$G$304,MATCH(C152,Clients!$A$5:$A$304,0)),0)))</f>
        <v/>
      </c>
      <c r="I152" s="25" t="n"/>
      <c r="J152" s="30">
        <f>IF(C152="","",H152+N(I152))</f>
        <v/>
      </c>
      <c r="K152" s="6" t="n"/>
      <c r="L152" s="6" t="n"/>
      <c r="M152" s="25" t="n"/>
      <c r="N152" s="10" t="n"/>
      <c r="O152" s="30">
        <f>IF(C152="","",N(E152)*Settings!$B$8)</f>
        <v/>
      </c>
      <c r="P152" s="30">
        <f>IF(C152="","",N(N152)*Settings!$B$10)</f>
        <v/>
      </c>
      <c r="Q152" s="30">
        <f>IF(C152="","",J152-N(M152)-O152-P152)</f>
        <v/>
      </c>
      <c r="R152" s="6" t="n"/>
    </row>
    <row r="153">
      <c r="A153" s="8">
        <f>IF(B153="","","J-"&amp;TEXT(ROW()-4,"0000"))</f>
        <v/>
      </c>
      <c r="B153" s="26" t="n"/>
      <c r="C153" s="6" t="n"/>
      <c r="D153" s="6" t="n"/>
      <c r="E153" s="29" t="n"/>
      <c r="F153" s="6" t="n"/>
      <c r="G153" s="25" t="n"/>
      <c r="H153" s="27">
        <f>IF(C153="","",IF(G153&lt;&gt;"",G153,IFERROR(INDEX(Clients!$G$5:$G$304,MATCH(C153,Clients!$A$5:$A$304,0)),0)))</f>
        <v/>
      </c>
      <c r="I153" s="25" t="n"/>
      <c r="J153" s="27">
        <f>IF(C153="","",H153+N(I153))</f>
        <v/>
      </c>
      <c r="K153" s="6" t="n"/>
      <c r="L153" s="6" t="n"/>
      <c r="M153" s="25" t="n"/>
      <c r="N153" s="10" t="n"/>
      <c r="O153" s="27">
        <f>IF(C153="","",N(E153)*Settings!$B$8)</f>
        <v/>
      </c>
      <c r="P153" s="27">
        <f>IF(C153="","",N(N153)*Settings!$B$10)</f>
        <v/>
      </c>
      <c r="Q153" s="27">
        <f>IF(C153="","",J153-N(M153)-O153-P153)</f>
        <v/>
      </c>
      <c r="R153" s="6" t="n"/>
    </row>
    <row r="154">
      <c r="A154" s="17">
        <f>IF(B154="","","J-"&amp;TEXT(ROW()-4,"0000"))</f>
        <v/>
      </c>
      <c r="B154" s="26" t="n"/>
      <c r="C154" s="6" t="n"/>
      <c r="D154" s="6" t="n"/>
      <c r="E154" s="29" t="n"/>
      <c r="F154" s="6" t="n"/>
      <c r="G154" s="25" t="n"/>
      <c r="H154" s="30">
        <f>IF(C154="","",IF(G154&lt;&gt;"",G154,IFERROR(INDEX(Clients!$G$5:$G$304,MATCH(C154,Clients!$A$5:$A$304,0)),0)))</f>
        <v/>
      </c>
      <c r="I154" s="25" t="n"/>
      <c r="J154" s="30">
        <f>IF(C154="","",H154+N(I154))</f>
        <v/>
      </c>
      <c r="K154" s="6" t="n"/>
      <c r="L154" s="6" t="n"/>
      <c r="M154" s="25" t="n"/>
      <c r="N154" s="10" t="n"/>
      <c r="O154" s="30">
        <f>IF(C154="","",N(E154)*Settings!$B$8)</f>
        <v/>
      </c>
      <c r="P154" s="30">
        <f>IF(C154="","",N(N154)*Settings!$B$10)</f>
        <v/>
      </c>
      <c r="Q154" s="30">
        <f>IF(C154="","",J154-N(M154)-O154-P154)</f>
        <v/>
      </c>
      <c r="R154" s="6" t="n"/>
    </row>
    <row r="155">
      <c r="A155" s="8">
        <f>IF(B155="","","J-"&amp;TEXT(ROW()-4,"0000"))</f>
        <v/>
      </c>
      <c r="B155" s="26" t="n"/>
      <c r="C155" s="6" t="n"/>
      <c r="D155" s="6" t="n"/>
      <c r="E155" s="29" t="n"/>
      <c r="F155" s="6" t="n"/>
      <c r="G155" s="25" t="n"/>
      <c r="H155" s="27">
        <f>IF(C155="","",IF(G155&lt;&gt;"",G155,IFERROR(INDEX(Clients!$G$5:$G$304,MATCH(C155,Clients!$A$5:$A$304,0)),0)))</f>
        <v/>
      </c>
      <c r="I155" s="25" t="n"/>
      <c r="J155" s="27">
        <f>IF(C155="","",H155+N(I155))</f>
        <v/>
      </c>
      <c r="K155" s="6" t="n"/>
      <c r="L155" s="6" t="n"/>
      <c r="M155" s="25" t="n"/>
      <c r="N155" s="10" t="n"/>
      <c r="O155" s="27">
        <f>IF(C155="","",N(E155)*Settings!$B$8)</f>
        <v/>
      </c>
      <c r="P155" s="27">
        <f>IF(C155="","",N(N155)*Settings!$B$10)</f>
        <v/>
      </c>
      <c r="Q155" s="27">
        <f>IF(C155="","",J155-N(M155)-O155-P155)</f>
        <v/>
      </c>
      <c r="R155" s="6" t="n"/>
    </row>
    <row r="156">
      <c r="A156" s="17">
        <f>IF(B156="","","J-"&amp;TEXT(ROW()-4,"0000"))</f>
        <v/>
      </c>
      <c r="B156" s="26" t="n"/>
      <c r="C156" s="6" t="n"/>
      <c r="D156" s="6" t="n"/>
      <c r="E156" s="29" t="n"/>
      <c r="F156" s="6" t="n"/>
      <c r="G156" s="25" t="n"/>
      <c r="H156" s="30">
        <f>IF(C156="","",IF(G156&lt;&gt;"",G156,IFERROR(INDEX(Clients!$G$5:$G$304,MATCH(C156,Clients!$A$5:$A$304,0)),0)))</f>
        <v/>
      </c>
      <c r="I156" s="25" t="n"/>
      <c r="J156" s="30">
        <f>IF(C156="","",H156+N(I156))</f>
        <v/>
      </c>
      <c r="K156" s="6" t="n"/>
      <c r="L156" s="6" t="n"/>
      <c r="M156" s="25" t="n"/>
      <c r="N156" s="10" t="n"/>
      <c r="O156" s="30">
        <f>IF(C156="","",N(E156)*Settings!$B$8)</f>
        <v/>
      </c>
      <c r="P156" s="30">
        <f>IF(C156="","",N(N156)*Settings!$B$10)</f>
        <v/>
      </c>
      <c r="Q156" s="30">
        <f>IF(C156="","",J156-N(M156)-O156-P156)</f>
        <v/>
      </c>
      <c r="R156" s="6" t="n"/>
    </row>
    <row r="157">
      <c r="A157" s="8">
        <f>IF(B157="","","J-"&amp;TEXT(ROW()-4,"0000"))</f>
        <v/>
      </c>
      <c r="B157" s="26" t="n"/>
      <c r="C157" s="6" t="n"/>
      <c r="D157" s="6" t="n"/>
      <c r="E157" s="29" t="n"/>
      <c r="F157" s="6" t="n"/>
      <c r="G157" s="25" t="n"/>
      <c r="H157" s="27">
        <f>IF(C157="","",IF(G157&lt;&gt;"",G157,IFERROR(INDEX(Clients!$G$5:$G$304,MATCH(C157,Clients!$A$5:$A$304,0)),0)))</f>
        <v/>
      </c>
      <c r="I157" s="25" t="n"/>
      <c r="J157" s="27">
        <f>IF(C157="","",H157+N(I157))</f>
        <v/>
      </c>
      <c r="K157" s="6" t="n"/>
      <c r="L157" s="6" t="n"/>
      <c r="M157" s="25" t="n"/>
      <c r="N157" s="10" t="n"/>
      <c r="O157" s="27">
        <f>IF(C157="","",N(E157)*Settings!$B$8)</f>
        <v/>
      </c>
      <c r="P157" s="27">
        <f>IF(C157="","",N(N157)*Settings!$B$10)</f>
        <v/>
      </c>
      <c r="Q157" s="27">
        <f>IF(C157="","",J157-N(M157)-O157-P157)</f>
        <v/>
      </c>
      <c r="R157" s="6" t="n"/>
    </row>
    <row r="158">
      <c r="A158" s="17">
        <f>IF(B158="","","J-"&amp;TEXT(ROW()-4,"0000"))</f>
        <v/>
      </c>
      <c r="B158" s="26" t="n"/>
      <c r="C158" s="6" t="n"/>
      <c r="D158" s="6" t="n"/>
      <c r="E158" s="29" t="n"/>
      <c r="F158" s="6" t="n"/>
      <c r="G158" s="25" t="n"/>
      <c r="H158" s="30">
        <f>IF(C158="","",IF(G158&lt;&gt;"",G158,IFERROR(INDEX(Clients!$G$5:$G$304,MATCH(C158,Clients!$A$5:$A$304,0)),0)))</f>
        <v/>
      </c>
      <c r="I158" s="25" t="n"/>
      <c r="J158" s="30">
        <f>IF(C158="","",H158+N(I158))</f>
        <v/>
      </c>
      <c r="K158" s="6" t="n"/>
      <c r="L158" s="6" t="n"/>
      <c r="M158" s="25" t="n"/>
      <c r="N158" s="10" t="n"/>
      <c r="O158" s="30">
        <f>IF(C158="","",N(E158)*Settings!$B$8)</f>
        <v/>
      </c>
      <c r="P158" s="30">
        <f>IF(C158="","",N(N158)*Settings!$B$10)</f>
        <v/>
      </c>
      <c r="Q158" s="30">
        <f>IF(C158="","",J158-N(M158)-O158-P158)</f>
        <v/>
      </c>
      <c r="R158" s="6" t="n"/>
    </row>
    <row r="159">
      <c r="A159" s="8">
        <f>IF(B159="","","J-"&amp;TEXT(ROW()-4,"0000"))</f>
        <v/>
      </c>
      <c r="B159" s="26" t="n"/>
      <c r="C159" s="6" t="n"/>
      <c r="D159" s="6" t="n"/>
      <c r="E159" s="29" t="n"/>
      <c r="F159" s="6" t="n"/>
      <c r="G159" s="25" t="n"/>
      <c r="H159" s="27">
        <f>IF(C159="","",IF(G159&lt;&gt;"",G159,IFERROR(INDEX(Clients!$G$5:$G$304,MATCH(C159,Clients!$A$5:$A$304,0)),0)))</f>
        <v/>
      </c>
      <c r="I159" s="25" t="n"/>
      <c r="J159" s="27">
        <f>IF(C159="","",H159+N(I159))</f>
        <v/>
      </c>
      <c r="K159" s="6" t="n"/>
      <c r="L159" s="6" t="n"/>
      <c r="M159" s="25" t="n"/>
      <c r="N159" s="10" t="n"/>
      <c r="O159" s="27">
        <f>IF(C159="","",N(E159)*Settings!$B$8)</f>
        <v/>
      </c>
      <c r="P159" s="27">
        <f>IF(C159="","",N(N159)*Settings!$B$10)</f>
        <v/>
      </c>
      <c r="Q159" s="27">
        <f>IF(C159="","",J159-N(M159)-O159-P159)</f>
        <v/>
      </c>
      <c r="R159" s="6" t="n"/>
    </row>
    <row r="160">
      <c r="A160" s="17">
        <f>IF(B160="","","J-"&amp;TEXT(ROW()-4,"0000"))</f>
        <v/>
      </c>
      <c r="B160" s="26" t="n"/>
      <c r="C160" s="6" t="n"/>
      <c r="D160" s="6" t="n"/>
      <c r="E160" s="29" t="n"/>
      <c r="F160" s="6" t="n"/>
      <c r="G160" s="25" t="n"/>
      <c r="H160" s="30">
        <f>IF(C160="","",IF(G160&lt;&gt;"",G160,IFERROR(INDEX(Clients!$G$5:$G$304,MATCH(C160,Clients!$A$5:$A$304,0)),0)))</f>
        <v/>
      </c>
      <c r="I160" s="25" t="n"/>
      <c r="J160" s="30">
        <f>IF(C160="","",H160+N(I160))</f>
        <v/>
      </c>
      <c r="K160" s="6" t="n"/>
      <c r="L160" s="6" t="n"/>
      <c r="M160" s="25" t="n"/>
      <c r="N160" s="10" t="n"/>
      <c r="O160" s="30">
        <f>IF(C160="","",N(E160)*Settings!$B$8)</f>
        <v/>
      </c>
      <c r="P160" s="30">
        <f>IF(C160="","",N(N160)*Settings!$B$10)</f>
        <v/>
      </c>
      <c r="Q160" s="30">
        <f>IF(C160="","",J160-N(M160)-O160-P160)</f>
        <v/>
      </c>
      <c r="R160" s="6" t="n"/>
    </row>
    <row r="161">
      <c r="A161" s="8">
        <f>IF(B161="","","J-"&amp;TEXT(ROW()-4,"0000"))</f>
        <v/>
      </c>
      <c r="B161" s="26" t="n"/>
      <c r="C161" s="6" t="n"/>
      <c r="D161" s="6" t="n"/>
      <c r="E161" s="29" t="n"/>
      <c r="F161" s="6" t="n"/>
      <c r="G161" s="25" t="n"/>
      <c r="H161" s="27">
        <f>IF(C161="","",IF(G161&lt;&gt;"",G161,IFERROR(INDEX(Clients!$G$5:$G$304,MATCH(C161,Clients!$A$5:$A$304,0)),0)))</f>
        <v/>
      </c>
      <c r="I161" s="25" t="n"/>
      <c r="J161" s="27">
        <f>IF(C161="","",H161+N(I161))</f>
        <v/>
      </c>
      <c r="K161" s="6" t="n"/>
      <c r="L161" s="6" t="n"/>
      <c r="M161" s="25" t="n"/>
      <c r="N161" s="10" t="n"/>
      <c r="O161" s="27">
        <f>IF(C161="","",N(E161)*Settings!$B$8)</f>
        <v/>
      </c>
      <c r="P161" s="27">
        <f>IF(C161="","",N(N161)*Settings!$B$10)</f>
        <v/>
      </c>
      <c r="Q161" s="27">
        <f>IF(C161="","",J161-N(M161)-O161-P161)</f>
        <v/>
      </c>
      <c r="R161" s="6" t="n"/>
    </row>
    <row r="162">
      <c r="A162" s="17">
        <f>IF(B162="","","J-"&amp;TEXT(ROW()-4,"0000"))</f>
        <v/>
      </c>
      <c r="B162" s="26" t="n"/>
      <c r="C162" s="6" t="n"/>
      <c r="D162" s="6" t="n"/>
      <c r="E162" s="29" t="n"/>
      <c r="F162" s="6" t="n"/>
      <c r="G162" s="25" t="n"/>
      <c r="H162" s="30">
        <f>IF(C162="","",IF(G162&lt;&gt;"",G162,IFERROR(INDEX(Clients!$G$5:$G$304,MATCH(C162,Clients!$A$5:$A$304,0)),0)))</f>
        <v/>
      </c>
      <c r="I162" s="25" t="n"/>
      <c r="J162" s="30">
        <f>IF(C162="","",H162+N(I162))</f>
        <v/>
      </c>
      <c r="K162" s="6" t="n"/>
      <c r="L162" s="6" t="n"/>
      <c r="M162" s="25" t="n"/>
      <c r="N162" s="10" t="n"/>
      <c r="O162" s="30">
        <f>IF(C162="","",N(E162)*Settings!$B$8)</f>
        <v/>
      </c>
      <c r="P162" s="30">
        <f>IF(C162="","",N(N162)*Settings!$B$10)</f>
        <v/>
      </c>
      <c r="Q162" s="30">
        <f>IF(C162="","",J162-N(M162)-O162-P162)</f>
        <v/>
      </c>
      <c r="R162" s="6" t="n"/>
    </row>
    <row r="163">
      <c r="A163" s="8">
        <f>IF(B163="","","J-"&amp;TEXT(ROW()-4,"0000"))</f>
        <v/>
      </c>
      <c r="B163" s="26" t="n"/>
      <c r="C163" s="6" t="n"/>
      <c r="D163" s="6" t="n"/>
      <c r="E163" s="29" t="n"/>
      <c r="F163" s="6" t="n"/>
      <c r="G163" s="25" t="n"/>
      <c r="H163" s="27">
        <f>IF(C163="","",IF(G163&lt;&gt;"",G163,IFERROR(INDEX(Clients!$G$5:$G$304,MATCH(C163,Clients!$A$5:$A$304,0)),0)))</f>
        <v/>
      </c>
      <c r="I163" s="25" t="n"/>
      <c r="J163" s="27">
        <f>IF(C163="","",H163+N(I163))</f>
        <v/>
      </c>
      <c r="K163" s="6" t="n"/>
      <c r="L163" s="6" t="n"/>
      <c r="M163" s="25" t="n"/>
      <c r="N163" s="10" t="n"/>
      <c r="O163" s="27">
        <f>IF(C163="","",N(E163)*Settings!$B$8)</f>
        <v/>
      </c>
      <c r="P163" s="27">
        <f>IF(C163="","",N(N163)*Settings!$B$10)</f>
        <v/>
      </c>
      <c r="Q163" s="27">
        <f>IF(C163="","",J163-N(M163)-O163-P163)</f>
        <v/>
      </c>
      <c r="R163" s="6" t="n"/>
    </row>
    <row r="164">
      <c r="A164" s="17">
        <f>IF(B164="","","J-"&amp;TEXT(ROW()-4,"0000"))</f>
        <v/>
      </c>
      <c r="B164" s="26" t="n"/>
      <c r="C164" s="6" t="n"/>
      <c r="D164" s="6" t="n"/>
      <c r="E164" s="29" t="n"/>
      <c r="F164" s="6" t="n"/>
      <c r="G164" s="25" t="n"/>
      <c r="H164" s="30">
        <f>IF(C164="","",IF(G164&lt;&gt;"",G164,IFERROR(INDEX(Clients!$G$5:$G$304,MATCH(C164,Clients!$A$5:$A$304,0)),0)))</f>
        <v/>
      </c>
      <c r="I164" s="25" t="n"/>
      <c r="J164" s="30">
        <f>IF(C164="","",H164+N(I164))</f>
        <v/>
      </c>
      <c r="K164" s="6" t="n"/>
      <c r="L164" s="6" t="n"/>
      <c r="M164" s="25" t="n"/>
      <c r="N164" s="10" t="n"/>
      <c r="O164" s="30">
        <f>IF(C164="","",N(E164)*Settings!$B$8)</f>
        <v/>
      </c>
      <c r="P164" s="30">
        <f>IF(C164="","",N(N164)*Settings!$B$10)</f>
        <v/>
      </c>
      <c r="Q164" s="30">
        <f>IF(C164="","",J164-N(M164)-O164-P164)</f>
        <v/>
      </c>
      <c r="R164" s="6" t="n"/>
    </row>
    <row r="165">
      <c r="A165" s="8">
        <f>IF(B165="","","J-"&amp;TEXT(ROW()-4,"0000"))</f>
        <v/>
      </c>
      <c r="B165" s="26" t="n"/>
      <c r="C165" s="6" t="n"/>
      <c r="D165" s="6" t="n"/>
      <c r="E165" s="29" t="n"/>
      <c r="F165" s="6" t="n"/>
      <c r="G165" s="25" t="n"/>
      <c r="H165" s="27">
        <f>IF(C165="","",IF(G165&lt;&gt;"",G165,IFERROR(INDEX(Clients!$G$5:$G$304,MATCH(C165,Clients!$A$5:$A$304,0)),0)))</f>
        <v/>
      </c>
      <c r="I165" s="25" t="n"/>
      <c r="J165" s="27">
        <f>IF(C165="","",H165+N(I165))</f>
        <v/>
      </c>
      <c r="K165" s="6" t="n"/>
      <c r="L165" s="6" t="n"/>
      <c r="M165" s="25" t="n"/>
      <c r="N165" s="10" t="n"/>
      <c r="O165" s="27">
        <f>IF(C165="","",N(E165)*Settings!$B$8)</f>
        <v/>
      </c>
      <c r="P165" s="27">
        <f>IF(C165="","",N(N165)*Settings!$B$10)</f>
        <v/>
      </c>
      <c r="Q165" s="27">
        <f>IF(C165="","",J165-N(M165)-O165-P165)</f>
        <v/>
      </c>
      <c r="R165" s="6" t="n"/>
    </row>
    <row r="166">
      <c r="A166" s="17">
        <f>IF(B166="","","J-"&amp;TEXT(ROW()-4,"0000"))</f>
        <v/>
      </c>
      <c r="B166" s="26" t="n"/>
      <c r="C166" s="6" t="n"/>
      <c r="D166" s="6" t="n"/>
      <c r="E166" s="29" t="n"/>
      <c r="F166" s="6" t="n"/>
      <c r="G166" s="25" t="n"/>
      <c r="H166" s="30">
        <f>IF(C166="","",IF(G166&lt;&gt;"",G166,IFERROR(INDEX(Clients!$G$5:$G$304,MATCH(C166,Clients!$A$5:$A$304,0)),0)))</f>
        <v/>
      </c>
      <c r="I166" s="25" t="n"/>
      <c r="J166" s="30">
        <f>IF(C166="","",H166+N(I166))</f>
        <v/>
      </c>
      <c r="K166" s="6" t="n"/>
      <c r="L166" s="6" t="n"/>
      <c r="M166" s="25" t="n"/>
      <c r="N166" s="10" t="n"/>
      <c r="O166" s="30">
        <f>IF(C166="","",N(E166)*Settings!$B$8)</f>
        <v/>
      </c>
      <c r="P166" s="30">
        <f>IF(C166="","",N(N166)*Settings!$B$10)</f>
        <v/>
      </c>
      <c r="Q166" s="30">
        <f>IF(C166="","",J166-N(M166)-O166-P166)</f>
        <v/>
      </c>
      <c r="R166" s="6" t="n"/>
    </row>
    <row r="167">
      <c r="A167" s="8">
        <f>IF(B167="","","J-"&amp;TEXT(ROW()-4,"0000"))</f>
        <v/>
      </c>
      <c r="B167" s="26" t="n"/>
      <c r="C167" s="6" t="n"/>
      <c r="D167" s="6" t="n"/>
      <c r="E167" s="29" t="n"/>
      <c r="F167" s="6" t="n"/>
      <c r="G167" s="25" t="n"/>
      <c r="H167" s="27">
        <f>IF(C167="","",IF(G167&lt;&gt;"",G167,IFERROR(INDEX(Clients!$G$5:$G$304,MATCH(C167,Clients!$A$5:$A$304,0)),0)))</f>
        <v/>
      </c>
      <c r="I167" s="25" t="n"/>
      <c r="J167" s="27">
        <f>IF(C167="","",H167+N(I167))</f>
        <v/>
      </c>
      <c r="K167" s="6" t="n"/>
      <c r="L167" s="6" t="n"/>
      <c r="M167" s="25" t="n"/>
      <c r="N167" s="10" t="n"/>
      <c r="O167" s="27">
        <f>IF(C167="","",N(E167)*Settings!$B$8)</f>
        <v/>
      </c>
      <c r="P167" s="27">
        <f>IF(C167="","",N(N167)*Settings!$B$10)</f>
        <v/>
      </c>
      <c r="Q167" s="27">
        <f>IF(C167="","",J167-N(M167)-O167-P167)</f>
        <v/>
      </c>
      <c r="R167" s="6" t="n"/>
    </row>
    <row r="168">
      <c r="A168" s="17">
        <f>IF(B168="","","J-"&amp;TEXT(ROW()-4,"0000"))</f>
        <v/>
      </c>
      <c r="B168" s="26" t="n"/>
      <c r="C168" s="6" t="n"/>
      <c r="D168" s="6" t="n"/>
      <c r="E168" s="29" t="n"/>
      <c r="F168" s="6" t="n"/>
      <c r="G168" s="25" t="n"/>
      <c r="H168" s="30">
        <f>IF(C168="","",IF(G168&lt;&gt;"",G168,IFERROR(INDEX(Clients!$G$5:$G$304,MATCH(C168,Clients!$A$5:$A$304,0)),0)))</f>
        <v/>
      </c>
      <c r="I168" s="25" t="n"/>
      <c r="J168" s="30">
        <f>IF(C168="","",H168+N(I168))</f>
        <v/>
      </c>
      <c r="K168" s="6" t="n"/>
      <c r="L168" s="6" t="n"/>
      <c r="M168" s="25" t="n"/>
      <c r="N168" s="10" t="n"/>
      <c r="O168" s="30">
        <f>IF(C168="","",N(E168)*Settings!$B$8)</f>
        <v/>
      </c>
      <c r="P168" s="30">
        <f>IF(C168="","",N(N168)*Settings!$B$10)</f>
        <v/>
      </c>
      <c r="Q168" s="30">
        <f>IF(C168="","",J168-N(M168)-O168-P168)</f>
        <v/>
      </c>
      <c r="R168" s="6" t="n"/>
    </row>
    <row r="169">
      <c r="A169" s="8">
        <f>IF(B169="","","J-"&amp;TEXT(ROW()-4,"0000"))</f>
        <v/>
      </c>
      <c r="B169" s="26" t="n"/>
      <c r="C169" s="6" t="n"/>
      <c r="D169" s="6" t="n"/>
      <c r="E169" s="29" t="n"/>
      <c r="F169" s="6" t="n"/>
      <c r="G169" s="25" t="n"/>
      <c r="H169" s="27">
        <f>IF(C169="","",IF(G169&lt;&gt;"",G169,IFERROR(INDEX(Clients!$G$5:$G$304,MATCH(C169,Clients!$A$5:$A$304,0)),0)))</f>
        <v/>
      </c>
      <c r="I169" s="25" t="n"/>
      <c r="J169" s="27">
        <f>IF(C169="","",H169+N(I169))</f>
        <v/>
      </c>
      <c r="K169" s="6" t="n"/>
      <c r="L169" s="6" t="n"/>
      <c r="M169" s="25" t="n"/>
      <c r="N169" s="10" t="n"/>
      <c r="O169" s="27">
        <f>IF(C169="","",N(E169)*Settings!$B$8)</f>
        <v/>
      </c>
      <c r="P169" s="27">
        <f>IF(C169="","",N(N169)*Settings!$B$10)</f>
        <v/>
      </c>
      <c r="Q169" s="27">
        <f>IF(C169="","",J169-N(M169)-O169-P169)</f>
        <v/>
      </c>
      <c r="R169" s="6" t="n"/>
    </row>
    <row r="170">
      <c r="A170" s="17">
        <f>IF(B170="","","J-"&amp;TEXT(ROW()-4,"0000"))</f>
        <v/>
      </c>
      <c r="B170" s="26" t="n"/>
      <c r="C170" s="6" t="n"/>
      <c r="D170" s="6" t="n"/>
      <c r="E170" s="29" t="n"/>
      <c r="F170" s="6" t="n"/>
      <c r="G170" s="25" t="n"/>
      <c r="H170" s="30">
        <f>IF(C170="","",IF(G170&lt;&gt;"",G170,IFERROR(INDEX(Clients!$G$5:$G$304,MATCH(C170,Clients!$A$5:$A$304,0)),0)))</f>
        <v/>
      </c>
      <c r="I170" s="25" t="n"/>
      <c r="J170" s="30">
        <f>IF(C170="","",H170+N(I170))</f>
        <v/>
      </c>
      <c r="K170" s="6" t="n"/>
      <c r="L170" s="6" t="n"/>
      <c r="M170" s="25" t="n"/>
      <c r="N170" s="10" t="n"/>
      <c r="O170" s="30">
        <f>IF(C170="","",N(E170)*Settings!$B$8)</f>
        <v/>
      </c>
      <c r="P170" s="30">
        <f>IF(C170="","",N(N170)*Settings!$B$10)</f>
        <v/>
      </c>
      <c r="Q170" s="30">
        <f>IF(C170="","",J170-N(M170)-O170-P170)</f>
        <v/>
      </c>
      <c r="R170" s="6" t="n"/>
    </row>
    <row r="171">
      <c r="A171" s="8">
        <f>IF(B171="","","J-"&amp;TEXT(ROW()-4,"0000"))</f>
        <v/>
      </c>
      <c r="B171" s="26" t="n"/>
      <c r="C171" s="6" t="n"/>
      <c r="D171" s="6" t="n"/>
      <c r="E171" s="29" t="n"/>
      <c r="F171" s="6" t="n"/>
      <c r="G171" s="25" t="n"/>
      <c r="H171" s="27">
        <f>IF(C171="","",IF(G171&lt;&gt;"",G171,IFERROR(INDEX(Clients!$G$5:$G$304,MATCH(C171,Clients!$A$5:$A$304,0)),0)))</f>
        <v/>
      </c>
      <c r="I171" s="25" t="n"/>
      <c r="J171" s="27">
        <f>IF(C171="","",H171+N(I171))</f>
        <v/>
      </c>
      <c r="K171" s="6" t="n"/>
      <c r="L171" s="6" t="n"/>
      <c r="M171" s="25" t="n"/>
      <c r="N171" s="10" t="n"/>
      <c r="O171" s="27">
        <f>IF(C171="","",N(E171)*Settings!$B$8)</f>
        <v/>
      </c>
      <c r="P171" s="27">
        <f>IF(C171="","",N(N171)*Settings!$B$10)</f>
        <v/>
      </c>
      <c r="Q171" s="27">
        <f>IF(C171="","",J171-N(M171)-O171-P171)</f>
        <v/>
      </c>
      <c r="R171" s="6" t="n"/>
    </row>
    <row r="172">
      <c r="A172" s="17">
        <f>IF(B172="","","J-"&amp;TEXT(ROW()-4,"0000"))</f>
        <v/>
      </c>
      <c r="B172" s="26" t="n"/>
      <c r="C172" s="6" t="n"/>
      <c r="D172" s="6" t="n"/>
      <c r="E172" s="29" t="n"/>
      <c r="F172" s="6" t="n"/>
      <c r="G172" s="25" t="n"/>
      <c r="H172" s="30">
        <f>IF(C172="","",IF(G172&lt;&gt;"",G172,IFERROR(INDEX(Clients!$G$5:$G$304,MATCH(C172,Clients!$A$5:$A$304,0)),0)))</f>
        <v/>
      </c>
      <c r="I172" s="25" t="n"/>
      <c r="J172" s="30">
        <f>IF(C172="","",H172+N(I172))</f>
        <v/>
      </c>
      <c r="K172" s="6" t="n"/>
      <c r="L172" s="6" t="n"/>
      <c r="M172" s="25" t="n"/>
      <c r="N172" s="10" t="n"/>
      <c r="O172" s="30">
        <f>IF(C172="","",N(E172)*Settings!$B$8)</f>
        <v/>
      </c>
      <c r="P172" s="30">
        <f>IF(C172="","",N(N172)*Settings!$B$10)</f>
        <v/>
      </c>
      <c r="Q172" s="30">
        <f>IF(C172="","",J172-N(M172)-O172-P172)</f>
        <v/>
      </c>
      <c r="R172" s="6" t="n"/>
    </row>
    <row r="173">
      <c r="A173" s="8">
        <f>IF(B173="","","J-"&amp;TEXT(ROW()-4,"0000"))</f>
        <v/>
      </c>
      <c r="B173" s="26" t="n"/>
      <c r="C173" s="6" t="n"/>
      <c r="D173" s="6" t="n"/>
      <c r="E173" s="29" t="n"/>
      <c r="F173" s="6" t="n"/>
      <c r="G173" s="25" t="n"/>
      <c r="H173" s="27">
        <f>IF(C173="","",IF(G173&lt;&gt;"",G173,IFERROR(INDEX(Clients!$G$5:$G$304,MATCH(C173,Clients!$A$5:$A$304,0)),0)))</f>
        <v/>
      </c>
      <c r="I173" s="25" t="n"/>
      <c r="J173" s="27">
        <f>IF(C173="","",H173+N(I173))</f>
        <v/>
      </c>
      <c r="K173" s="6" t="n"/>
      <c r="L173" s="6" t="n"/>
      <c r="M173" s="25" t="n"/>
      <c r="N173" s="10" t="n"/>
      <c r="O173" s="27">
        <f>IF(C173="","",N(E173)*Settings!$B$8)</f>
        <v/>
      </c>
      <c r="P173" s="27">
        <f>IF(C173="","",N(N173)*Settings!$B$10)</f>
        <v/>
      </c>
      <c r="Q173" s="27">
        <f>IF(C173="","",J173-N(M173)-O173-P173)</f>
        <v/>
      </c>
      <c r="R173" s="6" t="n"/>
    </row>
    <row r="174">
      <c r="A174" s="17">
        <f>IF(B174="","","J-"&amp;TEXT(ROW()-4,"0000"))</f>
        <v/>
      </c>
      <c r="B174" s="26" t="n"/>
      <c r="C174" s="6" t="n"/>
      <c r="D174" s="6" t="n"/>
      <c r="E174" s="29" t="n"/>
      <c r="F174" s="6" t="n"/>
      <c r="G174" s="25" t="n"/>
      <c r="H174" s="30">
        <f>IF(C174="","",IF(G174&lt;&gt;"",G174,IFERROR(INDEX(Clients!$G$5:$G$304,MATCH(C174,Clients!$A$5:$A$304,0)),0)))</f>
        <v/>
      </c>
      <c r="I174" s="25" t="n"/>
      <c r="J174" s="30">
        <f>IF(C174="","",H174+N(I174))</f>
        <v/>
      </c>
      <c r="K174" s="6" t="n"/>
      <c r="L174" s="6" t="n"/>
      <c r="M174" s="25" t="n"/>
      <c r="N174" s="10" t="n"/>
      <c r="O174" s="30">
        <f>IF(C174="","",N(E174)*Settings!$B$8)</f>
        <v/>
      </c>
      <c r="P174" s="30">
        <f>IF(C174="","",N(N174)*Settings!$B$10)</f>
        <v/>
      </c>
      <c r="Q174" s="30">
        <f>IF(C174="","",J174-N(M174)-O174-P174)</f>
        <v/>
      </c>
      <c r="R174" s="6" t="n"/>
    </row>
    <row r="175">
      <c r="A175" s="8">
        <f>IF(B175="","","J-"&amp;TEXT(ROW()-4,"0000"))</f>
        <v/>
      </c>
      <c r="B175" s="26" t="n"/>
      <c r="C175" s="6" t="n"/>
      <c r="D175" s="6" t="n"/>
      <c r="E175" s="29" t="n"/>
      <c r="F175" s="6" t="n"/>
      <c r="G175" s="25" t="n"/>
      <c r="H175" s="27">
        <f>IF(C175="","",IF(G175&lt;&gt;"",G175,IFERROR(INDEX(Clients!$G$5:$G$304,MATCH(C175,Clients!$A$5:$A$304,0)),0)))</f>
        <v/>
      </c>
      <c r="I175" s="25" t="n"/>
      <c r="J175" s="27">
        <f>IF(C175="","",H175+N(I175))</f>
        <v/>
      </c>
      <c r="K175" s="6" t="n"/>
      <c r="L175" s="6" t="n"/>
      <c r="M175" s="25" t="n"/>
      <c r="N175" s="10" t="n"/>
      <c r="O175" s="27">
        <f>IF(C175="","",N(E175)*Settings!$B$8)</f>
        <v/>
      </c>
      <c r="P175" s="27">
        <f>IF(C175="","",N(N175)*Settings!$B$10)</f>
        <v/>
      </c>
      <c r="Q175" s="27">
        <f>IF(C175="","",J175-N(M175)-O175-P175)</f>
        <v/>
      </c>
      <c r="R175" s="6" t="n"/>
    </row>
    <row r="176">
      <c r="A176" s="17">
        <f>IF(B176="","","J-"&amp;TEXT(ROW()-4,"0000"))</f>
        <v/>
      </c>
      <c r="B176" s="26" t="n"/>
      <c r="C176" s="6" t="n"/>
      <c r="D176" s="6" t="n"/>
      <c r="E176" s="29" t="n"/>
      <c r="F176" s="6" t="n"/>
      <c r="G176" s="25" t="n"/>
      <c r="H176" s="30">
        <f>IF(C176="","",IF(G176&lt;&gt;"",G176,IFERROR(INDEX(Clients!$G$5:$G$304,MATCH(C176,Clients!$A$5:$A$304,0)),0)))</f>
        <v/>
      </c>
      <c r="I176" s="25" t="n"/>
      <c r="J176" s="30">
        <f>IF(C176="","",H176+N(I176))</f>
        <v/>
      </c>
      <c r="K176" s="6" t="n"/>
      <c r="L176" s="6" t="n"/>
      <c r="M176" s="25" t="n"/>
      <c r="N176" s="10" t="n"/>
      <c r="O176" s="30">
        <f>IF(C176="","",N(E176)*Settings!$B$8)</f>
        <v/>
      </c>
      <c r="P176" s="30">
        <f>IF(C176="","",N(N176)*Settings!$B$10)</f>
        <v/>
      </c>
      <c r="Q176" s="30">
        <f>IF(C176="","",J176-N(M176)-O176-P176)</f>
        <v/>
      </c>
      <c r="R176" s="6" t="n"/>
    </row>
    <row r="177">
      <c r="A177" s="8">
        <f>IF(B177="","","J-"&amp;TEXT(ROW()-4,"0000"))</f>
        <v/>
      </c>
      <c r="B177" s="26" t="n"/>
      <c r="C177" s="6" t="n"/>
      <c r="D177" s="6" t="n"/>
      <c r="E177" s="29" t="n"/>
      <c r="F177" s="6" t="n"/>
      <c r="G177" s="25" t="n"/>
      <c r="H177" s="27">
        <f>IF(C177="","",IF(G177&lt;&gt;"",G177,IFERROR(INDEX(Clients!$G$5:$G$304,MATCH(C177,Clients!$A$5:$A$304,0)),0)))</f>
        <v/>
      </c>
      <c r="I177" s="25" t="n"/>
      <c r="J177" s="27">
        <f>IF(C177="","",H177+N(I177))</f>
        <v/>
      </c>
      <c r="K177" s="6" t="n"/>
      <c r="L177" s="6" t="n"/>
      <c r="M177" s="25" t="n"/>
      <c r="N177" s="10" t="n"/>
      <c r="O177" s="27">
        <f>IF(C177="","",N(E177)*Settings!$B$8)</f>
        <v/>
      </c>
      <c r="P177" s="27">
        <f>IF(C177="","",N(N177)*Settings!$B$10)</f>
        <v/>
      </c>
      <c r="Q177" s="27">
        <f>IF(C177="","",J177-N(M177)-O177-P177)</f>
        <v/>
      </c>
      <c r="R177" s="6" t="n"/>
    </row>
    <row r="178">
      <c r="A178" s="17">
        <f>IF(B178="","","J-"&amp;TEXT(ROW()-4,"0000"))</f>
        <v/>
      </c>
      <c r="B178" s="26" t="n"/>
      <c r="C178" s="6" t="n"/>
      <c r="D178" s="6" t="n"/>
      <c r="E178" s="29" t="n"/>
      <c r="F178" s="6" t="n"/>
      <c r="G178" s="25" t="n"/>
      <c r="H178" s="30">
        <f>IF(C178="","",IF(G178&lt;&gt;"",G178,IFERROR(INDEX(Clients!$G$5:$G$304,MATCH(C178,Clients!$A$5:$A$304,0)),0)))</f>
        <v/>
      </c>
      <c r="I178" s="25" t="n"/>
      <c r="J178" s="30">
        <f>IF(C178="","",H178+N(I178))</f>
        <v/>
      </c>
      <c r="K178" s="6" t="n"/>
      <c r="L178" s="6" t="n"/>
      <c r="M178" s="25" t="n"/>
      <c r="N178" s="10" t="n"/>
      <c r="O178" s="30">
        <f>IF(C178="","",N(E178)*Settings!$B$8)</f>
        <v/>
      </c>
      <c r="P178" s="30">
        <f>IF(C178="","",N(N178)*Settings!$B$10)</f>
        <v/>
      </c>
      <c r="Q178" s="30">
        <f>IF(C178="","",J178-N(M178)-O178-P178)</f>
        <v/>
      </c>
      <c r="R178" s="6" t="n"/>
    </row>
    <row r="179">
      <c r="A179" s="8">
        <f>IF(B179="","","J-"&amp;TEXT(ROW()-4,"0000"))</f>
        <v/>
      </c>
      <c r="B179" s="26" t="n"/>
      <c r="C179" s="6" t="n"/>
      <c r="D179" s="6" t="n"/>
      <c r="E179" s="29" t="n"/>
      <c r="F179" s="6" t="n"/>
      <c r="G179" s="25" t="n"/>
      <c r="H179" s="27">
        <f>IF(C179="","",IF(G179&lt;&gt;"",G179,IFERROR(INDEX(Clients!$G$5:$G$304,MATCH(C179,Clients!$A$5:$A$304,0)),0)))</f>
        <v/>
      </c>
      <c r="I179" s="25" t="n"/>
      <c r="J179" s="27">
        <f>IF(C179="","",H179+N(I179))</f>
        <v/>
      </c>
      <c r="K179" s="6" t="n"/>
      <c r="L179" s="6" t="n"/>
      <c r="M179" s="25" t="n"/>
      <c r="N179" s="10" t="n"/>
      <c r="O179" s="27">
        <f>IF(C179="","",N(E179)*Settings!$B$8)</f>
        <v/>
      </c>
      <c r="P179" s="27">
        <f>IF(C179="","",N(N179)*Settings!$B$10)</f>
        <v/>
      </c>
      <c r="Q179" s="27">
        <f>IF(C179="","",J179-N(M179)-O179-P179)</f>
        <v/>
      </c>
      <c r="R179" s="6" t="n"/>
    </row>
    <row r="180">
      <c r="A180" s="17">
        <f>IF(B180="","","J-"&amp;TEXT(ROW()-4,"0000"))</f>
        <v/>
      </c>
      <c r="B180" s="26" t="n"/>
      <c r="C180" s="6" t="n"/>
      <c r="D180" s="6" t="n"/>
      <c r="E180" s="29" t="n"/>
      <c r="F180" s="6" t="n"/>
      <c r="G180" s="25" t="n"/>
      <c r="H180" s="30">
        <f>IF(C180="","",IF(G180&lt;&gt;"",G180,IFERROR(INDEX(Clients!$G$5:$G$304,MATCH(C180,Clients!$A$5:$A$304,0)),0)))</f>
        <v/>
      </c>
      <c r="I180" s="25" t="n"/>
      <c r="J180" s="30">
        <f>IF(C180="","",H180+N(I180))</f>
        <v/>
      </c>
      <c r="K180" s="6" t="n"/>
      <c r="L180" s="6" t="n"/>
      <c r="M180" s="25" t="n"/>
      <c r="N180" s="10" t="n"/>
      <c r="O180" s="30">
        <f>IF(C180="","",N(E180)*Settings!$B$8)</f>
        <v/>
      </c>
      <c r="P180" s="30">
        <f>IF(C180="","",N(N180)*Settings!$B$10)</f>
        <v/>
      </c>
      <c r="Q180" s="30">
        <f>IF(C180="","",J180-N(M180)-O180-P180)</f>
        <v/>
      </c>
      <c r="R180" s="6" t="n"/>
    </row>
    <row r="181">
      <c r="A181" s="8">
        <f>IF(B181="","","J-"&amp;TEXT(ROW()-4,"0000"))</f>
        <v/>
      </c>
      <c r="B181" s="26" t="n"/>
      <c r="C181" s="6" t="n"/>
      <c r="D181" s="6" t="n"/>
      <c r="E181" s="29" t="n"/>
      <c r="F181" s="6" t="n"/>
      <c r="G181" s="25" t="n"/>
      <c r="H181" s="27">
        <f>IF(C181="","",IF(G181&lt;&gt;"",G181,IFERROR(INDEX(Clients!$G$5:$G$304,MATCH(C181,Clients!$A$5:$A$304,0)),0)))</f>
        <v/>
      </c>
      <c r="I181" s="25" t="n"/>
      <c r="J181" s="27">
        <f>IF(C181="","",H181+N(I181))</f>
        <v/>
      </c>
      <c r="K181" s="6" t="n"/>
      <c r="L181" s="6" t="n"/>
      <c r="M181" s="25" t="n"/>
      <c r="N181" s="10" t="n"/>
      <c r="O181" s="27">
        <f>IF(C181="","",N(E181)*Settings!$B$8)</f>
        <v/>
      </c>
      <c r="P181" s="27">
        <f>IF(C181="","",N(N181)*Settings!$B$10)</f>
        <v/>
      </c>
      <c r="Q181" s="27">
        <f>IF(C181="","",J181-N(M181)-O181-P181)</f>
        <v/>
      </c>
      <c r="R181" s="6" t="n"/>
    </row>
    <row r="182">
      <c r="A182" s="17">
        <f>IF(B182="","","J-"&amp;TEXT(ROW()-4,"0000"))</f>
        <v/>
      </c>
      <c r="B182" s="26" t="n"/>
      <c r="C182" s="6" t="n"/>
      <c r="D182" s="6" t="n"/>
      <c r="E182" s="29" t="n"/>
      <c r="F182" s="6" t="n"/>
      <c r="G182" s="25" t="n"/>
      <c r="H182" s="30">
        <f>IF(C182="","",IF(G182&lt;&gt;"",G182,IFERROR(INDEX(Clients!$G$5:$G$304,MATCH(C182,Clients!$A$5:$A$304,0)),0)))</f>
        <v/>
      </c>
      <c r="I182" s="25" t="n"/>
      <c r="J182" s="30">
        <f>IF(C182="","",H182+N(I182))</f>
        <v/>
      </c>
      <c r="K182" s="6" t="n"/>
      <c r="L182" s="6" t="n"/>
      <c r="M182" s="25" t="n"/>
      <c r="N182" s="10" t="n"/>
      <c r="O182" s="30">
        <f>IF(C182="","",N(E182)*Settings!$B$8)</f>
        <v/>
      </c>
      <c r="P182" s="30">
        <f>IF(C182="","",N(N182)*Settings!$B$10)</f>
        <v/>
      </c>
      <c r="Q182" s="30">
        <f>IF(C182="","",J182-N(M182)-O182-P182)</f>
        <v/>
      </c>
      <c r="R182" s="6" t="n"/>
    </row>
    <row r="183">
      <c r="A183" s="8">
        <f>IF(B183="","","J-"&amp;TEXT(ROW()-4,"0000"))</f>
        <v/>
      </c>
      <c r="B183" s="26" t="n"/>
      <c r="C183" s="6" t="n"/>
      <c r="D183" s="6" t="n"/>
      <c r="E183" s="29" t="n"/>
      <c r="F183" s="6" t="n"/>
      <c r="G183" s="25" t="n"/>
      <c r="H183" s="27">
        <f>IF(C183="","",IF(G183&lt;&gt;"",G183,IFERROR(INDEX(Clients!$G$5:$G$304,MATCH(C183,Clients!$A$5:$A$304,0)),0)))</f>
        <v/>
      </c>
      <c r="I183" s="25" t="n"/>
      <c r="J183" s="27">
        <f>IF(C183="","",H183+N(I183))</f>
        <v/>
      </c>
      <c r="K183" s="6" t="n"/>
      <c r="L183" s="6" t="n"/>
      <c r="M183" s="25" t="n"/>
      <c r="N183" s="10" t="n"/>
      <c r="O183" s="27">
        <f>IF(C183="","",N(E183)*Settings!$B$8)</f>
        <v/>
      </c>
      <c r="P183" s="27">
        <f>IF(C183="","",N(N183)*Settings!$B$10)</f>
        <v/>
      </c>
      <c r="Q183" s="27">
        <f>IF(C183="","",J183-N(M183)-O183-P183)</f>
        <v/>
      </c>
      <c r="R183" s="6" t="n"/>
    </row>
    <row r="184">
      <c r="A184" s="17">
        <f>IF(B184="","","J-"&amp;TEXT(ROW()-4,"0000"))</f>
        <v/>
      </c>
      <c r="B184" s="26" t="n"/>
      <c r="C184" s="6" t="n"/>
      <c r="D184" s="6" t="n"/>
      <c r="E184" s="29" t="n"/>
      <c r="F184" s="6" t="n"/>
      <c r="G184" s="25" t="n"/>
      <c r="H184" s="30">
        <f>IF(C184="","",IF(G184&lt;&gt;"",G184,IFERROR(INDEX(Clients!$G$5:$G$304,MATCH(C184,Clients!$A$5:$A$304,0)),0)))</f>
        <v/>
      </c>
      <c r="I184" s="25" t="n"/>
      <c r="J184" s="30">
        <f>IF(C184="","",H184+N(I184))</f>
        <v/>
      </c>
      <c r="K184" s="6" t="n"/>
      <c r="L184" s="6" t="n"/>
      <c r="M184" s="25" t="n"/>
      <c r="N184" s="10" t="n"/>
      <c r="O184" s="30">
        <f>IF(C184="","",N(E184)*Settings!$B$8)</f>
        <v/>
      </c>
      <c r="P184" s="30">
        <f>IF(C184="","",N(N184)*Settings!$B$10)</f>
        <v/>
      </c>
      <c r="Q184" s="30">
        <f>IF(C184="","",J184-N(M184)-O184-P184)</f>
        <v/>
      </c>
      <c r="R184" s="6" t="n"/>
    </row>
    <row r="185">
      <c r="A185" s="8">
        <f>IF(B185="","","J-"&amp;TEXT(ROW()-4,"0000"))</f>
        <v/>
      </c>
      <c r="B185" s="26" t="n"/>
      <c r="C185" s="6" t="n"/>
      <c r="D185" s="6" t="n"/>
      <c r="E185" s="29" t="n"/>
      <c r="F185" s="6" t="n"/>
      <c r="G185" s="25" t="n"/>
      <c r="H185" s="27">
        <f>IF(C185="","",IF(G185&lt;&gt;"",G185,IFERROR(INDEX(Clients!$G$5:$G$304,MATCH(C185,Clients!$A$5:$A$304,0)),0)))</f>
        <v/>
      </c>
      <c r="I185" s="25" t="n"/>
      <c r="J185" s="27">
        <f>IF(C185="","",H185+N(I185))</f>
        <v/>
      </c>
      <c r="K185" s="6" t="n"/>
      <c r="L185" s="6" t="n"/>
      <c r="M185" s="25" t="n"/>
      <c r="N185" s="10" t="n"/>
      <c r="O185" s="27">
        <f>IF(C185="","",N(E185)*Settings!$B$8)</f>
        <v/>
      </c>
      <c r="P185" s="27">
        <f>IF(C185="","",N(N185)*Settings!$B$10)</f>
        <v/>
      </c>
      <c r="Q185" s="27">
        <f>IF(C185="","",J185-N(M185)-O185-P185)</f>
        <v/>
      </c>
      <c r="R185" s="6" t="n"/>
    </row>
    <row r="186">
      <c r="A186" s="17">
        <f>IF(B186="","","J-"&amp;TEXT(ROW()-4,"0000"))</f>
        <v/>
      </c>
      <c r="B186" s="26" t="n"/>
      <c r="C186" s="6" t="n"/>
      <c r="D186" s="6" t="n"/>
      <c r="E186" s="29" t="n"/>
      <c r="F186" s="6" t="n"/>
      <c r="G186" s="25" t="n"/>
      <c r="H186" s="30">
        <f>IF(C186="","",IF(G186&lt;&gt;"",G186,IFERROR(INDEX(Clients!$G$5:$G$304,MATCH(C186,Clients!$A$5:$A$304,0)),0)))</f>
        <v/>
      </c>
      <c r="I186" s="25" t="n"/>
      <c r="J186" s="30">
        <f>IF(C186="","",H186+N(I186))</f>
        <v/>
      </c>
      <c r="K186" s="6" t="n"/>
      <c r="L186" s="6" t="n"/>
      <c r="M186" s="25" t="n"/>
      <c r="N186" s="10" t="n"/>
      <c r="O186" s="30">
        <f>IF(C186="","",N(E186)*Settings!$B$8)</f>
        <v/>
      </c>
      <c r="P186" s="30">
        <f>IF(C186="","",N(N186)*Settings!$B$10)</f>
        <v/>
      </c>
      <c r="Q186" s="30">
        <f>IF(C186="","",J186-N(M186)-O186-P186)</f>
        <v/>
      </c>
      <c r="R186" s="6" t="n"/>
    </row>
    <row r="187">
      <c r="A187" s="8">
        <f>IF(B187="","","J-"&amp;TEXT(ROW()-4,"0000"))</f>
        <v/>
      </c>
      <c r="B187" s="26" t="n"/>
      <c r="C187" s="6" t="n"/>
      <c r="D187" s="6" t="n"/>
      <c r="E187" s="29" t="n"/>
      <c r="F187" s="6" t="n"/>
      <c r="G187" s="25" t="n"/>
      <c r="H187" s="27">
        <f>IF(C187="","",IF(G187&lt;&gt;"",G187,IFERROR(INDEX(Clients!$G$5:$G$304,MATCH(C187,Clients!$A$5:$A$304,0)),0)))</f>
        <v/>
      </c>
      <c r="I187" s="25" t="n"/>
      <c r="J187" s="27">
        <f>IF(C187="","",H187+N(I187))</f>
        <v/>
      </c>
      <c r="K187" s="6" t="n"/>
      <c r="L187" s="6" t="n"/>
      <c r="M187" s="25" t="n"/>
      <c r="N187" s="10" t="n"/>
      <c r="O187" s="27">
        <f>IF(C187="","",N(E187)*Settings!$B$8)</f>
        <v/>
      </c>
      <c r="P187" s="27">
        <f>IF(C187="","",N(N187)*Settings!$B$10)</f>
        <v/>
      </c>
      <c r="Q187" s="27">
        <f>IF(C187="","",J187-N(M187)-O187-P187)</f>
        <v/>
      </c>
      <c r="R187" s="6" t="n"/>
    </row>
    <row r="188">
      <c r="A188" s="17">
        <f>IF(B188="","","J-"&amp;TEXT(ROW()-4,"0000"))</f>
        <v/>
      </c>
      <c r="B188" s="26" t="n"/>
      <c r="C188" s="6" t="n"/>
      <c r="D188" s="6" t="n"/>
      <c r="E188" s="29" t="n"/>
      <c r="F188" s="6" t="n"/>
      <c r="G188" s="25" t="n"/>
      <c r="H188" s="30">
        <f>IF(C188="","",IF(G188&lt;&gt;"",G188,IFERROR(INDEX(Clients!$G$5:$G$304,MATCH(C188,Clients!$A$5:$A$304,0)),0)))</f>
        <v/>
      </c>
      <c r="I188" s="25" t="n"/>
      <c r="J188" s="30">
        <f>IF(C188="","",H188+N(I188))</f>
        <v/>
      </c>
      <c r="K188" s="6" t="n"/>
      <c r="L188" s="6" t="n"/>
      <c r="M188" s="25" t="n"/>
      <c r="N188" s="10" t="n"/>
      <c r="O188" s="30">
        <f>IF(C188="","",N(E188)*Settings!$B$8)</f>
        <v/>
      </c>
      <c r="P188" s="30">
        <f>IF(C188="","",N(N188)*Settings!$B$10)</f>
        <v/>
      </c>
      <c r="Q188" s="30">
        <f>IF(C188="","",J188-N(M188)-O188-P188)</f>
        <v/>
      </c>
      <c r="R188" s="6" t="n"/>
    </row>
    <row r="189">
      <c r="A189" s="8">
        <f>IF(B189="","","J-"&amp;TEXT(ROW()-4,"0000"))</f>
        <v/>
      </c>
      <c r="B189" s="26" t="n"/>
      <c r="C189" s="6" t="n"/>
      <c r="D189" s="6" t="n"/>
      <c r="E189" s="29" t="n"/>
      <c r="F189" s="6" t="n"/>
      <c r="G189" s="25" t="n"/>
      <c r="H189" s="27">
        <f>IF(C189="","",IF(G189&lt;&gt;"",G189,IFERROR(INDEX(Clients!$G$5:$G$304,MATCH(C189,Clients!$A$5:$A$304,0)),0)))</f>
        <v/>
      </c>
      <c r="I189" s="25" t="n"/>
      <c r="J189" s="27">
        <f>IF(C189="","",H189+N(I189))</f>
        <v/>
      </c>
      <c r="K189" s="6" t="n"/>
      <c r="L189" s="6" t="n"/>
      <c r="M189" s="25" t="n"/>
      <c r="N189" s="10" t="n"/>
      <c r="O189" s="27">
        <f>IF(C189="","",N(E189)*Settings!$B$8)</f>
        <v/>
      </c>
      <c r="P189" s="27">
        <f>IF(C189="","",N(N189)*Settings!$B$10)</f>
        <v/>
      </c>
      <c r="Q189" s="27">
        <f>IF(C189="","",J189-N(M189)-O189-P189)</f>
        <v/>
      </c>
      <c r="R189" s="6" t="n"/>
    </row>
    <row r="190">
      <c r="A190" s="17">
        <f>IF(B190="","","J-"&amp;TEXT(ROW()-4,"0000"))</f>
        <v/>
      </c>
      <c r="B190" s="26" t="n"/>
      <c r="C190" s="6" t="n"/>
      <c r="D190" s="6" t="n"/>
      <c r="E190" s="29" t="n"/>
      <c r="F190" s="6" t="n"/>
      <c r="G190" s="25" t="n"/>
      <c r="H190" s="30">
        <f>IF(C190="","",IF(G190&lt;&gt;"",G190,IFERROR(INDEX(Clients!$G$5:$G$304,MATCH(C190,Clients!$A$5:$A$304,0)),0)))</f>
        <v/>
      </c>
      <c r="I190" s="25" t="n"/>
      <c r="J190" s="30">
        <f>IF(C190="","",H190+N(I190))</f>
        <v/>
      </c>
      <c r="K190" s="6" t="n"/>
      <c r="L190" s="6" t="n"/>
      <c r="M190" s="25" t="n"/>
      <c r="N190" s="10" t="n"/>
      <c r="O190" s="30">
        <f>IF(C190="","",N(E190)*Settings!$B$8)</f>
        <v/>
      </c>
      <c r="P190" s="30">
        <f>IF(C190="","",N(N190)*Settings!$B$10)</f>
        <v/>
      </c>
      <c r="Q190" s="30">
        <f>IF(C190="","",J190-N(M190)-O190-P190)</f>
        <v/>
      </c>
      <c r="R190" s="6" t="n"/>
    </row>
    <row r="191">
      <c r="A191" s="8">
        <f>IF(B191="","","J-"&amp;TEXT(ROW()-4,"0000"))</f>
        <v/>
      </c>
      <c r="B191" s="26" t="n"/>
      <c r="C191" s="6" t="n"/>
      <c r="D191" s="6" t="n"/>
      <c r="E191" s="29" t="n"/>
      <c r="F191" s="6" t="n"/>
      <c r="G191" s="25" t="n"/>
      <c r="H191" s="27">
        <f>IF(C191="","",IF(G191&lt;&gt;"",G191,IFERROR(INDEX(Clients!$G$5:$G$304,MATCH(C191,Clients!$A$5:$A$304,0)),0)))</f>
        <v/>
      </c>
      <c r="I191" s="25" t="n"/>
      <c r="J191" s="27">
        <f>IF(C191="","",H191+N(I191))</f>
        <v/>
      </c>
      <c r="K191" s="6" t="n"/>
      <c r="L191" s="6" t="n"/>
      <c r="M191" s="25" t="n"/>
      <c r="N191" s="10" t="n"/>
      <c r="O191" s="27">
        <f>IF(C191="","",N(E191)*Settings!$B$8)</f>
        <v/>
      </c>
      <c r="P191" s="27">
        <f>IF(C191="","",N(N191)*Settings!$B$10)</f>
        <v/>
      </c>
      <c r="Q191" s="27">
        <f>IF(C191="","",J191-N(M191)-O191-P191)</f>
        <v/>
      </c>
      <c r="R191" s="6" t="n"/>
    </row>
    <row r="192">
      <c r="A192" s="17">
        <f>IF(B192="","","J-"&amp;TEXT(ROW()-4,"0000"))</f>
        <v/>
      </c>
      <c r="B192" s="26" t="n"/>
      <c r="C192" s="6" t="n"/>
      <c r="D192" s="6" t="n"/>
      <c r="E192" s="29" t="n"/>
      <c r="F192" s="6" t="n"/>
      <c r="G192" s="25" t="n"/>
      <c r="H192" s="30">
        <f>IF(C192="","",IF(G192&lt;&gt;"",G192,IFERROR(INDEX(Clients!$G$5:$G$304,MATCH(C192,Clients!$A$5:$A$304,0)),0)))</f>
        <v/>
      </c>
      <c r="I192" s="25" t="n"/>
      <c r="J192" s="30">
        <f>IF(C192="","",H192+N(I192))</f>
        <v/>
      </c>
      <c r="K192" s="6" t="n"/>
      <c r="L192" s="6" t="n"/>
      <c r="M192" s="25" t="n"/>
      <c r="N192" s="10" t="n"/>
      <c r="O192" s="30">
        <f>IF(C192="","",N(E192)*Settings!$B$8)</f>
        <v/>
      </c>
      <c r="P192" s="30">
        <f>IF(C192="","",N(N192)*Settings!$B$10)</f>
        <v/>
      </c>
      <c r="Q192" s="30">
        <f>IF(C192="","",J192-N(M192)-O192-P192)</f>
        <v/>
      </c>
      <c r="R192" s="6" t="n"/>
    </row>
    <row r="193">
      <c r="A193" s="8">
        <f>IF(B193="","","J-"&amp;TEXT(ROW()-4,"0000"))</f>
        <v/>
      </c>
      <c r="B193" s="26" t="n"/>
      <c r="C193" s="6" t="n"/>
      <c r="D193" s="6" t="n"/>
      <c r="E193" s="29" t="n"/>
      <c r="F193" s="6" t="n"/>
      <c r="G193" s="25" t="n"/>
      <c r="H193" s="27">
        <f>IF(C193="","",IF(G193&lt;&gt;"",G193,IFERROR(INDEX(Clients!$G$5:$G$304,MATCH(C193,Clients!$A$5:$A$304,0)),0)))</f>
        <v/>
      </c>
      <c r="I193" s="25" t="n"/>
      <c r="J193" s="27">
        <f>IF(C193="","",H193+N(I193))</f>
        <v/>
      </c>
      <c r="K193" s="6" t="n"/>
      <c r="L193" s="6" t="n"/>
      <c r="M193" s="25" t="n"/>
      <c r="N193" s="10" t="n"/>
      <c r="O193" s="27">
        <f>IF(C193="","",N(E193)*Settings!$B$8)</f>
        <v/>
      </c>
      <c r="P193" s="27">
        <f>IF(C193="","",N(N193)*Settings!$B$10)</f>
        <v/>
      </c>
      <c r="Q193" s="27">
        <f>IF(C193="","",J193-N(M193)-O193-P193)</f>
        <v/>
      </c>
      <c r="R193" s="6" t="n"/>
    </row>
    <row r="194">
      <c r="A194" s="17">
        <f>IF(B194="","","J-"&amp;TEXT(ROW()-4,"0000"))</f>
        <v/>
      </c>
      <c r="B194" s="26" t="n"/>
      <c r="C194" s="6" t="n"/>
      <c r="D194" s="6" t="n"/>
      <c r="E194" s="29" t="n"/>
      <c r="F194" s="6" t="n"/>
      <c r="G194" s="25" t="n"/>
      <c r="H194" s="30">
        <f>IF(C194="","",IF(G194&lt;&gt;"",G194,IFERROR(INDEX(Clients!$G$5:$G$304,MATCH(C194,Clients!$A$5:$A$304,0)),0)))</f>
        <v/>
      </c>
      <c r="I194" s="25" t="n"/>
      <c r="J194" s="30">
        <f>IF(C194="","",H194+N(I194))</f>
        <v/>
      </c>
      <c r="K194" s="6" t="n"/>
      <c r="L194" s="6" t="n"/>
      <c r="M194" s="25" t="n"/>
      <c r="N194" s="10" t="n"/>
      <c r="O194" s="30">
        <f>IF(C194="","",N(E194)*Settings!$B$8)</f>
        <v/>
      </c>
      <c r="P194" s="30">
        <f>IF(C194="","",N(N194)*Settings!$B$10)</f>
        <v/>
      </c>
      <c r="Q194" s="30">
        <f>IF(C194="","",J194-N(M194)-O194-P194)</f>
        <v/>
      </c>
      <c r="R194" s="6" t="n"/>
    </row>
    <row r="195">
      <c r="A195" s="8">
        <f>IF(B195="","","J-"&amp;TEXT(ROW()-4,"0000"))</f>
        <v/>
      </c>
      <c r="B195" s="26" t="n"/>
      <c r="C195" s="6" t="n"/>
      <c r="D195" s="6" t="n"/>
      <c r="E195" s="29" t="n"/>
      <c r="F195" s="6" t="n"/>
      <c r="G195" s="25" t="n"/>
      <c r="H195" s="27">
        <f>IF(C195="","",IF(G195&lt;&gt;"",G195,IFERROR(INDEX(Clients!$G$5:$G$304,MATCH(C195,Clients!$A$5:$A$304,0)),0)))</f>
        <v/>
      </c>
      <c r="I195" s="25" t="n"/>
      <c r="J195" s="27">
        <f>IF(C195="","",H195+N(I195))</f>
        <v/>
      </c>
      <c r="K195" s="6" t="n"/>
      <c r="L195" s="6" t="n"/>
      <c r="M195" s="25" t="n"/>
      <c r="N195" s="10" t="n"/>
      <c r="O195" s="27">
        <f>IF(C195="","",N(E195)*Settings!$B$8)</f>
        <v/>
      </c>
      <c r="P195" s="27">
        <f>IF(C195="","",N(N195)*Settings!$B$10)</f>
        <v/>
      </c>
      <c r="Q195" s="27">
        <f>IF(C195="","",J195-N(M195)-O195-P195)</f>
        <v/>
      </c>
      <c r="R195" s="6" t="n"/>
    </row>
    <row r="196">
      <c r="A196" s="17">
        <f>IF(B196="","","J-"&amp;TEXT(ROW()-4,"0000"))</f>
        <v/>
      </c>
      <c r="B196" s="26" t="n"/>
      <c r="C196" s="6" t="n"/>
      <c r="D196" s="6" t="n"/>
      <c r="E196" s="29" t="n"/>
      <c r="F196" s="6" t="n"/>
      <c r="G196" s="25" t="n"/>
      <c r="H196" s="30">
        <f>IF(C196="","",IF(G196&lt;&gt;"",G196,IFERROR(INDEX(Clients!$G$5:$G$304,MATCH(C196,Clients!$A$5:$A$304,0)),0)))</f>
        <v/>
      </c>
      <c r="I196" s="25" t="n"/>
      <c r="J196" s="30">
        <f>IF(C196="","",H196+N(I196))</f>
        <v/>
      </c>
      <c r="K196" s="6" t="n"/>
      <c r="L196" s="6" t="n"/>
      <c r="M196" s="25" t="n"/>
      <c r="N196" s="10" t="n"/>
      <c r="O196" s="30">
        <f>IF(C196="","",N(E196)*Settings!$B$8)</f>
        <v/>
      </c>
      <c r="P196" s="30">
        <f>IF(C196="","",N(N196)*Settings!$B$10)</f>
        <v/>
      </c>
      <c r="Q196" s="30">
        <f>IF(C196="","",J196-N(M196)-O196-P196)</f>
        <v/>
      </c>
      <c r="R196" s="6" t="n"/>
    </row>
    <row r="197">
      <c r="A197" s="8">
        <f>IF(B197="","","J-"&amp;TEXT(ROW()-4,"0000"))</f>
        <v/>
      </c>
      <c r="B197" s="26" t="n"/>
      <c r="C197" s="6" t="n"/>
      <c r="D197" s="6" t="n"/>
      <c r="E197" s="29" t="n"/>
      <c r="F197" s="6" t="n"/>
      <c r="G197" s="25" t="n"/>
      <c r="H197" s="27">
        <f>IF(C197="","",IF(G197&lt;&gt;"",G197,IFERROR(INDEX(Clients!$G$5:$G$304,MATCH(C197,Clients!$A$5:$A$304,0)),0)))</f>
        <v/>
      </c>
      <c r="I197" s="25" t="n"/>
      <c r="J197" s="27">
        <f>IF(C197="","",H197+N(I197))</f>
        <v/>
      </c>
      <c r="K197" s="6" t="n"/>
      <c r="L197" s="6" t="n"/>
      <c r="M197" s="25" t="n"/>
      <c r="N197" s="10" t="n"/>
      <c r="O197" s="27">
        <f>IF(C197="","",N(E197)*Settings!$B$8)</f>
        <v/>
      </c>
      <c r="P197" s="27">
        <f>IF(C197="","",N(N197)*Settings!$B$10)</f>
        <v/>
      </c>
      <c r="Q197" s="27">
        <f>IF(C197="","",J197-N(M197)-O197-P197)</f>
        <v/>
      </c>
      <c r="R197" s="6" t="n"/>
    </row>
    <row r="198">
      <c r="A198" s="17">
        <f>IF(B198="","","J-"&amp;TEXT(ROW()-4,"0000"))</f>
        <v/>
      </c>
      <c r="B198" s="26" t="n"/>
      <c r="C198" s="6" t="n"/>
      <c r="D198" s="6" t="n"/>
      <c r="E198" s="29" t="n"/>
      <c r="F198" s="6" t="n"/>
      <c r="G198" s="25" t="n"/>
      <c r="H198" s="30">
        <f>IF(C198="","",IF(G198&lt;&gt;"",G198,IFERROR(INDEX(Clients!$G$5:$G$304,MATCH(C198,Clients!$A$5:$A$304,0)),0)))</f>
        <v/>
      </c>
      <c r="I198" s="25" t="n"/>
      <c r="J198" s="30">
        <f>IF(C198="","",H198+N(I198))</f>
        <v/>
      </c>
      <c r="K198" s="6" t="n"/>
      <c r="L198" s="6" t="n"/>
      <c r="M198" s="25" t="n"/>
      <c r="N198" s="10" t="n"/>
      <c r="O198" s="30">
        <f>IF(C198="","",N(E198)*Settings!$B$8)</f>
        <v/>
      </c>
      <c r="P198" s="30">
        <f>IF(C198="","",N(N198)*Settings!$B$10)</f>
        <v/>
      </c>
      <c r="Q198" s="30">
        <f>IF(C198="","",J198-N(M198)-O198-P198)</f>
        <v/>
      </c>
      <c r="R198" s="6" t="n"/>
    </row>
    <row r="199">
      <c r="A199" s="8">
        <f>IF(B199="","","J-"&amp;TEXT(ROW()-4,"0000"))</f>
        <v/>
      </c>
      <c r="B199" s="26" t="n"/>
      <c r="C199" s="6" t="n"/>
      <c r="D199" s="6" t="n"/>
      <c r="E199" s="29" t="n"/>
      <c r="F199" s="6" t="n"/>
      <c r="G199" s="25" t="n"/>
      <c r="H199" s="27">
        <f>IF(C199="","",IF(G199&lt;&gt;"",G199,IFERROR(INDEX(Clients!$G$5:$G$304,MATCH(C199,Clients!$A$5:$A$304,0)),0)))</f>
        <v/>
      </c>
      <c r="I199" s="25" t="n"/>
      <c r="J199" s="27">
        <f>IF(C199="","",H199+N(I199))</f>
        <v/>
      </c>
      <c r="K199" s="6" t="n"/>
      <c r="L199" s="6" t="n"/>
      <c r="M199" s="25" t="n"/>
      <c r="N199" s="10" t="n"/>
      <c r="O199" s="27">
        <f>IF(C199="","",N(E199)*Settings!$B$8)</f>
        <v/>
      </c>
      <c r="P199" s="27">
        <f>IF(C199="","",N(N199)*Settings!$B$10)</f>
        <v/>
      </c>
      <c r="Q199" s="27">
        <f>IF(C199="","",J199-N(M199)-O199-P199)</f>
        <v/>
      </c>
      <c r="R199" s="6" t="n"/>
    </row>
    <row r="200">
      <c r="A200" s="17">
        <f>IF(B200="","","J-"&amp;TEXT(ROW()-4,"0000"))</f>
        <v/>
      </c>
      <c r="B200" s="26" t="n"/>
      <c r="C200" s="6" t="n"/>
      <c r="D200" s="6" t="n"/>
      <c r="E200" s="29" t="n"/>
      <c r="F200" s="6" t="n"/>
      <c r="G200" s="25" t="n"/>
      <c r="H200" s="30">
        <f>IF(C200="","",IF(G200&lt;&gt;"",G200,IFERROR(INDEX(Clients!$G$5:$G$304,MATCH(C200,Clients!$A$5:$A$304,0)),0)))</f>
        <v/>
      </c>
      <c r="I200" s="25" t="n"/>
      <c r="J200" s="30">
        <f>IF(C200="","",H200+N(I200))</f>
        <v/>
      </c>
      <c r="K200" s="6" t="n"/>
      <c r="L200" s="6" t="n"/>
      <c r="M200" s="25" t="n"/>
      <c r="N200" s="10" t="n"/>
      <c r="O200" s="30">
        <f>IF(C200="","",N(E200)*Settings!$B$8)</f>
        <v/>
      </c>
      <c r="P200" s="30">
        <f>IF(C200="","",N(N200)*Settings!$B$10)</f>
        <v/>
      </c>
      <c r="Q200" s="30">
        <f>IF(C200="","",J200-N(M200)-O200-P200)</f>
        <v/>
      </c>
      <c r="R200" s="6" t="n"/>
    </row>
    <row r="201">
      <c r="A201" s="8">
        <f>IF(B201="","","J-"&amp;TEXT(ROW()-4,"0000"))</f>
        <v/>
      </c>
      <c r="B201" s="26" t="n"/>
      <c r="C201" s="6" t="n"/>
      <c r="D201" s="6" t="n"/>
      <c r="E201" s="29" t="n"/>
      <c r="F201" s="6" t="n"/>
      <c r="G201" s="25" t="n"/>
      <c r="H201" s="27">
        <f>IF(C201="","",IF(G201&lt;&gt;"",G201,IFERROR(INDEX(Clients!$G$5:$G$304,MATCH(C201,Clients!$A$5:$A$304,0)),0)))</f>
        <v/>
      </c>
      <c r="I201" s="25" t="n"/>
      <c r="J201" s="27">
        <f>IF(C201="","",H201+N(I201))</f>
        <v/>
      </c>
      <c r="K201" s="6" t="n"/>
      <c r="L201" s="6" t="n"/>
      <c r="M201" s="25" t="n"/>
      <c r="N201" s="10" t="n"/>
      <c r="O201" s="27">
        <f>IF(C201="","",N(E201)*Settings!$B$8)</f>
        <v/>
      </c>
      <c r="P201" s="27">
        <f>IF(C201="","",N(N201)*Settings!$B$10)</f>
        <v/>
      </c>
      <c r="Q201" s="27">
        <f>IF(C201="","",J201-N(M201)-O201-P201)</f>
        <v/>
      </c>
      <c r="R201" s="6" t="n"/>
    </row>
    <row r="202">
      <c r="A202" s="17">
        <f>IF(B202="","","J-"&amp;TEXT(ROW()-4,"0000"))</f>
        <v/>
      </c>
      <c r="B202" s="26" t="n"/>
      <c r="C202" s="6" t="n"/>
      <c r="D202" s="6" t="n"/>
      <c r="E202" s="29" t="n"/>
      <c r="F202" s="6" t="n"/>
      <c r="G202" s="25" t="n"/>
      <c r="H202" s="30">
        <f>IF(C202="","",IF(G202&lt;&gt;"",G202,IFERROR(INDEX(Clients!$G$5:$G$304,MATCH(C202,Clients!$A$5:$A$304,0)),0)))</f>
        <v/>
      </c>
      <c r="I202" s="25" t="n"/>
      <c r="J202" s="30">
        <f>IF(C202="","",H202+N(I202))</f>
        <v/>
      </c>
      <c r="K202" s="6" t="n"/>
      <c r="L202" s="6" t="n"/>
      <c r="M202" s="25" t="n"/>
      <c r="N202" s="10" t="n"/>
      <c r="O202" s="30">
        <f>IF(C202="","",N(E202)*Settings!$B$8)</f>
        <v/>
      </c>
      <c r="P202" s="30">
        <f>IF(C202="","",N(N202)*Settings!$B$10)</f>
        <v/>
      </c>
      <c r="Q202" s="30">
        <f>IF(C202="","",J202-N(M202)-O202-P202)</f>
        <v/>
      </c>
      <c r="R202" s="6" t="n"/>
    </row>
    <row r="203">
      <c r="A203" s="8">
        <f>IF(B203="","","J-"&amp;TEXT(ROW()-4,"0000"))</f>
        <v/>
      </c>
      <c r="B203" s="26" t="n"/>
      <c r="C203" s="6" t="n"/>
      <c r="D203" s="6" t="n"/>
      <c r="E203" s="29" t="n"/>
      <c r="F203" s="6" t="n"/>
      <c r="G203" s="25" t="n"/>
      <c r="H203" s="27">
        <f>IF(C203="","",IF(G203&lt;&gt;"",G203,IFERROR(INDEX(Clients!$G$5:$G$304,MATCH(C203,Clients!$A$5:$A$304,0)),0)))</f>
        <v/>
      </c>
      <c r="I203" s="25" t="n"/>
      <c r="J203" s="27">
        <f>IF(C203="","",H203+N(I203))</f>
        <v/>
      </c>
      <c r="K203" s="6" t="n"/>
      <c r="L203" s="6" t="n"/>
      <c r="M203" s="25" t="n"/>
      <c r="N203" s="10" t="n"/>
      <c r="O203" s="27">
        <f>IF(C203="","",N(E203)*Settings!$B$8)</f>
        <v/>
      </c>
      <c r="P203" s="27">
        <f>IF(C203="","",N(N203)*Settings!$B$10)</f>
        <v/>
      </c>
      <c r="Q203" s="27">
        <f>IF(C203="","",J203-N(M203)-O203-P203)</f>
        <v/>
      </c>
      <c r="R203" s="6" t="n"/>
    </row>
    <row r="204">
      <c r="A204" s="17">
        <f>IF(B204="","","J-"&amp;TEXT(ROW()-4,"0000"))</f>
        <v/>
      </c>
      <c r="B204" s="26" t="n"/>
      <c r="C204" s="6" t="n"/>
      <c r="D204" s="6" t="n"/>
      <c r="E204" s="29" t="n"/>
      <c r="F204" s="6" t="n"/>
      <c r="G204" s="25" t="n"/>
      <c r="H204" s="30">
        <f>IF(C204="","",IF(G204&lt;&gt;"",G204,IFERROR(INDEX(Clients!$G$5:$G$304,MATCH(C204,Clients!$A$5:$A$304,0)),0)))</f>
        <v/>
      </c>
      <c r="I204" s="25" t="n"/>
      <c r="J204" s="30">
        <f>IF(C204="","",H204+N(I204))</f>
        <v/>
      </c>
      <c r="K204" s="6" t="n"/>
      <c r="L204" s="6" t="n"/>
      <c r="M204" s="25" t="n"/>
      <c r="N204" s="10" t="n"/>
      <c r="O204" s="30">
        <f>IF(C204="","",N(E204)*Settings!$B$8)</f>
        <v/>
      </c>
      <c r="P204" s="30">
        <f>IF(C204="","",N(N204)*Settings!$B$10)</f>
        <v/>
      </c>
      <c r="Q204" s="30">
        <f>IF(C204="","",J204-N(M204)-O204-P204)</f>
        <v/>
      </c>
      <c r="R204" s="6" t="n"/>
    </row>
    <row r="205">
      <c r="A205" s="8">
        <f>IF(B205="","","J-"&amp;TEXT(ROW()-4,"0000"))</f>
        <v/>
      </c>
      <c r="B205" s="26" t="n"/>
      <c r="C205" s="6" t="n"/>
      <c r="D205" s="6" t="n"/>
      <c r="E205" s="29" t="n"/>
      <c r="F205" s="6" t="n"/>
      <c r="G205" s="25" t="n"/>
      <c r="H205" s="27">
        <f>IF(C205="","",IF(G205&lt;&gt;"",G205,IFERROR(INDEX(Clients!$G$5:$G$304,MATCH(C205,Clients!$A$5:$A$304,0)),0)))</f>
        <v/>
      </c>
      <c r="I205" s="25" t="n"/>
      <c r="J205" s="27">
        <f>IF(C205="","",H205+N(I205))</f>
        <v/>
      </c>
      <c r="K205" s="6" t="n"/>
      <c r="L205" s="6" t="n"/>
      <c r="M205" s="25" t="n"/>
      <c r="N205" s="10" t="n"/>
      <c r="O205" s="27">
        <f>IF(C205="","",N(E205)*Settings!$B$8)</f>
        <v/>
      </c>
      <c r="P205" s="27">
        <f>IF(C205="","",N(N205)*Settings!$B$10)</f>
        <v/>
      </c>
      <c r="Q205" s="27">
        <f>IF(C205="","",J205-N(M205)-O205-P205)</f>
        <v/>
      </c>
      <c r="R205" s="6" t="n"/>
    </row>
    <row r="206">
      <c r="A206" s="17">
        <f>IF(B206="","","J-"&amp;TEXT(ROW()-4,"0000"))</f>
        <v/>
      </c>
      <c r="B206" s="26" t="n"/>
      <c r="C206" s="6" t="n"/>
      <c r="D206" s="6" t="n"/>
      <c r="E206" s="29" t="n"/>
      <c r="F206" s="6" t="n"/>
      <c r="G206" s="25" t="n"/>
      <c r="H206" s="30">
        <f>IF(C206="","",IF(G206&lt;&gt;"",G206,IFERROR(INDEX(Clients!$G$5:$G$304,MATCH(C206,Clients!$A$5:$A$304,0)),0)))</f>
        <v/>
      </c>
      <c r="I206" s="25" t="n"/>
      <c r="J206" s="30">
        <f>IF(C206="","",H206+N(I206))</f>
        <v/>
      </c>
      <c r="K206" s="6" t="n"/>
      <c r="L206" s="6" t="n"/>
      <c r="M206" s="25" t="n"/>
      <c r="N206" s="10" t="n"/>
      <c r="O206" s="30">
        <f>IF(C206="","",N(E206)*Settings!$B$8)</f>
        <v/>
      </c>
      <c r="P206" s="30">
        <f>IF(C206="","",N(N206)*Settings!$B$10)</f>
        <v/>
      </c>
      <c r="Q206" s="30">
        <f>IF(C206="","",J206-N(M206)-O206-P206)</f>
        <v/>
      </c>
      <c r="R206" s="6" t="n"/>
    </row>
    <row r="207">
      <c r="A207" s="8">
        <f>IF(B207="","","J-"&amp;TEXT(ROW()-4,"0000"))</f>
        <v/>
      </c>
      <c r="B207" s="26" t="n"/>
      <c r="C207" s="6" t="n"/>
      <c r="D207" s="6" t="n"/>
      <c r="E207" s="29" t="n"/>
      <c r="F207" s="6" t="n"/>
      <c r="G207" s="25" t="n"/>
      <c r="H207" s="27">
        <f>IF(C207="","",IF(G207&lt;&gt;"",G207,IFERROR(INDEX(Clients!$G$5:$G$304,MATCH(C207,Clients!$A$5:$A$304,0)),0)))</f>
        <v/>
      </c>
      <c r="I207" s="25" t="n"/>
      <c r="J207" s="27">
        <f>IF(C207="","",H207+N(I207))</f>
        <v/>
      </c>
      <c r="K207" s="6" t="n"/>
      <c r="L207" s="6" t="n"/>
      <c r="M207" s="25" t="n"/>
      <c r="N207" s="10" t="n"/>
      <c r="O207" s="27">
        <f>IF(C207="","",N(E207)*Settings!$B$8)</f>
        <v/>
      </c>
      <c r="P207" s="27">
        <f>IF(C207="","",N(N207)*Settings!$B$10)</f>
        <v/>
      </c>
      <c r="Q207" s="27">
        <f>IF(C207="","",J207-N(M207)-O207-P207)</f>
        <v/>
      </c>
      <c r="R207" s="6" t="n"/>
    </row>
    <row r="208">
      <c r="A208" s="17">
        <f>IF(B208="","","J-"&amp;TEXT(ROW()-4,"0000"))</f>
        <v/>
      </c>
      <c r="B208" s="26" t="n"/>
      <c r="C208" s="6" t="n"/>
      <c r="D208" s="6" t="n"/>
      <c r="E208" s="29" t="n"/>
      <c r="F208" s="6" t="n"/>
      <c r="G208" s="25" t="n"/>
      <c r="H208" s="30">
        <f>IF(C208="","",IF(G208&lt;&gt;"",G208,IFERROR(INDEX(Clients!$G$5:$G$304,MATCH(C208,Clients!$A$5:$A$304,0)),0)))</f>
        <v/>
      </c>
      <c r="I208" s="25" t="n"/>
      <c r="J208" s="30">
        <f>IF(C208="","",H208+N(I208))</f>
        <v/>
      </c>
      <c r="K208" s="6" t="n"/>
      <c r="L208" s="6" t="n"/>
      <c r="M208" s="25" t="n"/>
      <c r="N208" s="10" t="n"/>
      <c r="O208" s="30">
        <f>IF(C208="","",N(E208)*Settings!$B$8)</f>
        <v/>
      </c>
      <c r="P208" s="30">
        <f>IF(C208="","",N(N208)*Settings!$B$10)</f>
        <v/>
      </c>
      <c r="Q208" s="30">
        <f>IF(C208="","",J208-N(M208)-O208-P208)</f>
        <v/>
      </c>
      <c r="R208" s="6" t="n"/>
    </row>
    <row r="209">
      <c r="A209" s="8">
        <f>IF(B209="","","J-"&amp;TEXT(ROW()-4,"0000"))</f>
        <v/>
      </c>
      <c r="B209" s="26" t="n"/>
      <c r="C209" s="6" t="n"/>
      <c r="D209" s="6" t="n"/>
      <c r="E209" s="29" t="n"/>
      <c r="F209" s="6" t="n"/>
      <c r="G209" s="25" t="n"/>
      <c r="H209" s="27">
        <f>IF(C209="","",IF(G209&lt;&gt;"",G209,IFERROR(INDEX(Clients!$G$5:$G$304,MATCH(C209,Clients!$A$5:$A$304,0)),0)))</f>
        <v/>
      </c>
      <c r="I209" s="25" t="n"/>
      <c r="J209" s="27">
        <f>IF(C209="","",H209+N(I209))</f>
        <v/>
      </c>
      <c r="K209" s="6" t="n"/>
      <c r="L209" s="6" t="n"/>
      <c r="M209" s="25" t="n"/>
      <c r="N209" s="10" t="n"/>
      <c r="O209" s="27">
        <f>IF(C209="","",N(E209)*Settings!$B$8)</f>
        <v/>
      </c>
      <c r="P209" s="27">
        <f>IF(C209="","",N(N209)*Settings!$B$10)</f>
        <v/>
      </c>
      <c r="Q209" s="27">
        <f>IF(C209="","",J209-N(M209)-O209-P209)</f>
        <v/>
      </c>
      <c r="R209" s="6" t="n"/>
    </row>
    <row r="210">
      <c r="A210" s="17">
        <f>IF(B210="","","J-"&amp;TEXT(ROW()-4,"0000"))</f>
        <v/>
      </c>
      <c r="B210" s="26" t="n"/>
      <c r="C210" s="6" t="n"/>
      <c r="D210" s="6" t="n"/>
      <c r="E210" s="29" t="n"/>
      <c r="F210" s="6" t="n"/>
      <c r="G210" s="25" t="n"/>
      <c r="H210" s="30">
        <f>IF(C210="","",IF(G210&lt;&gt;"",G210,IFERROR(INDEX(Clients!$G$5:$G$304,MATCH(C210,Clients!$A$5:$A$304,0)),0)))</f>
        <v/>
      </c>
      <c r="I210" s="25" t="n"/>
      <c r="J210" s="30">
        <f>IF(C210="","",H210+N(I210))</f>
        <v/>
      </c>
      <c r="K210" s="6" t="n"/>
      <c r="L210" s="6" t="n"/>
      <c r="M210" s="25" t="n"/>
      <c r="N210" s="10" t="n"/>
      <c r="O210" s="30">
        <f>IF(C210="","",N(E210)*Settings!$B$8)</f>
        <v/>
      </c>
      <c r="P210" s="30">
        <f>IF(C210="","",N(N210)*Settings!$B$10)</f>
        <v/>
      </c>
      <c r="Q210" s="30">
        <f>IF(C210="","",J210-N(M210)-O210-P210)</f>
        <v/>
      </c>
      <c r="R210" s="6" t="n"/>
    </row>
    <row r="211">
      <c r="A211" s="8">
        <f>IF(B211="","","J-"&amp;TEXT(ROW()-4,"0000"))</f>
        <v/>
      </c>
      <c r="B211" s="26" t="n"/>
      <c r="C211" s="6" t="n"/>
      <c r="D211" s="6" t="n"/>
      <c r="E211" s="29" t="n"/>
      <c r="F211" s="6" t="n"/>
      <c r="G211" s="25" t="n"/>
      <c r="H211" s="27">
        <f>IF(C211="","",IF(G211&lt;&gt;"",G211,IFERROR(INDEX(Clients!$G$5:$G$304,MATCH(C211,Clients!$A$5:$A$304,0)),0)))</f>
        <v/>
      </c>
      <c r="I211" s="25" t="n"/>
      <c r="J211" s="27">
        <f>IF(C211="","",H211+N(I211))</f>
        <v/>
      </c>
      <c r="K211" s="6" t="n"/>
      <c r="L211" s="6" t="n"/>
      <c r="M211" s="25" t="n"/>
      <c r="N211" s="10" t="n"/>
      <c r="O211" s="27">
        <f>IF(C211="","",N(E211)*Settings!$B$8)</f>
        <v/>
      </c>
      <c r="P211" s="27">
        <f>IF(C211="","",N(N211)*Settings!$B$10)</f>
        <v/>
      </c>
      <c r="Q211" s="27">
        <f>IF(C211="","",J211-N(M211)-O211-P211)</f>
        <v/>
      </c>
      <c r="R211" s="6" t="n"/>
    </row>
    <row r="212">
      <c r="A212" s="17">
        <f>IF(B212="","","J-"&amp;TEXT(ROW()-4,"0000"))</f>
        <v/>
      </c>
      <c r="B212" s="26" t="n"/>
      <c r="C212" s="6" t="n"/>
      <c r="D212" s="6" t="n"/>
      <c r="E212" s="29" t="n"/>
      <c r="F212" s="6" t="n"/>
      <c r="G212" s="25" t="n"/>
      <c r="H212" s="30">
        <f>IF(C212="","",IF(G212&lt;&gt;"",G212,IFERROR(INDEX(Clients!$G$5:$G$304,MATCH(C212,Clients!$A$5:$A$304,0)),0)))</f>
        <v/>
      </c>
      <c r="I212" s="25" t="n"/>
      <c r="J212" s="30">
        <f>IF(C212="","",H212+N(I212))</f>
        <v/>
      </c>
      <c r="K212" s="6" t="n"/>
      <c r="L212" s="6" t="n"/>
      <c r="M212" s="25" t="n"/>
      <c r="N212" s="10" t="n"/>
      <c r="O212" s="30">
        <f>IF(C212="","",N(E212)*Settings!$B$8)</f>
        <v/>
      </c>
      <c r="P212" s="30">
        <f>IF(C212="","",N(N212)*Settings!$B$10)</f>
        <v/>
      </c>
      <c r="Q212" s="30">
        <f>IF(C212="","",J212-N(M212)-O212-P212)</f>
        <v/>
      </c>
      <c r="R212" s="6" t="n"/>
    </row>
    <row r="213">
      <c r="A213" s="8">
        <f>IF(B213="","","J-"&amp;TEXT(ROW()-4,"0000"))</f>
        <v/>
      </c>
      <c r="B213" s="26" t="n"/>
      <c r="C213" s="6" t="n"/>
      <c r="D213" s="6" t="n"/>
      <c r="E213" s="29" t="n"/>
      <c r="F213" s="6" t="n"/>
      <c r="G213" s="25" t="n"/>
      <c r="H213" s="27">
        <f>IF(C213="","",IF(G213&lt;&gt;"",G213,IFERROR(INDEX(Clients!$G$5:$G$304,MATCH(C213,Clients!$A$5:$A$304,0)),0)))</f>
        <v/>
      </c>
      <c r="I213" s="25" t="n"/>
      <c r="J213" s="27">
        <f>IF(C213="","",H213+N(I213))</f>
        <v/>
      </c>
      <c r="K213" s="6" t="n"/>
      <c r="L213" s="6" t="n"/>
      <c r="M213" s="25" t="n"/>
      <c r="N213" s="10" t="n"/>
      <c r="O213" s="27">
        <f>IF(C213="","",N(E213)*Settings!$B$8)</f>
        <v/>
      </c>
      <c r="P213" s="27">
        <f>IF(C213="","",N(N213)*Settings!$B$10)</f>
        <v/>
      </c>
      <c r="Q213" s="27">
        <f>IF(C213="","",J213-N(M213)-O213-P213)</f>
        <v/>
      </c>
      <c r="R213" s="6" t="n"/>
    </row>
    <row r="214">
      <c r="A214" s="17">
        <f>IF(B214="","","J-"&amp;TEXT(ROW()-4,"0000"))</f>
        <v/>
      </c>
      <c r="B214" s="26" t="n"/>
      <c r="C214" s="6" t="n"/>
      <c r="D214" s="6" t="n"/>
      <c r="E214" s="29" t="n"/>
      <c r="F214" s="6" t="n"/>
      <c r="G214" s="25" t="n"/>
      <c r="H214" s="30">
        <f>IF(C214="","",IF(G214&lt;&gt;"",G214,IFERROR(INDEX(Clients!$G$5:$G$304,MATCH(C214,Clients!$A$5:$A$304,0)),0)))</f>
        <v/>
      </c>
      <c r="I214" s="25" t="n"/>
      <c r="J214" s="30">
        <f>IF(C214="","",H214+N(I214))</f>
        <v/>
      </c>
      <c r="K214" s="6" t="n"/>
      <c r="L214" s="6" t="n"/>
      <c r="M214" s="25" t="n"/>
      <c r="N214" s="10" t="n"/>
      <c r="O214" s="30">
        <f>IF(C214="","",N(E214)*Settings!$B$8)</f>
        <v/>
      </c>
      <c r="P214" s="30">
        <f>IF(C214="","",N(N214)*Settings!$B$10)</f>
        <v/>
      </c>
      <c r="Q214" s="30">
        <f>IF(C214="","",J214-N(M214)-O214-P214)</f>
        <v/>
      </c>
      <c r="R214" s="6" t="n"/>
    </row>
    <row r="215">
      <c r="A215" s="8">
        <f>IF(B215="","","J-"&amp;TEXT(ROW()-4,"0000"))</f>
        <v/>
      </c>
      <c r="B215" s="26" t="n"/>
      <c r="C215" s="6" t="n"/>
      <c r="D215" s="6" t="n"/>
      <c r="E215" s="29" t="n"/>
      <c r="F215" s="6" t="n"/>
      <c r="G215" s="25" t="n"/>
      <c r="H215" s="27">
        <f>IF(C215="","",IF(G215&lt;&gt;"",G215,IFERROR(INDEX(Clients!$G$5:$G$304,MATCH(C215,Clients!$A$5:$A$304,0)),0)))</f>
        <v/>
      </c>
      <c r="I215" s="25" t="n"/>
      <c r="J215" s="27">
        <f>IF(C215="","",H215+N(I215))</f>
        <v/>
      </c>
      <c r="K215" s="6" t="n"/>
      <c r="L215" s="6" t="n"/>
      <c r="M215" s="25" t="n"/>
      <c r="N215" s="10" t="n"/>
      <c r="O215" s="27">
        <f>IF(C215="","",N(E215)*Settings!$B$8)</f>
        <v/>
      </c>
      <c r="P215" s="27">
        <f>IF(C215="","",N(N215)*Settings!$B$10)</f>
        <v/>
      </c>
      <c r="Q215" s="27">
        <f>IF(C215="","",J215-N(M215)-O215-P215)</f>
        <v/>
      </c>
      <c r="R215" s="6" t="n"/>
    </row>
    <row r="216">
      <c r="A216" s="17">
        <f>IF(B216="","","J-"&amp;TEXT(ROW()-4,"0000"))</f>
        <v/>
      </c>
      <c r="B216" s="26" t="n"/>
      <c r="C216" s="6" t="n"/>
      <c r="D216" s="6" t="n"/>
      <c r="E216" s="29" t="n"/>
      <c r="F216" s="6" t="n"/>
      <c r="G216" s="25" t="n"/>
      <c r="H216" s="30">
        <f>IF(C216="","",IF(G216&lt;&gt;"",G216,IFERROR(INDEX(Clients!$G$5:$G$304,MATCH(C216,Clients!$A$5:$A$304,0)),0)))</f>
        <v/>
      </c>
      <c r="I216" s="25" t="n"/>
      <c r="J216" s="30">
        <f>IF(C216="","",H216+N(I216))</f>
        <v/>
      </c>
      <c r="K216" s="6" t="n"/>
      <c r="L216" s="6" t="n"/>
      <c r="M216" s="25" t="n"/>
      <c r="N216" s="10" t="n"/>
      <c r="O216" s="30">
        <f>IF(C216="","",N(E216)*Settings!$B$8)</f>
        <v/>
      </c>
      <c r="P216" s="30">
        <f>IF(C216="","",N(N216)*Settings!$B$10)</f>
        <v/>
      </c>
      <c r="Q216" s="30">
        <f>IF(C216="","",J216-N(M216)-O216-P216)</f>
        <v/>
      </c>
      <c r="R216" s="6" t="n"/>
    </row>
    <row r="217">
      <c r="A217" s="8">
        <f>IF(B217="","","J-"&amp;TEXT(ROW()-4,"0000"))</f>
        <v/>
      </c>
      <c r="B217" s="26" t="n"/>
      <c r="C217" s="6" t="n"/>
      <c r="D217" s="6" t="n"/>
      <c r="E217" s="29" t="n"/>
      <c r="F217" s="6" t="n"/>
      <c r="G217" s="25" t="n"/>
      <c r="H217" s="27">
        <f>IF(C217="","",IF(G217&lt;&gt;"",G217,IFERROR(INDEX(Clients!$G$5:$G$304,MATCH(C217,Clients!$A$5:$A$304,0)),0)))</f>
        <v/>
      </c>
      <c r="I217" s="25" t="n"/>
      <c r="J217" s="27">
        <f>IF(C217="","",H217+N(I217))</f>
        <v/>
      </c>
      <c r="K217" s="6" t="n"/>
      <c r="L217" s="6" t="n"/>
      <c r="M217" s="25" t="n"/>
      <c r="N217" s="10" t="n"/>
      <c r="O217" s="27">
        <f>IF(C217="","",N(E217)*Settings!$B$8)</f>
        <v/>
      </c>
      <c r="P217" s="27">
        <f>IF(C217="","",N(N217)*Settings!$B$10)</f>
        <v/>
      </c>
      <c r="Q217" s="27">
        <f>IF(C217="","",J217-N(M217)-O217-P217)</f>
        <v/>
      </c>
      <c r="R217" s="6" t="n"/>
    </row>
    <row r="218">
      <c r="A218" s="17">
        <f>IF(B218="","","J-"&amp;TEXT(ROW()-4,"0000"))</f>
        <v/>
      </c>
      <c r="B218" s="26" t="n"/>
      <c r="C218" s="6" t="n"/>
      <c r="D218" s="6" t="n"/>
      <c r="E218" s="29" t="n"/>
      <c r="F218" s="6" t="n"/>
      <c r="G218" s="25" t="n"/>
      <c r="H218" s="30">
        <f>IF(C218="","",IF(G218&lt;&gt;"",G218,IFERROR(INDEX(Clients!$G$5:$G$304,MATCH(C218,Clients!$A$5:$A$304,0)),0)))</f>
        <v/>
      </c>
      <c r="I218" s="25" t="n"/>
      <c r="J218" s="30">
        <f>IF(C218="","",H218+N(I218))</f>
        <v/>
      </c>
      <c r="K218" s="6" t="n"/>
      <c r="L218" s="6" t="n"/>
      <c r="M218" s="25" t="n"/>
      <c r="N218" s="10" t="n"/>
      <c r="O218" s="30">
        <f>IF(C218="","",N(E218)*Settings!$B$8)</f>
        <v/>
      </c>
      <c r="P218" s="30">
        <f>IF(C218="","",N(N218)*Settings!$B$10)</f>
        <v/>
      </c>
      <c r="Q218" s="30">
        <f>IF(C218="","",J218-N(M218)-O218-P218)</f>
        <v/>
      </c>
      <c r="R218" s="6" t="n"/>
    </row>
    <row r="219">
      <c r="A219" s="8">
        <f>IF(B219="","","J-"&amp;TEXT(ROW()-4,"0000"))</f>
        <v/>
      </c>
      <c r="B219" s="26" t="n"/>
      <c r="C219" s="6" t="n"/>
      <c r="D219" s="6" t="n"/>
      <c r="E219" s="29" t="n"/>
      <c r="F219" s="6" t="n"/>
      <c r="G219" s="25" t="n"/>
      <c r="H219" s="27">
        <f>IF(C219="","",IF(G219&lt;&gt;"",G219,IFERROR(INDEX(Clients!$G$5:$G$304,MATCH(C219,Clients!$A$5:$A$304,0)),0)))</f>
        <v/>
      </c>
      <c r="I219" s="25" t="n"/>
      <c r="J219" s="27">
        <f>IF(C219="","",H219+N(I219))</f>
        <v/>
      </c>
      <c r="K219" s="6" t="n"/>
      <c r="L219" s="6" t="n"/>
      <c r="M219" s="25" t="n"/>
      <c r="N219" s="10" t="n"/>
      <c r="O219" s="27">
        <f>IF(C219="","",N(E219)*Settings!$B$8)</f>
        <v/>
      </c>
      <c r="P219" s="27">
        <f>IF(C219="","",N(N219)*Settings!$B$10)</f>
        <v/>
      </c>
      <c r="Q219" s="27">
        <f>IF(C219="","",J219-N(M219)-O219-P219)</f>
        <v/>
      </c>
      <c r="R219" s="6" t="n"/>
    </row>
    <row r="220">
      <c r="A220" s="17">
        <f>IF(B220="","","J-"&amp;TEXT(ROW()-4,"0000"))</f>
        <v/>
      </c>
      <c r="B220" s="26" t="n"/>
      <c r="C220" s="6" t="n"/>
      <c r="D220" s="6" t="n"/>
      <c r="E220" s="29" t="n"/>
      <c r="F220" s="6" t="n"/>
      <c r="G220" s="25" t="n"/>
      <c r="H220" s="30">
        <f>IF(C220="","",IF(G220&lt;&gt;"",G220,IFERROR(INDEX(Clients!$G$5:$G$304,MATCH(C220,Clients!$A$5:$A$304,0)),0)))</f>
        <v/>
      </c>
      <c r="I220" s="25" t="n"/>
      <c r="J220" s="30">
        <f>IF(C220="","",H220+N(I220))</f>
        <v/>
      </c>
      <c r="K220" s="6" t="n"/>
      <c r="L220" s="6" t="n"/>
      <c r="M220" s="25" t="n"/>
      <c r="N220" s="10" t="n"/>
      <c r="O220" s="30">
        <f>IF(C220="","",N(E220)*Settings!$B$8)</f>
        <v/>
      </c>
      <c r="P220" s="30">
        <f>IF(C220="","",N(N220)*Settings!$B$10)</f>
        <v/>
      </c>
      <c r="Q220" s="30">
        <f>IF(C220="","",J220-N(M220)-O220-P220)</f>
        <v/>
      </c>
      <c r="R220" s="6" t="n"/>
    </row>
    <row r="221">
      <c r="A221" s="8">
        <f>IF(B221="","","J-"&amp;TEXT(ROW()-4,"0000"))</f>
        <v/>
      </c>
      <c r="B221" s="26" t="n"/>
      <c r="C221" s="6" t="n"/>
      <c r="D221" s="6" t="n"/>
      <c r="E221" s="29" t="n"/>
      <c r="F221" s="6" t="n"/>
      <c r="G221" s="25" t="n"/>
      <c r="H221" s="27">
        <f>IF(C221="","",IF(G221&lt;&gt;"",G221,IFERROR(INDEX(Clients!$G$5:$G$304,MATCH(C221,Clients!$A$5:$A$304,0)),0)))</f>
        <v/>
      </c>
      <c r="I221" s="25" t="n"/>
      <c r="J221" s="27">
        <f>IF(C221="","",H221+N(I221))</f>
        <v/>
      </c>
      <c r="K221" s="6" t="n"/>
      <c r="L221" s="6" t="n"/>
      <c r="M221" s="25" t="n"/>
      <c r="N221" s="10" t="n"/>
      <c r="O221" s="27">
        <f>IF(C221="","",N(E221)*Settings!$B$8)</f>
        <v/>
      </c>
      <c r="P221" s="27">
        <f>IF(C221="","",N(N221)*Settings!$B$10)</f>
        <v/>
      </c>
      <c r="Q221" s="27">
        <f>IF(C221="","",J221-N(M221)-O221-P221)</f>
        <v/>
      </c>
      <c r="R221" s="6" t="n"/>
    </row>
    <row r="222">
      <c r="A222" s="17">
        <f>IF(B222="","","J-"&amp;TEXT(ROW()-4,"0000"))</f>
        <v/>
      </c>
      <c r="B222" s="26" t="n"/>
      <c r="C222" s="6" t="n"/>
      <c r="D222" s="6" t="n"/>
      <c r="E222" s="29" t="n"/>
      <c r="F222" s="6" t="n"/>
      <c r="G222" s="25" t="n"/>
      <c r="H222" s="30">
        <f>IF(C222="","",IF(G222&lt;&gt;"",G222,IFERROR(INDEX(Clients!$G$5:$G$304,MATCH(C222,Clients!$A$5:$A$304,0)),0)))</f>
        <v/>
      </c>
      <c r="I222" s="25" t="n"/>
      <c r="J222" s="30">
        <f>IF(C222="","",H222+N(I222))</f>
        <v/>
      </c>
      <c r="K222" s="6" t="n"/>
      <c r="L222" s="6" t="n"/>
      <c r="M222" s="25" t="n"/>
      <c r="N222" s="10" t="n"/>
      <c r="O222" s="30">
        <f>IF(C222="","",N(E222)*Settings!$B$8)</f>
        <v/>
      </c>
      <c r="P222" s="30">
        <f>IF(C222="","",N(N222)*Settings!$B$10)</f>
        <v/>
      </c>
      <c r="Q222" s="30">
        <f>IF(C222="","",J222-N(M222)-O222-P222)</f>
        <v/>
      </c>
      <c r="R222" s="6" t="n"/>
    </row>
    <row r="223">
      <c r="A223" s="8">
        <f>IF(B223="","","J-"&amp;TEXT(ROW()-4,"0000"))</f>
        <v/>
      </c>
      <c r="B223" s="26" t="n"/>
      <c r="C223" s="6" t="n"/>
      <c r="D223" s="6" t="n"/>
      <c r="E223" s="29" t="n"/>
      <c r="F223" s="6" t="n"/>
      <c r="G223" s="25" t="n"/>
      <c r="H223" s="27">
        <f>IF(C223="","",IF(G223&lt;&gt;"",G223,IFERROR(INDEX(Clients!$G$5:$G$304,MATCH(C223,Clients!$A$5:$A$304,0)),0)))</f>
        <v/>
      </c>
      <c r="I223" s="25" t="n"/>
      <c r="J223" s="27">
        <f>IF(C223="","",H223+N(I223))</f>
        <v/>
      </c>
      <c r="K223" s="6" t="n"/>
      <c r="L223" s="6" t="n"/>
      <c r="M223" s="25" t="n"/>
      <c r="N223" s="10" t="n"/>
      <c r="O223" s="27">
        <f>IF(C223="","",N(E223)*Settings!$B$8)</f>
        <v/>
      </c>
      <c r="P223" s="27">
        <f>IF(C223="","",N(N223)*Settings!$B$10)</f>
        <v/>
      </c>
      <c r="Q223" s="27">
        <f>IF(C223="","",J223-N(M223)-O223-P223)</f>
        <v/>
      </c>
      <c r="R223" s="6" t="n"/>
    </row>
    <row r="224">
      <c r="A224" s="17">
        <f>IF(B224="","","J-"&amp;TEXT(ROW()-4,"0000"))</f>
        <v/>
      </c>
      <c r="B224" s="26" t="n"/>
      <c r="C224" s="6" t="n"/>
      <c r="D224" s="6" t="n"/>
      <c r="E224" s="29" t="n"/>
      <c r="F224" s="6" t="n"/>
      <c r="G224" s="25" t="n"/>
      <c r="H224" s="30">
        <f>IF(C224="","",IF(G224&lt;&gt;"",G224,IFERROR(INDEX(Clients!$G$5:$G$304,MATCH(C224,Clients!$A$5:$A$304,0)),0)))</f>
        <v/>
      </c>
      <c r="I224" s="25" t="n"/>
      <c r="J224" s="30">
        <f>IF(C224="","",H224+N(I224))</f>
        <v/>
      </c>
      <c r="K224" s="6" t="n"/>
      <c r="L224" s="6" t="n"/>
      <c r="M224" s="25" t="n"/>
      <c r="N224" s="10" t="n"/>
      <c r="O224" s="30">
        <f>IF(C224="","",N(E224)*Settings!$B$8)</f>
        <v/>
      </c>
      <c r="P224" s="30">
        <f>IF(C224="","",N(N224)*Settings!$B$10)</f>
        <v/>
      </c>
      <c r="Q224" s="30">
        <f>IF(C224="","",J224-N(M224)-O224-P224)</f>
        <v/>
      </c>
      <c r="R224" s="6" t="n"/>
    </row>
    <row r="225">
      <c r="A225" s="8">
        <f>IF(B225="","","J-"&amp;TEXT(ROW()-4,"0000"))</f>
        <v/>
      </c>
      <c r="B225" s="26" t="n"/>
      <c r="C225" s="6" t="n"/>
      <c r="D225" s="6" t="n"/>
      <c r="E225" s="29" t="n"/>
      <c r="F225" s="6" t="n"/>
      <c r="G225" s="25" t="n"/>
      <c r="H225" s="27">
        <f>IF(C225="","",IF(G225&lt;&gt;"",G225,IFERROR(INDEX(Clients!$G$5:$G$304,MATCH(C225,Clients!$A$5:$A$304,0)),0)))</f>
        <v/>
      </c>
      <c r="I225" s="25" t="n"/>
      <c r="J225" s="27">
        <f>IF(C225="","",H225+N(I225))</f>
        <v/>
      </c>
      <c r="K225" s="6" t="n"/>
      <c r="L225" s="6" t="n"/>
      <c r="M225" s="25" t="n"/>
      <c r="N225" s="10" t="n"/>
      <c r="O225" s="27">
        <f>IF(C225="","",N(E225)*Settings!$B$8)</f>
        <v/>
      </c>
      <c r="P225" s="27">
        <f>IF(C225="","",N(N225)*Settings!$B$10)</f>
        <v/>
      </c>
      <c r="Q225" s="27">
        <f>IF(C225="","",J225-N(M225)-O225-P225)</f>
        <v/>
      </c>
      <c r="R225" s="6" t="n"/>
    </row>
    <row r="226">
      <c r="A226" s="17">
        <f>IF(B226="","","J-"&amp;TEXT(ROW()-4,"0000"))</f>
        <v/>
      </c>
      <c r="B226" s="26" t="n"/>
      <c r="C226" s="6" t="n"/>
      <c r="D226" s="6" t="n"/>
      <c r="E226" s="29" t="n"/>
      <c r="F226" s="6" t="n"/>
      <c r="G226" s="25" t="n"/>
      <c r="H226" s="30">
        <f>IF(C226="","",IF(G226&lt;&gt;"",G226,IFERROR(INDEX(Clients!$G$5:$G$304,MATCH(C226,Clients!$A$5:$A$304,0)),0)))</f>
        <v/>
      </c>
      <c r="I226" s="25" t="n"/>
      <c r="J226" s="30">
        <f>IF(C226="","",H226+N(I226))</f>
        <v/>
      </c>
      <c r="K226" s="6" t="n"/>
      <c r="L226" s="6" t="n"/>
      <c r="M226" s="25" t="n"/>
      <c r="N226" s="10" t="n"/>
      <c r="O226" s="30">
        <f>IF(C226="","",N(E226)*Settings!$B$8)</f>
        <v/>
      </c>
      <c r="P226" s="30">
        <f>IF(C226="","",N(N226)*Settings!$B$10)</f>
        <v/>
      </c>
      <c r="Q226" s="30">
        <f>IF(C226="","",J226-N(M226)-O226-P226)</f>
        <v/>
      </c>
      <c r="R226" s="6" t="n"/>
    </row>
    <row r="227">
      <c r="A227" s="8">
        <f>IF(B227="","","J-"&amp;TEXT(ROW()-4,"0000"))</f>
        <v/>
      </c>
      <c r="B227" s="26" t="n"/>
      <c r="C227" s="6" t="n"/>
      <c r="D227" s="6" t="n"/>
      <c r="E227" s="29" t="n"/>
      <c r="F227" s="6" t="n"/>
      <c r="G227" s="25" t="n"/>
      <c r="H227" s="27">
        <f>IF(C227="","",IF(G227&lt;&gt;"",G227,IFERROR(INDEX(Clients!$G$5:$G$304,MATCH(C227,Clients!$A$5:$A$304,0)),0)))</f>
        <v/>
      </c>
      <c r="I227" s="25" t="n"/>
      <c r="J227" s="27">
        <f>IF(C227="","",H227+N(I227))</f>
        <v/>
      </c>
      <c r="K227" s="6" t="n"/>
      <c r="L227" s="6" t="n"/>
      <c r="M227" s="25" t="n"/>
      <c r="N227" s="10" t="n"/>
      <c r="O227" s="27">
        <f>IF(C227="","",N(E227)*Settings!$B$8)</f>
        <v/>
      </c>
      <c r="P227" s="27">
        <f>IF(C227="","",N(N227)*Settings!$B$10)</f>
        <v/>
      </c>
      <c r="Q227" s="27">
        <f>IF(C227="","",J227-N(M227)-O227-P227)</f>
        <v/>
      </c>
      <c r="R227" s="6" t="n"/>
    </row>
    <row r="228">
      <c r="A228" s="17">
        <f>IF(B228="","","J-"&amp;TEXT(ROW()-4,"0000"))</f>
        <v/>
      </c>
      <c r="B228" s="26" t="n"/>
      <c r="C228" s="6" t="n"/>
      <c r="D228" s="6" t="n"/>
      <c r="E228" s="29" t="n"/>
      <c r="F228" s="6" t="n"/>
      <c r="G228" s="25" t="n"/>
      <c r="H228" s="30">
        <f>IF(C228="","",IF(G228&lt;&gt;"",G228,IFERROR(INDEX(Clients!$G$5:$G$304,MATCH(C228,Clients!$A$5:$A$304,0)),0)))</f>
        <v/>
      </c>
      <c r="I228" s="25" t="n"/>
      <c r="J228" s="30">
        <f>IF(C228="","",H228+N(I228))</f>
        <v/>
      </c>
      <c r="K228" s="6" t="n"/>
      <c r="L228" s="6" t="n"/>
      <c r="M228" s="25" t="n"/>
      <c r="N228" s="10" t="n"/>
      <c r="O228" s="30">
        <f>IF(C228="","",N(E228)*Settings!$B$8)</f>
        <v/>
      </c>
      <c r="P228" s="30">
        <f>IF(C228="","",N(N228)*Settings!$B$10)</f>
        <v/>
      </c>
      <c r="Q228" s="30">
        <f>IF(C228="","",J228-N(M228)-O228-P228)</f>
        <v/>
      </c>
      <c r="R228" s="6" t="n"/>
    </row>
    <row r="229">
      <c r="A229" s="8">
        <f>IF(B229="","","J-"&amp;TEXT(ROW()-4,"0000"))</f>
        <v/>
      </c>
      <c r="B229" s="26" t="n"/>
      <c r="C229" s="6" t="n"/>
      <c r="D229" s="6" t="n"/>
      <c r="E229" s="29" t="n"/>
      <c r="F229" s="6" t="n"/>
      <c r="G229" s="25" t="n"/>
      <c r="H229" s="27">
        <f>IF(C229="","",IF(G229&lt;&gt;"",G229,IFERROR(INDEX(Clients!$G$5:$G$304,MATCH(C229,Clients!$A$5:$A$304,0)),0)))</f>
        <v/>
      </c>
      <c r="I229" s="25" t="n"/>
      <c r="J229" s="27">
        <f>IF(C229="","",H229+N(I229))</f>
        <v/>
      </c>
      <c r="K229" s="6" t="n"/>
      <c r="L229" s="6" t="n"/>
      <c r="M229" s="25" t="n"/>
      <c r="N229" s="10" t="n"/>
      <c r="O229" s="27">
        <f>IF(C229="","",N(E229)*Settings!$B$8)</f>
        <v/>
      </c>
      <c r="P229" s="27">
        <f>IF(C229="","",N(N229)*Settings!$B$10)</f>
        <v/>
      </c>
      <c r="Q229" s="27">
        <f>IF(C229="","",J229-N(M229)-O229-P229)</f>
        <v/>
      </c>
      <c r="R229" s="6" t="n"/>
    </row>
    <row r="230">
      <c r="A230" s="17">
        <f>IF(B230="","","J-"&amp;TEXT(ROW()-4,"0000"))</f>
        <v/>
      </c>
      <c r="B230" s="26" t="n"/>
      <c r="C230" s="6" t="n"/>
      <c r="D230" s="6" t="n"/>
      <c r="E230" s="29" t="n"/>
      <c r="F230" s="6" t="n"/>
      <c r="G230" s="25" t="n"/>
      <c r="H230" s="30">
        <f>IF(C230="","",IF(G230&lt;&gt;"",G230,IFERROR(INDEX(Clients!$G$5:$G$304,MATCH(C230,Clients!$A$5:$A$304,0)),0)))</f>
        <v/>
      </c>
      <c r="I230" s="25" t="n"/>
      <c r="J230" s="30">
        <f>IF(C230="","",H230+N(I230))</f>
        <v/>
      </c>
      <c r="K230" s="6" t="n"/>
      <c r="L230" s="6" t="n"/>
      <c r="M230" s="25" t="n"/>
      <c r="N230" s="10" t="n"/>
      <c r="O230" s="30">
        <f>IF(C230="","",N(E230)*Settings!$B$8)</f>
        <v/>
      </c>
      <c r="P230" s="30">
        <f>IF(C230="","",N(N230)*Settings!$B$10)</f>
        <v/>
      </c>
      <c r="Q230" s="30">
        <f>IF(C230="","",J230-N(M230)-O230-P230)</f>
        <v/>
      </c>
      <c r="R230" s="6" t="n"/>
    </row>
    <row r="231">
      <c r="A231" s="8">
        <f>IF(B231="","","J-"&amp;TEXT(ROW()-4,"0000"))</f>
        <v/>
      </c>
      <c r="B231" s="26" t="n"/>
      <c r="C231" s="6" t="n"/>
      <c r="D231" s="6" t="n"/>
      <c r="E231" s="29" t="n"/>
      <c r="F231" s="6" t="n"/>
      <c r="G231" s="25" t="n"/>
      <c r="H231" s="27">
        <f>IF(C231="","",IF(G231&lt;&gt;"",G231,IFERROR(INDEX(Clients!$G$5:$G$304,MATCH(C231,Clients!$A$5:$A$304,0)),0)))</f>
        <v/>
      </c>
      <c r="I231" s="25" t="n"/>
      <c r="J231" s="27">
        <f>IF(C231="","",H231+N(I231))</f>
        <v/>
      </c>
      <c r="K231" s="6" t="n"/>
      <c r="L231" s="6" t="n"/>
      <c r="M231" s="25" t="n"/>
      <c r="N231" s="10" t="n"/>
      <c r="O231" s="27">
        <f>IF(C231="","",N(E231)*Settings!$B$8)</f>
        <v/>
      </c>
      <c r="P231" s="27">
        <f>IF(C231="","",N(N231)*Settings!$B$10)</f>
        <v/>
      </c>
      <c r="Q231" s="27">
        <f>IF(C231="","",J231-N(M231)-O231-P231)</f>
        <v/>
      </c>
      <c r="R231" s="6" t="n"/>
    </row>
    <row r="232">
      <c r="A232" s="17">
        <f>IF(B232="","","J-"&amp;TEXT(ROW()-4,"0000"))</f>
        <v/>
      </c>
      <c r="B232" s="26" t="n"/>
      <c r="C232" s="6" t="n"/>
      <c r="D232" s="6" t="n"/>
      <c r="E232" s="29" t="n"/>
      <c r="F232" s="6" t="n"/>
      <c r="G232" s="25" t="n"/>
      <c r="H232" s="30">
        <f>IF(C232="","",IF(G232&lt;&gt;"",G232,IFERROR(INDEX(Clients!$G$5:$G$304,MATCH(C232,Clients!$A$5:$A$304,0)),0)))</f>
        <v/>
      </c>
      <c r="I232" s="25" t="n"/>
      <c r="J232" s="30">
        <f>IF(C232="","",H232+N(I232))</f>
        <v/>
      </c>
      <c r="K232" s="6" t="n"/>
      <c r="L232" s="6" t="n"/>
      <c r="M232" s="25" t="n"/>
      <c r="N232" s="10" t="n"/>
      <c r="O232" s="30">
        <f>IF(C232="","",N(E232)*Settings!$B$8)</f>
        <v/>
      </c>
      <c r="P232" s="30">
        <f>IF(C232="","",N(N232)*Settings!$B$10)</f>
        <v/>
      </c>
      <c r="Q232" s="30">
        <f>IF(C232="","",J232-N(M232)-O232-P232)</f>
        <v/>
      </c>
      <c r="R232" s="6" t="n"/>
    </row>
    <row r="233">
      <c r="A233" s="8">
        <f>IF(B233="","","J-"&amp;TEXT(ROW()-4,"0000"))</f>
        <v/>
      </c>
      <c r="B233" s="26" t="n"/>
      <c r="C233" s="6" t="n"/>
      <c r="D233" s="6" t="n"/>
      <c r="E233" s="29" t="n"/>
      <c r="F233" s="6" t="n"/>
      <c r="G233" s="25" t="n"/>
      <c r="H233" s="27">
        <f>IF(C233="","",IF(G233&lt;&gt;"",G233,IFERROR(INDEX(Clients!$G$5:$G$304,MATCH(C233,Clients!$A$5:$A$304,0)),0)))</f>
        <v/>
      </c>
      <c r="I233" s="25" t="n"/>
      <c r="J233" s="27">
        <f>IF(C233="","",H233+N(I233))</f>
        <v/>
      </c>
      <c r="K233" s="6" t="n"/>
      <c r="L233" s="6" t="n"/>
      <c r="M233" s="25" t="n"/>
      <c r="N233" s="10" t="n"/>
      <c r="O233" s="27">
        <f>IF(C233="","",N(E233)*Settings!$B$8)</f>
        <v/>
      </c>
      <c r="P233" s="27">
        <f>IF(C233="","",N(N233)*Settings!$B$10)</f>
        <v/>
      </c>
      <c r="Q233" s="27">
        <f>IF(C233="","",J233-N(M233)-O233-P233)</f>
        <v/>
      </c>
      <c r="R233" s="6" t="n"/>
    </row>
    <row r="234">
      <c r="A234" s="17">
        <f>IF(B234="","","J-"&amp;TEXT(ROW()-4,"0000"))</f>
        <v/>
      </c>
      <c r="B234" s="26" t="n"/>
      <c r="C234" s="6" t="n"/>
      <c r="D234" s="6" t="n"/>
      <c r="E234" s="29" t="n"/>
      <c r="F234" s="6" t="n"/>
      <c r="G234" s="25" t="n"/>
      <c r="H234" s="30">
        <f>IF(C234="","",IF(G234&lt;&gt;"",G234,IFERROR(INDEX(Clients!$G$5:$G$304,MATCH(C234,Clients!$A$5:$A$304,0)),0)))</f>
        <v/>
      </c>
      <c r="I234" s="25" t="n"/>
      <c r="J234" s="30">
        <f>IF(C234="","",H234+N(I234))</f>
        <v/>
      </c>
      <c r="K234" s="6" t="n"/>
      <c r="L234" s="6" t="n"/>
      <c r="M234" s="25" t="n"/>
      <c r="N234" s="10" t="n"/>
      <c r="O234" s="30">
        <f>IF(C234="","",N(E234)*Settings!$B$8)</f>
        <v/>
      </c>
      <c r="P234" s="30">
        <f>IF(C234="","",N(N234)*Settings!$B$10)</f>
        <v/>
      </c>
      <c r="Q234" s="30">
        <f>IF(C234="","",J234-N(M234)-O234-P234)</f>
        <v/>
      </c>
      <c r="R234" s="6" t="n"/>
    </row>
    <row r="235">
      <c r="A235" s="8">
        <f>IF(B235="","","J-"&amp;TEXT(ROW()-4,"0000"))</f>
        <v/>
      </c>
      <c r="B235" s="26" t="n"/>
      <c r="C235" s="6" t="n"/>
      <c r="D235" s="6" t="n"/>
      <c r="E235" s="29" t="n"/>
      <c r="F235" s="6" t="n"/>
      <c r="G235" s="25" t="n"/>
      <c r="H235" s="27">
        <f>IF(C235="","",IF(G235&lt;&gt;"",G235,IFERROR(INDEX(Clients!$G$5:$G$304,MATCH(C235,Clients!$A$5:$A$304,0)),0)))</f>
        <v/>
      </c>
      <c r="I235" s="25" t="n"/>
      <c r="J235" s="27">
        <f>IF(C235="","",H235+N(I235))</f>
        <v/>
      </c>
      <c r="K235" s="6" t="n"/>
      <c r="L235" s="6" t="n"/>
      <c r="M235" s="25" t="n"/>
      <c r="N235" s="10" t="n"/>
      <c r="O235" s="27">
        <f>IF(C235="","",N(E235)*Settings!$B$8)</f>
        <v/>
      </c>
      <c r="P235" s="27">
        <f>IF(C235="","",N(N235)*Settings!$B$10)</f>
        <v/>
      </c>
      <c r="Q235" s="27">
        <f>IF(C235="","",J235-N(M235)-O235-P235)</f>
        <v/>
      </c>
      <c r="R235" s="6" t="n"/>
    </row>
    <row r="236">
      <c r="A236" s="17">
        <f>IF(B236="","","J-"&amp;TEXT(ROW()-4,"0000"))</f>
        <v/>
      </c>
      <c r="B236" s="26" t="n"/>
      <c r="C236" s="6" t="n"/>
      <c r="D236" s="6" t="n"/>
      <c r="E236" s="29" t="n"/>
      <c r="F236" s="6" t="n"/>
      <c r="G236" s="25" t="n"/>
      <c r="H236" s="30">
        <f>IF(C236="","",IF(G236&lt;&gt;"",G236,IFERROR(INDEX(Clients!$G$5:$G$304,MATCH(C236,Clients!$A$5:$A$304,0)),0)))</f>
        <v/>
      </c>
      <c r="I236" s="25" t="n"/>
      <c r="J236" s="30">
        <f>IF(C236="","",H236+N(I236))</f>
        <v/>
      </c>
      <c r="K236" s="6" t="n"/>
      <c r="L236" s="6" t="n"/>
      <c r="M236" s="25" t="n"/>
      <c r="N236" s="10" t="n"/>
      <c r="O236" s="30">
        <f>IF(C236="","",N(E236)*Settings!$B$8)</f>
        <v/>
      </c>
      <c r="P236" s="30">
        <f>IF(C236="","",N(N236)*Settings!$B$10)</f>
        <v/>
      </c>
      <c r="Q236" s="30">
        <f>IF(C236="","",J236-N(M236)-O236-P236)</f>
        <v/>
      </c>
      <c r="R236" s="6" t="n"/>
    </row>
    <row r="237">
      <c r="A237" s="8">
        <f>IF(B237="","","J-"&amp;TEXT(ROW()-4,"0000"))</f>
        <v/>
      </c>
      <c r="B237" s="26" t="n"/>
      <c r="C237" s="6" t="n"/>
      <c r="D237" s="6" t="n"/>
      <c r="E237" s="29" t="n"/>
      <c r="F237" s="6" t="n"/>
      <c r="G237" s="25" t="n"/>
      <c r="H237" s="27">
        <f>IF(C237="","",IF(G237&lt;&gt;"",G237,IFERROR(INDEX(Clients!$G$5:$G$304,MATCH(C237,Clients!$A$5:$A$304,0)),0)))</f>
        <v/>
      </c>
      <c r="I237" s="25" t="n"/>
      <c r="J237" s="27">
        <f>IF(C237="","",H237+N(I237))</f>
        <v/>
      </c>
      <c r="K237" s="6" t="n"/>
      <c r="L237" s="6" t="n"/>
      <c r="M237" s="25" t="n"/>
      <c r="N237" s="10" t="n"/>
      <c r="O237" s="27">
        <f>IF(C237="","",N(E237)*Settings!$B$8)</f>
        <v/>
      </c>
      <c r="P237" s="27">
        <f>IF(C237="","",N(N237)*Settings!$B$10)</f>
        <v/>
      </c>
      <c r="Q237" s="27">
        <f>IF(C237="","",J237-N(M237)-O237-P237)</f>
        <v/>
      </c>
      <c r="R237" s="6" t="n"/>
    </row>
    <row r="238">
      <c r="A238" s="17">
        <f>IF(B238="","","J-"&amp;TEXT(ROW()-4,"0000"))</f>
        <v/>
      </c>
      <c r="B238" s="26" t="n"/>
      <c r="C238" s="6" t="n"/>
      <c r="D238" s="6" t="n"/>
      <c r="E238" s="29" t="n"/>
      <c r="F238" s="6" t="n"/>
      <c r="G238" s="25" t="n"/>
      <c r="H238" s="30">
        <f>IF(C238="","",IF(G238&lt;&gt;"",G238,IFERROR(INDEX(Clients!$G$5:$G$304,MATCH(C238,Clients!$A$5:$A$304,0)),0)))</f>
        <v/>
      </c>
      <c r="I238" s="25" t="n"/>
      <c r="J238" s="30">
        <f>IF(C238="","",H238+N(I238))</f>
        <v/>
      </c>
      <c r="K238" s="6" t="n"/>
      <c r="L238" s="6" t="n"/>
      <c r="M238" s="25" t="n"/>
      <c r="N238" s="10" t="n"/>
      <c r="O238" s="30">
        <f>IF(C238="","",N(E238)*Settings!$B$8)</f>
        <v/>
      </c>
      <c r="P238" s="30">
        <f>IF(C238="","",N(N238)*Settings!$B$10)</f>
        <v/>
      </c>
      <c r="Q238" s="30">
        <f>IF(C238="","",J238-N(M238)-O238-P238)</f>
        <v/>
      </c>
      <c r="R238" s="6" t="n"/>
    </row>
    <row r="239">
      <c r="A239" s="8">
        <f>IF(B239="","","J-"&amp;TEXT(ROW()-4,"0000"))</f>
        <v/>
      </c>
      <c r="B239" s="26" t="n"/>
      <c r="C239" s="6" t="n"/>
      <c r="D239" s="6" t="n"/>
      <c r="E239" s="29" t="n"/>
      <c r="F239" s="6" t="n"/>
      <c r="G239" s="25" t="n"/>
      <c r="H239" s="27">
        <f>IF(C239="","",IF(G239&lt;&gt;"",G239,IFERROR(INDEX(Clients!$G$5:$G$304,MATCH(C239,Clients!$A$5:$A$304,0)),0)))</f>
        <v/>
      </c>
      <c r="I239" s="25" t="n"/>
      <c r="J239" s="27">
        <f>IF(C239="","",H239+N(I239))</f>
        <v/>
      </c>
      <c r="K239" s="6" t="n"/>
      <c r="L239" s="6" t="n"/>
      <c r="M239" s="25" t="n"/>
      <c r="N239" s="10" t="n"/>
      <c r="O239" s="27">
        <f>IF(C239="","",N(E239)*Settings!$B$8)</f>
        <v/>
      </c>
      <c r="P239" s="27">
        <f>IF(C239="","",N(N239)*Settings!$B$10)</f>
        <v/>
      </c>
      <c r="Q239" s="27">
        <f>IF(C239="","",J239-N(M239)-O239-P239)</f>
        <v/>
      </c>
      <c r="R239" s="6" t="n"/>
    </row>
    <row r="240">
      <c r="A240" s="17">
        <f>IF(B240="","","J-"&amp;TEXT(ROW()-4,"0000"))</f>
        <v/>
      </c>
      <c r="B240" s="26" t="n"/>
      <c r="C240" s="6" t="n"/>
      <c r="D240" s="6" t="n"/>
      <c r="E240" s="29" t="n"/>
      <c r="F240" s="6" t="n"/>
      <c r="G240" s="25" t="n"/>
      <c r="H240" s="30">
        <f>IF(C240="","",IF(G240&lt;&gt;"",G240,IFERROR(INDEX(Clients!$G$5:$G$304,MATCH(C240,Clients!$A$5:$A$304,0)),0)))</f>
        <v/>
      </c>
      <c r="I240" s="25" t="n"/>
      <c r="J240" s="30">
        <f>IF(C240="","",H240+N(I240))</f>
        <v/>
      </c>
      <c r="K240" s="6" t="n"/>
      <c r="L240" s="6" t="n"/>
      <c r="M240" s="25" t="n"/>
      <c r="N240" s="10" t="n"/>
      <c r="O240" s="30">
        <f>IF(C240="","",N(E240)*Settings!$B$8)</f>
        <v/>
      </c>
      <c r="P240" s="30">
        <f>IF(C240="","",N(N240)*Settings!$B$10)</f>
        <v/>
      </c>
      <c r="Q240" s="30">
        <f>IF(C240="","",J240-N(M240)-O240-P240)</f>
        <v/>
      </c>
      <c r="R240" s="6" t="n"/>
    </row>
    <row r="241">
      <c r="A241" s="8">
        <f>IF(B241="","","J-"&amp;TEXT(ROW()-4,"0000"))</f>
        <v/>
      </c>
      <c r="B241" s="26" t="n"/>
      <c r="C241" s="6" t="n"/>
      <c r="D241" s="6" t="n"/>
      <c r="E241" s="29" t="n"/>
      <c r="F241" s="6" t="n"/>
      <c r="G241" s="25" t="n"/>
      <c r="H241" s="27">
        <f>IF(C241="","",IF(G241&lt;&gt;"",G241,IFERROR(INDEX(Clients!$G$5:$G$304,MATCH(C241,Clients!$A$5:$A$304,0)),0)))</f>
        <v/>
      </c>
      <c r="I241" s="25" t="n"/>
      <c r="J241" s="27">
        <f>IF(C241="","",H241+N(I241))</f>
        <v/>
      </c>
      <c r="K241" s="6" t="n"/>
      <c r="L241" s="6" t="n"/>
      <c r="M241" s="25" t="n"/>
      <c r="N241" s="10" t="n"/>
      <c r="O241" s="27">
        <f>IF(C241="","",N(E241)*Settings!$B$8)</f>
        <v/>
      </c>
      <c r="P241" s="27">
        <f>IF(C241="","",N(N241)*Settings!$B$10)</f>
        <v/>
      </c>
      <c r="Q241" s="27">
        <f>IF(C241="","",J241-N(M241)-O241-P241)</f>
        <v/>
      </c>
      <c r="R241" s="6" t="n"/>
    </row>
    <row r="242">
      <c r="A242" s="17">
        <f>IF(B242="","","J-"&amp;TEXT(ROW()-4,"0000"))</f>
        <v/>
      </c>
      <c r="B242" s="26" t="n"/>
      <c r="C242" s="6" t="n"/>
      <c r="D242" s="6" t="n"/>
      <c r="E242" s="29" t="n"/>
      <c r="F242" s="6" t="n"/>
      <c r="G242" s="25" t="n"/>
      <c r="H242" s="30">
        <f>IF(C242="","",IF(G242&lt;&gt;"",G242,IFERROR(INDEX(Clients!$G$5:$G$304,MATCH(C242,Clients!$A$5:$A$304,0)),0)))</f>
        <v/>
      </c>
      <c r="I242" s="25" t="n"/>
      <c r="J242" s="30">
        <f>IF(C242="","",H242+N(I242))</f>
        <v/>
      </c>
      <c r="K242" s="6" t="n"/>
      <c r="L242" s="6" t="n"/>
      <c r="M242" s="25" t="n"/>
      <c r="N242" s="10" t="n"/>
      <c r="O242" s="30">
        <f>IF(C242="","",N(E242)*Settings!$B$8)</f>
        <v/>
      </c>
      <c r="P242" s="30">
        <f>IF(C242="","",N(N242)*Settings!$B$10)</f>
        <v/>
      </c>
      <c r="Q242" s="30">
        <f>IF(C242="","",J242-N(M242)-O242-P242)</f>
        <v/>
      </c>
      <c r="R242" s="6" t="n"/>
    </row>
    <row r="243">
      <c r="A243" s="8">
        <f>IF(B243="","","J-"&amp;TEXT(ROW()-4,"0000"))</f>
        <v/>
      </c>
      <c r="B243" s="26" t="n"/>
      <c r="C243" s="6" t="n"/>
      <c r="D243" s="6" t="n"/>
      <c r="E243" s="29" t="n"/>
      <c r="F243" s="6" t="n"/>
      <c r="G243" s="25" t="n"/>
      <c r="H243" s="27">
        <f>IF(C243="","",IF(G243&lt;&gt;"",G243,IFERROR(INDEX(Clients!$G$5:$G$304,MATCH(C243,Clients!$A$5:$A$304,0)),0)))</f>
        <v/>
      </c>
      <c r="I243" s="25" t="n"/>
      <c r="J243" s="27">
        <f>IF(C243="","",H243+N(I243))</f>
        <v/>
      </c>
      <c r="K243" s="6" t="n"/>
      <c r="L243" s="6" t="n"/>
      <c r="M243" s="25" t="n"/>
      <c r="N243" s="10" t="n"/>
      <c r="O243" s="27">
        <f>IF(C243="","",N(E243)*Settings!$B$8)</f>
        <v/>
      </c>
      <c r="P243" s="27">
        <f>IF(C243="","",N(N243)*Settings!$B$10)</f>
        <v/>
      </c>
      <c r="Q243" s="27">
        <f>IF(C243="","",J243-N(M243)-O243-P243)</f>
        <v/>
      </c>
      <c r="R243" s="6" t="n"/>
    </row>
    <row r="244">
      <c r="A244" s="17">
        <f>IF(B244="","","J-"&amp;TEXT(ROW()-4,"0000"))</f>
        <v/>
      </c>
      <c r="B244" s="26" t="n"/>
      <c r="C244" s="6" t="n"/>
      <c r="D244" s="6" t="n"/>
      <c r="E244" s="29" t="n"/>
      <c r="F244" s="6" t="n"/>
      <c r="G244" s="25" t="n"/>
      <c r="H244" s="30">
        <f>IF(C244="","",IF(G244&lt;&gt;"",G244,IFERROR(INDEX(Clients!$G$5:$G$304,MATCH(C244,Clients!$A$5:$A$304,0)),0)))</f>
        <v/>
      </c>
      <c r="I244" s="25" t="n"/>
      <c r="J244" s="30">
        <f>IF(C244="","",H244+N(I244))</f>
        <v/>
      </c>
      <c r="K244" s="6" t="n"/>
      <c r="L244" s="6" t="n"/>
      <c r="M244" s="25" t="n"/>
      <c r="N244" s="10" t="n"/>
      <c r="O244" s="30">
        <f>IF(C244="","",N(E244)*Settings!$B$8)</f>
        <v/>
      </c>
      <c r="P244" s="30">
        <f>IF(C244="","",N(N244)*Settings!$B$10)</f>
        <v/>
      </c>
      <c r="Q244" s="30">
        <f>IF(C244="","",J244-N(M244)-O244-P244)</f>
        <v/>
      </c>
      <c r="R244" s="6" t="n"/>
    </row>
    <row r="245">
      <c r="A245" s="8">
        <f>IF(B245="","","J-"&amp;TEXT(ROW()-4,"0000"))</f>
        <v/>
      </c>
      <c r="B245" s="26" t="n"/>
      <c r="C245" s="6" t="n"/>
      <c r="D245" s="6" t="n"/>
      <c r="E245" s="29" t="n"/>
      <c r="F245" s="6" t="n"/>
      <c r="G245" s="25" t="n"/>
      <c r="H245" s="27">
        <f>IF(C245="","",IF(G245&lt;&gt;"",G245,IFERROR(INDEX(Clients!$G$5:$G$304,MATCH(C245,Clients!$A$5:$A$304,0)),0)))</f>
        <v/>
      </c>
      <c r="I245" s="25" t="n"/>
      <c r="J245" s="27">
        <f>IF(C245="","",H245+N(I245))</f>
        <v/>
      </c>
      <c r="K245" s="6" t="n"/>
      <c r="L245" s="6" t="n"/>
      <c r="M245" s="25" t="n"/>
      <c r="N245" s="10" t="n"/>
      <c r="O245" s="27">
        <f>IF(C245="","",N(E245)*Settings!$B$8)</f>
        <v/>
      </c>
      <c r="P245" s="27">
        <f>IF(C245="","",N(N245)*Settings!$B$10)</f>
        <v/>
      </c>
      <c r="Q245" s="27">
        <f>IF(C245="","",J245-N(M245)-O245-P245)</f>
        <v/>
      </c>
      <c r="R245" s="6" t="n"/>
    </row>
    <row r="246">
      <c r="A246" s="17">
        <f>IF(B246="","","J-"&amp;TEXT(ROW()-4,"0000"))</f>
        <v/>
      </c>
      <c r="B246" s="26" t="n"/>
      <c r="C246" s="6" t="n"/>
      <c r="D246" s="6" t="n"/>
      <c r="E246" s="29" t="n"/>
      <c r="F246" s="6" t="n"/>
      <c r="G246" s="25" t="n"/>
      <c r="H246" s="30">
        <f>IF(C246="","",IF(G246&lt;&gt;"",G246,IFERROR(INDEX(Clients!$G$5:$G$304,MATCH(C246,Clients!$A$5:$A$304,0)),0)))</f>
        <v/>
      </c>
      <c r="I246" s="25" t="n"/>
      <c r="J246" s="30">
        <f>IF(C246="","",H246+N(I246))</f>
        <v/>
      </c>
      <c r="K246" s="6" t="n"/>
      <c r="L246" s="6" t="n"/>
      <c r="M246" s="25" t="n"/>
      <c r="N246" s="10" t="n"/>
      <c r="O246" s="30">
        <f>IF(C246="","",N(E246)*Settings!$B$8)</f>
        <v/>
      </c>
      <c r="P246" s="30">
        <f>IF(C246="","",N(N246)*Settings!$B$10)</f>
        <v/>
      </c>
      <c r="Q246" s="30">
        <f>IF(C246="","",J246-N(M246)-O246-P246)</f>
        <v/>
      </c>
      <c r="R246" s="6" t="n"/>
    </row>
    <row r="247">
      <c r="A247" s="8">
        <f>IF(B247="","","J-"&amp;TEXT(ROW()-4,"0000"))</f>
        <v/>
      </c>
      <c r="B247" s="26" t="n"/>
      <c r="C247" s="6" t="n"/>
      <c r="D247" s="6" t="n"/>
      <c r="E247" s="29" t="n"/>
      <c r="F247" s="6" t="n"/>
      <c r="G247" s="25" t="n"/>
      <c r="H247" s="27">
        <f>IF(C247="","",IF(G247&lt;&gt;"",G247,IFERROR(INDEX(Clients!$G$5:$G$304,MATCH(C247,Clients!$A$5:$A$304,0)),0)))</f>
        <v/>
      </c>
      <c r="I247" s="25" t="n"/>
      <c r="J247" s="27">
        <f>IF(C247="","",H247+N(I247))</f>
        <v/>
      </c>
      <c r="K247" s="6" t="n"/>
      <c r="L247" s="6" t="n"/>
      <c r="M247" s="25" t="n"/>
      <c r="N247" s="10" t="n"/>
      <c r="O247" s="27">
        <f>IF(C247="","",N(E247)*Settings!$B$8)</f>
        <v/>
      </c>
      <c r="P247" s="27">
        <f>IF(C247="","",N(N247)*Settings!$B$10)</f>
        <v/>
      </c>
      <c r="Q247" s="27">
        <f>IF(C247="","",J247-N(M247)-O247-P247)</f>
        <v/>
      </c>
      <c r="R247" s="6" t="n"/>
    </row>
    <row r="248">
      <c r="A248" s="17">
        <f>IF(B248="","","J-"&amp;TEXT(ROW()-4,"0000"))</f>
        <v/>
      </c>
      <c r="B248" s="26" t="n"/>
      <c r="C248" s="6" t="n"/>
      <c r="D248" s="6" t="n"/>
      <c r="E248" s="29" t="n"/>
      <c r="F248" s="6" t="n"/>
      <c r="G248" s="25" t="n"/>
      <c r="H248" s="30">
        <f>IF(C248="","",IF(G248&lt;&gt;"",G248,IFERROR(INDEX(Clients!$G$5:$G$304,MATCH(C248,Clients!$A$5:$A$304,0)),0)))</f>
        <v/>
      </c>
      <c r="I248" s="25" t="n"/>
      <c r="J248" s="30">
        <f>IF(C248="","",H248+N(I248))</f>
        <v/>
      </c>
      <c r="K248" s="6" t="n"/>
      <c r="L248" s="6" t="n"/>
      <c r="M248" s="25" t="n"/>
      <c r="N248" s="10" t="n"/>
      <c r="O248" s="30">
        <f>IF(C248="","",N(E248)*Settings!$B$8)</f>
        <v/>
      </c>
      <c r="P248" s="30">
        <f>IF(C248="","",N(N248)*Settings!$B$10)</f>
        <v/>
      </c>
      <c r="Q248" s="30">
        <f>IF(C248="","",J248-N(M248)-O248-P248)</f>
        <v/>
      </c>
      <c r="R248" s="6" t="n"/>
    </row>
    <row r="249">
      <c r="A249" s="8">
        <f>IF(B249="","","J-"&amp;TEXT(ROW()-4,"0000"))</f>
        <v/>
      </c>
      <c r="B249" s="26" t="n"/>
      <c r="C249" s="6" t="n"/>
      <c r="D249" s="6" t="n"/>
      <c r="E249" s="29" t="n"/>
      <c r="F249" s="6" t="n"/>
      <c r="G249" s="25" t="n"/>
      <c r="H249" s="27">
        <f>IF(C249="","",IF(G249&lt;&gt;"",G249,IFERROR(INDEX(Clients!$G$5:$G$304,MATCH(C249,Clients!$A$5:$A$304,0)),0)))</f>
        <v/>
      </c>
      <c r="I249" s="25" t="n"/>
      <c r="J249" s="27">
        <f>IF(C249="","",H249+N(I249))</f>
        <v/>
      </c>
      <c r="K249" s="6" t="n"/>
      <c r="L249" s="6" t="n"/>
      <c r="M249" s="25" t="n"/>
      <c r="N249" s="10" t="n"/>
      <c r="O249" s="27">
        <f>IF(C249="","",N(E249)*Settings!$B$8)</f>
        <v/>
      </c>
      <c r="P249" s="27">
        <f>IF(C249="","",N(N249)*Settings!$B$10)</f>
        <v/>
      </c>
      <c r="Q249" s="27">
        <f>IF(C249="","",J249-N(M249)-O249-P249)</f>
        <v/>
      </c>
      <c r="R249" s="6" t="n"/>
    </row>
    <row r="250">
      <c r="A250" s="17">
        <f>IF(B250="","","J-"&amp;TEXT(ROW()-4,"0000"))</f>
        <v/>
      </c>
      <c r="B250" s="26" t="n"/>
      <c r="C250" s="6" t="n"/>
      <c r="D250" s="6" t="n"/>
      <c r="E250" s="29" t="n"/>
      <c r="F250" s="6" t="n"/>
      <c r="G250" s="25" t="n"/>
      <c r="H250" s="30">
        <f>IF(C250="","",IF(G250&lt;&gt;"",G250,IFERROR(INDEX(Clients!$G$5:$G$304,MATCH(C250,Clients!$A$5:$A$304,0)),0)))</f>
        <v/>
      </c>
      <c r="I250" s="25" t="n"/>
      <c r="J250" s="30">
        <f>IF(C250="","",H250+N(I250))</f>
        <v/>
      </c>
      <c r="K250" s="6" t="n"/>
      <c r="L250" s="6" t="n"/>
      <c r="M250" s="25" t="n"/>
      <c r="N250" s="10" t="n"/>
      <c r="O250" s="30">
        <f>IF(C250="","",N(E250)*Settings!$B$8)</f>
        <v/>
      </c>
      <c r="P250" s="30">
        <f>IF(C250="","",N(N250)*Settings!$B$10)</f>
        <v/>
      </c>
      <c r="Q250" s="30">
        <f>IF(C250="","",J250-N(M250)-O250-P250)</f>
        <v/>
      </c>
      <c r="R250" s="6" t="n"/>
    </row>
    <row r="251">
      <c r="A251" s="8">
        <f>IF(B251="","","J-"&amp;TEXT(ROW()-4,"0000"))</f>
        <v/>
      </c>
      <c r="B251" s="26" t="n"/>
      <c r="C251" s="6" t="n"/>
      <c r="D251" s="6" t="n"/>
      <c r="E251" s="29" t="n"/>
      <c r="F251" s="6" t="n"/>
      <c r="G251" s="25" t="n"/>
      <c r="H251" s="27">
        <f>IF(C251="","",IF(G251&lt;&gt;"",G251,IFERROR(INDEX(Clients!$G$5:$G$304,MATCH(C251,Clients!$A$5:$A$304,0)),0)))</f>
        <v/>
      </c>
      <c r="I251" s="25" t="n"/>
      <c r="J251" s="27">
        <f>IF(C251="","",H251+N(I251))</f>
        <v/>
      </c>
      <c r="K251" s="6" t="n"/>
      <c r="L251" s="6" t="n"/>
      <c r="M251" s="25" t="n"/>
      <c r="N251" s="10" t="n"/>
      <c r="O251" s="27">
        <f>IF(C251="","",N(E251)*Settings!$B$8)</f>
        <v/>
      </c>
      <c r="P251" s="27">
        <f>IF(C251="","",N(N251)*Settings!$B$10)</f>
        <v/>
      </c>
      <c r="Q251" s="27">
        <f>IF(C251="","",J251-N(M251)-O251-P251)</f>
        <v/>
      </c>
      <c r="R251" s="6" t="n"/>
    </row>
    <row r="252">
      <c r="A252" s="17">
        <f>IF(B252="","","J-"&amp;TEXT(ROW()-4,"0000"))</f>
        <v/>
      </c>
      <c r="B252" s="26" t="n"/>
      <c r="C252" s="6" t="n"/>
      <c r="D252" s="6" t="n"/>
      <c r="E252" s="29" t="n"/>
      <c r="F252" s="6" t="n"/>
      <c r="G252" s="25" t="n"/>
      <c r="H252" s="30">
        <f>IF(C252="","",IF(G252&lt;&gt;"",G252,IFERROR(INDEX(Clients!$G$5:$G$304,MATCH(C252,Clients!$A$5:$A$304,0)),0)))</f>
        <v/>
      </c>
      <c r="I252" s="25" t="n"/>
      <c r="J252" s="30">
        <f>IF(C252="","",H252+N(I252))</f>
        <v/>
      </c>
      <c r="K252" s="6" t="n"/>
      <c r="L252" s="6" t="n"/>
      <c r="M252" s="25" t="n"/>
      <c r="N252" s="10" t="n"/>
      <c r="O252" s="30">
        <f>IF(C252="","",N(E252)*Settings!$B$8)</f>
        <v/>
      </c>
      <c r="P252" s="30">
        <f>IF(C252="","",N(N252)*Settings!$B$10)</f>
        <v/>
      </c>
      <c r="Q252" s="30">
        <f>IF(C252="","",J252-N(M252)-O252-P252)</f>
        <v/>
      </c>
      <c r="R252" s="6" t="n"/>
    </row>
    <row r="253">
      <c r="A253" s="8">
        <f>IF(B253="","","J-"&amp;TEXT(ROW()-4,"0000"))</f>
        <v/>
      </c>
      <c r="B253" s="26" t="n"/>
      <c r="C253" s="6" t="n"/>
      <c r="D253" s="6" t="n"/>
      <c r="E253" s="29" t="n"/>
      <c r="F253" s="6" t="n"/>
      <c r="G253" s="25" t="n"/>
      <c r="H253" s="27">
        <f>IF(C253="","",IF(G253&lt;&gt;"",G253,IFERROR(INDEX(Clients!$G$5:$G$304,MATCH(C253,Clients!$A$5:$A$304,0)),0)))</f>
        <v/>
      </c>
      <c r="I253" s="25" t="n"/>
      <c r="J253" s="27">
        <f>IF(C253="","",H253+N(I253))</f>
        <v/>
      </c>
      <c r="K253" s="6" t="n"/>
      <c r="L253" s="6" t="n"/>
      <c r="M253" s="25" t="n"/>
      <c r="N253" s="10" t="n"/>
      <c r="O253" s="27">
        <f>IF(C253="","",N(E253)*Settings!$B$8)</f>
        <v/>
      </c>
      <c r="P253" s="27">
        <f>IF(C253="","",N(N253)*Settings!$B$10)</f>
        <v/>
      </c>
      <c r="Q253" s="27">
        <f>IF(C253="","",J253-N(M253)-O253-P253)</f>
        <v/>
      </c>
      <c r="R253" s="6" t="n"/>
    </row>
    <row r="254">
      <c r="A254" s="17">
        <f>IF(B254="","","J-"&amp;TEXT(ROW()-4,"0000"))</f>
        <v/>
      </c>
      <c r="B254" s="26" t="n"/>
      <c r="C254" s="6" t="n"/>
      <c r="D254" s="6" t="n"/>
      <c r="E254" s="29" t="n"/>
      <c r="F254" s="6" t="n"/>
      <c r="G254" s="25" t="n"/>
      <c r="H254" s="30">
        <f>IF(C254="","",IF(G254&lt;&gt;"",G254,IFERROR(INDEX(Clients!$G$5:$G$304,MATCH(C254,Clients!$A$5:$A$304,0)),0)))</f>
        <v/>
      </c>
      <c r="I254" s="25" t="n"/>
      <c r="J254" s="30">
        <f>IF(C254="","",H254+N(I254))</f>
        <v/>
      </c>
      <c r="K254" s="6" t="n"/>
      <c r="L254" s="6" t="n"/>
      <c r="M254" s="25" t="n"/>
      <c r="N254" s="10" t="n"/>
      <c r="O254" s="30">
        <f>IF(C254="","",N(E254)*Settings!$B$8)</f>
        <v/>
      </c>
      <c r="P254" s="30">
        <f>IF(C254="","",N(N254)*Settings!$B$10)</f>
        <v/>
      </c>
      <c r="Q254" s="30">
        <f>IF(C254="","",J254-N(M254)-O254-P254)</f>
        <v/>
      </c>
      <c r="R254" s="6" t="n"/>
    </row>
    <row r="255">
      <c r="A255" s="8">
        <f>IF(B255="","","J-"&amp;TEXT(ROW()-4,"0000"))</f>
        <v/>
      </c>
      <c r="B255" s="26" t="n"/>
      <c r="C255" s="6" t="n"/>
      <c r="D255" s="6" t="n"/>
      <c r="E255" s="29" t="n"/>
      <c r="F255" s="6" t="n"/>
      <c r="G255" s="25" t="n"/>
      <c r="H255" s="27">
        <f>IF(C255="","",IF(G255&lt;&gt;"",G255,IFERROR(INDEX(Clients!$G$5:$G$304,MATCH(C255,Clients!$A$5:$A$304,0)),0)))</f>
        <v/>
      </c>
      <c r="I255" s="25" t="n"/>
      <c r="J255" s="27">
        <f>IF(C255="","",H255+N(I255))</f>
        <v/>
      </c>
      <c r="K255" s="6" t="n"/>
      <c r="L255" s="6" t="n"/>
      <c r="M255" s="25" t="n"/>
      <c r="N255" s="10" t="n"/>
      <c r="O255" s="27">
        <f>IF(C255="","",N(E255)*Settings!$B$8)</f>
        <v/>
      </c>
      <c r="P255" s="27">
        <f>IF(C255="","",N(N255)*Settings!$B$10)</f>
        <v/>
      </c>
      <c r="Q255" s="27">
        <f>IF(C255="","",J255-N(M255)-O255-P255)</f>
        <v/>
      </c>
      <c r="R255" s="6" t="n"/>
    </row>
    <row r="256">
      <c r="A256" s="17">
        <f>IF(B256="","","J-"&amp;TEXT(ROW()-4,"0000"))</f>
        <v/>
      </c>
      <c r="B256" s="26" t="n"/>
      <c r="C256" s="6" t="n"/>
      <c r="D256" s="6" t="n"/>
      <c r="E256" s="29" t="n"/>
      <c r="F256" s="6" t="n"/>
      <c r="G256" s="25" t="n"/>
      <c r="H256" s="30">
        <f>IF(C256="","",IF(G256&lt;&gt;"",G256,IFERROR(INDEX(Clients!$G$5:$G$304,MATCH(C256,Clients!$A$5:$A$304,0)),0)))</f>
        <v/>
      </c>
      <c r="I256" s="25" t="n"/>
      <c r="J256" s="30">
        <f>IF(C256="","",H256+N(I256))</f>
        <v/>
      </c>
      <c r="K256" s="6" t="n"/>
      <c r="L256" s="6" t="n"/>
      <c r="M256" s="25" t="n"/>
      <c r="N256" s="10" t="n"/>
      <c r="O256" s="30">
        <f>IF(C256="","",N(E256)*Settings!$B$8)</f>
        <v/>
      </c>
      <c r="P256" s="30">
        <f>IF(C256="","",N(N256)*Settings!$B$10)</f>
        <v/>
      </c>
      <c r="Q256" s="30">
        <f>IF(C256="","",J256-N(M256)-O256-P256)</f>
        <v/>
      </c>
      <c r="R256" s="6" t="n"/>
    </row>
    <row r="257">
      <c r="A257" s="8">
        <f>IF(B257="","","J-"&amp;TEXT(ROW()-4,"0000"))</f>
        <v/>
      </c>
      <c r="B257" s="26" t="n"/>
      <c r="C257" s="6" t="n"/>
      <c r="D257" s="6" t="n"/>
      <c r="E257" s="29" t="n"/>
      <c r="F257" s="6" t="n"/>
      <c r="G257" s="25" t="n"/>
      <c r="H257" s="27">
        <f>IF(C257="","",IF(G257&lt;&gt;"",G257,IFERROR(INDEX(Clients!$G$5:$G$304,MATCH(C257,Clients!$A$5:$A$304,0)),0)))</f>
        <v/>
      </c>
      <c r="I257" s="25" t="n"/>
      <c r="J257" s="27">
        <f>IF(C257="","",H257+N(I257))</f>
        <v/>
      </c>
      <c r="K257" s="6" t="n"/>
      <c r="L257" s="6" t="n"/>
      <c r="M257" s="25" t="n"/>
      <c r="N257" s="10" t="n"/>
      <c r="O257" s="27">
        <f>IF(C257="","",N(E257)*Settings!$B$8)</f>
        <v/>
      </c>
      <c r="P257" s="27">
        <f>IF(C257="","",N(N257)*Settings!$B$10)</f>
        <v/>
      </c>
      <c r="Q257" s="27">
        <f>IF(C257="","",J257-N(M257)-O257-P257)</f>
        <v/>
      </c>
      <c r="R257" s="6" t="n"/>
    </row>
    <row r="258">
      <c r="A258" s="17">
        <f>IF(B258="","","J-"&amp;TEXT(ROW()-4,"0000"))</f>
        <v/>
      </c>
      <c r="B258" s="26" t="n"/>
      <c r="C258" s="6" t="n"/>
      <c r="D258" s="6" t="n"/>
      <c r="E258" s="29" t="n"/>
      <c r="F258" s="6" t="n"/>
      <c r="G258" s="25" t="n"/>
      <c r="H258" s="30">
        <f>IF(C258="","",IF(G258&lt;&gt;"",G258,IFERROR(INDEX(Clients!$G$5:$G$304,MATCH(C258,Clients!$A$5:$A$304,0)),0)))</f>
        <v/>
      </c>
      <c r="I258" s="25" t="n"/>
      <c r="J258" s="30">
        <f>IF(C258="","",H258+N(I258))</f>
        <v/>
      </c>
      <c r="K258" s="6" t="n"/>
      <c r="L258" s="6" t="n"/>
      <c r="M258" s="25" t="n"/>
      <c r="N258" s="10" t="n"/>
      <c r="O258" s="30">
        <f>IF(C258="","",N(E258)*Settings!$B$8)</f>
        <v/>
      </c>
      <c r="P258" s="30">
        <f>IF(C258="","",N(N258)*Settings!$B$10)</f>
        <v/>
      </c>
      <c r="Q258" s="30">
        <f>IF(C258="","",J258-N(M258)-O258-P258)</f>
        <v/>
      </c>
      <c r="R258" s="6" t="n"/>
    </row>
    <row r="259">
      <c r="A259" s="8">
        <f>IF(B259="","","J-"&amp;TEXT(ROW()-4,"0000"))</f>
        <v/>
      </c>
      <c r="B259" s="26" t="n"/>
      <c r="C259" s="6" t="n"/>
      <c r="D259" s="6" t="n"/>
      <c r="E259" s="29" t="n"/>
      <c r="F259" s="6" t="n"/>
      <c r="G259" s="25" t="n"/>
      <c r="H259" s="27">
        <f>IF(C259="","",IF(G259&lt;&gt;"",G259,IFERROR(INDEX(Clients!$G$5:$G$304,MATCH(C259,Clients!$A$5:$A$304,0)),0)))</f>
        <v/>
      </c>
      <c r="I259" s="25" t="n"/>
      <c r="J259" s="27">
        <f>IF(C259="","",H259+N(I259))</f>
        <v/>
      </c>
      <c r="K259" s="6" t="n"/>
      <c r="L259" s="6" t="n"/>
      <c r="M259" s="25" t="n"/>
      <c r="N259" s="10" t="n"/>
      <c r="O259" s="27">
        <f>IF(C259="","",N(E259)*Settings!$B$8)</f>
        <v/>
      </c>
      <c r="P259" s="27">
        <f>IF(C259="","",N(N259)*Settings!$B$10)</f>
        <v/>
      </c>
      <c r="Q259" s="27">
        <f>IF(C259="","",J259-N(M259)-O259-P259)</f>
        <v/>
      </c>
      <c r="R259" s="6" t="n"/>
    </row>
    <row r="260">
      <c r="A260" s="17">
        <f>IF(B260="","","J-"&amp;TEXT(ROW()-4,"0000"))</f>
        <v/>
      </c>
      <c r="B260" s="26" t="n"/>
      <c r="C260" s="6" t="n"/>
      <c r="D260" s="6" t="n"/>
      <c r="E260" s="29" t="n"/>
      <c r="F260" s="6" t="n"/>
      <c r="G260" s="25" t="n"/>
      <c r="H260" s="30">
        <f>IF(C260="","",IF(G260&lt;&gt;"",G260,IFERROR(INDEX(Clients!$G$5:$G$304,MATCH(C260,Clients!$A$5:$A$304,0)),0)))</f>
        <v/>
      </c>
      <c r="I260" s="25" t="n"/>
      <c r="J260" s="30">
        <f>IF(C260="","",H260+N(I260))</f>
        <v/>
      </c>
      <c r="K260" s="6" t="n"/>
      <c r="L260" s="6" t="n"/>
      <c r="M260" s="25" t="n"/>
      <c r="N260" s="10" t="n"/>
      <c r="O260" s="30">
        <f>IF(C260="","",N(E260)*Settings!$B$8)</f>
        <v/>
      </c>
      <c r="P260" s="30">
        <f>IF(C260="","",N(N260)*Settings!$B$10)</f>
        <v/>
      </c>
      <c r="Q260" s="30">
        <f>IF(C260="","",J260-N(M260)-O260-P260)</f>
        <v/>
      </c>
      <c r="R260" s="6" t="n"/>
    </row>
    <row r="261">
      <c r="A261" s="8">
        <f>IF(B261="","","J-"&amp;TEXT(ROW()-4,"0000"))</f>
        <v/>
      </c>
      <c r="B261" s="26" t="n"/>
      <c r="C261" s="6" t="n"/>
      <c r="D261" s="6" t="n"/>
      <c r="E261" s="29" t="n"/>
      <c r="F261" s="6" t="n"/>
      <c r="G261" s="25" t="n"/>
      <c r="H261" s="27">
        <f>IF(C261="","",IF(G261&lt;&gt;"",G261,IFERROR(INDEX(Clients!$G$5:$G$304,MATCH(C261,Clients!$A$5:$A$304,0)),0)))</f>
        <v/>
      </c>
      <c r="I261" s="25" t="n"/>
      <c r="J261" s="27">
        <f>IF(C261="","",H261+N(I261))</f>
        <v/>
      </c>
      <c r="K261" s="6" t="n"/>
      <c r="L261" s="6" t="n"/>
      <c r="M261" s="25" t="n"/>
      <c r="N261" s="10" t="n"/>
      <c r="O261" s="27">
        <f>IF(C261="","",N(E261)*Settings!$B$8)</f>
        <v/>
      </c>
      <c r="P261" s="27">
        <f>IF(C261="","",N(N261)*Settings!$B$10)</f>
        <v/>
      </c>
      <c r="Q261" s="27">
        <f>IF(C261="","",J261-N(M261)-O261-P261)</f>
        <v/>
      </c>
      <c r="R261" s="6" t="n"/>
    </row>
    <row r="262">
      <c r="A262" s="17">
        <f>IF(B262="","","J-"&amp;TEXT(ROW()-4,"0000"))</f>
        <v/>
      </c>
      <c r="B262" s="26" t="n"/>
      <c r="C262" s="6" t="n"/>
      <c r="D262" s="6" t="n"/>
      <c r="E262" s="29" t="n"/>
      <c r="F262" s="6" t="n"/>
      <c r="G262" s="25" t="n"/>
      <c r="H262" s="30">
        <f>IF(C262="","",IF(G262&lt;&gt;"",G262,IFERROR(INDEX(Clients!$G$5:$G$304,MATCH(C262,Clients!$A$5:$A$304,0)),0)))</f>
        <v/>
      </c>
      <c r="I262" s="25" t="n"/>
      <c r="J262" s="30">
        <f>IF(C262="","",H262+N(I262))</f>
        <v/>
      </c>
      <c r="K262" s="6" t="n"/>
      <c r="L262" s="6" t="n"/>
      <c r="M262" s="25" t="n"/>
      <c r="N262" s="10" t="n"/>
      <c r="O262" s="30">
        <f>IF(C262="","",N(E262)*Settings!$B$8)</f>
        <v/>
      </c>
      <c r="P262" s="30">
        <f>IF(C262="","",N(N262)*Settings!$B$10)</f>
        <v/>
      </c>
      <c r="Q262" s="30">
        <f>IF(C262="","",J262-N(M262)-O262-P262)</f>
        <v/>
      </c>
      <c r="R262" s="6" t="n"/>
    </row>
    <row r="263">
      <c r="A263" s="8">
        <f>IF(B263="","","J-"&amp;TEXT(ROW()-4,"0000"))</f>
        <v/>
      </c>
      <c r="B263" s="26" t="n"/>
      <c r="C263" s="6" t="n"/>
      <c r="D263" s="6" t="n"/>
      <c r="E263" s="29" t="n"/>
      <c r="F263" s="6" t="n"/>
      <c r="G263" s="25" t="n"/>
      <c r="H263" s="27">
        <f>IF(C263="","",IF(G263&lt;&gt;"",G263,IFERROR(INDEX(Clients!$G$5:$G$304,MATCH(C263,Clients!$A$5:$A$304,0)),0)))</f>
        <v/>
      </c>
      <c r="I263" s="25" t="n"/>
      <c r="J263" s="27">
        <f>IF(C263="","",H263+N(I263))</f>
        <v/>
      </c>
      <c r="K263" s="6" t="n"/>
      <c r="L263" s="6" t="n"/>
      <c r="M263" s="25" t="n"/>
      <c r="N263" s="10" t="n"/>
      <c r="O263" s="27">
        <f>IF(C263="","",N(E263)*Settings!$B$8)</f>
        <v/>
      </c>
      <c r="P263" s="27">
        <f>IF(C263="","",N(N263)*Settings!$B$10)</f>
        <v/>
      </c>
      <c r="Q263" s="27">
        <f>IF(C263="","",J263-N(M263)-O263-P263)</f>
        <v/>
      </c>
      <c r="R263" s="6" t="n"/>
    </row>
    <row r="264">
      <c r="A264" s="17">
        <f>IF(B264="","","J-"&amp;TEXT(ROW()-4,"0000"))</f>
        <v/>
      </c>
      <c r="B264" s="26" t="n"/>
      <c r="C264" s="6" t="n"/>
      <c r="D264" s="6" t="n"/>
      <c r="E264" s="29" t="n"/>
      <c r="F264" s="6" t="n"/>
      <c r="G264" s="25" t="n"/>
      <c r="H264" s="30">
        <f>IF(C264="","",IF(G264&lt;&gt;"",G264,IFERROR(INDEX(Clients!$G$5:$G$304,MATCH(C264,Clients!$A$5:$A$304,0)),0)))</f>
        <v/>
      </c>
      <c r="I264" s="25" t="n"/>
      <c r="J264" s="30">
        <f>IF(C264="","",H264+N(I264))</f>
        <v/>
      </c>
      <c r="K264" s="6" t="n"/>
      <c r="L264" s="6" t="n"/>
      <c r="M264" s="25" t="n"/>
      <c r="N264" s="10" t="n"/>
      <c r="O264" s="30">
        <f>IF(C264="","",N(E264)*Settings!$B$8)</f>
        <v/>
      </c>
      <c r="P264" s="30">
        <f>IF(C264="","",N(N264)*Settings!$B$10)</f>
        <v/>
      </c>
      <c r="Q264" s="30">
        <f>IF(C264="","",J264-N(M264)-O264-P264)</f>
        <v/>
      </c>
      <c r="R264" s="6" t="n"/>
    </row>
    <row r="265">
      <c r="A265" s="8">
        <f>IF(B265="","","J-"&amp;TEXT(ROW()-4,"0000"))</f>
        <v/>
      </c>
      <c r="B265" s="26" t="n"/>
      <c r="C265" s="6" t="n"/>
      <c r="D265" s="6" t="n"/>
      <c r="E265" s="29" t="n"/>
      <c r="F265" s="6" t="n"/>
      <c r="G265" s="25" t="n"/>
      <c r="H265" s="27">
        <f>IF(C265="","",IF(G265&lt;&gt;"",G265,IFERROR(INDEX(Clients!$G$5:$G$304,MATCH(C265,Clients!$A$5:$A$304,0)),0)))</f>
        <v/>
      </c>
      <c r="I265" s="25" t="n"/>
      <c r="J265" s="27">
        <f>IF(C265="","",H265+N(I265))</f>
        <v/>
      </c>
      <c r="K265" s="6" t="n"/>
      <c r="L265" s="6" t="n"/>
      <c r="M265" s="25" t="n"/>
      <c r="N265" s="10" t="n"/>
      <c r="O265" s="27">
        <f>IF(C265="","",N(E265)*Settings!$B$8)</f>
        <v/>
      </c>
      <c r="P265" s="27">
        <f>IF(C265="","",N(N265)*Settings!$B$10)</f>
        <v/>
      </c>
      <c r="Q265" s="27">
        <f>IF(C265="","",J265-N(M265)-O265-P265)</f>
        <v/>
      </c>
      <c r="R265" s="6" t="n"/>
    </row>
    <row r="266">
      <c r="A266" s="17">
        <f>IF(B266="","","J-"&amp;TEXT(ROW()-4,"0000"))</f>
        <v/>
      </c>
      <c r="B266" s="26" t="n"/>
      <c r="C266" s="6" t="n"/>
      <c r="D266" s="6" t="n"/>
      <c r="E266" s="29" t="n"/>
      <c r="F266" s="6" t="n"/>
      <c r="G266" s="25" t="n"/>
      <c r="H266" s="30">
        <f>IF(C266="","",IF(G266&lt;&gt;"",G266,IFERROR(INDEX(Clients!$G$5:$G$304,MATCH(C266,Clients!$A$5:$A$304,0)),0)))</f>
        <v/>
      </c>
      <c r="I266" s="25" t="n"/>
      <c r="J266" s="30">
        <f>IF(C266="","",H266+N(I266))</f>
        <v/>
      </c>
      <c r="K266" s="6" t="n"/>
      <c r="L266" s="6" t="n"/>
      <c r="M266" s="25" t="n"/>
      <c r="N266" s="10" t="n"/>
      <c r="O266" s="30">
        <f>IF(C266="","",N(E266)*Settings!$B$8)</f>
        <v/>
      </c>
      <c r="P266" s="30">
        <f>IF(C266="","",N(N266)*Settings!$B$10)</f>
        <v/>
      </c>
      <c r="Q266" s="30">
        <f>IF(C266="","",J266-N(M266)-O266-P266)</f>
        <v/>
      </c>
      <c r="R266" s="6" t="n"/>
    </row>
    <row r="267">
      <c r="A267" s="8">
        <f>IF(B267="","","J-"&amp;TEXT(ROW()-4,"0000"))</f>
        <v/>
      </c>
      <c r="B267" s="26" t="n"/>
      <c r="C267" s="6" t="n"/>
      <c r="D267" s="6" t="n"/>
      <c r="E267" s="29" t="n"/>
      <c r="F267" s="6" t="n"/>
      <c r="G267" s="25" t="n"/>
      <c r="H267" s="27">
        <f>IF(C267="","",IF(G267&lt;&gt;"",G267,IFERROR(INDEX(Clients!$G$5:$G$304,MATCH(C267,Clients!$A$5:$A$304,0)),0)))</f>
        <v/>
      </c>
      <c r="I267" s="25" t="n"/>
      <c r="J267" s="27">
        <f>IF(C267="","",H267+N(I267))</f>
        <v/>
      </c>
      <c r="K267" s="6" t="n"/>
      <c r="L267" s="6" t="n"/>
      <c r="M267" s="25" t="n"/>
      <c r="N267" s="10" t="n"/>
      <c r="O267" s="27">
        <f>IF(C267="","",N(E267)*Settings!$B$8)</f>
        <v/>
      </c>
      <c r="P267" s="27">
        <f>IF(C267="","",N(N267)*Settings!$B$10)</f>
        <v/>
      </c>
      <c r="Q267" s="27">
        <f>IF(C267="","",J267-N(M267)-O267-P267)</f>
        <v/>
      </c>
      <c r="R267" s="6" t="n"/>
    </row>
    <row r="268">
      <c r="A268" s="17">
        <f>IF(B268="","","J-"&amp;TEXT(ROW()-4,"0000"))</f>
        <v/>
      </c>
      <c r="B268" s="26" t="n"/>
      <c r="C268" s="6" t="n"/>
      <c r="D268" s="6" t="n"/>
      <c r="E268" s="29" t="n"/>
      <c r="F268" s="6" t="n"/>
      <c r="G268" s="25" t="n"/>
      <c r="H268" s="30">
        <f>IF(C268="","",IF(G268&lt;&gt;"",G268,IFERROR(INDEX(Clients!$G$5:$G$304,MATCH(C268,Clients!$A$5:$A$304,0)),0)))</f>
        <v/>
      </c>
      <c r="I268" s="25" t="n"/>
      <c r="J268" s="30">
        <f>IF(C268="","",H268+N(I268))</f>
        <v/>
      </c>
      <c r="K268" s="6" t="n"/>
      <c r="L268" s="6" t="n"/>
      <c r="M268" s="25" t="n"/>
      <c r="N268" s="10" t="n"/>
      <c r="O268" s="30">
        <f>IF(C268="","",N(E268)*Settings!$B$8)</f>
        <v/>
      </c>
      <c r="P268" s="30">
        <f>IF(C268="","",N(N268)*Settings!$B$10)</f>
        <v/>
      </c>
      <c r="Q268" s="30">
        <f>IF(C268="","",J268-N(M268)-O268-P268)</f>
        <v/>
      </c>
      <c r="R268" s="6" t="n"/>
    </row>
    <row r="269">
      <c r="A269" s="8">
        <f>IF(B269="","","J-"&amp;TEXT(ROW()-4,"0000"))</f>
        <v/>
      </c>
      <c r="B269" s="26" t="n"/>
      <c r="C269" s="6" t="n"/>
      <c r="D269" s="6" t="n"/>
      <c r="E269" s="29" t="n"/>
      <c r="F269" s="6" t="n"/>
      <c r="G269" s="25" t="n"/>
      <c r="H269" s="27">
        <f>IF(C269="","",IF(G269&lt;&gt;"",G269,IFERROR(INDEX(Clients!$G$5:$G$304,MATCH(C269,Clients!$A$5:$A$304,0)),0)))</f>
        <v/>
      </c>
      <c r="I269" s="25" t="n"/>
      <c r="J269" s="27">
        <f>IF(C269="","",H269+N(I269))</f>
        <v/>
      </c>
      <c r="K269" s="6" t="n"/>
      <c r="L269" s="6" t="n"/>
      <c r="M269" s="25" t="n"/>
      <c r="N269" s="10" t="n"/>
      <c r="O269" s="27">
        <f>IF(C269="","",N(E269)*Settings!$B$8)</f>
        <v/>
      </c>
      <c r="P269" s="27">
        <f>IF(C269="","",N(N269)*Settings!$B$10)</f>
        <v/>
      </c>
      <c r="Q269" s="27">
        <f>IF(C269="","",J269-N(M269)-O269-P269)</f>
        <v/>
      </c>
      <c r="R269" s="6" t="n"/>
    </row>
    <row r="270">
      <c r="A270" s="17">
        <f>IF(B270="","","J-"&amp;TEXT(ROW()-4,"0000"))</f>
        <v/>
      </c>
      <c r="B270" s="26" t="n"/>
      <c r="C270" s="6" t="n"/>
      <c r="D270" s="6" t="n"/>
      <c r="E270" s="29" t="n"/>
      <c r="F270" s="6" t="n"/>
      <c r="G270" s="25" t="n"/>
      <c r="H270" s="30">
        <f>IF(C270="","",IF(G270&lt;&gt;"",G270,IFERROR(INDEX(Clients!$G$5:$G$304,MATCH(C270,Clients!$A$5:$A$304,0)),0)))</f>
        <v/>
      </c>
      <c r="I270" s="25" t="n"/>
      <c r="J270" s="30">
        <f>IF(C270="","",H270+N(I270))</f>
        <v/>
      </c>
      <c r="K270" s="6" t="n"/>
      <c r="L270" s="6" t="n"/>
      <c r="M270" s="25" t="n"/>
      <c r="N270" s="10" t="n"/>
      <c r="O270" s="30">
        <f>IF(C270="","",N(E270)*Settings!$B$8)</f>
        <v/>
      </c>
      <c r="P270" s="30">
        <f>IF(C270="","",N(N270)*Settings!$B$10)</f>
        <v/>
      </c>
      <c r="Q270" s="30">
        <f>IF(C270="","",J270-N(M270)-O270-P270)</f>
        <v/>
      </c>
      <c r="R270" s="6" t="n"/>
    </row>
    <row r="271">
      <c r="A271" s="8">
        <f>IF(B271="","","J-"&amp;TEXT(ROW()-4,"0000"))</f>
        <v/>
      </c>
      <c r="B271" s="26" t="n"/>
      <c r="C271" s="6" t="n"/>
      <c r="D271" s="6" t="n"/>
      <c r="E271" s="29" t="n"/>
      <c r="F271" s="6" t="n"/>
      <c r="G271" s="25" t="n"/>
      <c r="H271" s="27">
        <f>IF(C271="","",IF(G271&lt;&gt;"",G271,IFERROR(INDEX(Clients!$G$5:$G$304,MATCH(C271,Clients!$A$5:$A$304,0)),0)))</f>
        <v/>
      </c>
      <c r="I271" s="25" t="n"/>
      <c r="J271" s="27">
        <f>IF(C271="","",H271+N(I271))</f>
        <v/>
      </c>
      <c r="K271" s="6" t="n"/>
      <c r="L271" s="6" t="n"/>
      <c r="M271" s="25" t="n"/>
      <c r="N271" s="10" t="n"/>
      <c r="O271" s="27">
        <f>IF(C271="","",N(E271)*Settings!$B$8)</f>
        <v/>
      </c>
      <c r="P271" s="27">
        <f>IF(C271="","",N(N271)*Settings!$B$10)</f>
        <v/>
      </c>
      <c r="Q271" s="27">
        <f>IF(C271="","",J271-N(M271)-O271-P271)</f>
        <v/>
      </c>
      <c r="R271" s="6" t="n"/>
    </row>
    <row r="272">
      <c r="A272" s="17">
        <f>IF(B272="","","J-"&amp;TEXT(ROW()-4,"0000"))</f>
        <v/>
      </c>
      <c r="B272" s="26" t="n"/>
      <c r="C272" s="6" t="n"/>
      <c r="D272" s="6" t="n"/>
      <c r="E272" s="29" t="n"/>
      <c r="F272" s="6" t="n"/>
      <c r="G272" s="25" t="n"/>
      <c r="H272" s="30">
        <f>IF(C272="","",IF(G272&lt;&gt;"",G272,IFERROR(INDEX(Clients!$G$5:$G$304,MATCH(C272,Clients!$A$5:$A$304,0)),0)))</f>
        <v/>
      </c>
      <c r="I272" s="25" t="n"/>
      <c r="J272" s="30">
        <f>IF(C272="","",H272+N(I272))</f>
        <v/>
      </c>
      <c r="K272" s="6" t="n"/>
      <c r="L272" s="6" t="n"/>
      <c r="M272" s="25" t="n"/>
      <c r="N272" s="10" t="n"/>
      <c r="O272" s="30">
        <f>IF(C272="","",N(E272)*Settings!$B$8)</f>
        <v/>
      </c>
      <c r="P272" s="30">
        <f>IF(C272="","",N(N272)*Settings!$B$10)</f>
        <v/>
      </c>
      <c r="Q272" s="30">
        <f>IF(C272="","",J272-N(M272)-O272-P272)</f>
        <v/>
      </c>
      <c r="R272" s="6" t="n"/>
    </row>
    <row r="273">
      <c r="A273" s="8">
        <f>IF(B273="","","J-"&amp;TEXT(ROW()-4,"0000"))</f>
        <v/>
      </c>
      <c r="B273" s="26" t="n"/>
      <c r="C273" s="6" t="n"/>
      <c r="D273" s="6" t="n"/>
      <c r="E273" s="29" t="n"/>
      <c r="F273" s="6" t="n"/>
      <c r="G273" s="25" t="n"/>
      <c r="H273" s="27">
        <f>IF(C273="","",IF(G273&lt;&gt;"",G273,IFERROR(INDEX(Clients!$G$5:$G$304,MATCH(C273,Clients!$A$5:$A$304,0)),0)))</f>
        <v/>
      </c>
      <c r="I273" s="25" t="n"/>
      <c r="J273" s="27">
        <f>IF(C273="","",H273+N(I273))</f>
        <v/>
      </c>
      <c r="K273" s="6" t="n"/>
      <c r="L273" s="6" t="n"/>
      <c r="M273" s="25" t="n"/>
      <c r="N273" s="10" t="n"/>
      <c r="O273" s="27">
        <f>IF(C273="","",N(E273)*Settings!$B$8)</f>
        <v/>
      </c>
      <c r="P273" s="27">
        <f>IF(C273="","",N(N273)*Settings!$B$10)</f>
        <v/>
      </c>
      <c r="Q273" s="27">
        <f>IF(C273="","",J273-N(M273)-O273-P273)</f>
        <v/>
      </c>
      <c r="R273" s="6" t="n"/>
    </row>
    <row r="274">
      <c r="A274" s="17">
        <f>IF(B274="","","J-"&amp;TEXT(ROW()-4,"0000"))</f>
        <v/>
      </c>
      <c r="B274" s="26" t="n"/>
      <c r="C274" s="6" t="n"/>
      <c r="D274" s="6" t="n"/>
      <c r="E274" s="29" t="n"/>
      <c r="F274" s="6" t="n"/>
      <c r="G274" s="25" t="n"/>
      <c r="H274" s="30">
        <f>IF(C274="","",IF(G274&lt;&gt;"",G274,IFERROR(INDEX(Clients!$G$5:$G$304,MATCH(C274,Clients!$A$5:$A$304,0)),0)))</f>
        <v/>
      </c>
      <c r="I274" s="25" t="n"/>
      <c r="J274" s="30">
        <f>IF(C274="","",H274+N(I274))</f>
        <v/>
      </c>
      <c r="K274" s="6" t="n"/>
      <c r="L274" s="6" t="n"/>
      <c r="M274" s="25" t="n"/>
      <c r="N274" s="10" t="n"/>
      <c r="O274" s="30">
        <f>IF(C274="","",N(E274)*Settings!$B$8)</f>
        <v/>
      </c>
      <c r="P274" s="30">
        <f>IF(C274="","",N(N274)*Settings!$B$10)</f>
        <v/>
      </c>
      <c r="Q274" s="30">
        <f>IF(C274="","",J274-N(M274)-O274-P274)</f>
        <v/>
      </c>
      <c r="R274" s="6" t="n"/>
    </row>
    <row r="275">
      <c r="A275" s="8">
        <f>IF(B275="","","J-"&amp;TEXT(ROW()-4,"0000"))</f>
        <v/>
      </c>
      <c r="B275" s="26" t="n"/>
      <c r="C275" s="6" t="n"/>
      <c r="D275" s="6" t="n"/>
      <c r="E275" s="29" t="n"/>
      <c r="F275" s="6" t="n"/>
      <c r="G275" s="25" t="n"/>
      <c r="H275" s="27">
        <f>IF(C275="","",IF(G275&lt;&gt;"",G275,IFERROR(INDEX(Clients!$G$5:$G$304,MATCH(C275,Clients!$A$5:$A$304,0)),0)))</f>
        <v/>
      </c>
      <c r="I275" s="25" t="n"/>
      <c r="J275" s="27">
        <f>IF(C275="","",H275+N(I275))</f>
        <v/>
      </c>
      <c r="K275" s="6" t="n"/>
      <c r="L275" s="6" t="n"/>
      <c r="M275" s="25" t="n"/>
      <c r="N275" s="10" t="n"/>
      <c r="O275" s="27">
        <f>IF(C275="","",N(E275)*Settings!$B$8)</f>
        <v/>
      </c>
      <c r="P275" s="27">
        <f>IF(C275="","",N(N275)*Settings!$B$10)</f>
        <v/>
      </c>
      <c r="Q275" s="27">
        <f>IF(C275="","",J275-N(M275)-O275-P275)</f>
        <v/>
      </c>
      <c r="R275" s="6" t="n"/>
    </row>
    <row r="276">
      <c r="A276" s="17">
        <f>IF(B276="","","J-"&amp;TEXT(ROW()-4,"0000"))</f>
        <v/>
      </c>
      <c r="B276" s="26" t="n"/>
      <c r="C276" s="6" t="n"/>
      <c r="D276" s="6" t="n"/>
      <c r="E276" s="29" t="n"/>
      <c r="F276" s="6" t="n"/>
      <c r="G276" s="25" t="n"/>
      <c r="H276" s="30">
        <f>IF(C276="","",IF(G276&lt;&gt;"",G276,IFERROR(INDEX(Clients!$G$5:$G$304,MATCH(C276,Clients!$A$5:$A$304,0)),0)))</f>
        <v/>
      </c>
      <c r="I276" s="25" t="n"/>
      <c r="J276" s="30">
        <f>IF(C276="","",H276+N(I276))</f>
        <v/>
      </c>
      <c r="K276" s="6" t="n"/>
      <c r="L276" s="6" t="n"/>
      <c r="M276" s="25" t="n"/>
      <c r="N276" s="10" t="n"/>
      <c r="O276" s="30">
        <f>IF(C276="","",N(E276)*Settings!$B$8)</f>
        <v/>
      </c>
      <c r="P276" s="30">
        <f>IF(C276="","",N(N276)*Settings!$B$10)</f>
        <v/>
      </c>
      <c r="Q276" s="30">
        <f>IF(C276="","",J276-N(M276)-O276-P276)</f>
        <v/>
      </c>
      <c r="R276" s="6" t="n"/>
    </row>
    <row r="277">
      <c r="A277" s="8">
        <f>IF(B277="","","J-"&amp;TEXT(ROW()-4,"0000"))</f>
        <v/>
      </c>
      <c r="B277" s="26" t="n"/>
      <c r="C277" s="6" t="n"/>
      <c r="D277" s="6" t="n"/>
      <c r="E277" s="29" t="n"/>
      <c r="F277" s="6" t="n"/>
      <c r="G277" s="25" t="n"/>
      <c r="H277" s="27">
        <f>IF(C277="","",IF(G277&lt;&gt;"",G277,IFERROR(INDEX(Clients!$G$5:$G$304,MATCH(C277,Clients!$A$5:$A$304,0)),0)))</f>
        <v/>
      </c>
      <c r="I277" s="25" t="n"/>
      <c r="J277" s="27">
        <f>IF(C277="","",H277+N(I277))</f>
        <v/>
      </c>
      <c r="K277" s="6" t="n"/>
      <c r="L277" s="6" t="n"/>
      <c r="M277" s="25" t="n"/>
      <c r="N277" s="10" t="n"/>
      <c r="O277" s="27">
        <f>IF(C277="","",N(E277)*Settings!$B$8)</f>
        <v/>
      </c>
      <c r="P277" s="27">
        <f>IF(C277="","",N(N277)*Settings!$B$10)</f>
        <v/>
      </c>
      <c r="Q277" s="27">
        <f>IF(C277="","",J277-N(M277)-O277-P277)</f>
        <v/>
      </c>
      <c r="R277" s="6" t="n"/>
    </row>
    <row r="278">
      <c r="A278" s="17">
        <f>IF(B278="","","J-"&amp;TEXT(ROW()-4,"0000"))</f>
        <v/>
      </c>
      <c r="B278" s="26" t="n"/>
      <c r="C278" s="6" t="n"/>
      <c r="D278" s="6" t="n"/>
      <c r="E278" s="29" t="n"/>
      <c r="F278" s="6" t="n"/>
      <c r="G278" s="25" t="n"/>
      <c r="H278" s="30">
        <f>IF(C278="","",IF(G278&lt;&gt;"",G278,IFERROR(INDEX(Clients!$G$5:$G$304,MATCH(C278,Clients!$A$5:$A$304,0)),0)))</f>
        <v/>
      </c>
      <c r="I278" s="25" t="n"/>
      <c r="J278" s="30">
        <f>IF(C278="","",H278+N(I278))</f>
        <v/>
      </c>
      <c r="K278" s="6" t="n"/>
      <c r="L278" s="6" t="n"/>
      <c r="M278" s="25" t="n"/>
      <c r="N278" s="10" t="n"/>
      <c r="O278" s="30">
        <f>IF(C278="","",N(E278)*Settings!$B$8)</f>
        <v/>
      </c>
      <c r="P278" s="30">
        <f>IF(C278="","",N(N278)*Settings!$B$10)</f>
        <v/>
      </c>
      <c r="Q278" s="30">
        <f>IF(C278="","",J278-N(M278)-O278-P278)</f>
        <v/>
      </c>
      <c r="R278" s="6" t="n"/>
    </row>
    <row r="279">
      <c r="A279" s="8">
        <f>IF(B279="","","J-"&amp;TEXT(ROW()-4,"0000"))</f>
        <v/>
      </c>
      <c r="B279" s="26" t="n"/>
      <c r="C279" s="6" t="n"/>
      <c r="D279" s="6" t="n"/>
      <c r="E279" s="29" t="n"/>
      <c r="F279" s="6" t="n"/>
      <c r="G279" s="25" t="n"/>
      <c r="H279" s="27">
        <f>IF(C279="","",IF(G279&lt;&gt;"",G279,IFERROR(INDEX(Clients!$G$5:$G$304,MATCH(C279,Clients!$A$5:$A$304,0)),0)))</f>
        <v/>
      </c>
      <c r="I279" s="25" t="n"/>
      <c r="J279" s="27">
        <f>IF(C279="","",H279+N(I279))</f>
        <v/>
      </c>
      <c r="K279" s="6" t="n"/>
      <c r="L279" s="6" t="n"/>
      <c r="M279" s="25" t="n"/>
      <c r="N279" s="10" t="n"/>
      <c r="O279" s="27">
        <f>IF(C279="","",N(E279)*Settings!$B$8)</f>
        <v/>
      </c>
      <c r="P279" s="27">
        <f>IF(C279="","",N(N279)*Settings!$B$10)</f>
        <v/>
      </c>
      <c r="Q279" s="27">
        <f>IF(C279="","",J279-N(M279)-O279-P279)</f>
        <v/>
      </c>
      <c r="R279" s="6" t="n"/>
    </row>
    <row r="280">
      <c r="A280" s="17">
        <f>IF(B280="","","J-"&amp;TEXT(ROW()-4,"0000"))</f>
        <v/>
      </c>
      <c r="B280" s="26" t="n"/>
      <c r="C280" s="6" t="n"/>
      <c r="D280" s="6" t="n"/>
      <c r="E280" s="29" t="n"/>
      <c r="F280" s="6" t="n"/>
      <c r="G280" s="25" t="n"/>
      <c r="H280" s="30">
        <f>IF(C280="","",IF(G280&lt;&gt;"",G280,IFERROR(INDEX(Clients!$G$5:$G$304,MATCH(C280,Clients!$A$5:$A$304,0)),0)))</f>
        <v/>
      </c>
      <c r="I280" s="25" t="n"/>
      <c r="J280" s="30">
        <f>IF(C280="","",H280+N(I280))</f>
        <v/>
      </c>
      <c r="K280" s="6" t="n"/>
      <c r="L280" s="6" t="n"/>
      <c r="M280" s="25" t="n"/>
      <c r="N280" s="10" t="n"/>
      <c r="O280" s="30">
        <f>IF(C280="","",N(E280)*Settings!$B$8)</f>
        <v/>
      </c>
      <c r="P280" s="30">
        <f>IF(C280="","",N(N280)*Settings!$B$10)</f>
        <v/>
      </c>
      <c r="Q280" s="30">
        <f>IF(C280="","",J280-N(M280)-O280-P280)</f>
        <v/>
      </c>
      <c r="R280" s="6" t="n"/>
    </row>
    <row r="281">
      <c r="A281" s="8">
        <f>IF(B281="","","J-"&amp;TEXT(ROW()-4,"0000"))</f>
        <v/>
      </c>
      <c r="B281" s="26" t="n"/>
      <c r="C281" s="6" t="n"/>
      <c r="D281" s="6" t="n"/>
      <c r="E281" s="29" t="n"/>
      <c r="F281" s="6" t="n"/>
      <c r="G281" s="25" t="n"/>
      <c r="H281" s="27">
        <f>IF(C281="","",IF(G281&lt;&gt;"",G281,IFERROR(INDEX(Clients!$G$5:$G$304,MATCH(C281,Clients!$A$5:$A$304,0)),0)))</f>
        <v/>
      </c>
      <c r="I281" s="25" t="n"/>
      <c r="J281" s="27">
        <f>IF(C281="","",H281+N(I281))</f>
        <v/>
      </c>
      <c r="K281" s="6" t="n"/>
      <c r="L281" s="6" t="n"/>
      <c r="M281" s="25" t="n"/>
      <c r="N281" s="10" t="n"/>
      <c r="O281" s="27">
        <f>IF(C281="","",N(E281)*Settings!$B$8)</f>
        <v/>
      </c>
      <c r="P281" s="27">
        <f>IF(C281="","",N(N281)*Settings!$B$10)</f>
        <v/>
      </c>
      <c r="Q281" s="27">
        <f>IF(C281="","",J281-N(M281)-O281-P281)</f>
        <v/>
      </c>
      <c r="R281" s="6" t="n"/>
    </row>
    <row r="282">
      <c r="A282" s="17">
        <f>IF(B282="","","J-"&amp;TEXT(ROW()-4,"0000"))</f>
        <v/>
      </c>
      <c r="B282" s="26" t="n"/>
      <c r="C282" s="6" t="n"/>
      <c r="D282" s="6" t="n"/>
      <c r="E282" s="29" t="n"/>
      <c r="F282" s="6" t="n"/>
      <c r="G282" s="25" t="n"/>
      <c r="H282" s="30">
        <f>IF(C282="","",IF(G282&lt;&gt;"",G282,IFERROR(INDEX(Clients!$G$5:$G$304,MATCH(C282,Clients!$A$5:$A$304,0)),0)))</f>
        <v/>
      </c>
      <c r="I282" s="25" t="n"/>
      <c r="J282" s="30">
        <f>IF(C282="","",H282+N(I282))</f>
        <v/>
      </c>
      <c r="K282" s="6" t="n"/>
      <c r="L282" s="6" t="n"/>
      <c r="M282" s="25" t="n"/>
      <c r="N282" s="10" t="n"/>
      <c r="O282" s="30">
        <f>IF(C282="","",N(E282)*Settings!$B$8)</f>
        <v/>
      </c>
      <c r="P282" s="30">
        <f>IF(C282="","",N(N282)*Settings!$B$10)</f>
        <v/>
      </c>
      <c r="Q282" s="30">
        <f>IF(C282="","",J282-N(M282)-O282-P282)</f>
        <v/>
      </c>
      <c r="R282" s="6" t="n"/>
    </row>
    <row r="283">
      <c r="A283" s="8">
        <f>IF(B283="","","J-"&amp;TEXT(ROW()-4,"0000"))</f>
        <v/>
      </c>
      <c r="B283" s="26" t="n"/>
      <c r="C283" s="6" t="n"/>
      <c r="D283" s="6" t="n"/>
      <c r="E283" s="29" t="n"/>
      <c r="F283" s="6" t="n"/>
      <c r="G283" s="25" t="n"/>
      <c r="H283" s="27">
        <f>IF(C283="","",IF(G283&lt;&gt;"",G283,IFERROR(INDEX(Clients!$G$5:$G$304,MATCH(C283,Clients!$A$5:$A$304,0)),0)))</f>
        <v/>
      </c>
      <c r="I283" s="25" t="n"/>
      <c r="J283" s="27">
        <f>IF(C283="","",H283+N(I283))</f>
        <v/>
      </c>
      <c r="K283" s="6" t="n"/>
      <c r="L283" s="6" t="n"/>
      <c r="M283" s="25" t="n"/>
      <c r="N283" s="10" t="n"/>
      <c r="O283" s="27">
        <f>IF(C283="","",N(E283)*Settings!$B$8)</f>
        <v/>
      </c>
      <c r="P283" s="27">
        <f>IF(C283="","",N(N283)*Settings!$B$10)</f>
        <v/>
      </c>
      <c r="Q283" s="27">
        <f>IF(C283="","",J283-N(M283)-O283-P283)</f>
        <v/>
      </c>
      <c r="R283" s="6" t="n"/>
    </row>
    <row r="284">
      <c r="A284" s="17">
        <f>IF(B284="","","J-"&amp;TEXT(ROW()-4,"0000"))</f>
        <v/>
      </c>
      <c r="B284" s="26" t="n"/>
      <c r="C284" s="6" t="n"/>
      <c r="D284" s="6" t="n"/>
      <c r="E284" s="29" t="n"/>
      <c r="F284" s="6" t="n"/>
      <c r="G284" s="25" t="n"/>
      <c r="H284" s="30">
        <f>IF(C284="","",IF(G284&lt;&gt;"",G284,IFERROR(INDEX(Clients!$G$5:$G$304,MATCH(C284,Clients!$A$5:$A$304,0)),0)))</f>
        <v/>
      </c>
      <c r="I284" s="25" t="n"/>
      <c r="J284" s="30">
        <f>IF(C284="","",H284+N(I284))</f>
        <v/>
      </c>
      <c r="K284" s="6" t="n"/>
      <c r="L284" s="6" t="n"/>
      <c r="M284" s="25" t="n"/>
      <c r="N284" s="10" t="n"/>
      <c r="O284" s="30">
        <f>IF(C284="","",N(E284)*Settings!$B$8)</f>
        <v/>
      </c>
      <c r="P284" s="30">
        <f>IF(C284="","",N(N284)*Settings!$B$10)</f>
        <v/>
      </c>
      <c r="Q284" s="30">
        <f>IF(C284="","",J284-N(M284)-O284-P284)</f>
        <v/>
      </c>
      <c r="R284" s="6" t="n"/>
    </row>
    <row r="285">
      <c r="A285" s="8">
        <f>IF(B285="","","J-"&amp;TEXT(ROW()-4,"0000"))</f>
        <v/>
      </c>
      <c r="B285" s="26" t="n"/>
      <c r="C285" s="6" t="n"/>
      <c r="D285" s="6" t="n"/>
      <c r="E285" s="29" t="n"/>
      <c r="F285" s="6" t="n"/>
      <c r="G285" s="25" t="n"/>
      <c r="H285" s="27">
        <f>IF(C285="","",IF(G285&lt;&gt;"",G285,IFERROR(INDEX(Clients!$G$5:$G$304,MATCH(C285,Clients!$A$5:$A$304,0)),0)))</f>
        <v/>
      </c>
      <c r="I285" s="25" t="n"/>
      <c r="J285" s="27">
        <f>IF(C285="","",H285+N(I285))</f>
        <v/>
      </c>
      <c r="K285" s="6" t="n"/>
      <c r="L285" s="6" t="n"/>
      <c r="M285" s="25" t="n"/>
      <c r="N285" s="10" t="n"/>
      <c r="O285" s="27">
        <f>IF(C285="","",N(E285)*Settings!$B$8)</f>
        <v/>
      </c>
      <c r="P285" s="27">
        <f>IF(C285="","",N(N285)*Settings!$B$10)</f>
        <v/>
      </c>
      <c r="Q285" s="27">
        <f>IF(C285="","",J285-N(M285)-O285-P285)</f>
        <v/>
      </c>
      <c r="R285" s="6" t="n"/>
    </row>
    <row r="286">
      <c r="A286" s="17">
        <f>IF(B286="","","J-"&amp;TEXT(ROW()-4,"0000"))</f>
        <v/>
      </c>
      <c r="B286" s="26" t="n"/>
      <c r="C286" s="6" t="n"/>
      <c r="D286" s="6" t="n"/>
      <c r="E286" s="29" t="n"/>
      <c r="F286" s="6" t="n"/>
      <c r="G286" s="25" t="n"/>
      <c r="H286" s="30">
        <f>IF(C286="","",IF(G286&lt;&gt;"",G286,IFERROR(INDEX(Clients!$G$5:$G$304,MATCH(C286,Clients!$A$5:$A$304,0)),0)))</f>
        <v/>
      </c>
      <c r="I286" s="25" t="n"/>
      <c r="J286" s="30">
        <f>IF(C286="","",H286+N(I286))</f>
        <v/>
      </c>
      <c r="K286" s="6" t="n"/>
      <c r="L286" s="6" t="n"/>
      <c r="M286" s="25" t="n"/>
      <c r="N286" s="10" t="n"/>
      <c r="O286" s="30">
        <f>IF(C286="","",N(E286)*Settings!$B$8)</f>
        <v/>
      </c>
      <c r="P286" s="30">
        <f>IF(C286="","",N(N286)*Settings!$B$10)</f>
        <v/>
      </c>
      <c r="Q286" s="30">
        <f>IF(C286="","",J286-N(M286)-O286-P286)</f>
        <v/>
      </c>
      <c r="R286" s="6" t="n"/>
    </row>
    <row r="287">
      <c r="A287" s="8">
        <f>IF(B287="","","J-"&amp;TEXT(ROW()-4,"0000"))</f>
        <v/>
      </c>
      <c r="B287" s="26" t="n"/>
      <c r="C287" s="6" t="n"/>
      <c r="D287" s="6" t="n"/>
      <c r="E287" s="29" t="n"/>
      <c r="F287" s="6" t="n"/>
      <c r="G287" s="25" t="n"/>
      <c r="H287" s="27">
        <f>IF(C287="","",IF(G287&lt;&gt;"",G287,IFERROR(INDEX(Clients!$G$5:$G$304,MATCH(C287,Clients!$A$5:$A$304,0)),0)))</f>
        <v/>
      </c>
      <c r="I287" s="25" t="n"/>
      <c r="J287" s="27">
        <f>IF(C287="","",H287+N(I287))</f>
        <v/>
      </c>
      <c r="K287" s="6" t="n"/>
      <c r="L287" s="6" t="n"/>
      <c r="M287" s="25" t="n"/>
      <c r="N287" s="10" t="n"/>
      <c r="O287" s="27">
        <f>IF(C287="","",N(E287)*Settings!$B$8)</f>
        <v/>
      </c>
      <c r="P287" s="27">
        <f>IF(C287="","",N(N287)*Settings!$B$10)</f>
        <v/>
      </c>
      <c r="Q287" s="27">
        <f>IF(C287="","",J287-N(M287)-O287-P287)</f>
        <v/>
      </c>
      <c r="R287" s="6" t="n"/>
    </row>
    <row r="288">
      <c r="A288" s="17">
        <f>IF(B288="","","J-"&amp;TEXT(ROW()-4,"0000"))</f>
        <v/>
      </c>
      <c r="B288" s="26" t="n"/>
      <c r="C288" s="6" t="n"/>
      <c r="D288" s="6" t="n"/>
      <c r="E288" s="29" t="n"/>
      <c r="F288" s="6" t="n"/>
      <c r="G288" s="25" t="n"/>
      <c r="H288" s="30">
        <f>IF(C288="","",IF(G288&lt;&gt;"",G288,IFERROR(INDEX(Clients!$G$5:$G$304,MATCH(C288,Clients!$A$5:$A$304,0)),0)))</f>
        <v/>
      </c>
      <c r="I288" s="25" t="n"/>
      <c r="J288" s="30">
        <f>IF(C288="","",H288+N(I288))</f>
        <v/>
      </c>
      <c r="K288" s="6" t="n"/>
      <c r="L288" s="6" t="n"/>
      <c r="M288" s="25" t="n"/>
      <c r="N288" s="10" t="n"/>
      <c r="O288" s="30">
        <f>IF(C288="","",N(E288)*Settings!$B$8)</f>
        <v/>
      </c>
      <c r="P288" s="30">
        <f>IF(C288="","",N(N288)*Settings!$B$10)</f>
        <v/>
      </c>
      <c r="Q288" s="30">
        <f>IF(C288="","",J288-N(M288)-O288-P288)</f>
        <v/>
      </c>
      <c r="R288" s="6" t="n"/>
    </row>
    <row r="289">
      <c r="A289" s="8">
        <f>IF(B289="","","J-"&amp;TEXT(ROW()-4,"0000"))</f>
        <v/>
      </c>
      <c r="B289" s="26" t="n"/>
      <c r="C289" s="6" t="n"/>
      <c r="D289" s="6" t="n"/>
      <c r="E289" s="29" t="n"/>
      <c r="F289" s="6" t="n"/>
      <c r="G289" s="25" t="n"/>
      <c r="H289" s="27">
        <f>IF(C289="","",IF(G289&lt;&gt;"",G289,IFERROR(INDEX(Clients!$G$5:$G$304,MATCH(C289,Clients!$A$5:$A$304,0)),0)))</f>
        <v/>
      </c>
      <c r="I289" s="25" t="n"/>
      <c r="J289" s="27">
        <f>IF(C289="","",H289+N(I289))</f>
        <v/>
      </c>
      <c r="K289" s="6" t="n"/>
      <c r="L289" s="6" t="n"/>
      <c r="M289" s="25" t="n"/>
      <c r="N289" s="10" t="n"/>
      <c r="O289" s="27">
        <f>IF(C289="","",N(E289)*Settings!$B$8)</f>
        <v/>
      </c>
      <c r="P289" s="27">
        <f>IF(C289="","",N(N289)*Settings!$B$10)</f>
        <v/>
      </c>
      <c r="Q289" s="27">
        <f>IF(C289="","",J289-N(M289)-O289-P289)</f>
        <v/>
      </c>
      <c r="R289" s="6" t="n"/>
    </row>
    <row r="290">
      <c r="A290" s="17">
        <f>IF(B290="","","J-"&amp;TEXT(ROW()-4,"0000"))</f>
        <v/>
      </c>
      <c r="B290" s="26" t="n"/>
      <c r="C290" s="6" t="n"/>
      <c r="D290" s="6" t="n"/>
      <c r="E290" s="29" t="n"/>
      <c r="F290" s="6" t="n"/>
      <c r="G290" s="25" t="n"/>
      <c r="H290" s="30">
        <f>IF(C290="","",IF(G290&lt;&gt;"",G290,IFERROR(INDEX(Clients!$G$5:$G$304,MATCH(C290,Clients!$A$5:$A$304,0)),0)))</f>
        <v/>
      </c>
      <c r="I290" s="25" t="n"/>
      <c r="J290" s="30">
        <f>IF(C290="","",H290+N(I290))</f>
        <v/>
      </c>
      <c r="K290" s="6" t="n"/>
      <c r="L290" s="6" t="n"/>
      <c r="M290" s="25" t="n"/>
      <c r="N290" s="10" t="n"/>
      <c r="O290" s="30">
        <f>IF(C290="","",N(E290)*Settings!$B$8)</f>
        <v/>
      </c>
      <c r="P290" s="30">
        <f>IF(C290="","",N(N290)*Settings!$B$10)</f>
        <v/>
      </c>
      <c r="Q290" s="30">
        <f>IF(C290="","",J290-N(M290)-O290-P290)</f>
        <v/>
      </c>
      <c r="R290" s="6" t="n"/>
    </row>
    <row r="291">
      <c r="A291" s="8">
        <f>IF(B291="","","J-"&amp;TEXT(ROW()-4,"0000"))</f>
        <v/>
      </c>
      <c r="B291" s="26" t="n"/>
      <c r="C291" s="6" t="n"/>
      <c r="D291" s="6" t="n"/>
      <c r="E291" s="29" t="n"/>
      <c r="F291" s="6" t="n"/>
      <c r="G291" s="25" t="n"/>
      <c r="H291" s="27">
        <f>IF(C291="","",IF(G291&lt;&gt;"",G291,IFERROR(INDEX(Clients!$G$5:$G$304,MATCH(C291,Clients!$A$5:$A$304,0)),0)))</f>
        <v/>
      </c>
      <c r="I291" s="25" t="n"/>
      <c r="J291" s="27">
        <f>IF(C291="","",H291+N(I291))</f>
        <v/>
      </c>
      <c r="K291" s="6" t="n"/>
      <c r="L291" s="6" t="n"/>
      <c r="M291" s="25" t="n"/>
      <c r="N291" s="10" t="n"/>
      <c r="O291" s="27">
        <f>IF(C291="","",N(E291)*Settings!$B$8)</f>
        <v/>
      </c>
      <c r="P291" s="27">
        <f>IF(C291="","",N(N291)*Settings!$B$10)</f>
        <v/>
      </c>
      <c r="Q291" s="27">
        <f>IF(C291="","",J291-N(M291)-O291-P291)</f>
        <v/>
      </c>
      <c r="R291" s="6" t="n"/>
    </row>
    <row r="292">
      <c r="A292" s="17">
        <f>IF(B292="","","J-"&amp;TEXT(ROW()-4,"0000"))</f>
        <v/>
      </c>
      <c r="B292" s="26" t="n"/>
      <c r="C292" s="6" t="n"/>
      <c r="D292" s="6" t="n"/>
      <c r="E292" s="29" t="n"/>
      <c r="F292" s="6" t="n"/>
      <c r="G292" s="25" t="n"/>
      <c r="H292" s="30">
        <f>IF(C292="","",IF(G292&lt;&gt;"",G292,IFERROR(INDEX(Clients!$G$5:$G$304,MATCH(C292,Clients!$A$5:$A$304,0)),0)))</f>
        <v/>
      </c>
      <c r="I292" s="25" t="n"/>
      <c r="J292" s="30">
        <f>IF(C292="","",H292+N(I292))</f>
        <v/>
      </c>
      <c r="K292" s="6" t="n"/>
      <c r="L292" s="6" t="n"/>
      <c r="M292" s="25" t="n"/>
      <c r="N292" s="10" t="n"/>
      <c r="O292" s="30">
        <f>IF(C292="","",N(E292)*Settings!$B$8)</f>
        <v/>
      </c>
      <c r="P292" s="30">
        <f>IF(C292="","",N(N292)*Settings!$B$10)</f>
        <v/>
      </c>
      <c r="Q292" s="30">
        <f>IF(C292="","",J292-N(M292)-O292-P292)</f>
        <v/>
      </c>
      <c r="R292" s="6" t="n"/>
    </row>
    <row r="293">
      <c r="A293" s="8">
        <f>IF(B293="","","J-"&amp;TEXT(ROW()-4,"0000"))</f>
        <v/>
      </c>
      <c r="B293" s="26" t="n"/>
      <c r="C293" s="6" t="n"/>
      <c r="D293" s="6" t="n"/>
      <c r="E293" s="29" t="n"/>
      <c r="F293" s="6" t="n"/>
      <c r="G293" s="25" t="n"/>
      <c r="H293" s="27">
        <f>IF(C293="","",IF(G293&lt;&gt;"",G293,IFERROR(INDEX(Clients!$G$5:$G$304,MATCH(C293,Clients!$A$5:$A$304,0)),0)))</f>
        <v/>
      </c>
      <c r="I293" s="25" t="n"/>
      <c r="J293" s="27">
        <f>IF(C293="","",H293+N(I293))</f>
        <v/>
      </c>
      <c r="K293" s="6" t="n"/>
      <c r="L293" s="6" t="n"/>
      <c r="M293" s="25" t="n"/>
      <c r="N293" s="10" t="n"/>
      <c r="O293" s="27">
        <f>IF(C293="","",N(E293)*Settings!$B$8)</f>
        <v/>
      </c>
      <c r="P293" s="27">
        <f>IF(C293="","",N(N293)*Settings!$B$10)</f>
        <v/>
      </c>
      <c r="Q293" s="27">
        <f>IF(C293="","",J293-N(M293)-O293-P293)</f>
        <v/>
      </c>
      <c r="R293" s="6" t="n"/>
    </row>
    <row r="294">
      <c r="A294" s="17">
        <f>IF(B294="","","J-"&amp;TEXT(ROW()-4,"0000"))</f>
        <v/>
      </c>
      <c r="B294" s="26" t="n"/>
      <c r="C294" s="6" t="n"/>
      <c r="D294" s="6" t="n"/>
      <c r="E294" s="29" t="n"/>
      <c r="F294" s="6" t="n"/>
      <c r="G294" s="25" t="n"/>
      <c r="H294" s="30">
        <f>IF(C294="","",IF(G294&lt;&gt;"",G294,IFERROR(INDEX(Clients!$G$5:$G$304,MATCH(C294,Clients!$A$5:$A$304,0)),0)))</f>
        <v/>
      </c>
      <c r="I294" s="25" t="n"/>
      <c r="J294" s="30">
        <f>IF(C294="","",H294+N(I294))</f>
        <v/>
      </c>
      <c r="K294" s="6" t="n"/>
      <c r="L294" s="6" t="n"/>
      <c r="M294" s="25" t="n"/>
      <c r="N294" s="10" t="n"/>
      <c r="O294" s="30">
        <f>IF(C294="","",N(E294)*Settings!$B$8)</f>
        <v/>
      </c>
      <c r="P294" s="30">
        <f>IF(C294="","",N(N294)*Settings!$B$10)</f>
        <v/>
      </c>
      <c r="Q294" s="30">
        <f>IF(C294="","",J294-N(M294)-O294-P294)</f>
        <v/>
      </c>
      <c r="R294" s="6" t="n"/>
    </row>
    <row r="295">
      <c r="A295" s="8">
        <f>IF(B295="","","J-"&amp;TEXT(ROW()-4,"0000"))</f>
        <v/>
      </c>
      <c r="B295" s="26" t="n"/>
      <c r="C295" s="6" t="n"/>
      <c r="D295" s="6" t="n"/>
      <c r="E295" s="29" t="n"/>
      <c r="F295" s="6" t="n"/>
      <c r="G295" s="25" t="n"/>
      <c r="H295" s="27">
        <f>IF(C295="","",IF(G295&lt;&gt;"",G295,IFERROR(INDEX(Clients!$G$5:$G$304,MATCH(C295,Clients!$A$5:$A$304,0)),0)))</f>
        <v/>
      </c>
      <c r="I295" s="25" t="n"/>
      <c r="J295" s="27">
        <f>IF(C295="","",H295+N(I295))</f>
        <v/>
      </c>
      <c r="K295" s="6" t="n"/>
      <c r="L295" s="6" t="n"/>
      <c r="M295" s="25" t="n"/>
      <c r="N295" s="10" t="n"/>
      <c r="O295" s="27">
        <f>IF(C295="","",N(E295)*Settings!$B$8)</f>
        <v/>
      </c>
      <c r="P295" s="27">
        <f>IF(C295="","",N(N295)*Settings!$B$10)</f>
        <v/>
      </c>
      <c r="Q295" s="27">
        <f>IF(C295="","",J295-N(M295)-O295-P295)</f>
        <v/>
      </c>
      <c r="R295" s="6" t="n"/>
    </row>
    <row r="296">
      <c r="A296" s="17">
        <f>IF(B296="","","J-"&amp;TEXT(ROW()-4,"0000"))</f>
        <v/>
      </c>
      <c r="B296" s="26" t="n"/>
      <c r="C296" s="6" t="n"/>
      <c r="D296" s="6" t="n"/>
      <c r="E296" s="29" t="n"/>
      <c r="F296" s="6" t="n"/>
      <c r="G296" s="25" t="n"/>
      <c r="H296" s="30">
        <f>IF(C296="","",IF(G296&lt;&gt;"",G296,IFERROR(INDEX(Clients!$G$5:$G$304,MATCH(C296,Clients!$A$5:$A$304,0)),0)))</f>
        <v/>
      </c>
      <c r="I296" s="25" t="n"/>
      <c r="J296" s="30">
        <f>IF(C296="","",H296+N(I296))</f>
        <v/>
      </c>
      <c r="K296" s="6" t="n"/>
      <c r="L296" s="6" t="n"/>
      <c r="M296" s="25" t="n"/>
      <c r="N296" s="10" t="n"/>
      <c r="O296" s="30">
        <f>IF(C296="","",N(E296)*Settings!$B$8)</f>
        <v/>
      </c>
      <c r="P296" s="30">
        <f>IF(C296="","",N(N296)*Settings!$B$10)</f>
        <v/>
      </c>
      <c r="Q296" s="30">
        <f>IF(C296="","",J296-N(M296)-O296-P296)</f>
        <v/>
      </c>
      <c r="R296" s="6" t="n"/>
    </row>
    <row r="297">
      <c r="A297" s="8">
        <f>IF(B297="","","J-"&amp;TEXT(ROW()-4,"0000"))</f>
        <v/>
      </c>
      <c r="B297" s="26" t="n"/>
      <c r="C297" s="6" t="n"/>
      <c r="D297" s="6" t="n"/>
      <c r="E297" s="29" t="n"/>
      <c r="F297" s="6" t="n"/>
      <c r="G297" s="25" t="n"/>
      <c r="H297" s="27">
        <f>IF(C297="","",IF(G297&lt;&gt;"",G297,IFERROR(INDEX(Clients!$G$5:$G$304,MATCH(C297,Clients!$A$5:$A$304,0)),0)))</f>
        <v/>
      </c>
      <c r="I297" s="25" t="n"/>
      <c r="J297" s="27">
        <f>IF(C297="","",H297+N(I297))</f>
        <v/>
      </c>
      <c r="K297" s="6" t="n"/>
      <c r="L297" s="6" t="n"/>
      <c r="M297" s="25" t="n"/>
      <c r="N297" s="10" t="n"/>
      <c r="O297" s="27">
        <f>IF(C297="","",N(E297)*Settings!$B$8)</f>
        <v/>
      </c>
      <c r="P297" s="27">
        <f>IF(C297="","",N(N297)*Settings!$B$10)</f>
        <v/>
      </c>
      <c r="Q297" s="27">
        <f>IF(C297="","",J297-N(M297)-O297-P297)</f>
        <v/>
      </c>
      <c r="R297" s="6" t="n"/>
    </row>
    <row r="298">
      <c r="A298" s="17">
        <f>IF(B298="","","J-"&amp;TEXT(ROW()-4,"0000"))</f>
        <v/>
      </c>
      <c r="B298" s="26" t="n"/>
      <c r="C298" s="6" t="n"/>
      <c r="D298" s="6" t="n"/>
      <c r="E298" s="29" t="n"/>
      <c r="F298" s="6" t="n"/>
      <c r="G298" s="25" t="n"/>
      <c r="H298" s="30">
        <f>IF(C298="","",IF(G298&lt;&gt;"",G298,IFERROR(INDEX(Clients!$G$5:$G$304,MATCH(C298,Clients!$A$5:$A$304,0)),0)))</f>
        <v/>
      </c>
      <c r="I298" s="25" t="n"/>
      <c r="J298" s="30">
        <f>IF(C298="","",H298+N(I298))</f>
        <v/>
      </c>
      <c r="K298" s="6" t="n"/>
      <c r="L298" s="6" t="n"/>
      <c r="M298" s="25" t="n"/>
      <c r="N298" s="10" t="n"/>
      <c r="O298" s="30">
        <f>IF(C298="","",N(E298)*Settings!$B$8)</f>
        <v/>
      </c>
      <c r="P298" s="30">
        <f>IF(C298="","",N(N298)*Settings!$B$10)</f>
        <v/>
      </c>
      <c r="Q298" s="30">
        <f>IF(C298="","",J298-N(M298)-O298-P298)</f>
        <v/>
      </c>
      <c r="R298" s="6" t="n"/>
    </row>
    <row r="299">
      <c r="A299" s="8">
        <f>IF(B299="","","J-"&amp;TEXT(ROW()-4,"0000"))</f>
        <v/>
      </c>
      <c r="B299" s="26" t="n"/>
      <c r="C299" s="6" t="n"/>
      <c r="D299" s="6" t="n"/>
      <c r="E299" s="29" t="n"/>
      <c r="F299" s="6" t="n"/>
      <c r="G299" s="25" t="n"/>
      <c r="H299" s="27">
        <f>IF(C299="","",IF(G299&lt;&gt;"",G299,IFERROR(INDEX(Clients!$G$5:$G$304,MATCH(C299,Clients!$A$5:$A$304,0)),0)))</f>
        <v/>
      </c>
      <c r="I299" s="25" t="n"/>
      <c r="J299" s="27">
        <f>IF(C299="","",H299+N(I299))</f>
        <v/>
      </c>
      <c r="K299" s="6" t="n"/>
      <c r="L299" s="6" t="n"/>
      <c r="M299" s="25" t="n"/>
      <c r="N299" s="10" t="n"/>
      <c r="O299" s="27">
        <f>IF(C299="","",N(E299)*Settings!$B$8)</f>
        <v/>
      </c>
      <c r="P299" s="27">
        <f>IF(C299="","",N(N299)*Settings!$B$10)</f>
        <v/>
      </c>
      <c r="Q299" s="27">
        <f>IF(C299="","",J299-N(M299)-O299-P299)</f>
        <v/>
      </c>
      <c r="R299" s="6" t="n"/>
    </row>
    <row r="300">
      <c r="A300" s="17">
        <f>IF(B300="","","J-"&amp;TEXT(ROW()-4,"0000"))</f>
        <v/>
      </c>
      <c r="B300" s="26" t="n"/>
      <c r="C300" s="6" t="n"/>
      <c r="D300" s="6" t="n"/>
      <c r="E300" s="29" t="n"/>
      <c r="F300" s="6" t="n"/>
      <c r="G300" s="25" t="n"/>
      <c r="H300" s="30">
        <f>IF(C300="","",IF(G300&lt;&gt;"",G300,IFERROR(INDEX(Clients!$G$5:$G$304,MATCH(C300,Clients!$A$5:$A$304,0)),0)))</f>
        <v/>
      </c>
      <c r="I300" s="25" t="n"/>
      <c r="J300" s="30">
        <f>IF(C300="","",H300+N(I300))</f>
        <v/>
      </c>
      <c r="K300" s="6" t="n"/>
      <c r="L300" s="6" t="n"/>
      <c r="M300" s="25" t="n"/>
      <c r="N300" s="10" t="n"/>
      <c r="O300" s="30">
        <f>IF(C300="","",N(E300)*Settings!$B$8)</f>
        <v/>
      </c>
      <c r="P300" s="30">
        <f>IF(C300="","",N(N300)*Settings!$B$10)</f>
        <v/>
      </c>
      <c r="Q300" s="30">
        <f>IF(C300="","",J300-N(M300)-O300-P300)</f>
        <v/>
      </c>
      <c r="R300" s="6" t="n"/>
    </row>
    <row r="301">
      <c r="A301" s="8">
        <f>IF(B301="","","J-"&amp;TEXT(ROW()-4,"0000"))</f>
        <v/>
      </c>
      <c r="B301" s="26" t="n"/>
      <c r="C301" s="6" t="n"/>
      <c r="D301" s="6" t="n"/>
      <c r="E301" s="29" t="n"/>
      <c r="F301" s="6" t="n"/>
      <c r="G301" s="25" t="n"/>
      <c r="H301" s="27">
        <f>IF(C301="","",IF(G301&lt;&gt;"",G301,IFERROR(INDEX(Clients!$G$5:$G$304,MATCH(C301,Clients!$A$5:$A$304,0)),0)))</f>
        <v/>
      </c>
      <c r="I301" s="25" t="n"/>
      <c r="J301" s="27">
        <f>IF(C301="","",H301+N(I301))</f>
        <v/>
      </c>
      <c r="K301" s="6" t="n"/>
      <c r="L301" s="6" t="n"/>
      <c r="M301" s="25" t="n"/>
      <c r="N301" s="10" t="n"/>
      <c r="O301" s="27">
        <f>IF(C301="","",N(E301)*Settings!$B$8)</f>
        <v/>
      </c>
      <c r="P301" s="27">
        <f>IF(C301="","",N(N301)*Settings!$B$10)</f>
        <v/>
      </c>
      <c r="Q301" s="27">
        <f>IF(C301="","",J301-N(M301)-O301-P301)</f>
        <v/>
      </c>
      <c r="R301" s="6" t="n"/>
    </row>
    <row r="302">
      <c r="A302" s="17">
        <f>IF(B302="","","J-"&amp;TEXT(ROW()-4,"0000"))</f>
        <v/>
      </c>
      <c r="B302" s="26" t="n"/>
      <c r="C302" s="6" t="n"/>
      <c r="D302" s="6" t="n"/>
      <c r="E302" s="29" t="n"/>
      <c r="F302" s="6" t="n"/>
      <c r="G302" s="25" t="n"/>
      <c r="H302" s="30">
        <f>IF(C302="","",IF(G302&lt;&gt;"",G302,IFERROR(INDEX(Clients!$G$5:$G$304,MATCH(C302,Clients!$A$5:$A$304,0)),0)))</f>
        <v/>
      </c>
      <c r="I302" s="25" t="n"/>
      <c r="J302" s="30">
        <f>IF(C302="","",H302+N(I302))</f>
        <v/>
      </c>
      <c r="K302" s="6" t="n"/>
      <c r="L302" s="6" t="n"/>
      <c r="M302" s="25" t="n"/>
      <c r="N302" s="10" t="n"/>
      <c r="O302" s="30">
        <f>IF(C302="","",N(E302)*Settings!$B$8)</f>
        <v/>
      </c>
      <c r="P302" s="30">
        <f>IF(C302="","",N(N302)*Settings!$B$10)</f>
        <v/>
      </c>
      <c r="Q302" s="30">
        <f>IF(C302="","",J302-N(M302)-O302-P302)</f>
        <v/>
      </c>
      <c r="R302" s="6" t="n"/>
    </row>
    <row r="303">
      <c r="A303" s="8">
        <f>IF(B303="","","J-"&amp;TEXT(ROW()-4,"0000"))</f>
        <v/>
      </c>
      <c r="B303" s="26" t="n"/>
      <c r="C303" s="6" t="n"/>
      <c r="D303" s="6" t="n"/>
      <c r="E303" s="29" t="n"/>
      <c r="F303" s="6" t="n"/>
      <c r="G303" s="25" t="n"/>
      <c r="H303" s="27">
        <f>IF(C303="","",IF(G303&lt;&gt;"",G303,IFERROR(INDEX(Clients!$G$5:$G$304,MATCH(C303,Clients!$A$5:$A$304,0)),0)))</f>
        <v/>
      </c>
      <c r="I303" s="25" t="n"/>
      <c r="J303" s="27">
        <f>IF(C303="","",H303+N(I303))</f>
        <v/>
      </c>
      <c r="K303" s="6" t="n"/>
      <c r="L303" s="6" t="n"/>
      <c r="M303" s="25" t="n"/>
      <c r="N303" s="10" t="n"/>
      <c r="O303" s="27">
        <f>IF(C303="","",N(E303)*Settings!$B$8)</f>
        <v/>
      </c>
      <c r="P303" s="27">
        <f>IF(C303="","",N(N303)*Settings!$B$10)</f>
        <v/>
      </c>
      <c r="Q303" s="27">
        <f>IF(C303="","",J303-N(M303)-O303-P303)</f>
        <v/>
      </c>
      <c r="R303" s="6" t="n"/>
    </row>
    <row r="304">
      <c r="A304" s="17">
        <f>IF(B304="","","J-"&amp;TEXT(ROW()-4,"0000"))</f>
        <v/>
      </c>
      <c r="B304" s="26" t="n"/>
      <c r="C304" s="6" t="n"/>
      <c r="D304" s="6" t="n"/>
      <c r="E304" s="29" t="n"/>
      <c r="F304" s="6" t="n"/>
      <c r="G304" s="25" t="n"/>
      <c r="H304" s="30">
        <f>IF(C304="","",IF(G304&lt;&gt;"",G304,IFERROR(INDEX(Clients!$G$5:$G$304,MATCH(C304,Clients!$A$5:$A$304,0)),0)))</f>
        <v/>
      </c>
      <c r="I304" s="25" t="n"/>
      <c r="J304" s="30">
        <f>IF(C304="","",H304+N(I304))</f>
        <v/>
      </c>
      <c r="K304" s="6" t="n"/>
      <c r="L304" s="6" t="n"/>
      <c r="M304" s="25" t="n"/>
      <c r="N304" s="10" t="n"/>
      <c r="O304" s="30">
        <f>IF(C304="","",N(E304)*Settings!$B$8)</f>
        <v/>
      </c>
      <c r="P304" s="30">
        <f>IF(C304="","",N(N304)*Settings!$B$10)</f>
        <v/>
      </c>
      <c r="Q304" s="30">
        <f>IF(C304="","",J304-N(M304)-O304-P304)</f>
        <v/>
      </c>
      <c r="R304" s="6" t="n"/>
    </row>
    <row r="305">
      <c r="A305" s="8">
        <f>IF(B305="","","J-"&amp;TEXT(ROW()-4,"0000"))</f>
        <v/>
      </c>
      <c r="B305" s="26" t="n"/>
      <c r="C305" s="6" t="n"/>
      <c r="D305" s="6" t="n"/>
      <c r="E305" s="29" t="n"/>
      <c r="F305" s="6" t="n"/>
      <c r="G305" s="25" t="n"/>
      <c r="H305" s="27">
        <f>IF(C305="","",IF(G305&lt;&gt;"",G305,IFERROR(INDEX(Clients!$G$5:$G$304,MATCH(C305,Clients!$A$5:$A$304,0)),0)))</f>
        <v/>
      </c>
      <c r="I305" s="25" t="n"/>
      <c r="J305" s="27">
        <f>IF(C305="","",H305+N(I305))</f>
        <v/>
      </c>
      <c r="K305" s="6" t="n"/>
      <c r="L305" s="6" t="n"/>
      <c r="M305" s="25" t="n"/>
      <c r="N305" s="10" t="n"/>
      <c r="O305" s="27">
        <f>IF(C305="","",N(E305)*Settings!$B$8)</f>
        <v/>
      </c>
      <c r="P305" s="27">
        <f>IF(C305="","",N(N305)*Settings!$B$10)</f>
        <v/>
      </c>
      <c r="Q305" s="27">
        <f>IF(C305="","",J305-N(M305)-O305-P305)</f>
        <v/>
      </c>
      <c r="R305" s="6" t="n"/>
    </row>
    <row r="306">
      <c r="A306" s="17">
        <f>IF(B306="","","J-"&amp;TEXT(ROW()-4,"0000"))</f>
        <v/>
      </c>
      <c r="B306" s="26" t="n"/>
      <c r="C306" s="6" t="n"/>
      <c r="D306" s="6" t="n"/>
      <c r="E306" s="29" t="n"/>
      <c r="F306" s="6" t="n"/>
      <c r="G306" s="25" t="n"/>
      <c r="H306" s="30">
        <f>IF(C306="","",IF(G306&lt;&gt;"",G306,IFERROR(INDEX(Clients!$G$5:$G$304,MATCH(C306,Clients!$A$5:$A$304,0)),0)))</f>
        <v/>
      </c>
      <c r="I306" s="25" t="n"/>
      <c r="J306" s="30">
        <f>IF(C306="","",H306+N(I306))</f>
        <v/>
      </c>
      <c r="K306" s="6" t="n"/>
      <c r="L306" s="6" t="n"/>
      <c r="M306" s="25" t="n"/>
      <c r="N306" s="10" t="n"/>
      <c r="O306" s="30">
        <f>IF(C306="","",N(E306)*Settings!$B$8)</f>
        <v/>
      </c>
      <c r="P306" s="30">
        <f>IF(C306="","",N(N306)*Settings!$B$10)</f>
        <v/>
      </c>
      <c r="Q306" s="30">
        <f>IF(C306="","",J306-N(M306)-O306-P306)</f>
        <v/>
      </c>
      <c r="R306" s="6" t="n"/>
    </row>
    <row r="307">
      <c r="A307" s="8">
        <f>IF(B307="","","J-"&amp;TEXT(ROW()-4,"0000"))</f>
        <v/>
      </c>
      <c r="B307" s="26" t="n"/>
      <c r="C307" s="6" t="n"/>
      <c r="D307" s="6" t="n"/>
      <c r="E307" s="29" t="n"/>
      <c r="F307" s="6" t="n"/>
      <c r="G307" s="25" t="n"/>
      <c r="H307" s="27">
        <f>IF(C307="","",IF(G307&lt;&gt;"",G307,IFERROR(INDEX(Clients!$G$5:$G$304,MATCH(C307,Clients!$A$5:$A$304,0)),0)))</f>
        <v/>
      </c>
      <c r="I307" s="25" t="n"/>
      <c r="J307" s="27">
        <f>IF(C307="","",H307+N(I307))</f>
        <v/>
      </c>
      <c r="K307" s="6" t="n"/>
      <c r="L307" s="6" t="n"/>
      <c r="M307" s="25" t="n"/>
      <c r="N307" s="10" t="n"/>
      <c r="O307" s="27">
        <f>IF(C307="","",N(E307)*Settings!$B$8)</f>
        <v/>
      </c>
      <c r="P307" s="27">
        <f>IF(C307="","",N(N307)*Settings!$B$10)</f>
        <v/>
      </c>
      <c r="Q307" s="27">
        <f>IF(C307="","",J307-N(M307)-O307-P307)</f>
        <v/>
      </c>
      <c r="R307" s="6" t="n"/>
    </row>
    <row r="308">
      <c r="A308" s="17">
        <f>IF(B308="","","J-"&amp;TEXT(ROW()-4,"0000"))</f>
        <v/>
      </c>
      <c r="B308" s="26" t="n"/>
      <c r="C308" s="6" t="n"/>
      <c r="D308" s="6" t="n"/>
      <c r="E308" s="29" t="n"/>
      <c r="F308" s="6" t="n"/>
      <c r="G308" s="25" t="n"/>
      <c r="H308" s="30">
        <f>IF(C308="","",IF(G308&lt;&gt;"",G308,IFERROR(INDEX(Clients!$G$5:$G$304,MATCH(C308,Clients!$A$5:$A$304,0)),0)))</f>
        <v/>
      </c>
      <c r="I308" s="25" t="n"/>
      <c r="J308" s="30">
        <f>IF(C308="","",H308+N(I308))</f>
        <v/>
      </c>
      <c r="K308" s="6" t="n"/>
      <c r="L308" s="6" t="n"/>
      <c r="M308" s="25" t="n"/>
      <c r="N308" s="10" t="n"/>
      <c r="O308" s="30">
        <f>IF(C308="","",N(E308)*Settings!$B$8)</f>
        <v/>
      </c>
      <c r="P308" s="30">
        <f>IF(C308="","",N(N308)*Settings!$B$10)</f>
        <v/>
      </c>
      <c r="Q308" s="30">
        <f>IF(C308="","",J308-N(M308)-O308-P308)</f>
        <v/>
      </c>
      <c r="R308" s="6" t="n"/>
    </row>
    <row r="309">
      <c r="A309" s="8">
        <f>IF(B309="","","J-"&amp;TEXT(ROW()-4,"0000"))</f>
        <v/>
      </c>
      <c r="B309" s="26" t="n"/>
      <c r="C309" s="6" t="n"/>
      <c r="D309" s="6" t="n"/>
      <c r="E309" s="29" t="n"/>
      <c r="F309" s="6" t="n"/>
      <c r="G309" s="25" t="n"/>
      <c r="H309" s="27">
        <f>IF(C309="","",IF(G309&lt;&gt;"",G309,IFERROR(INDEX(Clients!$G$5:$G$304,MATCH(C309,Clients!$A$5:$A$304,0)),0)))</f>
        <v/>
      </c>
      <c r="I309" s="25" t="n"/>
      <c r="J309" s="27">
        <f>IF(C309="","",H309+N(I309))</f>
        <v/>
      </c>
      <c r="K309" s="6" t="n"/>
      <c r="L309" s="6" t="n"/>
      <c r="M309" s="25" t="n"/>
      <c r="N309" s="10" t="n"/>
      <c r="O309" s="27">
        <f>IF(C309="","",N(E309)*Settings!$B$8)</f>
        <v/>
      </c>
      <c r="P309" s="27">
        <f>IF(C309="","",N(N309)*Settings!$B$10)</f>
        <v/>
      </c>
      <c r="Q309" s="27">
        <f>IF(C309="","",J309-N(M309)-O309-P309)</f>
        <v/>
      </c>
      <c r="R309" s="6" t="n"/>
    </row>
    <row r="310">
      <c r="A310" s="17">
        <f>IF(B310="","","J-"&amp;TEXT(ROW()-4,"0000"))</f>
        <v/>
      </c>
      <c r="B310" s="26" t="n"/>
      <c r="C310" s="6" t="n"/>
      <c r="D310" s="6" t="n"/>
      <c r="E310" s="29" t="n"/>
      <c r="F310" s="6" t="n"/>
      <c r="G310" s="25" t="n"/>
      <c r="H310" s="30">
        <f>IF(C310="","",IF(G310&lt;&gt;"",G310,IFERROR(INDEX(Clients!$G$5:$G$304,MATCH(C310,Clients!$A$5:$A$304,0)),0)))</f>
        <v/>
      </c>
      <c r="I310" s="25" t="n"/>
      <c r="J310" s="30">
        <f>IF(C310="","",H310+N(I310))</f>
        <v/>
      </c>
      <c r="K310" s="6" t="n"/>
      <c r="L310" s="6" t="n"/>
      <c r="M310" s="25" t="n"/>
      <c r="N310" s="10" t="n"/>
      <c r="O310" s="30">
        <f>IF(C310="","",N(E310)*Settings!$B$8)</f>
        <v/>
      </c>
      <c r="P310" s="30">
        <f>IF(C310="","",N(N310)*Settings!$B$10)</f>
        <v/>
      </c>
      <c r="Q310" s="30">
        <f>IF(C310="","",J310-N(M310)-O310-P310)</f>
        <v/>
      </c>
      <c r="R310" s="6" t="n"/>
    </row>
    <row r="311">
      <c r="A311" s="8">
        <f>IF(B311="","","J-"&amp;TEXT(ROW()-4,"0000"))</f>
        <v/>
      </c>
      <c r="B311" s="26" t="n"/>
      <c r="C311" s="6" t="n"/>
      <c r="D311" s="6" t="n"/>
      <c r="E311" s="29" t="n"/>
      <c r="F311" s="6" t="n"/>
      <c r="G311" s="25" t="n"/>
      <c r="H311" s="27">
        <f>IF(C311="","",IF(G311&lt;&gt;"",G311,IFERROR(INDEX(Clients!$G$5:$G$304,MATCH(C311,Clients!$A$5:$A$304,0)),0)))</f>
        <v/>
      </c>
      <c r="I311" s="25" t="n"/>
      <c r="J311" s="27">
        <f>IF(C311="","",H311+N(I311))</f>
        <v/>
      </c>
      <c r="K311" s="6" t="n"/>
      <c r="L311" s="6" t="n"/>
      <c r="M311" s="25" t="n"/>
      <c r="N311" s="10" t="n"/>
      <c r="O311" s="27">
        <f>IF(C311="","",N(E311)*Settings!$B$8)</f>
        <v/>
      </c>
      <c r="P311" s="27">
        <f>IF(C311="","",N(N311)*Settings!$B$10)</f>
        <v/>
      </c>
      <c r="Q311" s="27">
        <f>IF(C311="","",J311-N(M311)-O311-P311)</f>
        <v/>
      </c>
      <c r="R311" s="6" t="n"/>
    </row>
    <row r="312">
      <c r="A312" s="17">
        <f>IF(B312="","","J-"&amp;TEXT(ROW()-4,"0000"))</f>
        <v/>
      </c>
      <c r="B312" s="26" t="n"/>
      <c r="C312" s="6" t="n"/>
      <c r="D312" s="6" t="n"/>
      <c r="E312" s="29" t="n"/>
      <c r="F312" s="6" t="n"/>
      <c r="G312" s="25" t="n"/>
      <c r="H312" s="30">
        <f>IF(C312="","",IF(G312&lt;&gt;"",G312,IFERROR(INDEX(Clients!$G$5:$G$304,MATCH(C312,Clients!$A$5:$A$304,0)),0)))</f>
        <v/>
      </c>
      <c r="I312" s="25" t="n"/>
      <c r="J312" s="30">
        <f>IF(C312="","",H312+N(I312))</f>
        <v/>
      </c>
      <c r="K312" s="6" t="n"/>
      <c r="L312" s="6" t="n"/>
      <c r="M312" s="25" t="n"/>
      <c r="N312" s="10" t="n"/>
      <c r="O312" s="30">
        <f>IF(C312="","",N(E312)*Settings!$B$8)</f>
        <v/>
      </c>
      <c r="P312" s="30">
        <f>IF(C312="","",N(N312)*Settings!$B$10)</f>
        <v/>
      </c>
      <c r="Q312" s="30">
        <f>IF(C312="","",J312-N(M312)-O312-P312)</f>
        <v/>
      </c>
      <c r="R312" s="6" t="n"/>
    </row>
    <row r="313">
      <c r="A313" s="8">
        <f>IF(B313="","","J-"&amp;TEXT(ROW()-4,"0000"))</f>
        <v/>
      </c>
      <c r="B313" s="26" t="n"/>
      <c r="C313" s="6" t="n"/>
      <c r="D313" s="6" t="n"/>
      <c r="E313" s="29" t="n"/>
      <c r="F313" s="6" t="n"/>
      <c r="G313" s="25" t="n"/>
      <c r="H313" s="27">
        <f>IF(C313="","",IF(G313&lt;&gt;"",G313,IFERROR(INDEX(Clients!$G$5:$G$304,MATCH(C313,Clients!$A$5:$A$304,0)),0)))</f>
        <v/>
      </c>
      <c r="I313" s="25" t="n"/>
      <c r="J313" s="27">
        <f>IF(C313="","",H313+N(I313))</f>
        <v/>
      </c>
      <c r="K313" s="6" t="n"/>
      <c r="L313" s="6" t="n"/>
      <c r="M313" s="25" t="n"/>
      <c r="N313" s="10" t="n"/>
      <c r="O313" s="27">
        <f>IF(C313="","",N(E313)*Settings!$B$8)</f>
        <v/>
      </c>
      <c r="P313" s="27">
        <f>IF(C313="","",N(N313)*Settings!$B$10)</f>
        <v/>
      </c>
      <c r="Q313" s="27">
        <f>IF(C313="","",J313-N(M313)-O313-P313)</f>
        <v/>
      </c>
      <c r="R313" s="6" t="n"/>
    </row>
    <row r="314">
      <c r="A314" s="17">
        <f>IF(B314="","","J-"&amp;TEXT(ROW()-4,"0000"))</f>
        <v/>
      </c>
      <c r="B314" s="26" t="n"/>
      <c r="C314" s="6" t="n"/>
      <c r="D314" s="6" t="n"/>
      <c r="E314" s="29" t="n"/>
      <c r="F314" s="6" t="n"/>
      <c r="G314" s="25" t="n"/>
      <c r="H314" s="30">
        <f>IF(C314="","",IF(G314&lt;&gt;"",G314,IFERROR(INDEX(Clients!$G$5:$G$304,MATCH(C314,Clients!$A$5:$A$304,0)),0)))</f>
        <v/>
      </c>
      <c r="I314" s="25" t="n"/>
      <c r="J314" s="30">
        <f>IF(C314="","",H314+N(I314))</f>
        <v/>
      </c>
      <c r="K314" s="6" t="n"/>
      <c r="L314" s="6" t="n"/>
      <c r="M314" s="25" t="n"/>
      <c r="N314" s="10" t="n"/>
      <c r="O314" s="30">
        <f>IF(C314="","",N(E314)*Settings!$B$8)</f>
        <v/>
      </c>
      <c r="P314" s="30">
        <f>IF(C314="","",N(N314)*Settings!$B$10)</f>
        <v/>
      </c>
      <c r="Q314" s="30">
        <f>IF(C314="","",J314-N(M314)-O314-P314)</f>
        <v/>
      </c>
      <c r="R314" s="6" t="n"/>
    </row>
    <row r="315">
      <c r="A315" s="8">
        <f>IF(B315="","","J-"&amp;TEXT(ROW()-4,"0000"))</f>
        <v/>
      </c>
      <c r="B315" s="26" t="n"/>
      <c r="C315" s="6" t="n"/>
      <c r="D315" s="6" t="n"/>
      <c r="E315" s="29" t="n"/>
      <c r="F315" s="6" t="n"/>
      <c r="G315" s="25" t="n"/>
      <c r="H315" s="27">
        <f>IF(C315="","",IF(G315&lt;&gt;"",G315,IFERROR(INDEX(Clients!$G$5:$G$304,MATCH(C315,Clients!$A$5:$A$304,0)),0)))</f>
        <v/>
      </c>
      <c r="I315" s="25" t="n"/>
      <c r="J315" s="27">
        <f>IF(C315="","",H315+N(I315))</f>
        <v/>
      </c>
      <c r="K315" s="6" t="n"/>
      <c r="L315" s="6" t="n"/>
      <c r="M315" s="25" t="n"/>
      <c r="N315" s="10" t="n"/>
      <c r="O315" s="27">
        <f>IF(C315="","",N(E315)*Settings!$B$8)</f>
        <v/>
      </c>
      <c r="P315" s="27">
        <f>IF(C315="","",N(N315)*Settings!$B$10)</f>
        <v/>
      </c>
      <c r="Q315" s="27">
        <f>IF(C315="","",J315-N(M315)-O315-P315)</f>
        <v/>
      </c>
      <c r="R315" s="6" t="n"/>
    </row>
    <row r="316">
      <c r="A316" s="17">
        <f>IF(B316="","","J-"&amp;TEXT(ROW()-4,"0000"))</f>
        <v/>
      </c>
      <c r="B316" s="26" t="n"/>
      <c r="C316" s="6" t="n"/>
      <c r="D316" s="6" t="n"/>
      <c r="E316" s="29" t="n"/>
      <c r="F316" s="6" t="n"/>
      <c r="G316" s="25" t="n"/>
      <c r="H316" s="30">
        <f>IF(C316="","",IF(G316&lt;&gt;"",G316,IFERROR(INDEX(Clients!$G$5:$G$304,MATCH(C316,Clients!$A$5:$A$304,0)),0)))</f>
        <v/>
      </c>
      <c r="I316" s="25" t="n"/>
      <c r="J316" s="30">
        <f>IF(C316="","",H316+N(I316))</f>
        <v/>
      </c>
      <c r="K316" s="6" t="n"/>
      <c r="L316" s="6" t="n"/>
      <c r="M316" s="25" t="n"/>
      <c r="N316" s="10" t="n"/>
      <c r="O316" s="30">
        <f>IF(C316="","",N(E316)*Settings!$B$8)</f>
        <v/>
      </c>
      <c r="P316" s="30">
        <f>IF(C316="","",N(N316)*Settings!$B$10)</f>
        <v/>
      </c>
      <c r="Q316" s="30">
        <f>IF(C316="","",J316-N(M316)-O316-P316)</f>
        <v/>
      </c>
      <c r="R316" s="6" t="n"/>
    </row>
    <row r="317">
      <c r="A317" s="8">
        <f>IF(B317="","","J-"&amp;TEXT(ROW()-4,"0000"))</f>
        <v/>
      </c>
      <c r="B317" s="26" t="n"/>
      <c r="C317" s="6" t="n"/>
      <c r="D317" s="6" t="n"/>
      <c r="E317" s="29" t="n"/>
      <c r="F317" s="6" t="n"/>
      <c r="G317" s="25" t="n"/>
      <c r="H317" s="27">
        <f>IF(C317="","",IF(G317&lt;&gt;"",G317,IFERROR(INDEX(Clients!$G$5:$G$304,MATCH(C317,Clients!$A$5:$A$304,0)),0)))</f>
        <v/>
      </c>
      <c r="I317" s="25" t="n"/>
      <c r="J317" s="27">
        <f>IF(C317="","",H317+N(I317))</f>
        <v/>
      </c>
      <c r="K317" s="6" t="n"/>
      <c r="L317" s="6" t="n"/>
      <c r="M317" s="25" t="n"/>
      <c r="N317" s="10" t="n"/>
      <c r="O317" s="27">
        <f>IF(C317="","",N(E317)*Settings!$B$8)</f>
        <v/>
      </c>
      <c r="P317" s="27">
        <f>IF(C317="","",N(N317)*Settings!$B$10)</f>
        <v/>
      </c>
      <c r="Q317" s="27">
        <f>IF(C317="","",J317-N(M317)-O317-P317)</f>
        <v/>
      </c>
      <c r="R317" s="6" t="n"/>
    </row>
    <row r="318">
      <c r="A318" s="17">
        <f>IF(B318="","","J-"&amp;TEXT(ROW()-4,"0000"))</f>
        <v/>
      </c>
      <c r="B318" s="26" t="n"/>
      <c r="C318" s="6" t="n"/>
      <c r="D318" s="6" t="n"/>
      <c r="E318" s="29" t="n"/>
      <c r="F318" s="6" t="n"/>
      <c r="G318" s="25" t="n"/>
      <c r="H318" s="30">
        <f>IF(C318="","",IF(G318&lt;&gt;"",G318,IFERROR(INDEX(Clients!$G$5:$G$304,MATCH(C318,Clients!$A$5:$A$304,0)),0)))</f>
        <v/>
      </c>
      <c r="I318" s="25" t="n"/>
      <c r="J318" s="30">
        <f>IF(C318="","",H318+N(I318))</f>
        <v/>
      </c>
      <c r="K318" s="6" t="n"/>
      <c r="L318" s="6" t="n"/>
      <c r="M318" s="25" t="n"/>
      <c r="N318" s="10" t="n"/>
      <c r="O318" s="30">
        <f>IF(C318="","",N(E318)*Settings!$B$8)</f>
        <v/>
      </c>
      <c r="P318" s="30">
        <f>IF(C318="","",N(N318)*Settings!$B$10)</f>
        <v/>
      </c>
      <c r="Q318" s="30">
        <f>IF(C318="","",J318-N(M318)-O318-P318)</f>
        <v/>
      </c>
      <c r="R318" s="6" t="n"/>
    </row>
    <row r="319">
      <c r="A319" s="8">
        <f>IF(B319="","","J-"&amp;TEXT(ROW()-4,"0000"))</f>
        <v/>
      </c>
      <c r="B319" s="26" t="n"/>
      <c r="C319" s="6" t="n"/>
      <c r="D319" s="6" t="n"/>
      <c r="E319" s="29" t="n"/>
      <c r="F319" s="6" t="n"/>
      <c r="G319" s="25" t="n"/>
      <c r="H319" s="27">
        <f>IF(C319="","",IF(G319&lt;&gt;"",G319,IFERROR(INDEX(Clients!$G$5:$G$304,MATCH(C319,Clients!$A$5:$A$304,0)),0)))</f>
        <v/>
      </c>
      <c r="I319" s="25" t="n"/>
      <c r="J319" s="27">
        <f>IF(C319="","",H319+N(I319))</f>
        <v/>
      </c>
      <c r="K319" s="6" t="n"/>
      <c r="L319" s="6" t="n"/>
      <c r="M319" s="25" t="n"/>
      <c r="N319" s="10" t="n"/>
      <c r="O319" s="27">
        <f>IF(C319="","",N(E319)*Settings!$B$8)</f>
        <v/>
      </c>
      <c r="P319" s="27">
        <f>IF(C319="","",N(N319)*Settings!$B$10)</f>
        <v/>
      </c>
      <c r="Q319" s="27">
        <f>IF(C319="","",J319-N(M319)-O319-P319)</f>
        <v/>
      </c>
      <c r="R319" s="6" t="n"/>
    </row>
    <row r="320">
      <c r="A320" s="17">
        <f>IF(B320="","","J-"&amp;TEXT(ROW()-4,"0000"))</f>
        <v/>
      </c>
      <c r="B320" s="26" t="n"/>
      <c r="C320" s="6" t="n"/>
      <c r="D320" s="6" t="n"/>
      <c r="E320" s="29" t="n"/>
      <c r="F320" s="6" t="n"/>
      <c r="G320" s="25" t="n"/>
      <c r="H320" s="30">
        <f>IF(C320="","",IF(G320&lt;&gt;"",G320,IFERROR(INDEX(Clients!$G$5:$G$304,MATCH(C320,Clients!$A$5:$A$304,0)),0)))</f>
        <v/>
      </c>
      <c r="I320" s="25" t="n"/>
      <c r="J320" s="30">
        <f>IF(C320="","",H320+N(I320))</f>
        <v/>
      </c>
      <c r="K320" s="6" t="n"/>
      <c r="L320" s="6" t="n"/>
      <c r="M320" s="25" t="n"/>
      <c r="N320" s="10" t="n"/>
      <c r="O320" s="30">
        <f>IF(C320="","",N(E320)*Settings!$B$8)</f>
        <v/>
      </c>
      <c r="P320" s="30">
        <f>IF(C320="","",N(N320)*Settings!$B$10)</f>
        <v/>
      </c>
      <c r="Q320" s="30">
        <f>IF(C320="","",J320-N(M320)-O320-P320)</f>
        <v/>
      </c>
      <c r="R320" s="6" t="n"/>
    </row>
    <row r="321">
      <c r="A321" s="8">
        <f>IF(B321="","","J-"&amp;TEXT(ROW()-4,"0000"))</f>
        <v/>
      </c>
      <c r="B321" s="26" t="n"/>
      <c r="C321" s="6" t="n"/>
      <c r="D321" s="6" t="n"/>
      <c r="E321" s="29" t="n"/>
      <c r="F321" s="6" t="n"/>
      <c r="G321" s="25" t="n"/>
      <c r="H321" s="27">
        <f>IF(C321="","",IF(G321&lt;&gt;"",G321,IFERROR(INDEX(Clients!$G$5:$G$304,MATCH(C321,Clients!$A$5:$A$304,0)),0)))</f>
        <v/>
      </c>
      <c r="I321" s="25" t="n"/>
      <c r="J321" s="27">
        <f>IF(C321="","",H321+N(I321))</f>
        <v/>
      </c>
      <c r="K321" s="6" t="n"/>
      <c r="L321" s="6" t="n"/>
      <c r="M321" s="25" t="n"/>
      <c r="N321" s="10" t="n"/>
      <c r="O321" s="27">
        <f>IF(C321="","",N(E321)*Settings!$B$8)</f>
        <v/>
      </c>
      <c r="P321" s="27">
        <f>IF(C321="","",N(N321)*Settings!$B$10)</f>
        <v/>
      </c>
      <c r="Q321" s="27">
        <f>IF(C321="","",J321-N(M321)-O321-P321)</f>
        <v/>
      </c>
      <c r="R321" s="6" t="n"/>
    </row>
    <row r="322">
      <c r="A322" s="17">
        <f>IF(B322="","","J-"&amp;TEXT(ROW()-4,"0000"))</f>
        <v/>
      </c>
      <c r="B322" s="26" t="n"/>
      <c r="C322" s="6" t="n"/>
      <c r="D322" s="6" t="n"/>
      <c r="E322" s="29" t="n"/>
      <c r="F322" s="6" t="n"/>
      <c r="G322" s="25" t="n"/>
      <c r="H322" s="30">
        <f>IF(C322="","",IF(G322&lt;&gt;"",G322,IFERROR(INDEX(Clients!$G$5:$G$304,MATCH(C322,Clients!$A$5:$A$304,0)),0)))</f>
        <v/>
      </c>
      <c r="I322" s="25" t="n"/>
      <c r="J322" s="30">
        <f>IF(C322="","",H322+N(I322))</f>
        <v/>
      </c>
      <c r="K322" s="6" t="n"/>
      <c r="L322" s="6" t="n"/>
      <c r="M322" s="25" t="n"/>
      <c r="N322" s="10" t="n"/>
      <c r="O322" s="30">
        <f>IF(C322="","",N(E322)*Settings!$B$8)</f>
        <v/>
      </c>
      <c r="P322" s="30">
        <f>IF(C322="","",N(N322)*Settings!$B$10)</f>
        <v/>
      </c>
      <c r="Q322" s="30">
        <f>IF(C322="","",J322-N(M322)-O322-P322)</f>
        <v/>
      </c>
      <c r="R322" s="6" t="n"/>
    </row>
    <row r="323">
      <c r="A323" s="8">
        <f>IF(B323="","","J-"&amp;TEXT(ROW()-4,"0000"))</f>
        <v/>
      </c>
      <c r="B323" s="26" t="n"/>
      <c r="C323" s="6" t="n"/>
      <c r="D323" s="6" t="n"/>
      <c r="E323" s="29" t="n"/>
      <c r="F323" s="6" t="n"/>
      <c r="G323" s="25" t="n"/>
      <c r="H323" s="27">
        <f>IF(C323="","",IF(G323&lt;&gt;"",G323,IFERROR(INDEX(Clients!$G$5:$G$304,MATCH(C323,Clients!$A$5:$A$304,0)),0)))</f>
        <v/>
      </c>
      <c r="I323" s="25" t="n"/>
      <c r="J323" s="27">
        <f>IF(C323="","",H323+N(I323))</f>
        <v/>
      </c>
      <c r="K323" s="6" t="n"/>
      <c r="L323" s="6" t="n"/>
      <c r="M323" s="25" t="n"/>
      <c r="N323" s="10" t="n"/>
      <c r="O323" s="27">
        <f>IF(C323="","",N(E323)*Settings!$B$8)</f>
        <v/>
      </c>
      <c r="P323" s="27">
        <f>IF(C323="","",N(N323)*Settings!$B$10)</f>
        <v/>
      </c>
      <c r="Q323" s="27">
        <f>IF(C323="","",J323-N(M323)-O323-P323)</f>
        <v/>
      </c>
      <c r="R323" s="6" t="n"/>
    </row>
    <row r="324">
      <c r="A324" s="17">
        <f>IF(B324="","","J-"&amp;TEXT(ROW()-4,"0000"))</f>
        <v/>
      </c>
      <c r="B324" s="26" t="n"/>
      <c r="C324" s="6" t="n"/>
      <c r="D324" s="6" t="n"/>
      <c r="E324" s="29" t="n"/>
      <c r="F324" s="6" t="n"/>
      <c r="G324" s="25" t="n"/>
      <c r="H324" s="30">
        <f>IF(C324="","",IF(G324&lt;&gt;"",G324,IFERROR(INDEX(Clients!$G$5:$G$304,MATCH(C324,Clients!$A$5:$A$304,0)),0)))</f>
        <v/>
      </c>
      <c r="I324" s="25" t="n"/>
      <c r="J324" s="30">
        <f>IF(C324="","",H324+N(I324))</f>
        <v/>
      </c>
      <c r="K324" s="6" t="n"/>
      <c r="L324" s="6" t="n"/>
      <c r="M324" s="25" t="n"/>
      <c r="N324" s="10" t="n"/>
      <c r="O324" s="30">
        <f>IF(C324="","",N(E324)*Settings!$B$8)</f>
        <v/>
      </c>
      <c r="P324" s="30">
        <f>IF(C324="","",N(N324)*Settings!$B$10)</f>
        <v/>
      </c>
      <c r="Q324" s="30">
        <f>IF(C324="","",J324-N(M324)-O324-P324)</f>
        <v/>
      </c>
      <c r="R324" s="6" t="n"/>
    </row>
    <row r="325">
      <c r="A325" s="8">
        <f>IF(B325="","","J-"&amp;TEXT(ROW()-4,"0000"))</f>
        <v/>
      </c>
      <c r="B325" s="26" t="n"/>
      <c r="C325" s="6" t="n"/>
      <c r="D325" s="6" t="n"/>
      <c r="E325" s="29" t="n"/>
      <c r="F325" s="6" t="n"/>
      <c r="G325" s="25" t="n"/>
      <c r="H325" s="27">
        <f>IF(C325="","",IF(G325&lt;&gt;"",G325,IFERROR(INDEX(Clients!$G$5:$G$304,MATCH(C325,Clients!$A$5:$A$304,0)),0)))</f>
        <v/>
      </c>
      <c r="I325" s="25" t="n"/>
      <c r="J325" s="27">
        <f>IF(C325="","",H325+N(I325))</f>
        <v/>
      </c>
      <c r="K325" s="6" t="n"/>
      <c r="L325" s="6" t="n"/>
      <c r="M325" s="25" t="n"/>
      <c r="N325" s="10" t="n"/>
      <c r="O325" s="27">
        <f>IF(C325="","",N(E325)*Settings!$B$8)</f>
        <v/>
      </c>
      <c r="P325" s="27">
        <f>IF(C325="","",N(N325)*Settings!$B$10)</f>
        <v/>
      </c>
      <c r="Q325" s="27">
        <f>IF(C325="","",J325-N(M325)-O325-P325)</f>
        <v/>
      </c>
      <c r="R325" s="6" t="n"/>
    </row>
    <row r="326">
      <c r="A326" s="17">
        <f>IF(B326="","","J-"&amp;TEXT(ROW()-4,"0000"))</f>
        <v/>
      </c>
      <c r="B326" s="26" t="n"/>
      <c r="C326" s="6" t="n"/>
      <c r="D326" s="6" t="n"/>
      <c r="E326" s="29" t="n"/>
      <c r="F326" s="6" t="n"/>
      <c r="G326" s="25" t="n"/>
      <c r="H326" s="30">
        <f>IF(C326="","",IF(G326&lt;&gt;"",G326,IFERROR(INDEX(Clients!$G$5:$G$304,MATCH(C326,Clients!$A$5:$A$304,0)),0)))</f>
        <v/>
      </c>
      <c r="I326" s="25" t="n"/>
      <c r="J326" s="30">
        <f>IF(C326="","",H326+N(I326))</f>
        <v/>
      </c>
      <c r="K326" s="6" t="n"/>
      <c r="L326" s="6" t="n"/>
      <c r="M326" s="25" t="n"/>
      <c r="N326" s="10" t="n"/>
      <c r="O326" s="30">
        <f>IF(C326="","",N(E326)*Settings!$B$8)</f>
        <v/>
      </c>
      <c r="P326" s="30">
        <f>IF(C326="","",N(N326)*Settings!$B$10)</f>
        <v/>
      </c>
      <c r="Q326" s="30">
        <f>IF(C326="","",J326-N(M326)-O326-P326)</f>
        <v/>
      </c>
      <c r="R326" s="6" t="n"/>
    </row>
    <row r="327">
      <c r="A327" s="8">
        <f>IF(B327="","","J-"&amp;TEXT(ROW()-4,"0000"))</f>
        <v/>
      </c>
      <c r="B327" s="26" t="n"/>
      <c r="C327" s="6" t="n"/>
      <c r="D327" s="6" t="n"/>
      <c r="E327" s="29" t="n"/>
      <c r="F327" s="6" t="n"/>
      <c r="G327" s="25" t="n"/>
      <c r="H327" s="27">
        <f>IF(C327="","",IF(G327&lt;&gt;"",G327,IFERROR(INDEX(Clients!$G$5:$G$304,MATCH(C327,Clients!$A$5:$A$304,0)),0)))</f>
        <v/>
      </c>
      <c r="I327" s="25" t="n"/>
      <c r="J327" s="27">
        <f>IF(C327="","",H327+N(I327))</f>
        <v/>
      </c>
      <c r="K327" s="6" t="n"/>
      <c r="L327" s="6" t="n"/>
      <c r="M327" s="25" t="n"/>
      <c r="N327" s="10" t="n"/>
      <c r="O327" s="27">
        <f>IF(C327="","",N(E327)*Settings!$B$8)</f>
        <v/>
      </c>
      <c r="P327" s="27">
        <f>IF(C327="","",N(N327)*Settings!$B$10)</f>
        <v/>
      </c>
      <c r="Q327" s="27">
        <f>IF(C327="","",J327-N(M327)-O327-P327)</f>
        <v/>
      </c>
      <c r="R327" s="6" t="n"/>
    </row>
    <row r="328">
      <c r="A328" s="17">
        <f>IF(B328="","","J-"&amp;TEXT(ROW()-4,"0000"))</f>
        <v/>
      </c>
      <c r="B328" s="26" t="n"/>
      <c r="C328" s="6" t="n"/>
      <c r="D328" s="6" t="n"/>
      <c r="E328" s="29" t="n"/>
      <c r="F328" s="6" t="n"/>
      <c r="G328" s="25" t="n"/>
      <c r="H328" s="30">
        <f>IF(C328="","",IF(G328&lt;&gt;"",G328,IFERROR(INDEX(Clients!$G$5:$G$304,MATCH(C328,Clients!$A$5:$A$304,0)),0)))</f>
        <v/>
      </c>
      <c r="I328" s="25" t="n"/>
      <c r="J328" s="30">
        <f>IF(C328="","",H328+N(I328))</f>
        <v/>
      </c>
      <c r="K328" s="6" t="n"/>
      <c r="L328" s="6" t="n"/>
      <c r="M328" s="25" t="n"/>
      <c r="N328" s="10" t="n"/>
      <c r="O328" s="30">
        <f>IF(C328="","",N(E328)*Settings!$B$8)</f>
        <v/>
      </c>
      <c r="P328" s="30">
        <f>IF(C328="","",N(N328)*Settings!$B$10)</f>
        <v/>
      </c>
      <c r="Q328" s="30">
        <f>IF(C328="","",J328-N(M328)-O328-P328)</f>
        <v/>
      </c>
      <c r="R328" s="6" t="n"/>
    </row>
    <row r="329">
      <c r="A329" s="8">
        <f>IF(B329="","","J-"&amp;TEXT(ROW()-4,"0000"))</f>
        <v/>
      </c>
      <c r="B329" s="26" t="n"/>
      <c r="C329" s="6" t="n"/>
      <c r="D329" s="6" t="n"/>
      <c r="E329" s="29" t="n"/>
      <c r="F329" s="6" t="n"/>
      <c r="G329" s="25" t="n"/>
      <c r="H329" s="27">
        <f>IF(C329="","",IF(G329&lt;&gt;"",G329,IFERROR(INDEX(Clients!$G$5:$G$304,MATCH(C329,Clients!$A$5:$A$304,0)),0)))</f>
        <v/>
      </c>
      <c r="I329" s="25" t="n"/>
      <c r="J329" s="27">
        <f>IF(C329="","",H329+N(I329))</f>
        <v/>
      </c>
      <c r="K329" s="6" t="n"/>
      <c r="L329" s="6" t="n"/>
      <c r="M329" s="25" t="n"/>
      <c r="N329" s="10" t="n"/>
      <c r="O329" s="27">
        <f>IF(C329="","",N(E329)*Settings!$B$8)</f>
        <v/>
      </c>
      <c r="P329" s="27">
        <f>IF(C329="","",N(N329)*Settings!$B$10)</f>
        <v/>
      </c>
      <c r="Q329" s="27">
        <f>IF(C329="","",J329-N(M329)-O329-P329)</f>
        <v/>
      </c>
      <c r="R329" s="6" t="n"/>
    </row>
    <row r="330">
      <c r="A330" s="17">
        <f>IF(B330="","","J-"&amp;TEXT(ROW()-4,"0000"))</f>
        <v/>
      </c>
      <c r="B330" s="26" t="n"/>
      <c r="C330" s="6" t="n"/>
      <c r="D330" s="6" t="n"/>
      <c r="E330" s="29" t="n"/>
      <c r="F330" s="6" t="n"/>
      <c r="G330" s="25" t="n"/>
      <c r="H330" s="30">
        <f>IF(C330="","",IF(G330&lt;&gt;"",G330,IFERROR(INDEX(Clients!$G$5:$G$304,MATCH(C330,Clients!$A$5:$A$304,0)),0)))</f>
        <v/>
      </c>
      <c r="I330" s="25" t="n"/>
      <c r="J330" s="30">
        <f>IF(C330="","",H330+N(I330))</f>
        <v/>
      </c>
      <c r="K330" s="6" t="n"/>
      <c r="L330" s="6" t="n"/>
      <c r="M330" s="25" t="n"/>
      <c r="N330" s="10" t="n"/>
      <c r="O330" s="30">
        <f>IF(C330="","",N(E330)*Settings!$B$8)</f>
        <v/>
      </c>
      <c r="P330" s="30">
        <f>IF(C330="","",N(N330)*Settings!$B$10)</f>
        <v/>
      </c>
      <c r="Q330" s="30">
        <f>IF(C330="","",J330-N(M330)-O330-P330)</f>
        <v/>
      </c>
      <c r="R330" s="6" t="n"/>
    </row>
    <row r="331">
      <c r="A331" s="8">
        <f>IF(B331="","","J-"&amp;TEXT(ROW()-4,"0000"))</f>
        <v/>
      </c>
      <c r="B331" s="26" t="n"/>
      <c r="C331" s="6" t="n"/>
      <c r="D331" s="6" t="n"/>
      <c r="E331" s="29" t="n"/>
      <c r="F331" s="6" t="n"/>
      <c r="G331" s="25" t="n"/>
      <c r="H331" s="27">
        <f>IF(C331="","",IF(G331&lt;&gt;"",G331,IFERROR(INDEX(Clients!$G$5:$G$304,MATCH(C331,Clients!$A$5:$A$304,0)),0)))</f>
        <v/>
      </c>
      <c r="I331" s="25" t="n"/>
      <c r="J331" s="27">
        <f>IF(C331="","",H331+N(I331))</f>
        <v/>
      </c>
      <c r="K331" s="6" t="n"/>
      <c r="L331" s="6" t="n"/>
      <c r="M331" s="25" t="n"/>
      <c r="N331" s="10" t="n"/>
      <c r="O331" s="27">
        <f>IF(C331="","",N(E331)*Settings!$B$8)</f>
        <v/>
      </c>
      <c r="P331" s="27">
        <f>IF(C331="","",N(N331)*Settings!$B$10)</f>
        <v/>
      </c>
      <c r="Q331" s="27">
        <f>IF(C331="","",J331-N(M331)-O331-P331)</f>
        <v/>
      </c>
      <c r="R331" s="6" t="n"/>
    </row>
    <row r="332">
      <c r="A332" s="17">
        <f>IF(B332="","","J-"&amp;TEXT(ROW()-4,"0000"))</f>
        <v/>
      </c>
      <c r="B332" s="26" t="n"/>
      <c r="C332" s="6" t="n"/>
      <c r="D332" s="6" t="n"/>
      <c r="E332" s="29" t="n"/>
      <c r="F332" s="6" t="n"/>
      <c r="G332" s="25" t="n"/>
      <c r="H332" s="30">
        <f>IF(C332="","",IF(G332&lt;&gt;"",G332,IFERROR(INDEX(Clients!$G$5:$G$304,MATCH(C332,Clients!$A$5:$A$304,0)),0)))</f>
        <v/>
      </c>
      <c r="I332" s="25" t="n"/>
      <c r="J332" s="30">
        <f>IF(C332="","",H332+N(I332))</f>
        <v/>
      </c>
      <c r="K332" s="6" t="n"/>
      <c r="L332" s="6" t="n"/>
      <c r="M332" s="25" t="n"/>
      <c r="N332" s="10" t="n"/>
      <c r="O332" s="30">
        <f>IF(C332="","",N(E332)*Settings!$B$8)</f>
        <v/>
      </c>
      <c r="P332" s="30">
        <f>IF(C332="","",N(N332)*Settings!$B$10)</f>
        <v/>
      </c>
      <c r="Q332" s="30">
        <f>IF(C332="","",J332-N(M332)-O332-P332)</f>
        <v/>
      </c>
      <c r="R332" s="6" t="n"/>
    </row>
    <row r="333">
      <c r="A333" s="8">
        <f>IF(B333="","","J-"&amp;TEXT(ROW()-4,"0000"))</f>
        <v/>
      </c>
      <c r="B333" s="26" t="n"/>
      <c r="C333" s="6" t="n"/>
      <c r="D333" s="6" t="n"/>
      <c r="E333" s="29" t="n"/>
      <c r="F333" s="6" t="n"/>
      <c r="G333" s="25" t="n"/>
      <c r="H333" s="27">
        <f>IF(C333="","",IF(G333&lt;&gt;"",G333,IFERROR(INDEX(Clients!$G$5:$G$304,MATCH(C333,Clients!$A$5:$A$304,0)),0)))</f>
        <v/>
      </c>
      <c r="I333" s="25" t="n"/>
      <c r="J333" s="27">
        <f>IF(C333="","",H333+N(I333))</f>
        <v/>
      </c>
      <c r="K333" s="6" t="n"/>
      <c r="L333" s="6" t="n"/>
      <c r="M333" s="25" t="n"/>
      <c r="N333" s="10" t="n"/>
      <c r="O333" s="27">
        <f>IF(C333="","",N(E333)*Settings!$B$8)</f>
        <v/>
      </c>
      <c r="P333" s="27">
        <f>IF(C333="","",N(N333)*Settings!$B$10)</f>
        <v/>
      </c>
      <c r="Q333" s="27">
        <f>IF(C333="","",J333-N(M333)-O333-P333)</f>
        <v/>
      </c>
      <c r="R333" s="6" t="n"/>
    </row>
    <row r="334">
      <c r="A334" s="17">
        <f>IF(B334="","","J-"&amp;TEXT(ROW()-4,"0000"))</f>
        <v/>
      </c>
      <c r="B334" s="26" t="n"/>
      <c r="C334" s="6" t="n"/>
      <c r="D334" s="6" t="n"/>
      <c r="E334" s="29" t="n"/>
      <c r="F334" s="6" t="n"/>
      <c r="G334" s="25" t="n"/>
      <c r="H334" s="30">
        <f>IF(C334="","",IF(G334&lt;&gt;"",G334,IFERROR(INDEX(Clients!$G$5:$G$304,MATCH(C334,Clients!$A$5:$A$304,0)),0)))</f>
        <v/>
      </c>
      <c r="I334" s="25" t="n"/>
      <c r="J334" s="30">
        <f>IF(C334="","",H334+N(I334))</f>
        <v/>
      </c>
      <c r="K334" s="6" t="n"/>
      <c r="L334" s="6" t="n"/>
      <c r="M334" s="25" t="n"/>
      <c r="N334" s="10" t="n"/>
      <c r="O334" s="30">
        <f>IF(C334="","",N(E334)*Settings!$B$8)</f>
        <v/>
      </c>
      <c r="P334" s="30">
        <f>IF(C334="","",N(N334)*Settings!$B$10)</f>
        <v/>
      </c>
      <c r="Q334" s="30">
        <f>IF(C334="","",J334-N(M334)-O334-P334)</f>
        <v/>
      </c>
      <c r="R334" s="6" t="n"/>
    </row>
    <row r="335">
      <c r="A335" s="8">
        <f>IF(B335="","","J-"&amp;TEXT(ROW()-4,"0000"))</f>
        <v/>
      </c>
      <c r="B335" s="26" t="n"/>
      <c r="C335" s="6" t="n"/>
      <c r="D335" s="6" t="n"/>
      <c r="E335" s="29" t="n"/>
      <c r="F335" s="6" t="n"/>
      <c r="G335" s="25" t="n"/>
      <c r="H335" s="27">
        <f>IF(C335="","",IF(G335&lt;&gt;"",G335,IFERROR(INDEX(Clients!$G$5:$G$304,MATCH(C335,Clients!$A$5:$A$304,0)),0)))</f>
        <v/>
      </c>
      <c r="I335" s="25" t="n"/>
      <c r="J335" s="27">
        <f>IF(C335="","",H335+N(I335))</f>
        <v/>
      </c>
      <c r="K335" s="6" t="n"/>
      <c r="L335" s="6" t="n"/>
      <c r="M335" s="25" t="n"/>
      <c r="N335" s="10" t="n"/>
      <c r="O335" s="27">
        <f>IF(C335="","",N(E335)*Settings!$B$8)</f>
        <v/>
      </c>
      <c r="P335" s="27">
        <f>IF(C335="","",N(N335)*Settings!$B$10)</f>
        <v/>
      </c>
      <c r="Q335" s="27">
        <f>IF(C335="","",J335-N(M335)-O335-P335)</f>
        <v/>
      </c>
      <c r="R335" s="6" t="n"/>
    </row>
    <row r="336">
      <c r="A336" s="17">
        <f>IF(B336="","","J-"&amp;TEXT(ROW()-4,"0000"))</f>
        <v/>
      </c>
      <c r="B336" s="26" t="n"/>
      <c r="C336" s="6" t="n"/>
      <c r="D336" s="6" t="n"/>
      <c r="E336" s="29" t="n"/>
      <c r="F336" s="6" t="n"/>
      <c r="G336" s="25" t="n"/>
      <c r="H336" s="30">
        <f>IF(C336="","",IF(G336&lt;&gt;"",G336,IFERROR(INDEX(Clients!$G$5:$G$304,MATCH(C336,Clients!$A$5:$A$304,0)),0)))</f>
        <v/>
      </c>
      <c r="I336" s="25" t="n"/>
      <c r="J336" s="30">
        <f>IF(C336="","",H336+N(I336))</f>
        <v/>
      </c>
      <c r="K336" s="6" t="n"/>
      <c r="L336" s="6" t="n"/>
      <c r="M336" s="25" t="n"/>
      <c r="N336" s="10" t="n"/>
      <c r="O336" s="30">
        <f>IF(C336="","",N(E336)*Settings!$B$8)</f>
        <v/>
      </c>
      <c r="P336" s="30">
        <f>IF(C336="","",N(N336)*Settings!$B$10)</f>
        <v/>
      </c>
      <c r="Q336" s="30">
        <f>IF(C336="","",J336-N(M336)-O336-P336)</f>
        <v/>
      </c>
      <c r="R336" s="6" t="n"/>
    </row>
    <row r="337">
      <c r="A337" s="8">
        <f>IF(B337="","","J-"&amp;TEXT(ROW()-4,"0000"))</f>
        <v/>
      </c>
      <c r="B337" s="26" t="n"/>
      <c r="C337" s="6" t="n"/>
      <c r="D337" s="6" t="n"/>
      <c r="E337" s="29" t="n"/>
      <c r="F337" s="6" t="n"/>
      <c r="G337" s="25" t="n"/>
      <c r="H337" s="27">
        <f>IF(C337="","",IF(G337&lt;&gt;"",G337,IFERROR(INDEX(Clients!$G$5:$G$304,MATCH(C337,Clients!$A$5:$A$304,0)),0)))</f>
        <v/>
      </c>
      <c r="I337" s="25" t="n"/>
      <c r="J337" s="27">
        <f>IF(C337="","",H337+N(I337))</f>
        <v/>
      </c>
      <c r="K337" s="6" t="n"/>
      <c r="L337" s="6" t="n"/>
      <c r="M337" s="25" t="n"/>
      <c r="N337" s="10" t="n"/>
      <c r="O337" s="27">
        <f>IF(C337="","",N(E337)*Settings!$B$8)</f>
        <v/>
      </c>
      <c r="P337" s="27">
        <f>IF(C337="","",N(N337)*Settings!$B$10)</f>
        <v/>
      </c>
      <c r="Q337" s="27">
        <f>IF(C337="","",J337-N(M337)-O337-P337)</f>
        <v/>
      </c>
      <c r="R337" s="6" t="n"/>
    </row>
    <row r="338">
      <c r="A338" s="17">
        <f>IF(B338="","","J-"&amp;TEXT(ROW()-4,"0000"))</f>
        <v/>
      </c>
      <c r="B338" s="26" t="n"/>
      <c r="C338" s="6" t="n"/>
      <c r="D338" s="6" t="n"/>
      <c r="E338" s="29" t="n"/>
      <c r="F338" s="6" t="n"/>
      <c r="G338" s="25" t="n"/>
      <c r="H338" s="30">
        <f>IF(C338="","",IF(G338&lt;&gt;"",G338,IFERROR(INDEX(Clients!$G$5:$G$304,MATCH(C338,Clients!$A$5:$A$304,0)),0)))</f>
        <v/>
      </c>
      <c r="I338" s="25" t="n"/>
      <c r="J338" s="30">
        <f>IF(C338="","",H338+N(I338))</f>
        <v/>
      </c>
      <c r="K338" s="6" t="n"/>
      <c r="L338" s="6" t="n"/>
      <c r="M338" s="25" t="n"/>
      <c r="N338" s="10" t="n"/>
      <c r="O338" s="30">
        <f>IF(C338="","",N(E338)*Settings!$B$8)</f>
        <v/>
      </c>
      <c r="P338" s="30">
        <f>IF(C338="","",N(N338)*Settings!$B$10)</f>
        <v/>
      </c>
      <c r="Q338" s="30">
        <f>IF(C338="","",J338-N(M338)-O338-P338)</f>
        <v/>
      </c>
      <c r="R338" s="6" t="n"/>
    </row>
    <row r="339">
      <c r="A339" s="8">
        <f>IF(B339="","","J-"&amp;TEXT(ROW()-4,"0000"))</f>
        <v/>
      </c>
      <c r="B339" s="26" t="n"/>
      <c r="C339" s="6" t="n"/>
      <c r="D339" s="6" t="n"/>
      <c r="E339" s="29" t="n"/>
      <c r="F339" s="6" t="n"/>
      <c r="G339" s="25" t="n"/>
      <c r="H339" s="27">
        <f>IF(C339="","",IF(G339&lt;&gt;"",G339,IFERROR(INDEX(Clients!$G$5:$G$304,MATCH(C339,Clients!$A$5:$A$304,0)),0)))</f>
        <v/>
      </c>
      <c r="I339" s="25" t="n"/>
      <c r="J339" s="27">
        <f>IF(C339="","",H339+N(I339))</f>
        <v/>
      </c>
      <c r="K339" s="6" t="n"/>
      <c r="L339" s="6" t="n"/>
      <c r="M339" s="25" t="n"/>
      <c r="N339" s="10" t="n"/>
      <c r="O339" s="27">
        <f>IF(C339="","",N(E339)*Settings!$B$8)</f>
        <v/>
      </c>
      <c r="P339" s="27">
        <f>IF(C339="","",N(N339)*Settings!$B$10)</f>
        <v/>
      </c>
      <c r="Q339" s="27">
        <f>IF(C339="","",J339-N(M339)-O339-P339)</f>
        <v/>
      </c>
      <c r="R339" s="6" t="n"/>
    </row>
    <row r="340">
      <c r="A340" s="17">
        <f>IF(B340="","","J-"&amp;TEXT(ROW()-4,"0000"))</f>
        <v/>
      </c>
      <c r="B340" s="26" t="n"/>
      <c r="C340" s="6" t="n"/>
      <c r="D340" s="6" t="n"/>
      <c r="E340" s="29" t="n"/>
      <c r="F340" s="6" t="n"/>
      <c r="G340" s="25" t="n"/>
      <c r="H340" s="30">
        <f>IF(C340="","",IF(G340&lt;&gt;"",G340,IFERROR(INDEX(Clients!$G$5:$G$304,MATCH(C340,Clients!$A$5:$A$304,0)),0)))</f>
        <v/>
      </c>
      <c r="I340" s="25" t="n"/>
      <c r="J340" s="30">
        <f>IF(C340="","",H340+N(I340))</f>
        <v/>
      </c>
      <c r="K340" s="6" t="n"/>
      <c r="L340" s="6" t="n"/>
      <c r="M340" s="25" t="n"/>
      <c r="N340" s="10" t="n"/>
      <c r="O340" s="30">
        <f>IF(C340="","",N(E340)*Settings!$B$8)</f>
        <v/>
      </c>
      <c r="P340" s="30">
        <f>IF(C340="","",N(N340)*Settings!$B$10)</f>
        <v/>
      </c>
      <c r="Q340" s="30">
        <f>IF(C340="","",J340-N(M340)-O340-P340)</f>
        <v/>
      </c>
      <c r="R340" s="6" t="n"/>
    </row>
    <row r="341">
      <c r="A341" s="8">
        <f>IF(B341="","","J-"&amp;TEXT(ROW()-4,"0000"))</f>
        <v/>
      </c>
      <c r="B341" s="26" t="n"/>
      <c r="C341" s="6" t="n"/>
      <c r="D341" s="6" t="n"/>
      <c r="E341" s="29" t="n"/>
      <c r="F341" s="6" t="n"/>
      <c r="G341" s="25" t="n"/>
      <c r="H341" s="27">
        <f>IF(C341="","",IF(G341&lt;&gt;"",G341,IFERROR(INDEX(Clients!$G$5:$G$304,MATCH(C341,Clients!$A$5:$A$304,0)),0)))</f>
        <v/>
      </c>
      <c r="I341" s="25" t="n"/>
      <c r="J341" s="27">
        <f>IF(C341="","",H341+N(I341))</f>
        <v/>
      </c>
      <c r="K341" s="6" t="n"/>
      <c r="L341" s="6" t="n"/>
      <c r="M341" s="25" t="n"/>
      <c r="N341" s="10" t="n"/>
      <c r="O341" s="27">
        <f>IF(C341="","",N(E341)*Settings!$B$8)</f>
        <v/>
      </c>
      <c r="P341" s="27">
        <f>IF(C341="","",N(N341)*Settings!$B$10)</f>
        <v/>
      </c>
      <c r="Q341" s="27">
        <f>IF(C341="","",J341-N(M341)-O341-P341)</f>
        <v/>
      </c>
      <c r="R341" s="6" t="n"/>
    </row>
    <row r="342">
      <c r="A342" s="17">
        <f>IF(B342="","","J-"&amp;TEXT(ROW()-4,"0000"))</f>
        <v/>
      </c>
      <c r="B342" s="26" t="n"/>
      <c r="C342" s="6" t="n"/>
      <c r="D342" s="6" t="n"/>
      <c r="E342" s="29" t="n"/>
      <c r="F342" s="6" t="n"/>
      <c r="G342" s="25" t="n"/>
      <c r="H342" s="30">
        <f>IF(C342="","",IF(G342&lt;&gt;"",G342,IFERROR(INDEX(Clients!$G$5:$G$304,MATCH(C342,Clients!$A$5:$A$304,0)),0)))</f>
        <v/>
      </c>
      <c r="I342" s="25" t="n"/>
      <c r="J342" s="30">
        <f>IF(C342="","",H342+N(I342))</f>
        <v/>
      </c>
      <c r="K342" s="6" t="n"/>
      <c r="L342" s="6" t="n"/>
      <c r="M342" s="25" t="n"/>
      <c r="N342" s="10" t="n"/>
      <c r="O342" s="30">
        <f>IF(C342="","",N(E342)*Settings!$B$8)</f>
        <v/>
      </c>
      <c r="P342" s="30">
        <f>IF(C342="","",N(N342)*Settings!$B$10)</f>
        <v/>
      </c>
      <c r="Q342" s="30">
        <f>IF(C342="","",J342-N(M342)-O342-P342)</f>
        <v/>
      </c>
      <c r="R342" s="6" t="n"/>
    </row>
    <row r="343">
      <c r="A343" s="8">
        <f>IF(B343="","","J-"&amp;TEXT(ROW()-4,"0000"))</f>
        <v/>
      </c>
      <c r="B343" s="26" t="n"/>
      <c r="C343" s="6" t="n"/>
      <c r="D343" s="6" t="n"/>
      <c r="E343" s="29" t="n"/>
      <c r="F343" s="6" t="n"/>
      <c r="G343" s="25" t="n"/>
      <c r="H343" s="27">
        <f>IF(C343="","",IF(G343&lt;&gt;"",G343,IFERROR(INDEX(Clients!$G$5:$G$304,MATCH(C343,Clients!$A$5:$A$304,0)),0)))</f>
        <v/>
      </c>
      <c r="I343" s="25" t="n"/>
      <c r="J343" s="27">
        <f>IF(C343="","",H343+N(I343))</f>
        <v/>
      </c>
      <c r="K343" s="6" t="n"/>
      <c r="L343" s="6" t="n"/>
      <c r="M343" s="25" t="n"/>
      <c r="N343" s="10" t="n"/>
      <c r="O343" s="27">
        <f>IF(C343="","",N(E343)*Settings!$B$8)</f>
        <v/>
      </c>
      <c r="P343" s="27">
        <f>IF(C343="","",N(N343)*Settings!$B$10)</f>
        <v/>
      </c>
      <c r="Q343" s="27">
        <f>IF(C343="","",J343-N(M343)-O343-P343)</f>
        <v/>
      </c>
      <c r="R343" s="6" t="n"/>
    </row>
    <row r="344">
      <c r="A344" s="17">
        <f>IF(B344="","","J-"&amp;TEXT(ROW()-4,"0000"))</f>
        <v/>
      </c>
      <c r="B344" s="26" t="n"/>
      <c r="C344" s="6" t="n"/>
      <c r="D344" s="6" t="n"/>
      <c r="E344" s="29" t="n"/>
      <c r="F344" s="6" t="n"/>
      <c r="G344" s="25" t="n"/>
      <c r="H344" s="30">
        <f>IF(C344="","",IF(G344&lt;&gt;"",G344,IFERROR(INDEX(Clients!$G$5:$G$304,MATCH(C344,Clients!$A$5:$A$304,0)),0)))</f>
        <v/>
      </c>
      <c r="I344" s="25" t="n"/>
      <c r="J344" s="30">
        <f>IF(C344="","",H344+N(I344))</f>
        <v/>
      </c>
      <c r="K344" s="6" t="n"/>
      <c r="L344" s="6" t="n"/>
      <c r="M344" s="25" t="n"/>
      <c r="N344" s="10" t="n"/>
      <c r="O344" s="30">
        <f>IF(C344="","",N(E344)*Settings!$B$8)</f>
        <v/>
      </c>
      <c r="P344" s="30">
        <f>IF(C344="","",N(N344)*Settings!$B$10)</f>
        <v/>
      </c>
      <c r="Q344" s="30">
        <f>IF(C344="","",J344-N(M344)-O344-P344)</f>
        <v/>
      </c>
      <c r="R344" s="6" t="n"/>
    </row>
    <row r="345">
      <c r="A345" s="8">
        <f>IF(B345="","","J-"&amp;TEXT(ROW()-4,"0000"))</f>
        <v/>
      </c>
      <c r="B345" s="26" t="n"/>
      <c r="C345" s="6" t="n"/>
      <c r="D345" s="6" t="n"/>
      <c r="E345" s="29" t="n"/>
      <c r="F345" s="6" t="n"/>
      <c r="G345" s="25" t="n"/>
      <c r="H345" s="27">
        <f>IF(C345="","",IF(G345&lt;&gt;"",G345,IFERROR(INDEX(Clients!$G$5:$G$304,MATCH(C345,Clients!$A$5:$A$304,0)),0)))</f>
        <v/>
      </c>
      <c r="I345" s="25" t="n"/>
      <c r="J345" s="27">
        <f>IF(C345="","",H345+N(I345))</f>
        <v/>
      </c>
      <c r="K345" s="6" t="n"/>
      <c r="L345" s="6" t="n"/>
      <c r="M345" s="25" t="n"/>
      <c r="N345" s="10" t="n"/>
      <c r="O345" s="27">
        <f>IF(C345="","",N(E345)*Settings!$B$8)</f>
        <v/>
      </c>
      <c r="P345" s="27">
        <f>IF(C345="","",N(N345)*Settings!$B$10)</f>
        <v/>
      </c>
      <c r="Q345" s="27">
        <f>IF(C345="","",J345-N(M345)-O345-P345)</f>
        <v/>
      </c>
      <c r="R345" s="6" t="n"/>
    </row>
    <row r="346">
      <c r="A346" s="17">
        <f>IF(B346="","","J-"&amp;TEXT(ROW()-4,"0000"))</f>
        <v/>
      </c>
      <c r="B346" s="26" t="n"/>
      <c r="C346" s="6" t="n"/>
      <c r="D346" s="6" t="n"/>
      <c r="E346" s="29" t="n"/>
      <c r="F346" s="6" t="n"/>
      <c r="G346" s="25" t="n"/>
      <c r="H346" s="30">
        <f>IF(C346="","",IF(G346&lt;&gt;"",G346,IFERROR(INDEX(Clients!$G$5:$G$304,MATCH(C346,Clients!$A$5:$A$304,0)),0)))</f>
        <v/>
      </c>
      <c r="I346" s="25" t="n"/>
      <c r="J346" s="30">
        <f>IF(C346="","",H346+N(I346))</f>
        <v/>
      </c>
      <c r="K346" s="6" t="n"/>
      <c r="L346" s="6" t="n"/>
      <c r="M346" s="25" t="n"/>
      <c r="N346" s="10" t="n"/>
      <c r="O346" s="30">
        <f>IF(C346="","",N(E346)*Settings!$B$8)</f>
        <v/>
      </c>
      <c r="P346" s="30">
        <f>IF(C346="","",N(N346)*Settings!$B$10)</f>
        <v/>
      </c>
      <c r="Q346" s="30">
        <f>IF(C346="","",J346-N(M346)-O346-P346)</f>
        <v/>
      </c>
      <c r="R346" s="6" t="n"/>
    </row>
    <row r="347">
      <c r="A347" s="8">
        <f>IF(B347="","","J-"&amp;TEXT(ROW()-4,"0000"))</f>
        <v/>
      </c>
      <c r="B347" s="26" t="n"/>
      <c r="C347" s="6" t="n"/>
      <c r="D347" s="6" t="n"/>
      <c r="E347" s="29" t="n"/>
      <c r="F347" s="6" t="n"/>
      <c r="G347" s="25" t="n"/>
      <c r="H347" s="27">
        <f>IF(C347="","",IF(G347&lt;&gt;"",G347,IFERROR(INDEX(Clients!$G$5:$G$304,MATCH(C347,Clients!$A$5:$A$304,0)),0)))</f>
        <v/>
      </c>
      <c r="I347" s="25" t="n"/>
      <c r="J347" s="27">
        <f>IF(C347="","",H347+N(I347))</f>
        <v/>
      </c>
      <c r="K347" s="6" t="n"/>
      <c r="L347" s="6" t="n"/>
      <c r="M347" s="25" t="n"/>
      <c r="N347" s="10" t="n"/>
      <c r="O347" s="27">
        <f>IF(C347="","",N(E347)*Settings!$B$8)</f>
        <v/>
      </c>
      <c r="P347" s="27">
        <f>IF(C347="","",N(N347)*Settings!$B$10)</f>
        <v/>
      </c>
      <c r="Q347" s="27">
        <f>IF(C347="","",J347-N(M347)-O347-P347)</f>
        <v/>
      </c>
      <c r="R347" s="6" t="n"/>
    </row>
    <row r="348">
      <c r="A348" s="17">
        <f>IF(B348="","","J-"&amp;TEXT(ROW()-4,"0000"))</f>
        <v/>
      </c>
      <c r="B348" s="26" t="n"/>
      <c r="C348" s="6" t="n"/>
      <c r="D348" s="6" t="n"/>
      <c r="E348" s="29" t="n"/>
      <c r="F348" s="6" t="n"/>
      <c r="G348" s="25" t="n"/>
      <c r="H348" s="30">
        <f>IF(C348="","",IF(G348&lt;&gt;"",G348,IFERROR(INDEX(Clients!$G$5:$G$304,MATCH(C348,Clients!$A$5:$A$304,0)),0)))</f>
        <v/>
      </c>
      <c r="I348" s="25" t="n"/>
      <c r="J348" s="30">
        <f>IF(C348="","",H348+N(I348))</f>
        <v/>
      </c>
      <c r="K348" s="6" t="n"/>
      <c r="L348" s="6" t="n"/>
      <c r="M348" s="25" t="n"/>
      <c r="N348" s="10" t="n"/>
      <c r="O348" s="30">
        <f>IF(C348="","",N(E348)*Settings!$B$8)</f>
        <v/>
      </c>
      <c r="P348" s="30">
        <f>IF(C348="","",N(N348)*Settings!$B$10)</f>
        <v/>
      </c>
      <c r="Q348" s="30">
        <f>IF(C348="","",J348-N(M348)-O348-P348)</f>
        <v/>
      </c>
      <c r="R348" s="6" t="n"/>
    </row>
    <row r="349">
      <c r="A349" s="8">
        <f>IF(B349="","","J-"&amp;TEXT(ROW()-4,"0000"))</f>
        <v/>
      </c>
      <c r="B349" s="26" t="n"/>
      <c r="C349" s="6" t="n"/>
      <c r="D349" s="6" t="n"/>
      <c r="E349" s="29" t="n"/>
      <c r="F349" s="6" t="n"/>
      <c r="G349" s="25" t="n"/>
      <c r="H349" s="27">
        <f>IF(C349="","",IF(G349&lt;&gt;"",G349,IFERROR(INDEX(Clients!$G$5:$G$304,MATCH(C349,Clients!$A$5:$A$304,0)),0)))</f>
        <v/>
      </c>
      <c r="I349" s="25" t="n"/>
      <c r="J349" s="27">
        <f>IF(C349="","",H349+N(I349))</f>
        <v/>
      </c>
      <c r="K349" s="6" t="n"/>
      <c r="L349" s="6" t="n"/>
      <c r="M349" s="25" t="n"/>
      <c r="N349" s="10" t="n"/>
      <c r="O349" s="27">
        <f>IF(C349="","",N(E349)*Settings!$B$8)</f>
        <v/>
      </c>
      <c r="P349" s="27">
        <f>IF(C349="","",N(N349)*Settings!$B$10)</f>
        <v/>
      </c>
      <c r="Q349" s="27">
        <f>IF(C349="","",J349-N(M349)-O349-P349)</f>
        <v/>
      </c>
      <c r="R349" s="6" t="n"/>
    </row>
    <row r="350">
      <c r="A350" s="17">
        <f>IF(B350="","","J-"&amp;TEXT(ROW()-4,"0000"))</f>
        <v/>
      </c>
      <c r="B350" s="26" t="n"/>
      <c r="C350" s="6" t="n"/>
      <c r="D350" s="6" t="n"/>
      <c r="E350" s="29" t="n"/>
      <c r="F350" s="6" t="n"/>
      <c r="G350" s="25" t="n"/>
      <c r="H350" s="30">
        <f>IF(C350="","",IF(G350&lt;&gt;"",G350,IFERROR(INDEX(Clients!$G$5:$G$304,MATCH(C350,Clients!$A$5:$A$304,0)),0)))</f>
        <v/>
      </c>
      <c r="I350" s="25" t="n"/>
      <c r="J350" s="30">
        <f>IF(C350="","",H350+N(I350))</f>
        <v/>
      </c>
      <c r="K350" s="6" t="n"/>
      <c r="L350" s="6" t="n"/>
      <c r="M350" s="25" t="n"/>
      <c r="N350" s="10" t="n"/>
      <c r="O350" s="30">
        <f>IF(C350="","",N(E350)*Settings!$B$8)</f>
        <v/>
      </c>
      <c r="P350" s="30">
        <f>IF(C350="","",N(N350)*Settings!$B$10)</f>
        <v/>
      </c>
      <c r="Q350" s="30">
        <f>IF(C350="","",J350-N(M350)-O350-P350)</f>
        <v/>
      </c>
      <c r="R350" s="6" t="n"/>
    </row>
    <row r="351">
      <c r="A351" s="8">
        <f>IF(B351="","","J-"&amp;TEXT(ROW()-4,"0000"))</f>
        <v/>
      </c>
      <c r="B351" s="26" t="n"/>
      <c r="C351" s="6" t="n"/>
      <c r="D351" s="6" t="n"/>
      <c r="E351" s="29" t="n"/>
      <c r="F351" s="6" t="n"/>
      <c r="G351" s="25" t="n"/>
      <c r="H351" s="27">
        <f>IF(C351="","",IF(G351&lt;&gt;"",G351,IFERROR(INDEX(Clients!$G$5:$G$304,MATCH(C351,Clients!$A$5:$A$304,0)),0)))</f>
        <v/>
      </c>
      <c r="I351" s="25" t="n"/>
      <c r="J351" s="27">
        <f>IF(C351="","",H351+N(I351))</f>
        <v/>
      </c>
      <c r="K351" s="6" t="n"/>
      <c r="L351" s="6" t="n"/>
      <c r="M351" s="25" t="n"/>
      <c r="N351" s="10" t="n"/>
      <c r="O351" s="27">
        <f>IF(C351="","",N(E351)*Settings!$B$8)</f>
        <v/>
      </c>
      <c r="P351" s="27">
        <f>IF(C351="","",N(N351)*Settings!$B$10)</f>
        <v/>
      </c>
      <c r="Q351" s="27">
        <f>IF(C351="","",J351-N(M351)-O351-P351)</f>
        <v/>
      </c>
      <c r="R351" s="6" t="n"/>
    </row>
    <row r="352">
      <c r="A352" s="17">
        <f>IF(B352="","","J-"&amp;TEXT(ROW()-4,"0000"))</f>
        <v/>
      </c>
      <c r="B352" s="26" t="n"/>
      <c r="C352" s="6" t="n"/>
      <c r="D352" s="6" t="n"/>
      <c r="E352" s="29" t="n"/>
      <c r="F352" s="6" t="n"/>
      <c r="G352" s="25" t="n"/>
      <c r="H352" s="30">
        <f>IF(C352="","",IF(G352&lt;&gt;"",G352,IFERROR(INDEX(Clients!$G$5:$G$304,MATCH(C352,Clients!$A$5:$A$304,0)),0)))</f>
        <v/>
      </c>
      <c r="I352" s="25" t="n"/>
      <c r="J352" s="30">
        <f>IF(C352="","",H352+N(I352))</f>
        <v/>
      </c>
      <c r="K352" s="6" t="n"/>
      <c r="L352" s="6" t="n"/>
      <c r="M352" s="25" t="n"/>
      <c r="N352" s="10" t="n"/>
      <c r="O352" s="30">
        <f>IF(C352="","",N(E352)*Settings!$B$8)</f>
        <v/>
      </c>
      <c r="P352" s="30">
        <f>IF(C352="","",N(N352)*Settings!$B$10)</f>
        <v/>
      </c>
      <c r="Q352" s="30">
        <f>IF(C352="","",J352-N(M352)-O352-P352)</f>
        <v/>
      </c>
      <c r="R352" s="6" t="n"/>
    </row>
    <row r="353">
      <c r="A353" s="8">
        <f>IF(B353="","","J-"&amp;TEXT(ROW()-4,"0000"))</f>
        <v/>
      </c>
      <c r="B353" s="26" t="n"/>
      <c r="C353" s="6" t="n"/>
      <c r="D353" s="6" t="n"/>
      <c r="E353" s="29" t="n"/>
      <c r="F353" s="6" t="n"/>
      <c r="G353" s="25" t="n"/>
      <c r="H353" s="27">
        <f>IF(C353="","",IF(G353&lt;&gt;"",G353,IFERROR(INDEX(Clients!$G$5:$G$304,MATCH(C353,Clients!$A$5:$A$304,0)),0)))</f>
        <v/>
      </c>
      <c r="I353" s="25" t="n"/>
      <c r="J353" s="27">
        <f>IF(C353="","",H353+N(I353))</f>
        <v/>
      </c>
      <c r="K353" s="6" t="n"/>
      <c r="L353" s="6" t="n"/>
      <c r="M353" s="25" t="n"/>
      <c r="N353" s="10" t="n"/>
      <c r="O353" s="27">
        <f>IF(C353="","",N(E353)*Settings!$B$8)</f>
        <v/>
      </c>
      <c r="P353" s="27">
        <f>IF(C353="","",N(N353)*Settings!$B$10)</f>
        <v/>
      </c>
      <c r="Q353" s="27">
        <f>IF(C353="","",J353-N(M353)-O353-P353)</f>
        <v/>
      </c>
      <c r="R353" s="6" t="n"/>
    </row>
    <row r="354">
      <c r="A354" s="17">
        <f>IF(B354="","","J-"&amp;TEXT(ROW()-4,"0000"))</f>
        <v/>
      </c>
      <c r="B354" s="26" t="n"/>
      <c r="C354" s="6" t="n"/>
      <c r="D354" s="6" t="n"/>
      <c r="E354" s="29" t="n"/>
      <c r="F354" s="6" t="n"/>
      <c r="G354" s="25" t="n"/>
      <c r="H354" s="30">
        <f>IF(C354="","",IF(G354&lt;&gt;"",G354,IFERROR(INDEX(Clients!$G$5:$G$304,MATCH(C354,Clients!$A$5:$A$304,0)),0)))</f>
        <v/>
      </c>
      <c r="I354" s="25" t="n"/>
      <c r="J354" s="30">
        <f>IF(C354="","",H354+N(I354))</f>
        <v/>
      </c>
      <c r="K354" s="6" t="n"/>
      <c r="L354" s="6" t="n"/>
      <c r="M354" s="25" t="n"/>
      <c r="N354" s="10" t="n"/>
      <c r="O354" s="30">
        <f>IF(C354="","",N(E354)*Settings!$B$8)</f>
        <v/>
      </c>
      <c r="P354" s="30">
        <f>IF(C354="","",N(N354)*Settings!$B$10)</f>
        <v/>
      </c>
      <c r="Q354" s="30">
        <f>IF(C354="","",J354-N(M354)-O354-P354)</f>
        <v/>
      </c>
      <c r="R354" s="6" t="n"/>
    </row>
    <row r="355">
      <c r="A355" s="8">
        <f>IF(B355="","","J-"&amp;TEXT(ROW()-4,"0000"))</f>
        <v/>
      </c>
      <c r="B355" s="26" t="n"/>
      <c r="C355" s="6" t="n"/>
      <c r="D355" s="6" t="n"/>
      <c r="E355" s="29" t="n"/>
      <c r="F355" s="6" t="n"/>
      <c r="G355" s="25" t="n"/>
      <c r="H355" s="27">
        <f>IF(C355="","",IF(G355&lt;&gt;"",G355,IFERROR(INDEX(Clients!$G$5:$G$304,MATCH(C355,Clients!$A$5:$A$304,0)),0)))</f>
        <v/>
      </c>
      <c r="I355" s="25" t="n"/>
      <c r="J355" s="27">
        <f>IF(C355="","",H355+N(I355))</f>
        <v/>
      </c>
      <c r="K355" s="6" t="n"/>
      <c r="L355" s="6" t="n"/>
      <c r="M355" s="25" t="n"/>
      <c r="N355" s="10" t="n"/>
      <c r="O355" s="27">
        <f>IF(C355="","",N(E355)*Settings!$B$8)</f>
        <v/>
      </c>
      <c r="P355" s="27">
        <f>IF(C355="","",N(N355)*Settings!$B$10)</f>
        <v/>
      </c>
      <c r="Q355" s="27">
        <f>IF(C355="","",J355-N(M355)-O355-P355)</f>
        <v/>
      </c>
      <c r="R355" s="6" t="n"/>
    </row>
    <row r="356">
      <c r="A356" s="17">
        <f>IF(B356="","","J-"&amp;TEXT(ROW()-4,"0000"))</f>
        <v/>
      </c>
      <c r="B356" s="26" t="n"/>
      <c r="C356" s="6" t="n"/>
      <c r="D356" s="6" t="n"/>
      <c r="E356" s="29" t="n"/>
      <c r="F356" s="6" t="n"/>
      <c r="G356" s="25" t="n"/>
      <c r="H356" s="30">
        <f>IF(C356="","",IF(G356&lt;&gt;"",G356,IFERROR(INDEX(Clients!$G$5:$G$304,MATCH(C356,Clients!$A$5:$A$304,0)),0)))</f>
        <v/>
      </c>
      <c r="I356" s="25" t="n"/>
      <c r="J356" s="30">
        <f>IF(C356="","",H356+N(I356))</f>
        <v/>
      </c>
      <c r="K356" s="6" t="n"/>
      <c r="L356" s="6" t="n"/>
      <c r="M356" s="25" t="n"/>
      <c r="N356" s="10" t="n"/>
      <c r="O356" s="30">
        <f>IF(C356="","",N(E356)*Settings!$B$8)</f>
        <v/>
      </c>
      <c r="P356" s="30">
        <f>IF(C356="","",N(N356)*Settings!$B$10)</f>
        <v/>
      </c>
      <c r="Q356" s="30">
        <f>IF(C356="","",J356-N(M356)-O356-P356)</f>
        <v/>
      </c>
      <c r="R356" s="6" t="n"/>
    </row>
    <row r="357">
      <c r="A357" s="8">
        <f>IF(B357="","","J-"&amp;TEXT(ROW()-4,"0000"))</f>
        <v/>
      </c>
      <c r="B357" s="26" t="n"/>
      <c r="C357" s="6" t="n"/>
      <c r="D357" s="6" t="n"/>
      <c r="E357" s="29" t="n"/>
      <c r="F357" s="6" t="n"/>
      <c r="G357" s="25" t="n"/>
      <c r="H357" s="27">
        <f>IF(C357="","",IF(G357&lt;&gt;"",G357,IFERROR(INDEX(Clients!$G$5:$G$304,MATCH(C357,Clients!$A$5:$A$304,0)),0)))</f>
        <v/>
      </c>
      <c r="I357" s="25" t="n"/>
      <c r="J357" s="27">
        <f>IF(C357="","",H357+N(I357))</f>
        <v/>
      </c>
      <c r="K357" s="6" t="n"/>
      <c r="L357" s="6" t="n"/>
      <c r="M357" s="25" t="n"/>
      <c r="N357" s="10" t="n"/>
      <c r="O357" s="27">
        <f>IF(C357="","",N(E357)*Settings!$B$8)</f>
        <v/>
      </c>
      <c r="P357" s="27">
        <f>IF(C357="","",N(N357)*Settings!$B$10)</f>
        <v/>
      </c>
      <c r="Q357" s="27">
        <f>IF(C357="","",J357-N(M357)-O357-P357)</f>
        <v/>
      </c>
      <c r="R357" s="6" t="n"/>
    </row>
    <row r="358">
      <c r="A358" s="17">
        <f>IF(B358="","","J-"&amp;TEXT(ROW()-4,"0000"))</f>
        <v/>
      </c>
      <c r="B358" s="26" t="n"/>
      <c r="C358" s="6" t="n"/>
      <c r="D358" s="6" t="n"/>
      <c r="E358" s="29" t="n"/>
      <c r="F358" s="6" t="n"/>
      <c r="G358" s="25" t="n"/>
      <c r="H358" s="30">
        <f>IF(C358="","",IF(G358&lt;&gt;"",G358,IFERROR(INDEX(Clients!$G$5:$G$304,MATCH(C358,Clients!$A$5:$A$304,0)),0)))</f>
        <v/>
      </c>
      <c r="I358" s="25" t="n"/>
      <c r="J358" s="30">
        <f>IF(C358="","",H358+N(I358))</f>
        <v/>
      </c>
      <c r="K358" s="6" t="n"/>
      <c r="L358" s="6" t="n"/>
      <c r="M358" s="25" t="n"/>
      <c r="N358" s="10" t="n"/>
      <c r="O358" s="30">
        <f>IF(C358="","",N(E358)*Settings!$B$8)</f>
        <v/>
      </c>
      <c r="P358" s="30">
        <f>IF(C358="","",N(N358)*Settings!$B$10)</f>
        <v/>
      </c>
      <c r="Q358" s="30">
        <f>IF(C358="","",J358-N(M358)-O358-P358)</f>
        <v/>
      </c>
      <c r="R358" s="6" t="n"/>
    </row>
    <row r="359">
      <c r="A359" s="8">
        <f>IF(B359="","","J-"&amp;TEXT(ROW()-4,"0000"))</f>
        <v/>
      </c>
      <c r="B359" s="26" t="n"/>
      <c r="C359" s="6" t="n"/>
      <c r="D359" s="6" t="n"/>
      <c r="E359" s="29" t="n"/>
      <c r="F359" s="6" t="n"/>
      <c r="G359" s="25" t="n"/>
      <c r="H359" s="27">
        <f>IF(C359="","",IF(G359&lt;&gt;"",G359,IFERROR(INDEX(Clients!$G$5:$G$304,MATCH(C359,Clients!$A$5:$A$304,0)),0)))</f>
        <v/>
      </c>
      <c r="I359" s="25" t="n"/>
      <c r="J359" s="27">
        <f>IF(C359="","",H359+N(I359))</f>
        <v/>
      </c>
      <c r="K359" s="6" t="n"/>
      <c r="L359" s="6" t="n"/>
      <c r="M359" s="25" t="n"/>
      <c r="N359" s="10" t="n"/>
      <c r="O359" s="27">
        <f>IF(C359="","",N(E359)*Settings!$B$8)</f>
        <v/>
      </c>
      <c r="P359" s="27">
        <f>IF(C359="","",N(N359)*Settings!$B$10)</f>
        <v/>
      </c>
      <c r="Q359" s="27">
        <f>IF(C359="","",J359-N(M359)-O359-P359)</f>
        <v/>
      </c>
      <c r="R359" s="6" t="n"/>
    </row>
    <row r="360">
      <c r="A360" s="17">
        <f>IF(B360="","","J-"&amp;TEXT(ROW()-4,"0000"))</f>
        <v/>
      </c>
      <c r="B360" s="26" t="n"/>
      <c r="C360" s="6" t="n"/>
      <c r="D360" s="6" t="n"/>
      <c r="E360" s="29" t="n"/>
      <c r="F360" s="6" t="n"/>
      <c r="G360" s="25" t="n"/>
      <c r="H360" s="30">
        <f>IF(C360="","",IF(G360&lt;&gt;"",G360,IFERROR(INDEX(Clients!$G$5:$G$304,MATCH(C360,Clients!$A$5:$A$304,0)),0)))</f>
        <v/>
      </c>
      <c r="I360" s="25" t="n"/>
      <c r="J360" s="30">
        <f>IF(C360="","",H360+N(I360))</f>
        <v/>
      </c>
      <c r="K360" s="6" t="n"/>
      <c r="L360" s="6" t="n"/>
      <c r="M360" s="25" t="n"/>
      <c r="N360" s="10" t="n"/>
      <c r="O360" s="30">
        <f>IF(C360="","",N(E360)*Settings!$B$8)</f>
        <v/>
      </c>
      <c r="P360" s="30">
        <f>IF(C360="","",N(N360)*Settings!$B$10)</f>
        <v/>
      </c>
      <c r="Q360" s="30">
        <f>IF(C360="","",J360-N(M360)-O360-P360)</f>
        <v/>
      </c>
      <c r="R360" s="6" t="n"/>
    </row>
    <row r="361">
      <c r="A361" s="8">
        <f>IF(B361="","","J-"&amp;TEXT(ROW()-4,"0000"))</f>
        <v/>
      </c>
      <c r="B361" s="26" t="n"/>
      <c r="C361" s="6" t="n"/>
      <c r="D361" s="6" t="n"/>
      <c r="E361" s="29" t="n"/>
      <c r="F361" s="6" t="n"/>
      <c r="G361" s="25" t="n"/>
      <c r="H361" s="27">
        <f>IF(C361="","",IF(G361&lt;&gt;"",G361,IFERROR(INDEX(Clients!$G$5:$G$304,MATCH(C361,Clients!$A$5:$A$304,0)),0)))</f>
        <v/>
      </c>
      <c r="I361" s="25" t="n"/>
      <c r="J361" s="27">
        <f>IF(C361="","",H361+N(I361))</f>
        <v/>
      </c>
      <c r="K361" s="6" t="n"/>
      <c r="L361" s="6" t="n"/>
      <c r="M361" s="25" t="n"/>
      <c r="N361" s="10" t="n"/>
      <c r="O361" s="27">
        <f>IF(C361="","",N(E361)*Settings!$B$8)</f>
        <v/>
      </c>
      <c r="P361" s="27">
        <f>IF(C361="","",N(N361)*Settings!$B$10)</f>
        <v/>
      </c>
      <c r="Q361" s="27">
        <f>IF(C361="","",J361-N(M361)-O361-P361)</f>
        <v/>
      </c>
      <c r="R361" s="6" t="n"/>
    </row>
    <row r="362">
      <c r="A362" s="17">
        <f>IF(B362="","","J-"&amp;TEXT(ROW()-4,"0000"))</f>
        <v/>
      </c>
      <c r="B362" s="26" t="n"/>
      <c r="C362" s="6" t="n"/>
      <c r="D362" s="6" t="n"/>
      <c r="E362" s="29" t="n"/>
      <c r="F362" s="6" t="n"/>
      <c r="G362" s="25" t="n"/>
      <c r="H362" s="30">
        <f>IF(C362="","",IF(G362&lt;&gt;"",G362,IFERROR(INDEX(Clients!$G$5:$G$304,MATCH(C362,Clients!$A$5:$A$304,0)),0)))</f>
        <v/>
      </c>
      <c r="I362" s="25" t="n"/>
      <c r="J362" s="30">
        <f>IF(C362="","",H362+N(I362))</f>
        <v/>
      </c>
      <c r="K362" s="6" t="n"/>
      <c r="L362" s="6" t="n"/>
      <c r="M362" s="25" t="n"/>
      <c r="N362" s="10" t="n"/>
      <c r="O362" s="30">
        <f>IF(C362="","",N(E362)*Settings!$B$8)</f>
        <v/>
      </c>
      <c r="P362" s="30">
        <f>IF(C362="","",N(N362)*Settings!$B$10)</f>
        <v/>
      </c>
      <c r="Q362" s="30">
        <f>IF(C362="","",J362-N(M362)-O362-P362)</f>
        <v/>
      </c>
      <c r="R362" s="6" t="n"/>
    </row>
    <row r="363">
      <c r="A363" s="8">
        <f>IF(B363="","","J-"&amp;TEXT(ROW()-4,"0000"))</f>
        <v/>
      </c>
      <c r="B363" s="26" t="n"/>
      <c r="C363" s="6" t="n"/>
      <c r="D363" s="6" t="n"/>
      <c r="E363" s="29" t="n"/>
      <c r="F363" s="6" t="n"/>
      <c r="G363" s="25" t="n"/>
      <c r="H363" s="27">
        <f>IF(C363="","",IF(G363&lt;&gt;"",G363,IFERROR(INDEX(Clients!$G$5:$G$304,MATCH(C363,Clients!$A$5:$A$304,0)),0)))</f>
        <v/>
      </c>
      <c r="I363" s="25" t="n"/>
      <c r="J363" s="27">
        <f>IF(C363="","",H363+N(I363))</f>
        <v/>
      </c>
      <c r="K363" s="6" t="n"/>
      <c r="L363" s="6" t="n"/>
      <c r="M363" s="25" t="n"/>
      <c r="N363" s="10" t="n"/>
      <c r="O363" s="27">
        <f>IF(C363="","",N(E363)*Settings!$B$8)</f>
        <v/>
      </c>
      <c r="P363" s="27">
        <f>IF(C363="","",N(N363)*Settings!$B$10)</f>
        <v/>
      </c>
      <c r="Q363" s="27">
        <f>IF(C363="","",J363-N(M363)-O363-P363)</f>
        <v/>
      </c>
      <c r="R363" s="6" t="n"/>
    </row>
    <row r="364">
      <c r="A364" s="17">
        <f>IF(B364="","","J-"&amp;TEXT(ROW()-4,"0000"))</f>
        <v/>
      </c>
      <c r="B364" s="26" t="n"/>
      <c r="C364" s="6" t="n"/>
      <c r="D364" s="6" t="n"/>
      <c r="E364" s="29" t="n"/>
      <c r="F364" s="6" t="n"/>
      <c r="G364" s="25" t="n"/>
      <c r="H364" s="30">
        <f>IF(C364="","",IF(G364&lt;&gt;"",G364,IFERROR(INDEX(Clients!$G$5:$G$304,MATCH(C364,Clients!$A$5:$A$304,0)),0)))</f>
        <v/>
      </c>
      <c r="I364" s="25" t="n"/>
      <c r="J364" s="30">
        <f>IF(C364="","",H364+N(I364))</f>
        <v/>
      </c>
      <c r="K364" s="6" t="n"/>
      <c r="L364" s="6" t="n"/>
      <c r="M364" s="25" t="n"/>
      <c r="N364" s="10" t="n"/>
      <c r="O364" s="30">
        <f>IF(C364="","",N(E364)*Settings!$B$8)</f>
        <v/>
      </c>
      <c r="P364" s="30">
        <f>IF(C364="","",N(N364)*Settings!$B$10)</f>
        <v/>
      </c>
      <c r="Q364" s="30">
        <f>IF(C364="","",J364-N(M364)-O364-P364)</f>
        <v/>
      </c>
      <c r="R364" s="6" t="n"/>
    </row>
    <row r="365">
      <c r="A365" s="8">
        <f>IF(B365="","","J-"&amp;TEXT(ROW()-4,"0000"))</f>
        <v/>
      </c>
      <c r="B365" s="26" t="n"/>
      <c r="C365" s="6" t="n"/>
      <c r="D365" s="6" t="n"/>
      <c r="E365" s="29" t="n"/>
      <c r="F365" s="6" t="n"/>
      <c r="G365" s="25" t="n"/>
      <c r="H365" s="27">
        <f>IF(C365="","",IF(G365&lt;&gt;"",G365,IFERROR(INDEX(Clients!$G$5:$G$304,MATCH(C365,Clients!$A$5:$A$304,0)),0)))</f>
        <v/>
      </c>
      <c r="I365" s="25" t="n"/>
      <c r="J365" s="27">
        <f>IF(C365="","",H365+N(I365))</f>
        <v/>
      </c>
      <c r="K365" s="6" t="n"/>
      <c r="L365" s="6" t="n"/>
      <c r="M365" s="25" t="n"/>
      <c r="N365" s="10" t="n"/>
      <c r="O365" s="27">
        <f>IF(C365="","",N(E365)*Settings!$B$8)</f>
        <v/>
      </c>
      <c r="P365" s="27">
        <f>IF(C365="","",N(N365)*Settings!$B$10)</f>
        <v/>
      </c>
      <c r="Q365" s="27">
        <f>IF(C365="","",J365-N(M365)-O365-P365)</f>
        <v/>
      </c>
      <c r="R365" s="6" t="n"/>
    </row>
    <row r="366">
      <c r="A366" s="17">
        <f>IF(B366="","","J-"&amp;TEXT(ROW()-4,"0000"))</f>
        <v/>
      </c>
      <c r="B366" s="26" t="n"/>
      <c r="C366" s="6" t="n"/>
      <c r="D366" s="6" t="n"/>
      <c r="E366" s="29" t="n"/>
      <c r="F366" s="6" t="n"/>
      <c r="G366" s="25" t="n"/>
      <c r="H366" s="30">
        <f>IF(C366="","",IF(G366&lt;&gt;"",G366,IFERROR(INDEX(Clients!$G$5:$G$304,MATCH(C366,Clients!$A$5:$A$304,0)),0)))</f>
        <v/>
      </c>
      <c r="I366" s="25" t="n"/>
      <c r="J366" s="30">
        <f>IF(C366="","",H366+N(I366))</f>
        <v/>
      </c>
      <c r="K366" s="6" t="n"/>
      <c r="L366" s="6" t="n"/>
      <c r="M366" s="25" t="n"/>
      <c r="N366" s="10" t="n"/>
      <c r="O366" s="30">
        <f>IF(C366="","",N(E366)*Settings!$B$8)</f>
        <v/>
      </c>
      <c r="P366" s="30">
        <f>IF(C366="","",N(N366)*Settings!$B$10)</f>
        <v/>
      </c>
      <c r="Q366" s="30">
        <f>IF(C366="","",J366-N(M366)-O366-P366)</f>
        <v/>
      </c>
      <c r="R366" s="6" t="n"/>
    </row>
    <row r="367">
      <c r="A367" s="8">
        <f>IF(B367="","","J-"&amp;TEXT(ROW()-4,"0000"))</f>
        <v/>
      </c>
      <c r="B367" s="26" t="n"/>
      <c r="C367" s="6" t="n"/>
      <c r="D367" s="6" t="n"/>
      <c r="E367" s="29" t="n"/>
      <c r="F367" s="6" t="n"/>
      <c r="G367" s="25" t="n"/>
      <c r="H367" s="27">
        <f>IF(C367="","",IF(G367&lt;&gt;"",G367,IFERROR(INDEX(Clients!$G$5:$G$304,MATCH(C367,Clients!$A$5:$A$304,0)),0)))</f>
        <v/>
      </c>
      <c r="I367" s="25" t="n"/>
      <c r="J367" s="27">
        <f>IF(C367="","",H367+N(I367))</f>
        <v/>
      </c>
      <c r="K367" s="6" t="n"/>
      <c r="L367" s="6" t="n"/>
      <c r="M367" s="25" t="n"/>
      <c r="N367" s="10" t="n"/>
      <c r="O367" s="27">
        <f>IF(C367="","",N(E367)*Settings!$B$8)</f>
        <v/>
      </c>
      <c r="P367" s="27">
        <f>IF(C367="","",N(N367)*Settings!$B$10)</f>
        <v/>
      </c>
      <c r="Q367" s="27">
        <f>IF(C367="","",J367-N(M367)-O367-P367)</f>
        <v/>
      </c>
      <c r="R367" s="6" t="n"/>
    </row>
    <row r="368">
      <c r="A368" s="17">
        <f>IF(B368="","","J-"&amp;TEXT(ROW()-4,"0000"))</f>
        <v/>
      </c>
      <c r="B368" s="26" t="n"/>
      <c r="C368" s="6" t="n"/>
      <c r="D368" s="6" t="n"/>
      <c r="E368" s="29" t="n"/>
      <c r="F368" s="6" t="n"/>
      <c r="G368" s="25" t="n"/>
      <c r="H368" s="30">
        <f>IF(C368="","",IF(G368&lt;&gt;"",G368,IFERROR(INDEX(Clients!$G$5:$G$304,MATCH(C368,Clients!$A$5:$A$304,0)),0)))</f>
        <v/>
      </c>
      <c r="I368" s="25" t="n"/>
      <c r="J368" s="30">
        <f>IF(C368="","",H368+N(I368))</f>
        <v/>
      </c>
      <c r="K368" s="6" t="n"/>
      <c r="L368" s="6" t="n"/>
      <c r="M368" s="25" t="n"/>
      <c r="N368" s="10" t="n"/>
      <c r="O368" s="30">
        <f>IF(C368="","",N(E368)*Settings!$B$8)</f>
        <v/>
      </c>
      <c r="P368" s="30">
        <f>IF(C368="","",N(N368)*Settings!$B$10)</f>
        <v/>
      </c>
      <c r="Q368" s="30">
        <f>IF(C368="","",J368-N(M368)-O368-P368)</f>
        <v/>
      </c>
      <c r="R368" s="6" t="n"/>
    </row>
    <row r="369">
      <c r="A369" s="8">
        <f>IF(B369="","","J-"&amp;TEXT(ROW()-4,"0000"))</f>
        <v/>
      </c>
      <c r="B369" s="26" t="n"/>
      <c r="C369" s="6" t="n"/>
      <c r="D369" s="6" t="n"/>
      <c r="E369" s="29" t="n"/>
      <c r="F369" s="6" t="n"/>
      <c r="G369" s="25" t="n"/>
      <c r="H369" s="27">
        <f>IF(C369="","",IF(G369&lt;&gt;"",G369,IFERROR(INDEX(Clients!$G$5:$G$304,MATCH(C369,Clients!$A$5:$A$304,0)),0)))</f>
        <v/>
      </c>
      <c r="I369" s="25" t="n"/>
      <c r="J369" s="27">
        <f>IF(C369="","",H369+N(I369))</f>
        <v/>
      </c>
      <c r="K369" s="6" t="n"/>
      <c r="L369" s="6" t="n"/>
      <c r="M369" s="25" t="n"/>
      <c r="N369" s="10" t="n"/>
      <c r="O369" s="27">
        <f>IF(C369="","",N(E369)*Settings!$B$8)</f>
        <v/>
      </c>
      <c r="P369" s="27">
        <f>IF(C369="","",N(N369)*Settings!$B$10)</f>
        <v/>
      </c>
      <c r="Q369" s="27">
        <f>IF(C369="","",J369-N(M369)-O369-P369)</f>
        <v/>
      </c>
      <c r="R369" s="6" t="n"/>
    </row>
    <row r="370">
      <c r="A370" s="17">
        <f>IF(B370="","","J-"&amp;TEXT(ROW()-4,"0000"))</f>
        <v/>
      </c>
      <c r="B370" s="26" t="n"/>
      <c r="C370" s="6" t="n"/>
      <c r="D370" s="6" t="n"/>
      <c r="E370" s="29" t="n"/>
      <c r="F370" s="6" t="n"/>
      <c r="G370" s="25" t="n"/>
      <c r="H370" s="30">
        <f>IF(C370="","",IF(G370&lt;&gt;"",G370,IFERROR(INDEX(Clients!$G$5:$G$304,MATCH(C370,Clients!$A$5:$A$304,0)),0)))</f>
        <v/>
      </c>
      <c r="I370" s="25" t="n"/>
      <c r="J370" s="30">
        <f>IF(C370="","",H370+N(I370))</f>
        <v/>
      </c>
      <c r="K370" s="6" t="n"/>
      <c r="L370" s="6" t="n"/>
      <c r="M370" s="25" t="n"/>
      <c r="N370" s="10" t="n"/>
      <c r="O370" s="30">
        <f>IF(C370="","",N(E370)*Settings!$B$8)</f>
        <v/>
      </c>
      <c r="P370" s="30">
        <f>IF(C370="","",N(N370)*Settings!$B$10)</f>
        <v/>
      </c>
      <c r="Q370" s="30">
        <f>IF(C370="","",J370-N(M370)-O370-P370)</f>
        <v/>
      </c>
      <c r="R370" s="6" t="n"/>
    </row>
    <row r="371">
      <c r="A371" s="8">
        <f>IF(B371="","","J-"&amp;TEXT(ROW()-4,"0000"))</f>
        <v/>
      </c>
      <c r="B371" s="26" t="n"/>
      <c r="C371" s="6" t="n"/>
      <c r="D371" s="6" t="n"/>
      <c r="E371" s="29" t="n"/>
      <c r="F371" s="6" t="n"/>
      <c r="G371" s="25" t="n"/>
      <c r="H371" s="27">
        <f>IF(C371="","",IF(G371&lt;&gt;"",G371,IFERROR(INDEX(Clients!$G$5:$G$304,MATCH(C371,Clients!$A$5:$A$304,0)),0)))</f>
        <v/>
      </c>
      <c r="I371" s="25" t="n"/>
      <c r="J371" s="27">
        <f>IF(C371="","",H371+N(I371))</f>
        <v/>
      </c>
      <c r="K371" s="6" t="n"/>
      <c r="L371" s="6" t="n"/>
      <c r="M371" s="25" t="n"/>
      <c r="N371" s="10" t="n"/>
      <c r="O371" s="27">
        <f>IF(C371="","",N(E371)*Settings!$B$8)</f>
        <v/>
      </c>
      <c r="P371" s="27">
        <f>IF(C371="","",N(N371)*Settings!$B$10)</f>
        <v/>
      </c>
      <c r="Q371" s="27">
        <f>IF(C371="","",J371-N(M371)-O371-P371)</f>
        <v/>
      </c>
      <c r="R371" s="6" t="n"/>
    </row>
    <row r="372">
      <c r="A372" s="17">
        <f>IF(B372="","","J-"&amp;TEXT(ROW()-4,"0000"))</f>
        <v/>
      </c>
      <c r="B372" s="26" t="n"/>
      <c r="C372" s="6" t="n"/>
      <c r="D372" s="6" t="n"/>
      <c r="E372" s="29" t="n"/>
      <c r="F372" s="6" t="n"/>
      <c r="G372" s="25" t="n"/>
      <c r="H372" s="30">
        <f>IF(C372="","",IF(G372&lt;&gt;"",G372,IFERROR(INDEX(Clients!$G$5:$G$304,MATCH(C372,Clients!$A$5:$A$304,0)),0)))</f>
        <v/>
      </c>
      <c r="I372" s="25" t="n"/>
      <c r="J372" s="30">
        <f>IF(C372="","",H372+N(I372))</f>
        <v/>
      </c>
      <c r="K372" s="6" t="n"/>
      <c r="L372" s="6" t="n"/>
      <c r="M372" s="25" t="n"/>
      <c r="N372" s="10" t="n"/>
      <c r="O372" s="30">
        <f>IF(C372="","",N(E372)*Settings!$B$8)</f>
        <v/>
      </c>
      <c r="P372" s="30">
        <f>IF(C372="","",N(N372)*Settings!$B$10)</f>
        <v/>
      </c>
      <c r="Q372" s="30">
        <f>IF(C372="","",J372-N(M372)-O372-P372)</f>
        <v/>
      </c>
      <c r="R372" s="6" t="n"/>
    </row>
    <row r="373">
      <c r="A373" s="8">
        <f>IF(B373="","","J-"&amp;TEXT(ROW()-4,"0000"))</f>
        <v/>
      </c>
      <c r="B373" s="26" t="n"/>
      <c r="C373" s="6" t="n"/>
      <c r="D373" s="6" t="n"/>
      <c r="E373" s="29" t="n"/>
      <c r="F373" s="6" t="n"/>
      <c r="G373" s="25" t="n"/>
      <c r="H373" s="27">
        <f>IF(C373="","",IF(G373&lt;&gt;"",G373,IFERROR(INDEX(Clients!$G$5:$G$304,MATCH(C373,Clients!$A$5:$A$304,0)),0)))</f>
        <v/>
      </c>
      <c r="I373" s="25" t="n"/>
      <c r="J373" s="27">
        <f>IF(C373="","",H373+N(I373))</f>
        <v/>
      </c>
      <c r="K373" s="6" t="n"/>
      <c r="L373" s="6" t="n"/>
      <c r="M373" s="25" t="n"/>
      <c r="N373" s="10" t="n"/>
      <c r="O373" s="27">
        <f>IF(C373="","",N(E373)*Settings!$B$8)</f>
        <v/>
      </c>
      <c r="P373" s="27">
        <f>IF(C373="","",N(N373)*Settings!$B$10)</f>
        <v/>
      </c>
      <c r="Q373" s="27">
        <f>IF(C373="","",J373-N(M373)-O373-P373)</f>
        <v/>
      </c>
      <c r="R373" s="6" t="n"/>
    </row>
    <row r="374">
      <c r="A374" s="17">
        <f>IF(B374="","","J-"&amp;TEXT(ROW()-4,"0000"))</f>
        <v/>
      </c>
      <c r="B374" s="26" t="n"/>
      <c r="C374" s="6" t="n"/>
      <c r="D374" s="6" t="n"/>
      <c r="E374" s="29" t="n"/>
      <c r="F374" s="6" t="n"/>
      <c r="G374" s="25" t="n"/>
      <c r="H374" s="30">
        <f>IF(C374="","",IF(G374&lt;&gt;"",G374,IFERROR(INDEX(Clients!$G$5:$G$304,MATCH(C374,Clients!$A$5:$A$304,0)),0)))</f>
        <v/>
      </c>
      <c r="I374" s="25" t="n"/>
      <c r="J374" s="30">
        <f>IF(C374="","",H374+N(I374))</f>
        <v/>
      </c>
      <c r="K374" s="6" t="n"/>
      <c r="L374" s="6" t="n"/>
      <c r="M374" s="25" t="n"/>
      <c r="N374" s="10" t="n"/>
      <c r="O374" s="30">
        <f>IF(C374="","",N(E374)*Settings!$B$8)</f>
        <v/>
      </c>
      <c r="P374" s="30">
        <f>IF(C374="","",N(N374)*Settings!$B$10)</f>
        <v/>
      </c>
      <c r="Q374" s="30">
        <f>IF(C374="","",J374-N(M374)-O374-P374)</f>
        <v/>
      </c>
      <c r="R374" s="6" t="n"/>
    </row>
    <row r="375">
      <c r="A375" s="8">
        <f>IF(B375="","","J-"&amp;TEXT(ROW()-4,"0000"))</f>
        <v/>
      </c>
      <c r="B375" s="26" t="n"/>
      <c r="C375" s="6" t="n"/>
      <c r="D375" s="6" t="n"/>
      <c r="E375" s="29" t="n"/>
      <c r="F375" s="6" t="n"/>
      <c r="G375" s="25" t="n"/>
      <c r="H375" s="27">
        <f>IF(C375="","",IF(G375&lt;&gt;"",G375,IFERROR(INDEX(Clients!$G$5:$G$304,MATCH(C375,Clients!$A$5:$A$304,0)),0)))</f>
        <v/>
      </c>
      <c r="I375" s="25" t="n"/>
      <c r="J375" s="27">
        <f>IF(C375="","",H375+N(I375))</f>
        <v/>
      </c>
      <c r="K375" s="6" t="n"/>
      <c r="L375" s="6" t="n"/>
      <c r="M375" s="25" t="n"/>
      <c r="N375" s="10" t="n"/>
      <c r="O375" s="27">
        <f>IF(C375="","",N(E375)*Settings!$B$8)</f>
        <v/>
      </c>
      <c r="P375" s="27">
        <f>IF(C375="","",N(N375)*Settings!$B$10)</f>
        <v/>
      </c>
      <c r="Q375" s="27">
        <f>IF(C375="","",J375-N(M375)-O375-P375)</f>
        <v/>
      </c>
      <c r="R375" s="6" t="n"/>
    </row>
    <row r="376">
      <c r="A376" s="17">
        <f>IF(B376="","","J-"&amp;TEXT(ROW()-4,"0000"))</f>
        <v/>
      </c>
      <c r="B376" s="26" t="n"/>
      <c r="C376" s="6" t="n"/>
      <c r="D376" s="6" t="n"/>
      <c r="E376" s="29" t="n"/>
      <c r="F376" s="6" t="n"/>
      <c r="G376" s="25" t="n"/>
      <c r="H376" s="30">
        <f>IF(C376="","",IF(G376&lt;&gt;"",G376,IFERROR(INDEX(Clients!$G$5:$G$304,MATCH(C376,Clients!$A$5:$A$304,0)),0)))</f>
        <v/>
      </c>
      <c r="I376" s="25" t="n"/>
      <c r="J376" s="30">
        <f>IF(C376="","",H376+N(I376))</f>
        <v/>
      </c>
      <c r="K376" s="6" t="n"/>
      <c r="L376" s="6" t="n"/>
      <c r="M376" s="25" t="n"/>
      <c r="N376" s="10" t="n"/>
      <c r="O376" s="30">
        <f>IF(C376="","",N(E376)*Settings!$B$8)</f>
        <v/>
      </c>
      <c r="P376" s="30">
        <f>IF(C376="","",N(N376)*Settings!$B$10)</f>
        <v/>
      </c>
      <c r="Q376" s="30">
        <f>IF(C376="","",J376-N(M376)-O376-P376)</f>
        <v/>
      </c>
      <c r="R376" s="6" t="n"/>
    </row>
    <row r="377">
      <c r="A377" s="8">
        <f>IF(B377="","","J-"&amp;TEXT(ROW()-4,"0000"))</f>
        <v/>
      </c>
      <c r="B377" s="26" t="n"/>
      <c r="C377" s="6" t="n"/>
      <c r="D377" s="6" t="n"/>
      <c r="E377" s="29" t="n"/>
      <c r="F377" s="6" t="n"/>
      <c r="G377" s="25" t="n"/>
      <c r="H377" s="27">
        <f>IF(C377="","",IF(G377&lt;&gt;"",G377,IFERROR(INDEX(Clients!$G$5:$G$304,MATCH(C377,Clients!$A$5:$A$304,0)),0)))</f>
        <v/>
      </c>
      <c r="I377" s="25" t="n"/>
      <c r="J377" s="27">
        <f>IF(C377="","",H377+N(I377))</f>
        <v/>
      </c>
      <c r="K377" s="6" t="n"/>
      <c r="L377" s="6" t="n"/>
      <c r="M377" s="25" t="n"/>
      <c r="N377" s="10" t="n"/>
      <c r="O377" s="27">
        <f>IF(C377="","",N(E377)*Settings!$B$8)</f>
        <v/>
      </c>
      <c r="P377" s="27">
        <f>IF(C377="","",N(N377)*Settings!$B$10)</f>
        <v/>
      </c>
      <c r="Q377" s="27">
        <f>IF(C377="","",J377-N(M377)-O377-P377)</f>
        <v/>
      </c>
      <c r="R377" s="6" t="n"/>
    </row>
    <row r="378">
      <c r="A378" s="17">
        <f>IF(B378="","","J-"&amp;TEXT(ROW()-4,"0000"))</f>
        <v/>
      </c>
      <c r="B378" s="26" t="n"/>
      <c r="C378" s="6" t="n"/>
      <c r="D378" s="6" t="n"/>
      <c r="E378" s="29" t="n"/>
      <c r="F378" s="6" t="n"/>
      <c r="G378" s="25" t="n"/>
      <c r="H378" s="30">
        <f>IF(C378="","",IF(G378&lt;&gt;"",G378,IFERROR(INDEX(Clients!$G$5:$G$304,MATCH(C378,Clients!$A$5:$A$304,0)),0)))</f>
        <v/>
      </c>
      <c r="I378" s="25" t="n"/>
      <c r="J378" s="30">
        <f>IF(C378="","",H378+N(I378))</f>
        <v/>
      </c>
      <c r="K378" s="6" t="n"/>
      <c r="L378" s="6" t="n"/>
      <c r="M378" s="25" t="n"/>
      <c r="N378" s="10" t="n"/>
      <c r="O378" s="30">
        <f>IF(C378="","",N(E378)*Settings!$B$8)</f>
        <v/>
      </c>
      <c r="P378" s="30">
        <f>IF(C378="","",N(N378)*Settings!$B$10)</f>
        <v/>
      </c>
      <c r="Q378" s="30">
        <f>IF(C378="","",J378-N(M378)-O378-P378)</f>
        <v/>
      </c>
      <c r="R378" s="6" t="n"/>
    </row>
    <row r="379">
      <c r="A379" s="8">
        <f>IF(B379="","","J-"&amp;TEXT(ROW()-4,"0000"))</f>
        <v/>
      </c>
      <c r="B379" s="26" t="n"/>
      <c r="C379" s="6" t="n"/>
      <c r="D379" s="6" t="n"/>
      <c r="E379" s="29" t="n"/>
      <c r="F379" s="6" t="n"/>
      <c r="G379" s="25" t="n"/>
      <c r="H379" s="27">
        <f>IF(C379="","",IF(G379&lt;&gt;"",G379,IFERROR(INDEX(Clients!$G$5:$G$304,MATCH(C379,Clients!$A$5:$A$304,0)),0)))</f>
        <v/>
      </c>
      <c r="I379" s="25" t="n"/>
      <c r="J379" s="27">
        <f>IF(C379="","",H379+N(I379))</f>
        <v/>
      </c>
      <c r="K379" s="6" t="n"/>
      <c r="L379" s="6" t="n"/>
      <c r="M379" s="25" t="n"/>
      <c r="N379" s="10" t="n"/>
      <c r="O379" s="27">
        <f>IF(C379="","",N(E379)*Settings!$B$8)</f>
        <v/>
      </c>
      <c r="P379" s="27">
        <f>IF(C379="","",N(N379)*Settings!$B$10)</f>
        <v/>
      </c>
      <c r="Q379" s="27">
        <f>IF(C379="","",J379-N(M379)-O379-P379)</f>
        <v/>
      </c>
      <c r="R379" s="6" t="n"/>
    </row>
    <row r="380">
      <c r="A380" s="17">
        <f>IF(B380="","","J-"&amp;TEXT(ROW()-4,"0000"))</f>
        <v/>
      </c>
      <c r="B380" s="26" t="n"/>
      <c r="C380" s="6" t="n"/>
      <c r="D380" s="6" t="n"/>
      <c r="E380" s="29" t="n"/>
      <c r="F380" s="6" t="n"/>
      <c r="G380" s="25" t="n"/>
      <c r="H380" s="30">
        <f>IF(C380="","",IF(G380&lt;&gt;"",G380,IFERROR(INDEX(Clients!$G$5:$G$304,MATCH(C380,Clients!$A$5:$A$304,0)),0)))</f>
        <v/>
      </c>
      <c r="I380" s="25" t="n"/>
      <c r="J380" s="30">
        <f>IF(C380="","",H380+N(I380))</f>
        <v/>
      </c>
      <c r="K380" s="6" t="n"/>
      <c r="L380" s="6" t="n"/>
      <c r="M380" s="25" t="n"/>
      <c r="N380" s="10" t="n"/>
      <c r="O380" s="30">
        <f>IF(C380="","",N(E380)*Settings!$B$8)</f>
        <v/>
      </c>
      <c r="P380" s="30">
        <f>IF(C380="","",N(N380)*Settings!$B$10)</f>
        <v/>
      </c>
      <c r="Q380" s="30">
        <f>IF(C380="","",J380-N(M380)-O380-P380)</f>
        <v/>
      </c>
      <c r="R380" s="6" t="n"/>
    </row>
    <row r="381">
      <c r="A381" s="8">
        <f>IF(B381="","","J-"&amp;TEXT(ROW()-4,"0000"))</f>
        <v/>
      </c>
      <c r="B381" s="26" t="n"/>
      <c r="C381" s="6" t="n"/>
      <c r="D381" s="6" t="n"/>
      <c r="E381" s="29" t="n"/>
      <c r="F381" s="6" t="n"/>
      <c r="G381" s="25" t="n"/>
      <c r="H381" s="27">
        <f>IF(C381="","",IF(G381&lt;&gt;"",G381,IFERROR(INDEX(Clients!$G$5:$G$304,MATCH(C381,Clients!$A$5:$A$304,0)),0)))</f>
        <v/>
      </c>
      <c r="I381" s="25" t="n"/>
      <c r="J381" s="27">
        <f>IF(C381="","",H381+N(I381))</f>
        <v/>
      </c>
      <c r="K381" s="6" t="n"/>
      <c r="L381" s="6" t="n"/>
      <c r="M381" s="25" t="n"/>
      <c r="N381" s="10" t="n"/>
      <c r="O381" s="27">
        <f>IF(C381="","",N(E381)*Settings!$B$8)</f>
        <v/>
      </c>
      <c r="P381" s="27">
        <f>IF(C381="","",N(N381)*Settings!$B$10)</f>
        <v/>
      </c>
      <c r="Q381" s="27">
        <f>IF(C381="","",J381-N(M381)-O381-P381)</f>
        <v/>
      </c>
      <c r="R381" s="6" t="n"/>
    </row>
    <row r="382">
      <c r="A382" s="17">
        <f>IF(B382="","","J-"&amp;TEXT(ROW()-4,"0000"))</f>
        <v/>
      </c>
      <c r="B382" s="26" t="n"/>
      <c r="C382" s="6" t="n"/>
      <c r="D382" s="6" t="n"/>
      <c r="E382" s="29" t="n"/>
      <c r="F382" s="6" t="n"/>
      <c r="G382" s="25" t="n"/>
      <c r="H382" s="30">
        <f>IF(C382="","",IF(G382&lt;&gt;"",G382,IFERROR(INDEX(Clients!$G$5:$G$304,MATCH(C382,Clients!$A$5:$A$304,0)),0)))</f>
        <v/>
      </c>
      <c r="I382" s="25" t="n"/>
      <c r="J382" s="30">
        <f>IF(C382="","",H382+N(I382))</f>
        <v/>
      </c>
      <c r="K382" s="6" t="n"/>
      <c r="L382" s="6" t="n"/>
      <c r="M382" s="25" t="n"/>
      <c r="N382" s="10" t="n"/>
      <c r="O382" s="30">
        <f>IF(C382="","",N(E382)*Settings!$B$8)</f>
        <v/>
      </c>
      <c r="P382" s="30">
        <f>IF(C382="","",N(N382)*Settings!$B$10)</f>
        <v/>
      </c>
      <c r="Q382" s="30">
        <f>IF(C382="","",J382-N(M382)-O382-P382)</f>
        <v/>
      </c>
      <c r="R382" s="6" t="n"/>
    </row>
    <row r="383">
      <c r="A383" s="8">
        <f>IF(B383="","","J-"&amp;TEXT(ROW()-4,"0000"))</f>
        <v/>
      </c>
      <c r="B383" s="26" t="n"/>
      <c r="C383" s="6" t="n"/>
      <c r="D383" s="6" t="n"/>
      <c r="E383" s="29" t="n"/>
      <c r="F383" s="6" t="n"/>
      <c r="G383" s="25" t="n"/>
      <c r="H383" s="27">
        <f>IF(C383="","",IF(G383&lt;&gt;"",G383,IFERROR(INDEX(Clients!$G$5:$G$304,MATCH(C383,Clients!$A$5:$A$304,0)),0)))</f>
        <v/>
      </c>
      <c r="I383" s="25" t="n"/>
      <c r="J383" s="27">
        <f>IF(C383="","",H383+N(I383))</f>
        <v/>
      </c>
      <c r="K383" s="6" t="n"/>
      <c r="L383" s="6" t="n"/>
      <c r="M383" s="25" t="n"/>
      <c r="N383" s="10" t="n"/>
      <c r="O383" s="27">
        <f>IF(C383="","",N(E383)*Settings!$B$8)</f>
        <v/>
      </c>
      <c r="P383" s="27">
        <f>IF(C383="","",N(N383)*Settings!$B$10)</f>
        <v/>
      </c>
      <c r="Q383" s="27">
        <f>IF(C383="","",J383-N(M383)-O383-P383)</f>
        <v/>
      </c>
      <c r="R383" s="6" t="n"/>
    </row>
    <row r="384">
      <c r="A384" s="17">
        <f>IF(B384="","","J-"&amp;TEXT(ROW()-4,"0000"))</f>
        <v/>
      </c>
      <c r="B384" s="26" t="n"/>
      <c r="C384" s="6" t="n"/>
      <c r="D384" s="6" t="n"/>
      <c r="E384" s="29" t="n"/>
      <c r="F384" s="6" t="n"/>
      <c r="G384" s="25" t="n"/>
      <c r="H384" s="30">
        <f>IF(C384="","",IF(G384&lt;&gt;"",G384,IFERROR(INDEX(Clients!$G$5:$G$304,MATCH(C384,Clients!$A$5:$A$304,0)),0)))</f>
        <v/>
      </c>
      <c r="I384" s="25" t="n"/>
      <c r="J384" s="30">
        <f>IF(C384="","",H384+N(I384))</f>
        <v/>
      </c>
      <c r="K384" s="6" t="n"/>
      <c r="L384" s="6" t="n"/>
      <c r="M384" s="25" t="n"/>
      <c r="N384" s="10" t="n"/>
      <c r="O384" s="30">
        <f>IF(C384="","",N(E384)*Settings!$B$8)</f>
        <v/>
      </c>
      <c r="P384" s="30">
        <f>IF(C384="","",N(N384)*Settings!$B$10)</f>
        <v/>
      </c>
      <c r="Q384" s="30">
        <f>IF(C384="","",J384-N(M384)-O384-P384)</f>
        <v/>
      </c>
      <c r="R384" s="6" t="n"/>
    </row>
    <row r="385">
      <c r="A385" s="8">
        <f>IF(B385="","","J-"&amp;TEXT(ROW()-4,"0000"))</f>
        <v/>
      </c>
      <c r="B385" s="26" t="n"/>
      <c r="C385" s="6" t="n"/>
      <c r="D385" s="6" t="n"/>
      <c r="E385" s="29" t="n"/>
      <c r="F385" s="6" t="n"/>
      <c r="G385" s="25" t="n"/>
      <c r="H385" s="27">
        <f>IF(C385="","",IF(G385&lt;&gt;"",G385,IFERROR(INDEX(Clients!$G$5:$G$304,MATCH(C385,Clients!$A$5:$A$304,0)),0)))</f>
        <v/>
      </c>
      <c r="I385" s="25" t="n"/>
      <c r="J385" s="27">
        <f>IF(C385="","",H385+N(I385))</f>
        <v/>
      </c>
      <c r="K385" s="6" t="n"/>
      <c r="L385" s="6" t="n"/>
      <c r="M385" s="25" t="n"/>
      <c r="N385" s="10" t="n"/>
      <c r="O385" s="27">
        <f>IF(C385="","",N(E385)*Settings!$B$8)</f>
        <v/>
      </c>
      <c r="P385" s="27">
        <f>IF(C385="","",N(N385)*Settings!$B$10)</f>
        <v/>
      </c>
      <c r="Q385" s="27">
        <f>IF(C385="","",J385-N(M385)-O385-P385)</f>
        <v/>
      </c>
      <c r="R385" s="6" t="n"/>
    </row>
    <row r="386">
      <c r="A386" s="17">
        <f>IF(B386="","","J-"&amp;TEXT(ROW()-4,"0000"))</f>
        <v/>
      </c>
      <c r="B386" s="26" t="n"/>
      <c r="C386" s="6" t="n"/>
      <c r="D386" s="6" t="n"/>
      <c r="E386" s="29" t="n"/>
      <c r="F386" s="6" t="n"/>
      <c r="G386" s="25" t="n"/>
      <c r="H386" s="30">
        <f>IF(C386="","",IF(G386&lt;&gt;"",G386,IFERROR(INDEX(Clients!$G$5:$G$304,MATCH(C386,Clients!$A$5:$A$304,0)),0)))</f>
        <v/>
      </c>
      <c r="I386" s="25" t="n"/>
      <c r="J386" s="30">
        <f>IF(C386="","",H386+N(I386))</f>
        <v/>
      </c>
      <c r="K386" s="6" t="n"/>
      <c r="L386" s="6" t="n"/>
      <c r="M386" s="25" t="n"/>
      <c r="N386" s="10" t="n"/>
      <c r="O386" s="30">
        <f>IF(C386="","",N(E386)*Settings!$B$8)</f>
        <v/>
      </c>
      <c r="P386" s="30">
        <f>IF(C386="","",N(N386)*Settings!$B$10)</f>
        <v/>
      </c>
      <c r="Q386" s="30">
        <f>IF(C386="","",J386-N(M386)-O386-P386)</f>
        <v/>
      </c>
      <c r="R386" s="6" t="n"/>
    </row>
    <row r="387">
      <c r="A387" s="8">
        <f>IF(B387="","","J-"&amp;TEXT(ROW()-4,"0000"))</f>
        <v/>
      </c>
      <c r="B387" s="26" t="n"/>
      <c r="C387" s="6" t="n"/>
      <c r="D387" s="6" t="n"/>
      <c r="E387" s="29" t="n"/>
      <c r="F387" s="6" t="n"/>
      <c r="G387" s="25" t="n"/>
      <c r="H387" s="27">
        <f>IF(C387="","",IF(G387&lt;&gt;"",G387,IFERROR(INDEX(Clients!$G$5:$G$304,MATCH(C387,Clients!$A$5:$A$304,0)),0)))</f>
        <v/>
      </c>
      <c r="I387" s="25" t="n"/>
      <c r="J387" s="27">
        <f>IF(C387="","",H387+N(I387))</f>
        <v/>
      </c>
      <c r="K387" s="6" t="n"/>
      <c r="L387" s="6" t="n"/>
      <c r="M387" s="25" t="n"/>
      <c r="N387" s="10" t="n"/>
      <c r="O387" s="27">
        <f>IF(C387="","",N(E387)*Settings!$B$8)</f>
        <v/>
      </c>
      <c r="P387" s="27">
        <f>IF(C387="","",N(N387)*Settings!$B$10)</f>
        <v/>
      </c>
      <c r="Q387" s="27">
        <f>IF(C387="","",J387-N(M387)-O387-P387)</f>
        <v/>
      </c>
      <c r="R387" s="6" t="n"/>
    </row>
    <row r="388">
      <c r="A388" s="17">
        <f>IF(B388="","","J-"&amp;TEXT(ROW()-4,"0000"))</f>
        <v/>
      </c>
      <c r="B388" s="26" t="n"/>
      <c r="C388" s="6" t="n"/>
      <c r="D388" s="6" t="n"/>
      <c r="E388" s="29" t="n"/>
      <c r="F388" s="6" t="n"/>
      <c r="G388" s="25" t="n"/>
      <c r="H388" s="30">
        <f>IF(C388="","",IF(G388&lt;&gt;"",G388,IFERROR(INDEX(Clients!$G$5:$G$304,MATCH(C388,Clients!$A$5:$A$304,0)),0)))</f>
        <v/>
      </c>
      <c r="I388" s="25" t="n"/>
      <c r="J388" s="30">
        <f>IF(C388="","",H388+N(I388))</f>
        <v/>
      </c>
      <c r="K388" s="6" t="n"/>
      <c r="L388" s="6" t="n"/>
      <c r="M388" s="25" t="n"/>
      <c r="N388" s="10" t="n"/>
      <c r="O388" s="30">
        <f>IF(C388="","",N(E388)*Settings!$B$8)</f>
        <v/>
      </c>
      <c r="P388" s="30">
        <f>IF(C388="","",N(N388)*Settings!$B$10)</f>
        <v/>
      </c>
      <c r="Q388" s="30">
        <f>IF(C388="","",J388-N(M388)-O388-P388)</f>
        <v/>
      </c>
      <c r="R388" s="6" t="n"/>
    </row>
    <row r="389">
      <c r="A389" s="8">
        <f>IF(B389="","","J-"&amp;TEXT(ROW()-4,"0000"))</f>
        <v/>
      </c>
      <c r="B389" s="26" t="n"/>
      <c r="C389" s="6" t="n"/>
      <c r="D389" s="6" t="n"/>
      <c r="E389" s="29" t="n"/>
      <c r="F389" s="6" t="n"/>
      <c r="G389" s="25" t="n"/>
      <c r="H389" s="27">
        <f>IF(C389="","",IF(G389&lt;&gt;"",G389,IFERROR(INDEX(Clients!$G$5:$G$304,MATCH(C389,Clients!$A$5:$A$304,0)),0)))</f>
        <v/>
      </c>
      <c r="I389" s="25" t="n"/>
      <c r="J389" s="27">
        <f>IF(C389="","",H389+N(I389))</f>
        <v/>
      </c>
      <c r="K389" s="6" t="n"/>
      <c r="L389" s="6" t="n"/>
      <c r="M389" s="25" t="n"/>
      <c r="N389" s="10" t="n"/>
      <c r="O389" s="27">
        <f>IF(C389="","",N(E389)*Settings!$B$8)</f>
        <v/>
      </c>
      <c r="P389" s="27">
        <f>IF(C389="","",N(N389)*Settings!$B$10)</f>
        <v/>
      </c>
      <c r="Q389" s="27">
        <f>IF(C389="","",J389-N(M389)-O389-P389)</f>
        <v/>
      </c>
      <c r="R389" s="6" t="n"/>
    </row>
    <row r="390">
      <c r="A390" s="17">
        <f>IF(B390="","","J-"&amp;TEXT(ROW()-4,"0000"))</f>
        <v/>
      </c>
      <c r="B390" s="26" t="n"/>
      <c r="C390" s="6" t="n"/>
      <c r="D390" s="6" t="n"/>
      <c r="E390" s="29" t="n"/>
      <c r="F390" s="6" t="n"/>
      <c r="G390" s="25" t="n"/>
      <c r="H390" s="30">
        <f>IF(C390="","",IF(G390&lt;&gt;"",G390,IFERROR(INDEX(Clients!$G$5:$G$304,MATCH(C390,Clients!$A$5:$A$304,0)),0)))</f>
        <v/>
      </c>
      <c r="I390" s="25" t="n"/>
      <c r="J390" s="30">
        <f>IF(C390="","",H390+N(I390))</f>
        <v/>
      </c>
      <c r="K390" s="6" t="n"/>
      <c r="L390" s="6" t="n"/>
      <c r="M390" s="25" t="n"/>
      <c r="N390" s="10" t="n"/>
      <c r="O390" s="30">
        <f>IF(C390="","",N(E390)*Settings!$B$8)</f>
        <v/>
      </c>
      <c r="P390" s="30">
        <f>IF(C390="","",N(N390)*Settings!$B$10)</f>
        <v/>
      </c>
      <c r="Q390" s="30">
        <f>IF(C390="","",J390-N(M390)-O390-P390)</f>
        <v/>
      </c>
      <c r="R390" s="6" t="n"/>
    </row>
    <row r="391">
      <c r="A391" s="8">
        <f>IF(B391="","","J-"&amp;TEXT(ROW()-4,"0000"))</f>
        <v/>
      </c>
      <c r="B391" s="26" t="n"/>
      <c r="C391" s="6" t="n"/>
      <c r="D391" s="6" t="n"/>
      <c r="E391" s="29" t="n"/>
      <c r="F391" s="6" t="n"/>
      <c r="G391" s="25" t="n"/>
      <c r="H391" s="27">
        <f>IF(C391="","",IF(G391&lt;&gt;"",G391,IFERROR(INDEX(Clients!$G$5:$G$304,MATCH(C391,Clients!$A$5:$A$304,0)),0)))</f>
        <v/>
      </c>
      <c r="I391" s="25" t="n"/>
      <c r="J391" s="27">
        <f>IF(C391="","",H391+N(I391))</f>
        <v/>
      </c>
      <c r="K391" s="6" t="n"/>
      <c r="L391" s="6" t="n"/>
      <c r="M391" s="25" t="n"/>
      <c r="N391" s="10" t="n"/>
      <c r="O391" s="27">
        <f>IF(C391="","",N(E391)*Settings!$B$8)</f>
        <v/>
      </c>
      <c r="P391" s="27">
        <f>IF(C391="","",N(N391)*Settings!$B$10)</f>
        <v/>
      </c>
      <c r="Q391" s="27">
        <f>IF(C391="","",J391-N(M391)-O391-P391)</f>
        <v/>
      </c>
      <c r="R391" s="6" t="n"/>
    </row>
    <row r="392">
      <c r="A392" s="17">
        <f>IF(B392="","","J-"&amp;TEXT(ROW()-4,"0000"))</f>
        <v/>
      </c>
      <c r="B392" s="26" t="n"/>
      <c r="C392" s="6" t="n"/>
      <c r="D392" s="6" t="n"/>
      <c r="E392" s="29" t="n"/>
      <c r="F392" s="6" t="n"/>
      <c r="G392" s="25" t="n"/>
      <c r="H392" s="30">
        <f>IF(C392="","",IF(G392&lt;&gt;"",G392,IFERROR(INDEX(Clients!$G$5:$G$304,MATCH(C392,Clients!$A$5:$A$304,0)),0)))</f>
        <v/>
      </c>
      <c r="I392" s="25" t="n"/>
      <c r="J392" s="30">
        <f>IF(C392="","",H392+N(I392))</f>
        <v/>
      </c>
      <c r="K392" s="6" t="n"/>
      <c r="L392" s="6" t="n"/>
      <c r="M392" s="25" t="n"/>
      <c r="N392" s="10" t="n"/>
      <c r="O392" s="30">
        <f>IF(C392="","",N(E392)*Settings!$B$8)</f>
        <v/>
      </c>
      <c r="P392" s="30">
        <f>IF(C392="","",N(N392)*Settings!$B$10)</f>
        <v/>
      </c>
      <c r="Q392" s="30">
        <f>IF(C392="","",J392-N(M392)-O392-P392)</f>
        <v/>
      </c>
      <c r="R392" s="6" t="n"/>
    </row>
    <row r="393">
      <c r="A393" s="8">
        <f>IF(B393="","","J-"&amp;TEXT(ROW()-4,"0000"))</f>
        <v/>
      </c>
      <c r="B393" s="26" t="n"/>
      <c r="C393" s="6" t="n"/>
      <c r="D393" s="6" t="n"/>
      <c r="E393" s="29" t="n"/>
      <c r="F393" s="6" t="n"/>
      <c r="G393" s="25" t="n"/>
      <c r="H393" s="27">
        <f>IF(C393="","",IF(G393&lt;&gt;"",G393,IFERROR(INDEX(Clients!$G$5:$G$304,MATCH(C393,Clients!$A$5:$A$304,0)),0)))</f>
        <v/>
      </c>
      <c r="I393" s="25" t="n"/>
      <c r="J393" s="27">
        <f>IF(C393="","",H393+N(I393))</f>
        <v/>
      </c>
      <c r="K393" s="6" t="n"/>
      <c r="L393" s="6" t="n"/>
      <c r="M393" s="25" t="n"/>
      <c r="N393" s="10" t="n"/>
      <c r="O393" s="27">
        <f>IF(C393="","",N(E393)*Settings!$B$8)</f>
        <v/>
      </c>
      <c r="P393" s="27">
        <f>IF(C393="","",N(N393)*Settings!$B$10)</f>
        <v/>
      </c>
      <c r="Q393" s="27">
        <f>IF(C393="","",J393-N(M393)-O393-P393)</f>
        <v/>
      </c>
      <c r="R393" s="6" t="n"/>
    </row>
    <row r="394">
      <c r="A394" s="17">
        <f>IF(B394="","","J-"&amp;TEXT(ROW()-4,"0000"))</f>
        <v/>
      </c>
      <c r="B394" s="26" t="n"/>
      <c r="C394" s="6" t="n"/>
      <c r="D394" s="6" t="n"/>
      <c r="E394" s="29" t="n"/>
      <c r="F394" s="6" t="n"/>
      <c r="G394" s="25" t="n"/>
      <c r="H394" s="30">
        <f>IF(C394="","",IF(G394&lt;&gt;"",G394,IFERROR(INDEX(Clients!$G$5:$G$304,MATCH(C394,Clients!$A$5:$A$304,0)),0)))</f>
        <v/>
      </c>
      <c r="I394" s="25" t="n"/>
      <c r="J394" s="30">
        <f>IF(C394="","",H394+N(I394))</f>
        <v/>
      </c>
      <c r="K394" s="6" t="n"/>
      <c r="L394" s="6" t="n"/>
      <c r="M394" s="25" t="n"/>
      <c r="N394" s="10" t="n"/>
      <c r="O394" s="30">
        <f>IF(C394="","",N(E394)*Settings!$B$8)</f>
        <v/>
      </c>
      <c r="P394" s="30">
        <f>IF(C394="","",N(N394)*Settings!$B$10)</f>
        <v/>
      </c>
      <c r="Q394" s="30">
        <f>IF(C394="","",J394-N(M394)-O394-P394)</f>
        <v/>
      </c>
      <c r="R394" s="6" t="n"/>
    </row>
    <row r="395">
      <c r="A395" s="8">
        <f>IF(B395="","","J-"&amp;TEXT(ROW()-4,"0000"))</f>
        <v/>
      </c>
      <c r="B395" s="26" t="n"/>
      <c r="C395" s="6" t="n"/>
      <c r="D395" s="6" t="n"/>
      <c r="E395" s="29" t="n"/>
      <c r="F395" s="6" t="n"/>
      <c r="G395" s="25" t="n"/>
      <c r="H395" s="27">
        <f>IF(C395="","",IF(G395&lt;&gt;"",G395,IFERROR(INDEX(Clients!$G$5:$G$304,MATCH(C395,Clients!$A$5:$A$304,0)),0)))</f>
        <v/>
      </c>
      <c r="I395" s="25" t="n"/>
      <c r="J395" s="27">
        <f>IF(C395="","",H395+N(I395))</f>
        <v/>
      </c>
      <c r="K395" s="6" t="n"/>
      <c r="L395" s="6" t="n"/>
      <c r="M395" s="25" t="n"/>
      <c r="N395" s="10" t="n"/>
      <c r="O395" s="27">
        <f>IF(C395="","",N(E395)*Settings!$B$8)</f>
        <v/>
      </c>
      <c r="P395" s="27">
        <f>IF(C395="","",N(N395)*Settings!$B$10)</f>
        <v/>
      </c>
      <c r="Q395" s="27">
        <f>IF(C395="","",J395-N(M395)-O395-P395)</f>
        <v/>
      </c>
      <c r="R395" s="6" t="n"/>
    </row>
    <row r="396">
      <c r="A396" s="17">
        <f>IF(B396="","","J-"&amp;TEXT(ROW()-4,"0000"))</f>
        <v/>
      </c>
      <c r="B396" s="26" t="n"/>
      <c r="C396" s="6" t="n"/>
      <c r="D396" s="6" t="n"/>
      <c r="E396" s="29" t="n"/>
      <c r="F396" s="6" t="n"/>
      <c r="G396" s="25" t="n"/>
      <c r="H396" s="30">
        <f>IF(C396="","",IF(G396&lt;&gt;"",G396,IFERROR(INDEX(Clients!$G$5:$G$304,MATCH(C396,Clients!$A$5:$A$304,0)),0)))</f>
        <v/>
      </c>
      <c r="I396" s="25" t="n"/>
      <c r="J396" s="30">
        <f>IF(C396="","",H396+N(I396))</f>
        <v/>
      </c>
      <c r="K396" s="6" t="n"/>
      <c r="L396" s="6" t="n"/>
      <c r="M396" s="25" t="n"/>
      <c r="N396" s="10" t="n"/>
      <c r="O396" s="30">
        <f>IF(C396="","",N(E396)*Settings!$B$8)</f>
        <v/>
      </c>
      <c r="P396" s="30">
        <f>IF(C396="","",N(N396)*Settings!$B$10)</f>
        <v/>
      </c>
      <c r="Q396" s="30">
        <f>IF(C396="","",J396-N(M396)-O396-P396)</f>
        <v/>
      </c>
      <c r="R396" s="6" t="n"/>
    </row>
    <row r="397">
      <c r="A397" s="8">
        <f>IF(B397="","","J-"&amp;TEXT(ROW()-4,"0000"))</f>
        <v/>
      </c>
      <c r="B397" s="26" t="n"/>
      <c r="C397" s="6" t="n"/>
      <c r="D397" s="6" t="n"/>
      <c r="E397" s="29" t="n"/>
      <c r="F397" s="6" t="n"/>
      <c r="G397" s="25" t="n"/>
      <c r="H397" s="27">
        <f>IF(C397="","",IF(G397&lt;&gt;"",G397,IFERROR(INDEX(Clients!$G$5:$G$304,MATCH(C397,Clients!$A$5:$A$304,0)),0)))</f>
        <v/>
      </c>
      <c r="I397" s="25" t="n"/>
      <c r="J397" s="27">
        <f>IF(C397="","",H397+N(I397))</f>
        <v/>
      </c>
      <c r="K397" s="6" t="n"/>
      <c r="L397" s="6" t="n"/>
      <c r="M397" s="25" t="n"/>
      <c r="N397" s="10" t="n"/>
      <c r="O397" s="27">
        <f>IF(C397="","",N(E397)*Settings!$B$8)</f>
        <v/>
      </c>
      <c r="P397" s="27">
        <f>IF(C397="","",N(N397)*Settings!$B$10)</f>
        <v/>
      </c>
      <c r="Q397" s="27">
        <f>IF(C397="","",J397-N(M397)-O397-P397)</f>
        <v/>
      </c>
      <c r="R397" s="6" t="n"/>
    </row>
    <row r="398">
      <c r="A398" s="17">
        <f>IF(B398="","","J-"&amp;TEXT(ROW()-4,"0000"))</f>
        <v/>
      </c>
      <c r="B398" s="26" t="n"/>
      <c r="C398" s="6" t="n"/>
      <c r="D398" s="6" t="n"/>
      <c r="E398" s="29" t="n"/>
      <c r="F398" s="6" t="n"/>
      <c r="G398" s="25" t="n"/>
      <c r="H398" s="30">
        <f>IF(C398="","",IF(G398&lt;&gt;"",G398,IFERROR(INDEX(Clients!$G$5:$G$304,MATCH(C398,Clients!$A$5:$A$304,0)),0)))</f>
        <v/>
      </c>
      <c r="I398" s="25" t="n"/>
      <c r="J398" s="30">
        <f>IF(C398="","",H398+N(I398))</f>
        <v/>
      </c>
      <c r="K398" s="6" t="n"/>
      <c r="L398" s="6" t="n"/>
      <c r="M398" s="25" t="n"/>
      <c r="N398" s="10" t="n"/>
      <c r="O398" s="30">
        <f>IF(C398="","",N(E398)*Settings!$B$8)</f>
        <v/>
      </c>
      <c r="P398" s="30">
        <f>IF(C398="","",N(N398)*Settings!$B$10)</f>
        <v/>
      </c>
      <c r="Q398" s="30">
        <f>IF(C398="","",J398-N(M398)-O398-P398)</f>
        <v/>
      </c>
      <c r="R398" s="6" t="n"/>
    </row>
    <row r="399">
      <c r="A399" s="8">
        <f>IF(B399="","","J-"&amp;TEXT(ROW()-4,"0000"))</f>
        <v/>
      </c>
      <c r="B399" s="26" t="n"/>
      <c r="C399" s="6" t="n"/>
      <c r="D399" s="6" t="n"/>
      <c r="E399" s="29" t="n"/>
      <c r="F399" s="6" t="n"/>
      <c r="G399" s="25" t="n"/>
      <c r="H399" s="27">
        <f>IF(C399="","",IF(G399&lt;&gt;"",G399,IFERROR(INDEX(Clients!$G$5:$G$304,MATCH(C399,Clients!$A$5:$A$304,0)),0)))</f>
        <v/>
      </c>
      <c r="I399" s="25" t="n"/>
      <c r="J399" s="27">
        <f>IF(C399="","",H399+N(I399))</f>
        <v/>
      </c>
      <c r="K399" s="6" t="n"/>
      <c r="L399" s="6" t="n"/>
      <c r="M399" s="25" t="n"/>
      <c r="N399" s="10" t="n"/>
      <c r="O399" s="27">
        <f>IF(C399="","",N(E399)*Settings!$B$8)</f>
        <v/>
      </c>
      <c r="P399" s="27">
        <f>IF(C399="","",N(N399)*Settings!$B$10)</f>
        <v/>
      </c>
      <c r="Q399" s="27">
        <f>IF(C399="","",J399-N(M399)-O399-P399)</f>
        <v/>
      </c>
      <c r="R399" s="6" t="n"/>
    </row>
    <row r="400">
      <c r="A400" s="17">
        <f>IF(B400="","","J-"&amp;TEXT(ROW()-4,"0000"))</f>
        <v/>
      </c>
      <c r="B400" s="26" t="n"/>
      <c r="C400" s="6" t="n"/>
      <c r="D400" s="6" t="n"/>
      <c r="E400" s="29" t="n"/>
      <c r="F400" s="6" t="n"/>
      <c r="G400" s="25" t="n"/>
      <c r="H400" s="30">
        <f>IF(C400="","",IF(G400&lt;&gt;"",G400,IFERROR(INDEX(Clients!$G$5:$G$304,MATCH(C400,Clients!$A$5:$A$304,0)),0)))</f>
        <v/>
      </c>
      <c r="I400" s="25" t="n"/>
      <c r="J400" s="30">
        <f>IF(C400="","",H400+N(I400))</f>
        <v/>
      </c>
      <c r="K400" s="6" t="n"/>
      <c r="L400" s="6" t="n"/>
      <c r="M400" s="25" t="n"/>
      <c r="N400" s="10" t="n"/>
      <c r="O400" s="30">
        <f>IF(C400="","",N(E400)*Settings!$B$8)</f>
        <v/>
      </c>
      <c r="P400" s="30">
        <f>IF(C400="","",N(N400)*Settings!$B$10)</f>
        <v/>
      </c>
      <c r="Q400" s="30">
        <f>IF(C400="","",J400-N(M400)-O400-P400)</f>
        <v/>
      </c>
      <c r="R400" s="6" t="n"/>
    </row>
    <row r="401">
      <c r="A401" s="8">
        <f>IF(B401="","","J-"&amp;TEXT(ROW()-4,"0000"))</f>
        <v/>
      </c>
      <c r="B401" s="26" t="n"/>
      <c r="C401" s="6" t="n"/>
      <c r="D401" s="6" t="n"/>
      <c r="E401" s="29" t="n"/>
      <c r="F401" s="6" t="n"/>
      <c r="G401" s="25" t="n"/>
      <c r="H401" s="27">
        <f>IF(C401="","",IF(G401&lt;&gt;"",G401,IFERROR(INDEX(Clients!$G$5:$G$304,MATCH(C401,Clients!$A$5:$A$304,0)),0)))</f>
        <v/>
      </c>
      <c r="I401" s="25" t="n"/>
      <c r="J401" s="27">
        <f>IF(C401="","",H401+N(I401))</f>
        <v/>
      </c>
      <c r="K401" s="6" t="n"/>
      <c r="L401" s="6" t="n"/>
      <c r="M401" s="25" t="n"/>
      <c r="N401" s="10" t="n"/>
      <c r="O401" s="27">
        <f>IF(C401="","",N(E401)*Settings!$B$8)</f>
        <v/>
      </c>
      <c r="P401" s="27">
        <f>IF(C401="","",N(N401)*Settings!$B$10)</f>
        <v/>
      </c>
      <c r="Q401" s="27">
        <f>IF(C401="","",J401-N(M401)-O401-P401)</f>
        <v/>
      </c>
      <c r="R401" s="6" t="n"/>
    </row>
    <row r="402">
      <c r="A402" s="17">
        <f>IF(B402="","","J-"&amp;TEXT(ROW()-4,"0000"))</f>
        <v/>
      </c>
      <c r="B402" s="26" t="n"/>
      <c r="C402" s="6" t="n"/>
      <c r="D402" s="6" t="n"/>
      <c r="E402" s="29" t="n"/>
      <c r="F402" s="6" t="n"/>
      <c r="G402" s="25" t="n"/>
      <c r="H402" s="30">
        <f>IF(C402="","",IF(G402&lt;&gt;"",G402,IFERROR(INDEX(Clients!$G$5:$G$304,MATCH(C402,Clients!$A$5:$A$304,0)),0)))</f>
        <v/>
      </c>
      <c r="I402" s="25" t="n"/>
      <c r="J402" s="30">
        <f>IF(C402="","",H402+N(I402))</f>
        <v/>
      </c>
      <c r="K402" s="6" t="n"/>
      <c r="L402" s="6" t="n"/>
      <c r="M402" s="25" t="n"/>
      <c r="N402" s="10" t="n"/>
      <c r="O402" s="30">
        <f>IF(C402="","",N(E402)*Settings!$B$8)</f>
        <v/>
      </c>
      <c r="P402" s="30">
        <f>IF(C402="","",N(N402)*Settings!$B$10)</f>
        <v/>
      </c>
      <c r="Q402" s="30">
        <f>IF(C402="","",J402-N(M402)-O402-P402)</f>
        <v/>
      </c>
      <c r="R402" s="6" t="n"/>
    </row>
    <row r="403">
      <c r="A403" s="8">
        <f>IF(B403="","","J-"&amp;TEXT(ROW()-4,"0000"))</f>
        <v/>
      </c>
      <c r="B403" s="26" t="n"/>
      <c r="C403" s="6" t="n"/>
      <c r="D403" s="6" t="n"/>
      <c r="E403" s="29" t="n"/>
      <c r="F403" s="6" t="n"/>
      <c r="G403" s="25" t="n"/>
      <c r="H403" s="27">
        <f>IF(C403="","",IF(G403&lt;&gt;"",G403,IFERROR(INDEX(Clients!$G$5:$G$304,MATCH(C403,Clients!$A$5:$A$304,0)),0)))</f>
        <v/>
      </c>
      <c r="I403" s="25" t="n"/>
      <c r="J403" s="27">
        <f>IF(C403="","",H403+N(I403))</f>
        <v/>
      </c>
      <c r="K403" s="6" t="n"/>
      <c r="L403" s="6" t="n"/>
      <c r="M403" s="25" t="n"/>
      <c r="N403" s="10" t="n"/>
      <c r="O403" s="27">
        <f>IF(C403="","",N(E403)*Settings!$B$8)</f>
        <v/>
      </c>
      <c r="P403" s="27">
        <f>IF(C403="","",N(N403)*Settings!$B$10)</f>
        <v/>
      </c>
      <c r="Q403" s="27">
        <f>IF(C403="","",J403-N(M403)-O403-P403)</f>
        <v/>
      </c>
      <c r="R403" s="6" t="n"/>
    </row>
    <row r="404">
      <c r="A404" s="17">
        <f>IF(B404="","","J-"&amp;TEXT(ROW()-4,"0000"))</f>
        <v/>
      </c>
      <c r="B404" s="26" t="n"/>
      <c r="C404" s="6" t="n"/>
      <c r="D404" s="6" t="n"/>
      <c r="E404" s="29" t="n"/>
      <c r="F404" s="6" t="n"/>
      <c r="G404" s="25" t="n"/>
      <c r="H404" s="30">
        <f>IF(C404="","",IF(G404&lt;&gt;"",G404,IFERROR(INDEX(Clients!$G$5:$G$304,MATCH(C404,Clients!$A$5:$A$304,0)),0)))</f>
        <v/>
      </c>
      <c r="I404" s="25" t="n"/>
      <c r="J404" s="30">
        <f>IF(C404="","",H404+N(I404))</f>
        <v/>
      </c>
      <c r="K404" s="6" t="n"/>
      <c r="L404" s="6" t="n"/>
      <c r="M404" s="25" t="n"/>
      <c r="N404" s="10" t="n"/>
      <c r="O404" s="30">
        <f>IF(C404="","",N(E404)*Settings!$B$8)</f>
        <v/>
      </c>
      <c r="P404" s="30">
        <f>IF(C404="","",N(N404)*Settings!$B$10)</f>
        <v/>
      </c>
      <c r="Q404" s="30">
        <f>IF(C404="","",J404-N(M404)-O404-P404)</f>
        <v/>
      </c>
      <c r="R404" s="6" t="n"/>
    </row>
    <row r="405">
      <c r="A405" s="8">
        <f>IF(B405="","","J-"&amp;TEXT(ROW()-4,"0000"))</f>
        <v/>
      </c>
      <c r="B405" s="26" t="n"/>
      <c r="C405" s="6" t="n"/>
      <c r="D405" s="6" t="n"/>
      <c r="E405" s="29" t="n"/>
      <c r="F405" s="6" t="n"/>
      <c r="G405" s="25" t="n"/>
      <c r="H405" s="27">
        <f>IF(C405="","",IF(G405&lt;&gt;"",G405,IFERROR(INDEX(Clients!$G$5:$G$304,MATCH(C405,Clients!$A$5:$A$304,0)),0)))</f>
        <v/>
      </c>
      <c r="I405" s="25" t="n"/>
      <c r="J405" s="27">
        <f>IF(C405="","",H405+N(I405))</f>
        <v/>
      </c>
      <c r="K405" s="6" t="n"/>
      <c r="L405" s="6" t="n"/>
      <c r="M405" s="25" t="n"/>
      <c r="N405" s="10" t="n"/>
      <c r="O405" s="27">
        <f>IF(C405="","",N(E405)*Settings!$B$8)</f>
        <v/>
      </c>
      <c r="P405" s="27">
        <f>IF(C405="","",N(N405)*Settings!$B$10)</f>
        <v/>
      </c>
      <c r="Q405" s="27">
        <f>IF(C405="","",J405-N(M405)-O405-P405)</f>
        <v/>
      </c>
      <c r="R405" s="6" t="n"/>
    </row>
    <row r="406">
      <c r="A406" s="17">
        <f>IF(B406="","","J-"&amp;TEXT(ROW()-4,"0000"))</f>
        <v/>
      </c>
      <c r="B406" s="26" t="n"/>
      <c r="C406" s="6" t="n"/>
      <c r="D406" s="6" t="n"/>
      <c r="E406" s="29" t="n"/>
      <c r="F406" s="6" t="n"/>
      <c r="G406" s="25" t="n"/>
      <c r="H406" s="30">
        <f>IF(C406="","",IF(G406&lt;&gt;"",G406,IFERROR(INDEX(Clients!$G$5:$G$304,MATCH(C406,Clients!$A$5:$A$304,0)),0)))</f>
        <v/>
      </c>
      <c r="I406" s="25" t="n"/>
      <c r="J406" s="30">
        <f>IF(C406="","",H406+N(I406))</f>
        <v/>
      </c>
      <c r="K406" s="6" t="n"/>
      <c r="L406" s="6" t="n"/>
      <c r="M406" s="25" t="n"/>
      <c r="N406" s="10" t="n"/>
      <c r="O406" s="30">
        <f>IF(C406="","",N(E406)*Settings!$B$8)</f>
        <v/>
      </c>
      <c r="P406" s="30">
        <f>IF(C406="","",N(N406)*Settings!$B$10)</f>
        <v/>
      </c>
      <c r="Q406" s="30">
        <f>IF(C406="","",J406-N(M406)-O406-P406)</f>
        <v/>
      </c>
      <c r="R406" s="6" t="n"/>
    </row>
    <row r="407">
      <c r="A407" s="8">
        <f>IF(B407="","","J-"&amp;TEXT(ROW()-4,"0000"))</f>
        <v/>
      </c>
      <c r="B407" s="26" t="n"/>
      <c r="C407" s="6" t="n"/>
      <c r="D407" s="6" t="n"/>
      <c r="E407" s="29" t="n"/>
      <c r="F407" s="6" t="n"/>
      <c r="G407" s="25" t="n"/>
      <c r="H407" s="27">
        <f>IF(C407="","",IF(G407&lt;&gt;"",G407,IFERROR(INDEX(Clients!$G$5:$G$304,MATCH(C407,Clients!$A$5:$A$304,0)),0)))</f>
        <v/>
      </c>
      <c r="I407" s="25" t="n"/>
      <c r="J407" s="27">
        <f>IF(C407="","",H407+N(I407))</f>
        <v/>
      </c>
      <c r="K407" s="6" t="n"/>
      <c r="L407" s="6" t="n"/>
      <c r="M407" s="25" t="n"/>
      <c r="N407" s="10" t="n"/>
      <c r="O407" s="27">
        <f>IF(C407="","",N(E407)*Settings!$B$8)</f>
        <v/>
      </c>
      <c r="P407" s="27">
        <f>IF(C407="","",N(N407)*Settings!$B$10)</f>
        <v/>
      </c>
      <c r="Q407" s="27">
        <f>IF(C407="","",J407-N(M407)-O407-P407)</f>
        <v/>
      </c>
      <c r="R407" s="6" t="n"/>
    </row>
    <row r="408">
      <c r="A408" s="17">
        <f>IF(B408="","","J-"&amp;TEXT(ROW()-4,"0000"))</f>
        <v/>
      </c>
      <c r="B408" s="26" t="n"/>
      <c r="C408" s="6" t="n"/>
      <c r="D408" s="6" t="n"/>
      <c r="E408" s="29" t="n"/>
      <c r="F408" s="6" t="n"/>
      <c r="G408" s="25" t="n"/>
      <c r="H408" s="30">
        <f>IF(C408="","",IF(G408&lt;&gt;"",G408,IFERROR(INDEX(Clients!$G$5:$G$304,MATCH(C408,Clients!$A$5:$A$304,0)),0)))</f>
        <v/>
      </c>
      <c r="I408" s="25" t="n"/>
      <c r="J408" s="30">
        <f>IF(C408="","",H408+N(I408))</f>
        <v/>
      </c>
      <c r="K408" s="6" t="n"/>
      <c r="L408" s="6" t="n"/>
      <c r="M408" s="25" t="n"/>
      <c r="N408" s="10" t="n"/>
      <c r="O408" s="30">
        <f>IF(C408="","",N(E408)*Settings!$B$8)</f>
        <v/>
      </c>
      <c r="P408" s="30">
        <f>IF(C408="","",N(N408)*Settings!$B$10)</f>
        <v/>
      </c>
      <c r="Q408" s="30">
        <f>IF(C408="","",J408-N(M408)-O408-P408)</f>
        <v/>
      </c>
      <c r="R408" s="6" t="n"/>
    </row>
    <row r="409">
      <c r="A409" s="8">
        <f>IF(B409="","","J-"&amp;TEXT(ROW()-4,"0000"))</f>
        <v/>
      </c>
      <c r="B409" s="26" t="n"/>
      <c r="C409" s="6" t="n"/>
      <c r="D409" s="6" t="n"/>
      <c r="E409" s="29" t="n"/>
      <c r="F409" s="6" t="n"/>
      <c r="G409" s="25" t="n"/>
      <c r="H409" s="27">
        <f>IF(C409="","",IF(G409&lt;&gt;"",G409,IFERROR(INDEX(Clients!$G$5:$G$304,MATCH(C409,Clients!$A$5:$A$304,0)),0)))</f>
        <v/>
      </c>
      <c r="I409" s="25" t="n"/>
      <c r="J409" s="27">
        <f>IF(C409="","",H409+N(I409))</f>
        <v/>
      </c>
      <c r="K409" s="6" t="n"/>
      <c r="L409" s="6" t="n"/>
      <c r="M409" s="25" t="n"/>
      <c r="N409" s="10" t="n"/>
      <c r="O409" s="27">
        <f>IF(C409="","",N(E409)*Settings!$B$8)</f>
        <v/>
      </c>
      <c r="P409" s="27">
        <f>IF(C409="","",N(N409)*Settings!$B$10)</f>
        <v/>
      </c>
      <c r="Q409" s="27">
        <f>IF(C409="","",J409-N(M409)-O409-P409)</f>
        <v/>
      </c>
      <c r="R409" s="6" t="n"/>
    </row>
    <row r="410">
      <c r="A410" s="17">
        <f>IF(B410="","","J-"&amp;TEXT(ROW()-4,"0000"))</f>
        <v/>
      </c>
      <c r="B410" s="26" t="n"/>
      <c r="C410" s="6" t="n"/>
      <c r="D410" s="6" t="n"/>
      <c r="E410" s="29" t="n"/>
      <c r="F410" s="6" t="n"/>
      <c r="G410" s="25" t="n"/>
      <c r="H410" s="30">
        <f>IF(C410="","",IF(G410&lt;&gt;"",G410,IFERROR(INDEX(Clients!$G$5:$G$304,MATCH(C410,Clients!$A$5:$A$304,0)),0)))</f>
        <v/>
      </c>
      <c r="I410" s="25" t="n"/>
      <c r="J410" s="30">
        <f>IF(C410="","",H410+N(I410))</f>
        <v/>
      </c>
      <c r="K410" s="6" t="n"/>
      <c r="L410" s="6" t="n"/>
      <c r="M410" s="25" t="n"/>
      <c r="N410" s="10" t="n"/>
      <c r="O410" s="30">
        <f>IF(C410="","",N(E410)*Settings!$B$8)</f>
        <v/>
      </c>
      <c r="P410" s="30">
        <f>IF(C410="","",N(N410)*Settings!$B$10)</f>
        <v/>
      </c>
      <c r="Q410" s="30">
        <f>IF(C410="","",J410-N(M410)-O410-P410)</f>
        <v/>
      </c>
      <c r="R410" s="6" t="n"/>
    </row>
    <row r="411">
      <c r="A411" s="8">
        <f>IF(B411="","","J-"&amp;TEXT(ROW()-4,"0000"))</f>
        <v/>
      </c>
      <c r="B411" s="26" t="n"/>
      <c r="C411" s="6" t="n"/>
      <c r="D411" s="6" t="n"/>
      <c r="E411" s="29" t="n"/>
      <c r="F411" s="6" t="n"/>
      <c r="G411" s="25" t="n"/>
      <c r="H411" s="27">
        <f>IF(C411="","",IF(G411&lt;&gt;"",G411,IFERROR(INDEX(Clients!$G$5:$G$304,MATCH(C411,Clients!$A$5:$A$304,0)),0)))</f>
        <v/>
      </c>
      <c r="I411" s="25" t="n"/>
      <c r="J411" s="27">
        <f>IF(C411="","",H411+N(I411))</f>
        <v/>
      </c>
      <c r="K411" s="6" t="n"/>
      <c r="L411" s="6" t="n"/>
      <c r="M411" s="25" t="n"/>
      <c r="N411" s="10" t="n"/>
      <c r="O411" s="27">
        <f>IF(C411="","",N(E411)*Settings!$B$8)</f>
        <v/>
      </c>
      <c r="P411" s="27">
        <f>IF(C411="","",N(N411)*Settings!$B$10)</f>
        <v/>
      </c>
      <c r="Q411" s="27">
        <f>IF(C411="","",J411-N(M411)-O411-P411)</f>
        <v/>
      </c>
      <c r="R411" s="6" t="n"/>
    </row>
    <row r="412">
      <c r="A412" s="17">
        <f>IF(B412="","","J-"&amp;TEXT(ROW()-4,"0000"))</f>
        <v/>
      </c>
      <c r="B412" s="26" t="n"/>
      <c r="C412" s="6" t="n"/>
      <c r="D412" s="6" t="n"/>
      <c r="E412" s="29" t="n"/>
      <c r="F412" s="6" t="n"/>
      <c r="G412" s="25" t="n"/>
      <c r="H412" s="30">
        <f>IF(C412="","",IF(G412&lt;&gt;"",G412,IFERROR(INDEX(Clients!$G$5:$G$304,MATCH(C412,Clients!$A$5:$A$304,0)),0)))</f>
        <v/>
      </c>
      <c r="I412" s="25" t="n"/>
      <c r="J412" s="30">
        <f>IF(C412="","",H412+N(I412))</f>
        <v/>
      </c>
      <c r="K412" s="6" t="n"/>
      <c r="L412" s="6" t="n"/>
      <c r="M412" s="25" t="n"/>
      <c r="N412" s="10" t="n"/>
      <c r="O412" s="30">
        <f>IF(C412="","",N(E412)*Settings!$B$8)</f>
        <v/>
      </c>
      <c r="P412" s="30">
        <f>IF(C412="","",N(N412)*Settings!$B$10)</f>
        <v/>
      </c>
      <c r="Q412" s="30">
        <f>IF(C412="","",J412-N(M412)-O412-P412)</f>
        <v/>
      </c>
      <c r="R412" s="6" t="n"/>
    </row>
    <row r="413">
      <c r="A413" s="8">
        <f>IF(B413="","","J-"&amp;TEXT(ROW()-4,"0000"))</f>
        <v/>
      </c>
      <c r="B413" s="26" t="n"/>
      <c r="C413" s="6" t="n"/>
      <c r="D413" s="6" t="n"/>
      <c r="E413" s="29" t="n"/>
      <c r="F413" s="6" t="n"/>
      <c r="G413" s="25" t="n"/>
      <c r="H413" s="27">
        <f>IF(C413="","",IF(G413&lt;&gt;"",G413,IFERROR(INDEX(Clients!$G$5:$G$304,MATCH(C413,Clients!$A$5:$A$304,0)),0)))</f>
        <v/>
      </c>
      <c r="I413" s="25" t="n"/>
      <c r="J413" s="27">
        <f>IF(C413="","",H413+N(I413))</f>
        <v/>
      </c>
      <c r="K413" s="6" t="n"/>
      <c r="L413" s="6" t="n"/>
      <c r="M413" s="25" t="n"/>
      <c r="N413" s="10" t="n"/>
      <c r="O413" s="27">
        <f>IF(C413="","",N(E413)*Settings!$B$8)</f>
        <v/>
      </c>
      <c r="P413" s="27">
        <f>IF(C413="","",N(N413)*Settings!$B$10)</f>
        <v/>
      </c>
      <c r="Q413" s="27">
        <f>IF(C413="","",J413-N(M413)-O413-P413)</f>
        <v/>
      </c>
      <c r="R413" s="6" t="n"/>
    </row>
    <row r="414">
      <c r="A414" s="17">
        <f>IF(B414="","","J-"&amp;TEXT(ROW()-4,"0000"))</f>
        <v/>
      </c>
      <c r="B414" s="26" t="n"/>
      <c r="C414" s="6" t="n"/>
      <c r="D414" s="6" t="n"/>
      <c r="E414" s="29" t="n"/>
      <c r="F414" s="6" t="n"/>
      <c r="G414" s="25" t="n"/>
      <c r="H414" s="30">
        <f>IF(C414="","",IF(G414&lt;&gt;"",G414,IFERROR(INDEX(Clients!$G$5:$G$304,MATCH(C414,Clients!$A$5:$A$304,0)),0)))</f>
        <v/>
      </c>
      <c r="I414" s="25" t="n"/>
      <c r="J414" s="30">
        <f>IF(C414="","",H414+N(I414))</f>
        <v/>
      </c>
      <c r="K414" s="6" t="n"/>
      <c r="L414" s="6" t="n"/>
      <c r="M414" s="25" t="n"/>
      <c r="N414" s="10" t="n"/>
      <c r="O414" s="30">
        <f>IF(C414="","",N(E414)*Settings!$B$8)</f>
        <v/>
      </c>
      <c r="P414" s="30">
        <f>IF(C414="","",N(N414)*Settings!$B$10)</f>
        <v/>
      </c>
      <c r="Q414" s="30">
        <f>IF(C414="","",J414-N(M414)-O414-P414)</f>
        <v/>
      </c>
      <c r="R414" s="6" t="n"/>
    </row>
    <row r="415">
      <c r="A415" s="8">
        <f>IF(B415="","","J-"&amp;TEXT(ROW()-4,"0000"))</f>
        <v/>
      </c>
      <c r="B415" s="26" t="n"/>
      <c r="C415" s="6" t="n"/>
      <c r="D415" s="6" t="n"/>
      <c r="E415" s="29" t="n"/>
      <c r="F415" s="6" t="n"/>
      <c r="G415" s="25" t="n"/>
      <c r="H415" s="27">
        <f>IF(C415="","",IF(G415&lt;&gt;"",G415,IFERROR(INDEX(Clients!$G$5:$G$304,MATCH(C415,Clients!$A$5:$A$304,0)),0)))</f>
        <v/>
      </c>
      <c r="I415" s="25" t="n"/>
      <c r="J415" s="27">
        <f>IF(C415="","",H415+N(I415))</f>
        <v/>
      </c>
      <c r="K415" s="6" t="n"/>
      <c r="L415" s="6" t="n"/>
      <c r="M415" s="25" t="n"/>
      <c r="N415" s="10" t="n"/>
      <c r="O415" s="27">
        <f>IF(C415="","",N(E415)*Settings!$B$8)</f>
        <v/>
      </c>
      <c r="P415" s="27">
        <f>IF(C415="","",N(N415)*Settings!$B$10)</f>
        <v/>
      </c>
      <c r="Q415" s="27">
        <f>IF(C415="","",J415-N(M415)-O415-P415)</f>
        <v/>
      </c>
      <c r="R415" s="6" t="n"/>
    </row>
    <row r="416">
      <c r="A416" s="17">
        <f>IF(B416="","","J-"&amp;TEXT(ROW()-4,"0000"))</f>
        <v/>
      </c>
      <c r="B416" s="26" t="n"/>
      <c r="C416" s="6" t="n"/>
      <c r="D416" s="6" t="n"/>
      <c r="E416" s="29" t="n"/>
      <c r="F416" s="6" t="n"/>
      <c r="G416" s="25" t="n"/>
      <c r="H416" s="30">
        <f>IF(C416="","",IF(G416&lt;&gt;"",G416,IFERROR(INDEX(Clients!$G$5:$G$304,MATCH(C416,Clients!$A$5:$A$304,0)),0)))</f>
        <v/>
      </c>
      <c r="I416" s="25" t="n"/>
      <c r="J416" s="30">
        <f>IF(C416="","",H416+N(I416))</f>
        <v/>
      </c>
      <c r="K416" s="6" t="n"/>
      <c r="L416" s="6" t="n"/>
      <c r="M416" s="25" t="n"/>
      <c r="N416" s="10" t="n"/>
      <c r="O416" s="30">
        <f>IF(C416="","",N(E416)*Settings!$B$8)</f>
        <v/>
      </c>
      <c r="P416" s="30">
        <f>IF(C416="","",N(N416)*Settings!$B$10)</f>
        <v/>
      </c>
      <c r="Q416" s="30">
        <f>IF(C416="","",J416-N(M416)-O416-P416)</f>
        <v/>
      </c>
      <c r="R416" s="6" t="n"/>
    </row>
    <row r="417">
      <c r="A417" s="8">
        <f>IF(B417="","","J-"&amp;TEXT(ROW()-4,"0000"))</f>
        <v/>
      </c>
      <c r="B417" s="26" t="n"/>
      <c r="C417" s="6" t="n"/>
      <c r="D417" s="6" t="n"/>
      <c r="E417" s="29" t="n"/>
      <c r="F417" s="6" t="n"/>
      <c r="G417" s="25" t="n"/>
      <c r="H417" s="27">
        <f>IF(C417="","",IF(G417&lt;&gt;"",G417,IFERROR(INDEX(Clients!$G$5:$G$304,MATCH(C417,Clients!$A$5:$A$304,0)),0)))</f>
        <v/>
      </c>
      <c r="I417" s="25" t="n"/>
      <c r="J417" s="27">
        <f>IF(C417="","",H417+N(I417))</f>
        <v/>
      </c>
      <c r="K417" s="6" t="n"/>
      <c r="L417" s="6" t="n"/>
      <c r="M417" s="25" t="n"/>
      <c r="N417" s="10" t="n"/>
      <c r="O417" s="27">
        <f>IF(C417="","",N(E417)*Settings!$B$8)</f>
        <v/>
      </c>
      <c r="P417" s="27">
        <f>IF(C417="","",N(N417)*Settings!$B$10)</f>
        <v/>
      </c>
      <c r="Q417" s="27">
        <f>IF(C417="","",J417-N(M417)-O417-P417)</f>
        <v/>
      </c>
      <c r="R417" s="6" t="n"/>
    </row>
    <row r="418">
      <c r="A418" s="17">
        <f>IF(B418="","","J-"&amp;TEXT(ROW()-4,"0000"))</f>
        <v/>
      </c>
      <c r="B418" s="26" t="n"/>
      <c r="C418" s="6" t="n"/>
      <c r="D418" s="6" t="n"/>
      <c r="E418" s="29" t="n"/>
      <c r="F418" s="6" t="n"/>
      <c r="G418" s="25" t="n"/>
      <c r="H418" s="30">
        <f>IF(C418="","",IF(G418&lt;&gt;"",G418,IFERROR(INDEX(Clients!$G$5:$G$304,MATCH(C418,Clients!$A$5:$A$304,0)),0)))</f>
        <v/>
      </c>
      <c r="I418" s="25" t="n"/>
      <c r="J418" s="30">
        <f>IF(C418="","",H418+N(I418))</f>
        <v/>
      </c>
      <c r="K418" s="6" t="n"/>
      <c r="L418" s="6" t="n"/>
      <c r="M418" s="25" t="n"/>
      <c r="N418" s="10" t="n"/>
      <c r="O418" s="30">
        <f>IF(C418="","",N(E418)*Settings!$B$8)</f>
        <v/>
      </c>
      <c r="P418" s="30">
        <f>IF(C418="","",N(N418)*Settings!$B$10)</f>
        <v/>
      </c>
      <c r="Q418" s="30">
        <f>IF(C418="","",J418-N(M418)-O418-P418)</f>
        <v/>
      </c>
      <c r="R418" s="6" t="n"/>
    </row>
    <row r="419">
      <c r="A419" s="8">
        <f>IF(B419="","","J-"&amp;TEXT(ROW()-4,"0000"))</f>
        <v/>
      </c>
      <c r="B419" s="26" t="n"/>
      <c r="C419" s="6" t="n"/>
      <c r="D419" s="6" t="n"/>
      <c r="E419" s="29" t="n"/>
      <c r="F419" s="6" t="n"/>
      <c r="G419" s="25" t="n"/>
      <c r="H419" s="27">
        <f>IF(C419="","",IF(G419&lt;&gt;"",G419,IFERROR(INDEX(Clients!$G$5:$G$304,MATCH(C419,Clients!$A$5:$A$304,0)),0)))</f>
        <v/>
      </c>
      <c r="I419" s="25" t="n"/>
      <c r="J419" s="27">
        <f>IF(C419="","",H419+N(I419))</f>
        <v/>
      </c>
      <c r="K419" s="6" t="n"/>
      <c r="L419" s="6" t="n"/>
      <c r="M419" s="25" t="n"/>
      <c r="N419" s="10" t="n"/>
      <c r="O419" s="27">
        <f>IF(C419="","",N(E419)*Settings!$B$8)</f>
        <v/>
      </c>
      <c r="P419" s="27">
        <f>IF(C419="","",N(N419)*Settings!$B$10)</f>
        <v/>
      </c>
      <c r="Q419" s="27">
        <f>IF(C419="","",J419-N(M419)-O419-P419)</f>
        <v/>
      </c>
      <c r="R419" s="6" t="n"/>
    </row>
    <row r="420">
      <c r="A420" s="17">
        <f>IF(B420="","","J-"&amp;TEXT(ROW()-4,"0000"))</f>
        <v/>
      </c>
      <c r="B420" s="26" t="n"/>
      <c r="C420" s="6" t="n"/>
      <c r="D420" s="6" t="n"/>
      <c r="E420" s="29" t="n"/>
      <c r="F420" s="6" t="n"/>
      <c r="G420" s="25" t="n"/>
      <c r="H420" s="30">
        <f>IF(C420="","",IF(G420&lt;&gt;"",G420,IFERROR(INDEX(Clients!$G$5:$G$304,MATCH(C420,Clients!$A$5:$A$304,0)),0)))</f>
        <v/>
      </c>
      <c r="I420" s="25" t="n"/>
      <c r="J420" s="30">
        <f>IF(C420="","",H420+N(I420))</f>
        <v/>
      </c>
      <c r="K420" s="6" t="n"/>
      <c r="L420" s="6" t="n"/>
      <c r="M420" s="25" t="n"/>
      <c r="N420" s="10" t="n"/>
      <c r="O420" s="30">
        <f>IF(C420="","",N(E420)*Settings!$B$8)</f>
        <v/>
      </c>
      <c r="P420" s="30">
        <f>IF(C420="","",N(N420)*Settings!$B$10)</f>
        <v/>
      </c>
      <c r="Q420" s="30">
        <f>IF(C420="","",J420-N(M420)-O420-P420)</f>
        <v/>
      </c>
      <c r="R420" s="6" t="n"/>
    </row>
    <row r="421">
      <c r="A421" s="8">
        <f>IF(B421="","","J-"&amp;TEXT(ROW()-4,"0000"))</f>
        <v/>
      </c>
      <c r="B421" s="26" t="n"/>
      <c r="C421" s="6" t="n"/>
      <c r="D421" s="6" t="n"/>
      <c r="E421" s="29" t="n"/>
      <c r="F421" s="6" t="n"/>
      <c r="G421" s="25" t="n"/>
      <c r="H421" s="27">
        <f>IF(C421="","",IF(G421&lt;&gt;"",G421,IFERROR(INDEX(Clients!$G$5:$G$304,MATCH(C421,Clients!$A$5:$A$304,0)),0)))</f>
        <v/>
      </c>
      <c r="I421" s="25" t="n"/>
      <c r="J421" s="27">
        <f>IF(C421="","",H421+N(I421))</f>
        <v/>
      </c>
      <c r="K421" s="6" t="n"/>
      <c r="L421" s="6" t="n"/>
      <c r="M421" s="25" t="n"/>
      <c r="N421" s="10" t="n"/>
      <c r="O421" s="27">
        <f>IF(C421="","",N(E421)*Settings!$B$8)</f>
        <v/>
      </c>
      <c r="P421" s="27">
        <f>IF(C421="","",N(N421)*Settings!$B$10)</f>
        <v/>
      </c>
      <c r="Q421" s="27">
        <f>IF(C421="","",J421-N(M421)-O421-P421)</f>
        <v/>
      </c>
      <c r="R421" s="6" t="n"/>
    </row>
    <row r="422">
      <c r="A422" s="17">
        <f>IF(B422="","","J-"&amp;TEXT(ROW()-4,"0000"))</f>
        <v/>
      </c>
      <c r="B422" s="26" t="n"/>
      <c r="C422" s="6" t="n"/>
      <c r="D422" s="6" t="n"/>
      <c r="E422" s="29" t="n"/>
      <c r="F422" s="6" t="n"/>
      <c r="G422" s="25" t="n"/>
      <c r="H422" s="30">
        <f>IF(C422="","",IF(G422&lt;&gt;"",G422,IFERROR(INDEX(Clients!$G$5:$G$304,MATCH(C422,Clients!$A$5:$A$304,0)),0)))</f>
        <v/>
      </c>
      <c r="I422" s="25" t="n"/>
      <c r="J422" s="30">
        <f>IF(C422="","",H422+N(I422))</f>
        <v/>
      </c>
      <c r="K422" s="6" t="n"/>
      <c r="L422" s="6" t="n"/>
      <c r="M422" s="25" t="n"/>
      <c r="N422" s="10" t="n"/>
      <c r="O422" s="30">
        <f>IF(C422="","",N(E422)*Settings!$B$8)</f>
        <v/>
      </c>
      <c r="P422" s="30">
        <f>IF(C422="","",N(N422)*Settings!$B$10)</f>
        <v/>
      </c>
      <c r="Q422" s="30">
        <f>IF(C422="","",J422-N(M422)-O422-P422)</f>
        <v/>
      </c>
      <c r="R422" s="6" t="n"/>
    </row>
    <row r="423">
      <c r="A423" s="8">
        <f>IF(B423="","","J-"&amp;TEXT(ROW()-4,"0000"))</f>
        <v/>
      </c>
      <c r="B423" s="26" t="n"/>
      <c r="C423" s="6" t="n"/>
      <c r="D423" s="6" t="n"/>
      <c r="E423" s="29" t="n"/>
      <c r="F423" s="6" t="n"/>
      <c r="G423" s="25" t="n"/>
      <c r="H423" s="27">
        <f>IF(C423="","",IF(G423&lt;&gt;"",G423,IFERROR(INDEX(Clients!$G$5:$G$304,MATCH(C423,Clients!$A$5:$A$304,0)),0)))</f>
        <v/>
      </c>
      <c r="I423" s="25" t="n"/>
      <c r="J423" s="27">
        <f>IF(C423="","",H423+N(I423))</f>
        <v/>
      </c>
      <c r="K423" s="6" t="n"/>
      <c r="L423" s="6" t="n"/>
      <c r="M423" s="25" t="n"/>
      <c r="N423" s="10" t="n"/>
      <c r="O423" s="27">
        <f>IF(C423="","",N(E423)*Settings!$B$8)</f>
        <v/>
      </c>
      <c r="P423" s="27">
        <f>IF(C423="","",N(N423)*Settings!$B$10)</f>
        <v/>
      </c>
      <c r="Q423" s="27">
        <f>IF(C423="","",J423-N(M423)-O423-P423)</f>
        <v/>
      </c>
      <c r="R423" s="6" t="n"/>
    </row>
    <row r="424">
      <c r="A424" s="17">
        <f>IF(B424="","","J-"&amp;TEXT(ROW()-4,"0000"))</f>
        <v/>
      </c>
      <c r="B424" s="26" t="n"/>
      <c r="C424" s="6" t="n"/>
      <c r="D424" s="6" t="n"/>
      <c r="E424" s="29" t="n"/>
      <c r="F424" s="6" t="n"/>
      <c r="G424" s="25" t="n"/>
      <c r="H424" s="30">
        <f>IF(C424="","",IF(G424&lt;&gt;"",G424,IFERROR(INDEX(Clients!$G$5:$G$304,MATCH(C424,Clients!$A$5:$A$304,0)),0)))</f>
        <v/>
      </c>
      <c r="I424" s="25" t="n"/>
      <c r="J424" s="30">
        <f>IF(C424="","",H424+N(I424))</f>
        <v/>
      </c>
      <c r="K424" s="6" t="n"/>
      <c r="L424" s="6" t="n"/>
      <c r="M424" s="25" t="n"/>
      <c r="N424" s="10" t="n"/>
      <c r="O424" s="30">
        <f>IF(C424="","",N(E424)*Settings!$B$8)</f>
        <v/>
      </c>
      <c r="P424" s="30">
        <f>IF(C424="","",N(N424)*Settings!$B$10)</f>
        <v/>
      </c>
      <c r="Q424" s="30">
        <f>IF(C424="","",J424-N(M424)-O424-P424)</f>
        <v/>
      </c>
      <c r="R424" s="6" t="n"/>
    </row>
    <row r="425">
      <c r="A425" s="8">
        <f>IF(B425="","","J-"&amp;TEXT(ROW()-4,"0000"))</f>
        <v/>
      </c>
      <c r="B425" s="26" t="n"/>
      <c r="C425" s="6" t="n"/>
      <c r="D425" s="6" t="n"/>
      <c r="E425" s="29" t="n"/>
      <c r="F425" s="6" t="n"/>
      <c r="G425" s="25" t="n"/>
      <c r="H425" s="27">
        <f>IF(C425="","",IF(G425&lt;&gt;"",G425,IFERROR(INDEX(Clients!$G$5:$G$304,MATCH(C425,Clients!$A$5:$A$304,0)),0)))</f>
        <v/>
      </c>
      <c r="I425" s="25" t="n"/>
      <c r="J425" s="27">
        <f>IF(C425="","",H425+N(I425))</f>
        <v/>
      </c>
      <c r="K425" s="6" t="n"/>
      <c r="L425" s="6" t="n"/>
      <c r="M425" s="25" t="n"/>
      <c r="N425" s="10" t="n"/>
      <c r="O425" s="27">
        <f>IF(C425="","",N(E425)*Settings!$B$8)</f>
        <v/>
      </c>
      <c r="P425" s="27">
        <f>IF(C425="","",N(N425)*Settings!$B$10)</f>
        <v/>
      </c>
      <c r="Q425" s="27">
        <f>IF(C425="","",J425-N(M425)-O425-P425)</f>
        <v/>
      </c>
      <c r="R425" s="6" t="n"/>
    </row>
    <row r="426">
      <c r="A426" s="17">
        <f>IF(B426="","","J-"&amp;TEXT(ROW()-4,"0000"))</f>
        <v/>
      </c>
      <c r="B426" s="26" t="n"/>
      <c r="C426" s="6" t="n"/>
      <c r="D426" s="6" t="n"/>
      <c r="E426" s="29" t="n"/>
      <c r="F426" s="6" t="n"/>
      <c r="G426" s="25" t="n"/>
      <c r="H426" s="30">
        <f>IF(C426="","",IF(G426&lt;&gt;"",G426,IFERROR(INDEX(Clients!$G$5:$G$304,MATCH(C426,Clients!$A$5:$A$304,0)),0)))</f>
        <v/>
      </c>
      <c r="I426" s="25" t="n"/>
      <c r="J426" s="30">
        <f>IF(C426="","",H426+N(I426))</f>
        <v/>
      </c>
      <c r="K426" s="6" t="n"/>
      <c r="L426" s="6" t="n"/>
      <c r="M426" s="25" t="n"/>
      <c r="N426" s="10" t="n"/>
      <c r="O426" s="30">
        <f>IF(C426="","",N(E426)*Settings!$B$8)</f>
        <v/>
      </c>
      <c r="P426" s="30">
        <f>IF(C426="","",N(N426)*Settings!$B$10)</f>
        <v/>
      </c>
      <c r="Q426" s="30">
        <f>IF(C426="","",J426-N(M426)-O426-P426)</f>
        <v/>
      </c>
      <c r="R426" s="6" t="n"/>
    </row>
    <row r="427">
      <c r="A427" s="8">
        <f>IF(B427="","","J-"&amp;TEXT(ROW()-4,"0000"))</f>
        <v/>
      </c>
      <c r="B427" s="26" t="n"/>
      <c r="C427" s="6" t="n"/>
      <c r="D427" s="6" t="n"/>
      <c r="E427" s="29" t="n"/>
      <c r="F427" s="6" t="n"/>
      <c r="G427" s="25" t="n"/>
      <c r="H427" s="27">
        <f>IF(C427="","",IF(G427&lt;&gt;"",G427,IFERROR(INDEX(Clients!$G$5:$G$304,MATCH(C427,Clients!$A$5:$A$304,0)),0)))</f>
        <v/>
      </c>
      <c r="I427" s="25" t="n"/>
      <c r="J427" s="27">
        <f>IF(C427="","",H427+N(I427))</f>
        <v/>
      </c>
      <c r="K427" s="6" t="n"/>
      <c r="L427" s="6" t="n"/>
      <c r="M427" s="25" t="n"/>
      <c r="N427" s="10" t="n"/>
      <c r="O427" s="27">
        <f>IF(C427="","",N(E427)*Settings!$B$8)</f>
        <v/>
      </c>
      <c r="P427" s="27">
        <f>IF(C427="","",N(N427)*Settings!$B$10)</f>
        <v/>
      </c>
      <c r="Q427" s="27">
        <f>IF(C427="","",J427-N(M427)-O427-P427)</f>
        <v/>
      </c>
      <c r="R427" s="6" t="n"/>
    </row>
    <row r="428">
      <c r="A428" s="17">
        <f>IF(B428="","","J-"&amp;TEXT(ROW()-4,"0000"))</f>
        <v/>
      </c>
      <c r="B428" s="26" t="n"/>
      <c r="C428" s="6" t="n"/>
      <c r="D428" s="6" t="n"/>
      <c r="E428" s="29" t="n"/>
      <c r="F428" s="6" t="n"/>
      <c r="G428" s="25" t="n"/>
      <c r="H428" s="30">
        <f>IF(C428="","",IF(G428&lt;&gt;"",G428,IFERROR(INDEX(Clients!$G$5:$G$304,MATCH(C428,Clients!$A$5:$A$304,0)),0)))</f>
        <v/>
      </c>
      <c r="I428" s="25" t="n"/>
      <c r="J428" s="30">
        <f>IF(C428="","",H428+N(I428))</f>
        <v/>
      </c>
      <c r="K428" s="6" t="n"/>
      <c r="L428" s="6" t="n"/>
      <c r="M428" s="25" t="n"/>
      <c r="N428" s="10" t="n"/>
      <c r="O428" s="30">
        <f>IF(C428="","",N(E428)*Settings!$B$8)</f>
        <v/>
      </c>
      <c r="P428" s="30">
        <f>IF(C428="","",N(N428)*Settings!$B$10)</f>
        <v/>
      </c>
      <c r="Q428" s="30">
        <f>IF(C428="","",J428-N(M428)-O428-P428)</f>
        <v/>
      </c>
      <c r="R428" s="6" t="n"/>
    </row>
    <row r="429">
      <c r="A429" s="8">
        <f>IF(B429="","","J-"&amp;TEXT(ROW()-4,"0000"))</f>
        <v/>
      </c>
      <c r="B429" s="26" t="n"/>
      <c r="C429" s="6" t="n"/>
      <c r="D429" s="6" t="n"/>
      <c r="E429" s="29" t="n"/>
      <c r="F429" s="6" t="n"/>
      <c r="G429" s="25" t="n"/>
      <c r="H429" s="27">
        <f>IF(C429="","",IF(G429&lt;&gt;"",G429,IFERROR(INDEX(Clients!$G$5:$G$304,MATCH(C429,Clients!$A$5:$A$304,0)),0)))</f>
        <v/>
      </c>
      <c r="I429" s="25" t="n"/>
      <c r="J429" s="27">
        <f>IF(C429="","",H429+N(I429))</f>
        <v/>
      </c>
      <c r="K429" s="6" t="n"/>
      <c r="L429" s="6" t="n"/>
      <c r="M429" s="25" t="n"/>
      <c r="N429" s="10" t="n"/>
      <c r="O429" s="27">
        <f>IF(C429="","",N(E429)*Settings!$B$8)</f>
        <v/>
      </c>
      <c r="P429" s="27">
        <f>IF(C429="","",N(N429)*Settings!$B$10)</f>
        <v/>
      </c>
      <c r="Q429" s="27">
        <f>IF(C429="","",J429-N(M429)-O429-P429)</f>
        <v/>
      </c>
      <c r="R429" s="6" t="n"/>
    </row>
    <row r="430">
      <c r="A430" s="17">
        <f>IF(B430="","","J-"&amp;TEXT(ROW()-4,"0000"))</f>
        <v/>
      </c>
      <c r="B430" s="26" t="n"/>
      <c r="C430" s="6" t="n"/>
      <c r="D430" s="6" t="n"/>
      <c r="E430" s="29" t="n"/>
      <c r="F430" s="6" t="n"/>
      <c r="G430" s="25" t="n"/>
      <c r="H430" s="30">
        <f>IF(C430="","",IF(G430&lt;&gt;"",G430,IFERROR(INDEX(Clients!$G$5:$G$304,MATCH(C430,Clients!$A$5:$A$304,0)),0)))</f>
        <v/>
      </c>
      <c r="I430" s="25" t="n"/>
      <c r="J430" s="30">
        <f>IF(C430="","",H430+N(I430))</f>
        <v/>
      </c>
      <c r="K430" s="6" t="n"/>
      <c r="L430" s="6" t="n"/>
      <c r="M430" s="25" t="n"/>
      <c r="N430" s="10" t="n"/>
      <c r="O430" s="30">
        <f>IF(C430="","",N(E430)*Settings!$B$8)</f>
        <v/>
      </c>
      <c r="P430" s="30">
        <f>IF(C430="","",N(N430)*Settings!$B$10)</f>
        <v/>
      </c>
      <c r="Q430" s="30">
        <f>IF(C430="","",J430-N(M430)-O430-P430)</f>
        <v/>
      </c>
      <c r="R430" s="6" t="n"/>
    </row>
    <row r="431">
      <c r="A431" s="8">
        <f>IF(B431="","","J-"&amp;TEXT(ROW()-4,"0000"))</f>
        <v/>
      </c>
      <c r="B431" s="26" t="n"/>
      <c r="C431" s="6" t="n"/>
      <c r="D431" s="6" t="n"/>
      <c r="E431" s="29" t="n"/>
      <c r="F431" s="6" t="n"/>
      <c r="G431" s="25" t="n"/>
      <c r="H431" s="27">
        <f>IF(C431="","",IF(G431&lt;&gt;"",G431,IFERROR(INDEX(Clients!$G$5:$G$304,MATCH(C431,Clients!$A$5:$A$304,0)),0)))</f>
        <v/>
      </c>
      <c r="I431" s="25" t="n"/>
      <c r="J431" s="27">
        <f>IF(C431="","",H431+N(I431))</f>
        <v/>
      </c>
      <c r="K431" s="6" t="n"/>
      <c r="L431" s="6" t="n"/>
      <c r="M431" s="25" t="n"/>
      <c r="N431" s="10" t="n"/>
      <c r="O431" s="27">
        <f>IF(C431="","",N(E431)*Settings!$B$8)</f>
        <v/>
      </c>
      <c r="P431" s="27">
        <f>IF(C431="","",N(N431)*Settings!$B$10)</f>
        <v/>
      </c>
      <c r="Q431" s="27">
        <f>IF(C431="","",J431-N(M431)-O431-P431)</f>
        <v/>
      </c>
      <c r="R431" s="6" t="n"/>
    </row>
    <row r="432">
      <c r="A432" s="17">
        <f>IF(B432="","","J-"&amp;TEXT(ROW()-4,"0000"))</f>
        <v/>
      </c>
      <c r="B432" s="26" t="n"/>
      <c r="C432" s="6" t="n"/>
      <c r="D432" s="6" t="n"/>
      <c r="E432" s="29" t="n"/>
      <c r="F432" s="6" t="n"/>
      <c r="G432" s="25" t="n"/>
      <c r="H432" s="30">
        <f>IF(C432="","",IF(G432&lt;&gt;"",G432,IFERROR(INDEX(Clients!$G$5:$G$304,MATCH(C432,Clients!$A$5:$A$304,0)),0)))</f>
        <v/>
      </c>
      <c r="I432" s="25" t="n"/>
      <c r="J432" s="30">
        <f>IF(C432="","",H432+N(I432))</f>
        <v/>
      </c>
      <c r="K432" s="6" t="n"/>
      <c r="L432" s="6" t="n"/>
      <c r="M432" s="25" t="n"/>
      <c r="N432" s="10" t="n"/>
      <c r="O432" s="30">
        <f>IF(C432="","",N(E432)*Settings!$B$8)</f>
        <v/>
      </c>
      <c r="P432" s="30">
        <f>IF(C432="","",N(N432)*Settings!$B$10)</f>
        <v/>
      </c>
      <c r="Q432" s="30">
        <f>IF(C432="","",J432-N(M432)-O432-P432)</f>
        <v/>
      </c>
      <c r="R432" s="6" t="n"/>
    </row>
    <row r="433">
      <c r="A433" s="8">
        <f>IF(B433="","","J-"&amp;TEXT(ROW()-4,"0000"))</f>
        <v/>
      </c>
      <c r="B433" s="26" t="n"/>
      <c r="C433" s="6" t="n"/>
      <c r="D433" s="6" t="n"/>
      <c r="E433" s="29" t="n"/>
      <c r="F433" s="6" t="n"/>
      <c r="G433" s="25" t="n"/>
      <c r="H433" s="27">
        <f>IF(C433="","",IF(G433&lt;&gt;"",G433,IFERROR(INDEX(Clients!$G$5:$G$304,MATCH(C433,Clients!$A$5:$A$304,0)),0)))</f>
        <v/>
      </c>
      <c r="I433" s="25" t="n"/>
      <c r="J433" s="27">
        <f>IF(C433="","",H433+N(I433))</f>
        <v/>
      </c>
      <c r="K433" s="6" t="n"/>
      <c r="L433" s="6" t="n"/>
      <c r="M433" s="25" t="n"/>
      <c r="N433" s="10" t="n"/>
      <c r="O433" s="27">
        <f>IF(C433="","",N(E433)*Settings!$B$8)</f>
        <v/>
      </c>
      <c r="P433" s="27">
        <f>IF(C433="","",N(N433)*Settings!$B$10)</f>
        <v/>
      </c>
      <c r="Q433" s="27">
        <f>IF(C433="","",J433-N(M433)-O433-P433)</f>
        <v/>
      </c>
      <c r="R433" s="6" t="n"/>
    </row>
    <row r="434">
      <c r="A434" s="17">
        <f>IF(B434="","","J-"&amp;TEXT(ROW()-4,"0000"))</f>
        <v/>
      </c>
      <c r="B434" s="26" t="n"/>
      <c r="C434" s="6" t="n"/>
      <c r="D434" s="6" t="n"/>
      <c r="E434" s="29" t="n"/>
      <c r="F434" s="6" t="n"/>
      <c r="G434" s="25" t="n"/>
      <c r="H434" s="30">
        <f>IF(C434="","",IF(G434&lt;&gt;"",G434,IFERROR(INDEX(Clients!$G$5:$G$304,MATCH(C434,Clients!$A$5:$A$304,0)),0)))</f>
        <v/>
      </c>
      <c r="I434" s="25" t="n"/>
      <c r="J434" s="30">
        <f>IF(C434="","",H434+N(I434))</f>
        <v/>
      </c>
      <c r="K434" s="6" t="n"/>
      <c r="L434" s="6" t="n"/>
      <c r="M434" s="25" t="n"/>
      <c r="N434" s="10" t="n"/>
      <c r="O434" s="30">
        <f>IF(C434="","",N(E434)*Settings!$B$8)</f>
        <v/>
      </c>
      <c r="P434" s="30">
        <f>IF(C434="","",N(N434)*Settings!$B$10)</f>
        <v/>
      </c>
      <c r="Q434" s="30">
        <f>IF(C434="","",J434-N(M434)-O434-P434)</f>
        <v/>
      </c>
      <c r="R434" s="6" t="n"/>
    </row>
    <row r="435">
      <c r="A435" s="8">
        <f>IF(B435="","","J-"&amp;TEXT(ROW()-4,"0000"))</f>
        <v/>
      </c>
      <c r="B435" s="26" t="n"/>
      <c r="C435" s="6" t="n"/>
      <c r="D435" s="6" t="n"/>
      <c r="E435" s="29" t="n"/>
      <c r="F435" s="6" t="n"/>
      <c r="G435" s="25" t="n"/>
      <c r="H435" s="27">
        <f>IF(C435="","",IF(G435&lt;&gt;"",G435,IFERROR(INDEX(Clients!$G$5:$G$304,MATCH(C435,Clients!$A$5:$A$304,0)),0)))</f>
        <v/>
      </c>
      <c r="I435" s="25" t="n"/>
      <c r="J435" s="27">
        <f>IF(C435="","",H435+N(I435))</f>
        <v/>
      </c>
      <c r="K435" s="6" t="n"/>
      <c r="L435" s="6" t="n"/>
      <c r="M435" s="25" t="n"/>
      <c r="N435" s="10" t="n"/>
      <c r="O435" s="27">
        <f>IF(C435="","",N(E435)*Settings!$B$8)</f>
        <v/>
      </c>
      <c r="P435" s="27">
        <f>IF(C435="","",N(N435)*Settings!$B$10)</f>
        <v/>
      </c>
      <c r="Q435" s="27">
        <f>IF(C435="","",J435-N(M435)-O435-P435)</f>
        <v/>
      </c>
      <c r="R435" s="6" t="n"/>
    </row>
    <row r="436">
      <c r="A436" s="17">
        <f>IF(B436="","","J-"&amp;TEXT(ROW()-4,"0000"))</f>
        <v/>
      </c>
      <c r="B436" s="26" t="n"/>
      <c r="C436" s="6" t="n"/>
      <c r="D436" s="6" t="n"/>
      <c r="E436" s="29" t="n"/>
      <c r="F436" s="6" t="n"/>
      <c r="G436" s="25" t="n"/>
      <c r="H436" s="30">
        <f>IF(C436="","",IF(G436&lt;&gt;"",G436,IFERROR(INDEX(Clients!$G$5:$G$304,MATCH(C436,Clients!$A$5:$A$304,0)),0)))</f>
        <v/>
      </c>
      <c r="I436" s="25" t="n"/>
      <c r="J436" s="30">
        <f>IF(C436="","",H436+N(I436))</f>
        <v/>
      </c>
      <c r="K436" s="6" t="n"/>
      <c r="L436" s="6" t="n"/>
      <c r="M436" s="25" t="n"/>
      <c r="N436" s="10" t="n"/>
      <c r="O436" s="30">
        <f>IF(C436="","",N(E436)*Settings!$B$8)</f>
        <v/>
      </c>
      <c r="P436" s="30">
        <f>IF(C436="","",N(N436)*Settings!$B$10)</f>
        <v/>
      </c>
      <c r="Q436" s="30">
        <f>IF(C436="","",J436-N(M436)-O436-P436)</f>
        <v/>
      </c>
      <c r="R436" s="6" t="n"/>
    </row>
    <row r="437">
      <c r="A437" s="8">
        <f>IF(B437="","","J-"&amp;TEXT(ROW()-4,"0000"))</f>
        <v/>
      </c>
      <c r="B437" s="26" t="n"/>
      <c r="C437" s="6" t="n"/>
      <c r="D437" s="6" t="n"/>
      <c r="E437" s="29" t="n"/>
      <c r="F437" s="6" t="n"/>
      <c r="G437" s="25" t="n"/>
      <c r="H437" s="27">
        <f>IF(C437="","",IF(G437&lt;&gt;"",G437,IFERROR(INDEX(Clients!$G$5:$G$304,MATCH(C437,Clients!$A$5:$A$304,0)),0)))</f>
        <v/>
      </c>
      <c r="I437" s="25" t="n"/>
      <c r="J437" s="27">
        <f>IF(C437="","",H437+N(I437))</f>
        <v/>
      </c>
      <c r="K437" s="6" t="n"/>
      <c r="L437" s="6" t="n"/>
      <c r="M437" s="25" t="n"/>
      <c r="N437" s="10" t="n"/>
      <c r="O437" s="27">
        <f>IF(C437="","",N(E437)*Settings!$B$8)</f>
        <v/>
      </c>
      <c r="P437" s="27">
        <f>IF(C437="","",N(N437)*Settings!$B$10)</f>
        <v/>
      </c>
      <c r="Q437" s="27">
        <f>IF(C437="","",J437-N(M437)-O437-P437)</f>
        <v/>
      </c>
      <c r="R437" s="6" t="n"/>
    </row>
    <row r="438">
      <c r="A438" s="17">
        <f>IF(B438="","","J-"&amp;TEXT(ROW()-4,"0000"))</f>
        <v/>
      </c>
      <c r="B438" s="26" t="n"/>
      <c r="C438" s="6" t="n"/>
      <c r="D438" s="6" t="n"/>
      <c r="E438" s="29" t="n"/>
      <c r="F438" s="6" t="n"/>
      <c r="G438" s="25" t="n"/>
      <c r="H438" s="30">
        <f>IF(C438="","",IF(G438&lt;&gt;"",G438,IFERROR(INDEX(Clients!$G$5:$G$304,MATCH(C438,Clients!$A$5:$A$304,0)),0)))</f>
        <v/>
      </c>
      <c r="I438" s="25" t="n"/>
      <c r="J438" s="30">
        <f>IF(C438="","",H438+N(I438))</f>
        <v/>
      </c>
      <c r="K438" s="6" t="n"/>
      <c r="L438" s="6" t="n"/>
      <c r="M438" s="25" t="n"/>
      <c r="N438" s="10" t="n"/>
      <c r="O438" s="30">
        <f>IF(C438="","",N(E438)*Settings!$B$8)</f>
        <v/>
      </c>
      <c r="P438" s="30">
        <f>IF(C438="","",N(N438)*Settings!$B$10)</f>
        <v/>
      </c>
      <c r="Q438" s="30">
        <f>IF(C438="","",J438-N(M438)-O438-P438)</f>
        <v/>
      </c>
      <c r="R438" s="6" t="n"/>
    </row>
    <row r="439">
      <c r="A439" s="8">
        <f>IF(B439="","","J-"&amp;TEXT(ROW()-4,"0000"))</f>
        <v/>
      </c>
      <c r="B439" s="26" t="n"/>
      <c r="C439" s="6" t="n"/>
      <c r="D439" s="6" t="n"/>
      <c r="E439" s="29" t="n"/>
      <c r="F439" s="6" t="n"/>
      <c r="G439" s="25" t="n"/>
      <c r="H439" s="27">
        <f>IF(C439="","",IF(G439&lt;&gt;"",G439,IFERROR(INDEX(Clients!$G$5:$G$304,MATCH(C439,Clients!$A$5:$A$304,0)),0)))</f>
        <v/>
      </c>
      <c r="I439" s="25" t="n"/>
      <c r="J439" s="27">
        <f>IF(C439="","",H439+N(I439))</f>
        <v/>
      </c>
      <c r="K439" s="6" t="n"/>
      <c r="L439" s="6" t="n"/>
      <c r="M439" s="25" t="n"/>
      <c r="N439" s="10" t="n"/>
      <c r="O439" s="27">
        <f>IF(C439="","",N(E439)*Settings!$B$8)</f>
        <v/>
      </c>
      <c r="P439" s="27">
        <f>IF(C439="","",N(N439)*Settings!$B$10)</f>
        <v/>
      </c>
      <c r="Q439" s="27">
        <f>IF(C439="","",J439-N(M439)-O439-P439)</f>
        <v/>
      </c>
      <c r="R439" s="6" t="n"/>
    </row>
    <row r="440">
      <c r="A440" s="17">
        <f>IF(B440="","","J-"&amp;TEXT(ROW()-4,"0000"))</f>
        <v/>
      </c>
      <c r="B440" s="26" t="n"/>
      <c r="C440" s="6" t="n"/>
      <c r="D440" s="6" t="n"/>
      <c r="E440" s="29" t="n"/>
      <c r="F440" s="6" t="n"/>
      <c r="G440" s="25" t="n"/>
      <c r="H440" s="30">
        <f>IF(C440="","",IF(G440&lt;&gt;"",G440,IFERROR(INDEX(Clients!$G$5:$G$304,MATCH(C440,Clients!$A$5:$A$304,0)),0)))</f>
        <v/>
      </c>
      <c r="I440" s="25" t="n"/>
      <c r="J440" s="30">
        <f>IF(C440="","",H440+N(I440))</f>
        <v/>
      </c>
      <c r="K440" s="6" t="n"/>
      <c r="L440" s="6" t="n"/>
      <c r="M440" s="25" t="n"/>
      <c r="N440" s="10" t="n"/>
      <c r="O440" s="30">
        <f>IF(C440="","",N(E440)*Settings!$B$8)</f>
        <v/>
      </c>
      <c r="P440" s="30">
        <f>IF(C440="","",N(N440)*Settings!$B$10)</f>
        <v/>
      </c>
      <c r="Q440" s="30">
        <f>IF(C440="","",J440-N(M440)-O440-P440)</f>
        <v/>
      </c>
      <c r="R440" s="6" t="n"/>
    </row>
    <row r="441">
      <c r="A441" s="8">
        <f>IF(B441="","","J-"&amp;TEXT(ROW()-4,"0000"))</f>
        <v/>
      </c>
      <c r="B441" s="26" t="n"/>
      <c r="C441" s="6" t="n"/>
      <c r="D441" s="6" t="n"/>
      <c r="E441" s="29" t="n"/>
      <c r="F441" s="6" t="n"/>
      <c r="G441" s="25" t="n"/>
      <c r="H441" s="27">
        <f>IF(C441="","",IF(G441&lt;&gt;"",G441,IFERROR(INDEX(Clients!$G$5:$G$304,MATCH(C441,Clients!$A$5:$A$304,0)),0)))</f>
        <v/>
      </c>
      <c r="I441" s="25" t="n"/>
      <c r="J441" s="27">
        <f>IF(C441="","",H441+N(I441))</f>
        <v/>
      </c>
      <c r="K441" s="6" t="n"/>
      <c r="L441" s="6" t="n"/>
      <c r="M441" s="25" t="n"/>
      <c r="N441" s="10" t="n"/>
      <c r="O441" s="27">
        <f>IF(C441="","",N(E441)*Settings!$B$8)</f>
        <v/>
      </c>
      <c r="P441" s="27">
        <f>IF(C441="","",N(N441)*Settings!$B$10)</f>
        <v/>
      </c>
      <c r="Q441" s="27">
        <f>IF(C441="","",J441-N(M441)-O441-P441)</f>
        <v/>
      </c>
      <c r="R441" s="6" t="n"/>
    </row>
    <row r="442">
      <c r="A442" s="17">
        <f>IF(B442="","","J-"&amp;TEXT(ROW()-4,"0000"))</f>
        <v/>
      </c>
      <c r="B442" s="26" t="n"/>
      <c r="C442" s="6" t="n"/>
      <c r="D442" s="6" t="n"/>
      <c r="E442" s="29" t="n"/>
      <c r="F442" s="6" t="n"/>
      <c r="G442" s="25" t="n"/>
      <c r="H442" s="30">
        <f>IF(C442="","",IF(G442&lt;&gt;"",G442,IFERROR(INDEX(Clients!$G$5:$G$304,MATCH(C442,Clients!$A$5:$A$304,0)),0)))</f>
        <v/>
      </c>
      <c r="I442" s="25" t="n"/>
      <c r="J442" s="30">
        <f>IF(C442="","",H442+N(I442))</f>
        <v/>
      </c>
      <c r="K442" s="6" t="n"/>
      <c r="L442" s="6" t="n"/>
      <c r="M442" s="25" t="n"/>
      <c r="N442" s="10" t="n"/>
      <c r="O442" s="30">
        <f>IF(C442="","",N(E442)*Settings!$B$8)</f>
        <v/>
      </c>
      <c r="P442" s="30">
        <f>IF(C442="","",N(N442)*Settings!$B$10)</f>
        <v/>
      </c>
      <c r="Q442" s="30">
        <f>IF(C442="","",J442-N(M442)-O442-P442)</f>
        <v/>
      </c>
      <c r="R442" s="6" t="n"/>
    </row>
    <row r="443">
      <c r="A443" s="8">
        <f>IF(B443="","","J-"&amp;TEXT(ROW()-4,"0000"))</f>
        <v/>
      </c>
      <c r="B443" s="26" t="n"/>
      <c r="C443" s="6" t="n"/>
      <c r="D443" s="6" t="n"/>
      <c r="E443" s="29" t="n"/>
      <c r="F443" s="6" t="n"/>
      <c r="G443" s="25" t="n"/>
      <c r="H443" s="27">
        <f>IF(C443="","",IF(G443&lt;&gt;"",G443,IFERROR(INDEX(Clients!$G$5:$G$304,MATCH(C443,Clients!$A$5:$A$304,0)),0)))</f>
        <v/>
      </c>
      <c r="I443" s="25" t="n"/>
      <c r="J443" s="27">
        <f>IF(C443="","",H443+N(I443))</f>
        <v/>
      </c>
      <c r="K443" s="6" t="n"/>
      <c r="L443" s="6" t="n"/>
      <c r="M443" s="25" t="n"/>
      <c r="N443" s="10" t="n"/>
      <c r="O443" s="27">
        <f>IF(C443="","",N(E443)*Settings!$B$8)</f>
        <v/>
      </c>
      <c r="P443" s="27">
        <f>IF(C443="","",N(N443)*Settings!$B$10)</f>
        <v/>
      </c>
      <c r="Q443" s="27">
        <f>IF(C443="","",J443-N(M443)-O443-P443)</f>
        <v/>
      </c>
      <c r="R443" s="6" t="n"/>
    </row>
    <row r="444">
      <c r="A444" s="17">
        <f>IF(B444="","","J-"&amp;TEXT(ROW()-4,"0000"))</f>
        <v/>
      </c>
      <c r="B444" s="26" t="n"/>
      <c r="C444" s="6" t="n"/>
      <c r="D444" s="6" t="n"/>
      <c r="E444" s="29" t="n"/>
      <c r="F444" s="6" t="n"/>
      <c r="G444" s="25" t="n"/>
      <c r="H444" s="30">
        <f>IF(C444="","",IF(G444&lt;&gt;"",G444,IFERROR(INDEX(Clients!$G$5:$G$304,MATCH(C444,Clients!$A$5:$A$304,0)),0)))</f>
        <v/>
      </c>
      <c r="I444" s="25" t="n"/>
      <c r="J444" s="30">
        <f>IF(C444="","",H444+N(I444))</f>
        <v/>
      </c>
      <c r="K444" s="6" t="n"/>
      <c r="L444" s="6" t="n"/>
      <c r="M444" s="25" t="n"/>
      <c r="N444" s="10" t="n"/>
      <c r="O444" s="30">
        <f>IF(C444="","",N(E444)*Settings!$B$8)</f>
        <v/>
      </c>
      <c r="P444" s="30">
        <f>IF(C444="","",N(N444)*Settings!$B$10)</f>
        <v/>
      </c>
      <c r="Q444" s="30">
        <f>IF(C444="","",J444-N(M444)-O444-P444)</f>
        <v/>
      </c>
      <c r="R444" s="6" t="n"/>
    </row>
    <row r="445">
      <c r="A445" s="8">
        <f>IF(B445="","","J-"&amp;TEXT(ROW()-4,"0000"))</f>
        <v/>
      </c>
      <c r="B445" s="26" t="n"/>
      <c r="C445" s="6" t="n"/>
      <c r="D445" s="6" t="n"/>
      <c r="E445" s="29" t="n"/>
      <c r="F445" s="6" t="n"/>
      <c r="G445" s="25" t="n"/>
      <c r="H445" s="27">
        <f>IF(C445="","",IF(G445&lt;&gt;"",G445,IFERROR(INDEX(Clients!$G$5:$G$304,MATCH(C445,Clients!$A$5:$A$304,0)),0)))</f>
        <v/>
      </c>
      <c r="I445" s="25" t="n"/>
      <c r="J445" s="27">
        <f>IF(C445="","",H445+N(I445))</f>
        <v/>
      </c>
      <c r="K445" s="6" t="n"/>
      <c r="L445" s="6" t="n"/>
      <c r="M445" s="25" t="n"/>
      <c r="N445" s="10" t="n"/>
      <c r="O445" s="27">
        <f>IF(C445="","",N(E445)*Settings!$B$8)</f>
        <v/>
      </c>
      <c r="P445" s="27">
        <f>IF(C445="","",N(N445)*Settings!$B$10)</f>
        <v/>
      </c>
      <c r="Q445" s="27">
        <f>IF(C445="","",J445-N(M445)-O445-P445)</f>
        <v/>
      </c>
      <c r="R445" s="6" t="n"/>
    </row>
    <row r="446">
      <c r="A446" s="17">
        <f>IF(B446="","","J-"&amp;TEXT(ROW()-4,"0000"))</f>
        <v/>
      </c>
      <c r="B446" s="26" t="n"/>
      <c r="C446" s="6" t="n"/>
      <c r="D446" s="6" t="n"/>
      <c r="E446" s="29" t="n"/>
      <c r="F446" s="6" t="n"/>
      <c r="G446" s="25" t="n"/>
      <c r="H446" s="30">
        <f>IF(C446="","",IF(G446&lt;&gt;"",G446,IFERROR(INDEX(Clients!$G$5:$G$304,MATCH(C446,Clients!$A$5:$A$304,0)),0)))</f>
        <v/>
      </c>
      <c r="I446" s="25" t="n"/>
      <c r="J446" s="30">
        <f>IF(C446="","",H446+N(I446))</f>
        <v/>
      </c>
      <c r="K446" s="6" t="n"/>
      <c r="L446" s="6" t="n"/>
      <c r="M446" s="25" t="n"/>
      <c r="N446" s="10" t="n"/>
      <c r="O446" s="30">
        <f>IF(C446="","",N(E446)*Settings!$B$8)</f>
        <v/>
      </c>
      <c r="P446" s="30">
        <f>IF(C446="","",N(N446)*Settings!$B$10)</f>
        <v/>
      </c>
      <c r="Q446" s="30">
        <f>IF(C446="","",J446-N(M446)-O446-P446)</f>
        <v/>
      </c>
      <c r="R446" s="6" t="n"/>
    </row>
    <row r="447">
      <c r="A447" s="8">
        <f>IF(B447="","","J-"&amp;TEXT(ROW()-4,"0000"))</f>
        <v/>
      </c>
      <c r="B447" s="26" t="n"/>
      <c r="C447" s="6" t="n"/>
      <c r="D447" s="6" t="n"/>
      <c r="E447" s="29" t="n"/>
      <c r="F447" s="6" t="n"/>
      <c r="G447" s="25" t="n"/>
      <c r="H447" s="27">
        <f>IF(C447="","",IF(G447&lt;&gt;"",G447,IFERROR(INDEX(Clients!$G$5:$G$304,MATCH(C447,Clients!$A$5:$A$304,0)),0)))</f>
        <v/>
      </c>
      <c r="I447" s="25" t="n"/>
      <c r="J447" s="27">
        <f>IF(C447="","",H447+N(I447))</f>
        <v/>
      </c>
      <c r="K447" s="6" t="n"/>
      <c r="L447" s="6" t="n"/>
      <c r="M447" s="25" t="n"/>
      <c r="N447" s="10" t="n"/>
      <c r="O447" s="27">
        <f>IF(C447="","",N(E447)*Settings!$B$8)</f>
        <v/>
      </c>
      <c r="P447" s="27">
        <f>IF(C447="","",N(N447)*Settings!$B$10)</f>
        <v/>
      </c>
      <c r="Q447" s="27">
        <f>IF(C447="","",J447-N(M447)-O447-P447)</f>
        <v/>
      </c>
      <c r="R447" s="6" t="n"/>
    </row>
    <row r="448">
      <c r="A448" s="17">
        <f>IF(B448="","","J-"&amp;TEXT(ROW()-4,"0000"))</f>
        <v/>
      </c>
      <c r="B448" s="26" t="n"/>
      <c r="C448" s="6" t="n"/>
      <c r="D448" s="6" t="n"/>
      <c r="E448" s="29" t="n"/>
      <c r="F448" s="6" t="n"/>
      <c r="G448" s="25" t="n"/>
      <c r="H448" s="30">
        <f>IF(C448="","",IF(G448&lt;&gt;"",G448,IFERROR(INDEX(Clients!$G$5:$G$304,MATCH(C448,Clients!$A$5:$A$304,0)),0)))</f>
        <v/>
      </c>
      <c r="I448" s="25" t="n"/>
      <c r="J448" s="30">
        <f>IF(C448="","",H448+N(I448))</f>
        <v/>
      </c>
      <c r="K448" s="6" t="n"/>
      <c r="L448" s="6" t="n"/>
      <c r="M448" s="25" t="n"/>
      <c r="N448" s="10" t="n"/>
      <c r="O448" s="30">
        <f>IF(C448="","",N(E448)*Settings!$B$8)</f>
        <v/>
      </c>
      <c r="P448" s="30">
        <f>IF(C448="","",N(N448)*Settings!$B$10)</f>
        <v/>
      </c>
      <c r="Q448" s="30">
        <f>IF(C448="","",J448-N(M448)-O448-P448)</f>
        <v/>
      </c>
      <c r="R448" s="6" t="n"/>
    </row>
    <row r="449">
      <c r="A449" s="8">
        <f>IF(B449="","","J-"&amp;TEXT(ROW()-4,"0000"))</f>
        <v/>
      </c>
      <c r="B449" s="26" t="n"/>
      <c r="C449" s="6" t="n"/>
      <c r="D449" s="6" t="n"/>
      <c r="E449" s="29" t="n"/>
      <c r="F449" s="6" t="n"/>
      <c r="G449" s="25" t="n"/>
      <c r="H449" s="27">
        <f>IF(C449="","",IF(G449&lt;&gt;"",G449,IFERROR(INDEX(Clients!$G$5:$G$304,MATCH(C449,Clients!$A$5:$A$304,0)),0)))</f>
        <v/>
      </c>
      <c r="I449" s="25" t="n"/>
      <c r="J449" s="27">
        <f>IF(C449="","",H449+N(I449))</f>
        <v/>
      </c>
      <c r="K449" s="6" t="n"/>
      <c r="L449" s="6" t="n"/>
      <c r="M449" s="25" t="n"/>
      <c r="N449" s="10" t="n"/>
      <c r="O449" s="27">
        <f>IF(C449="","",N(E449)*Settings!$B$8)</f>
        <v/>
      </c>
      <c r="P449" s="27">
        <f>IF(C449="","",N(N449)*Settings!$B$10)</f>
        <v/>
      </c>
      <c r="Q449" s="27">
        <f>IF(C449="","",J449-N(M449)-O449-P449)</f>
        <v/>
      </c>
      <c r="R449" s="6" t="n"/>
    </row>
    <row r="450">
      <c r="A450" s="17">
        <f>IF(B450="","","J-"&amp;TEXT(ROW()-4,"0000"))</f>
        <v/>
      </c>
      <c r="B450" s="26" t="n"/>
      <c r="C450" s="6" t="n"/>
      <c r="D450" s="6" t="n"/>
      <c r="E450" s="29" t="n"/>
      <c r="F450" s="6" t="n"/>
      <c r="G450" s="25" t="n"/>
      <c r="H450" s="30">
        <f>IF(C450="","",IF(G450&lt;&gt;"",G450,IFERROR(INDEX(Clients!$G$5:$G$304,MATCH(C450,Clients!$A$5:$A$304,0)),0)))</f>
        <v/>
      </c>
      <c r="I450" s="25" t="n"/>
      <c r="J450" s="30">
        <f>IF(C450="","",H450+N(I450))</f>
        <v/>
      </c>
      <c r="K450" s="6" t="n"/>
      <c r="L450" s="6" t="n"/>
      <c r="M450" s="25" t="n"/>
      <c r="N450" s="10" t="n"/>
      <c r="O450" s="30">
        <f>IF(C450="","",N(E450)*Settings!$B$8)</f>
        <v/>
      </c>
      <c r="P450" s="30">
        <f>IF(C450="","",N(N450)*Settings!$B$10)</f>
        <v/>
      </c>
      <c r="Q450" s="30">
        <f>IF(C450="","",J450-N(M450)-O450-P450)</f>
        <v/>
      </c>
      <c r="R450" s="6" t="n"/>
    </row>
    <row r="451">
      <c r="A451" s="8">
        <f>IF(B451="","","J-"&amp;TEXT(ROW()-4,"0000"))</f>
        <v/>
      </c>
      <c r="B451" s="26" t="n"/>
      <c r="C451" s="6" t="n"/>
      <c r="D451" s="6" t="n"/>
      <c r="E451" s="29" t="n"/>
      <c r="F451" s="6" t="n"/>
      <c r="G451" s="25" t="n"/>
      <c r="H451" s="27">
        <f>IF(C451="","",IF(G451&lt;&gt;"",G451,IFERROR(INDEX(Clients!$G$5:$G$304,MATCH(C451,Clients!$A$5:$A$304,0)),0)))</f>
        <v/>
      </c>
      <c r="I451" s="25" t="n"/>
      <c r="J451" s="27">
        <f>IF(C451="","",H451+N(I451))</f>
        <v/>
      </c>
      <c r="K451" s="6" t="n"/>
      <c r="L451" s="6" t="n"/>
      <c r="M451" s="25" t="n"/>
      <c r="N451" s="10" t="n"/>
      <c r="O451" s="27">
        <f>IF(C451="","",N(E451)*Settings!$B$8)</f>
        <v/>
      </c>
      <c r="P451" s="27">
        <f>IF(C451="","",N(N451)*Settings!$B$10)</f>
        <v/>
      </c>
      <c r="Q451" s="27">
        <f>IF(C451="","",J451-N(M451)-O451-P451)</f>
        <v/>
      </c>
      <c r="R451" s="6" t="n"/>
    </row>
    <row r="452">
      <c r="A452" s="17">
        <f>IF(B452="","","J-"&amp;TEXT(ROW()-4,"0000"))</f>
        <v/>
      </c>
      <c r="B452" s="26" t="n"/>
      <c r="C452" s="6" t="n"/>
      <c r="D452" s="6" t="n"/>
      <c r="E452" s="29" t="n"/>
      <c r="F452" s="6" t="n"/>
      <c r="G452" s="25" t="n"/>
      <c r="H452" s="30">
        <f>IF(C452="","",IF(G452&lt;&gt;"",G452,IFERROR(INDEX(Clients!$G$5:$G$304,MATCH(C452,Clients!$A$5:$A$304,0)),0)))</f>
        <v/>
      </c>
      <c r="I452" s="25" t="n"/>
      <c r="J452" s="30">
        <f>IF(C452="","",H452+N(I452))</f>
        <v/>
      </c>
      <c r="K452" s="6" t="n"/>
      <c r="L452" s="6" t="n"/>
      <c r="M452" s="25" t="n"/>
      <c r="N452" s="10" t="n"/>
      <c r="O452" s="30">
        <f>IF(C452="","",N(E452)*Settings!$B$8)</f>
        <v/>
      </c>
      <c r="P452" s="30">
        <f>IF(C452="","",N(N452)*Settings!$B$10)</f>
        <v/>
      </c>
      <c r="Q452" s="30">
        <f>IF(C452="","",J452-N(M452)-O452-P452)</f>
        <v/>
      </c>
      <c r="R452" s="6" t="n"/>
    </row>
    <row r="453">
      <c r="A453" s="8">
        <f>IF(B453="","","J-"&amp;TEXT(ROW()-4,"0000"))</f>
        <v/>
      </c>
      <c r="B453" s="26" t="n"/>
      <c r="C453" s="6" t="n"/>
      <c r="D453" s="6" t="n"/>
      <c r="E453" s="29" t="n"/>
      <c r="F453" s="6" t="n"/>
      <c r="G453" s="25" t="n"/>
      <c r="H453" s="27">
        <f>IF(C453="","",IF(G453&lt;&gt;"",G453,IFERROR(INDEX(Clients!$G$5:$G$304,MATCH(C453,Clients!$A$5:$A$304,0)),0)))</f>
        <v/>
      </c>
      <c r="I453" s="25" t="n"/>
      <c r="J453" s="27">
        <f>IF(C453="","",H453+N(I453))</f>
        <v/>
      </c>
      <c r="K453" s="6" t="n"/>
      <c r="L453" s="6" t="n"/>
      <c r="M453" s="25" t="n"/>
      <c r="N453" s="10" t="n"/>
      <c r="O453" s="27">
        <f>IF(C453="","",N(E453)*Settings!$B$8)</f>
        <v/>
      </c>
      <c r="P453" s="27">
        <f>IF(C453="","",N(N453)*Settings!$B$10)</f>
        <v/>
      </c>
      <c r="Q453" s="27">
        <f>IF(C453="","",J453-N(M453)-O453-P453)</f>
        <v/>
      </c>
      <c r="R453" s="6" t="n"/>
    </row>
    <row r="454">
      <c r="A454" s="17">
        <f>IF(B454="","","J-"&amp;TEXT(ROW()-4,"0000"))</f>
        <v/>
      </c>
      <c r="B454" s="26" t="n"/>
      <c r="C454" s="6" t="n"/>
      <c r="D454" s="6" t="n"/>
      <c r="E454" s="29" t="n"/>
      <c r="F454" s="6" t="n"/>
      <c r="G454" s="25" t="n"/>
      <c r="H454" s="30">
        <f>IF(C454="","",IF(G454&lt;&gt;"",G454,IFERROR(INDEX(Clients!$G$5:$G$304,MATCH(C454,Clients!$A$5:$A$304,0)),0)))</f>
        <v/>
      </c>
      <c r="I454" s="25" t="n"/>
      <c r="J454" s="30">
        <f>IF(C454="","",H454+N(I454))</f>
        <v/>
      </c>
      <c r="K454" s="6" t="n"/>
      <c r="L454" s="6" t="n"/>
      <c r="M454" s="25" t="n"/>
      <c r="N454" s="10" t="n"/>
      <c r="O454" s="30">
        <f>IF(C454="","",N(E454)*Settings!$B$8)</f>
        <v/>
      </c>
      <c r="P454" s="30">
        <f>IF(C454="","",N(N454)*Settings!$B$10)</f>
        <v/>
      </c>
      <c r="Q454" s="30">
        <f>IF(C454="","",J454-N(M454)-O454-P454)</f>
        <v/>
      </c>
      <c r="R454" s="6" t="n"/>
    </row>
    <row r="455">
      <c r="A455" s="8">
        <f>IF(B455="","","J-"&amp;TEXT(ROW()-4,"0000"))</f>
        <v/>
      </c>
      <c r="B455" s="26" t="n"/>
      <c r="C455" s="6" t="n"/>
      <c r="D455" s="6" t="n"/>
      <c r="E455" s="29" t="n"/>
      <c r="F455" s="6" t="n"/>
      <c r="G455" s="25" t="n"/>
      <c r="H455" s="27">
        <f>IF(C455="","",IF(G455&lt;&gt;"",G455,IFERROR(INDEX(Clients!$G$5:$G$304,MATCH(C455,Clients!$A$5:$A$304,0)),0)))</f>
        <v/>
      </c>
      <c r="I455" s="25" t="n"/>
      <c r="J455" s="27">
        <f>IF(C455="","",H455+N(I455))</f>
        <v/>
      </c>
      <c r="K455" s="6" t="n"/>
      <c r="L455" s="6" t="n"/>
      <c r="M455" s="25" t="n"/>
      <c r="N455" s="10" t="n"/>
      <c r="O455" s="27">
        <f>IF(C455="","",N(E455)*Settings!$B$8)</f>
        <v/>
      </c>
      <c r="P455" s="27">
        <f>IF(C455="","",N(N455)*Settings!$B$10)</f>
        <v/>
      </c>
      <c r="Q455" s="27">
        <f>IF(C455="","",J455-N(M455)-O455-P455)</f>
        <v/>
      </c>
      <c r="R455" s="6" t="n"/>
    </row>
    <row r="456">
      <c r="A456" s="17">
        <f>IF(B456="","","J-"&amp;TEXT(ROW()-4,"0000"))</f>
        <v/>
      </c>
      <c r="B456" s="26" t="n"/>
      <c r="C456" s="6" t="n"/>
      <c r="D456" s="6" t="n"/>
      <c r="E456" s="29" t="n"/>
      <c r="F456" s="6" t="n"/>
      <c r="G456" s="25" t="n"/>
      <c r="H456" s="30">
        <f>IF(C456="","",IF(G456&lt;&gt;"",G456,IFERROR(INDEX(Clients!$G$5:$G$304,MATCH(C456,Clients!$A$5:$A$304,0)),0)))</f>
        <v/>
      </c>
      <c r="I456" s="25" t="n"/>
      <c r="J456" s="30">
        <f>IF(C456="","",H456+N(I456))</f>
        <v/>
      </c>
      <c r="K456" s="6" t="n"/>
      <c r="L456" s="6" t="n"/>
      <c r="M456" s="25" t="n"/>
      <c r="N456" s="10" t="n"/>
      <c r="O456" s="30">
        <f>IF(C456="","",N(E456)*Settings!$B$8)</f>
        <v/>
      </c>
      <c r="P456" s="30">
        <f>IF(C456="","",N(N456)*Settings!$B$10)</f>
        <v/>
      </c>
      <c r="Q456" s="30">
        <f>IF(C456="","",J456-N(M456)-O456-P456)</f>
        <v/>
      </c>
      <c r="R456" s="6" t="n"/>
    </row>
    <row r="457">
      <c r="A457" s="8">
        <f>IF(B457="","","J-"&amp;TEXT(ROW()-4,"0000"))</f>
        <v/>
      </c>
      <c r="B457" s="26" t="n"/>
      <c r="C457" s="6" t="n"/>
      <c r="D457" s="6" t="n"/>
      <c r="E457" s="29" t="n"/>
      <c r="F457" s="6" t="n"/>
      <c r="G457" s="25" t="n"/>
      <c r="H457" s="27">
        <f>IF(C457="","",IF(G457&lt;&gt;"",G457,IFERROR(INDEX(Clients!$G$5:$G$304,MATCH(C457,Clients!$A$5:$A$304,0)),0)))</f>
        <v/>
      </c>
      <c r="I457" s="25" t="n"/>
      <c r="J457" s="27">
        <f>IF(C457="","",H457+N(I457))</f>
        <v/>
      </c>
      <c r="K457" s="6" t="n"/>
      <c r="L457" s="6" t="n"/>
      <c r="M457" s="25" t="n"/>
      <c r="N457" s="10" t="n"/>
      <c r="O457" s="27">
        <f>IF(C457="","",N(E457)*Settings!$B$8)</f>
        <v/>
      </c>
      <c r="P457" s="27">
        <f>IF(C457="","",N(N457)*Settings!$B$10)</f>
        <v/>
      </c>
      <c r="Q457" s="27">
        <f>IF(C457="","",J457-N(M457)-O457-P457)</f>
        <v/>
      </c>
      <c r="R457" s="6" t="n"/>
    </row>
    <row r="458">
      <c r="A458" s="17">
        <f>IF(B458="","","J-"&amp;TEXT(ROW()-4,"0000"))</f>
        <v/>
      </c>
      <c r="B458" s="26" t="n"/>
      <c r="C458" s="6" t="n"/>
      <c r="D458" s="6" t="n"/>
      <c r="E458" s="29" t="n"/>
      <c r="F458" s="6" t="n"/>
      <c r="G458" s="25" t="n"/>
      <c r="H458" s="30">
        <f>IF(C458="","",IF(G458&lt;&gt;"",G458,IFERROR(INDEX(Clients!$G$5:$G$304,MATCH(C458,Clients!$A$5:$A$304,0)),0)))</f>
        <v/>
      </c>
      <c r="I458" s="25" t="n"/>
      <c r="J458" s="30">
        <f>IF(C458="","",H458+N(I458))</f>
        <v/>
      </c>
      <c r="K458" s="6" t="n"/>
      <c r="L458" s="6" t="n"/>
      <c r="M458" s="25" t="n"/>
      <c r="N458" s="10" t="n"/>
      <c r="O458" s="30">
        <f>IF(C458="","",N(E458)*Settings!$B$8)</f>
        <v/>
      </c>
      <c r="P458" s="30">
        <f>IF(C458="","",N(N458)*Settings!$B$10)</f>
        <v/>
      </c>
      <c r="Q458" s="30">
        <f>IF(C458="","",J458-N(M458)-O458-P458)</f>
        <v/>
      </c>
      <c r="R458" s="6" t="n"/>
    </row>
    <row r="459">
      <c r="A459" s="8">
        <f>IF(B459="","","J-"&amp;TEXT(ROW()-4,"0000"))</f>
        <v/>
      </c>
      <c r="B459" s="26" t="n"/>
      <c r="C459" s="6" t="n"/>
      <c r="D459" s="6" t="n"/>
      <c r="E459" s="29" t="n"/>
      <c r="F459" s="6" t="n"/>
      <c r="G459" s="25" t="n"/>
      <c r="H459" s="27">
        <f>IF(C459="","",IF(G459&lt;&gt;"",G459,IFERROR(INDEX(Clients!$G$5:$G$304,MATCH(C459,Clients!$A$5:$A$304,0)),0)))</f>
        <v/>
      </c>
      <c r="I459" s="25" t="n"/>
      <c r="J459" s="27">
        <f>IF(C459="","",H459+N(I459))</f>
        <v/>
      </c>
      <c r="K459" s="6" t="n"/>
      <c r="L459" s="6" t="n"/>
      <c r="M459" s="25" t="n"/>
      <c r="N459" s="10" t="n"/>
      <c r="O459" s="27">
        <f>IF(C459="","",N(E459)*Settings!$B$8)</f>
        <v/>
      </c>
      <c r="P459" s="27">
        <f>IF(C459="","",N(N459)*Settings!$B$10)</f>
        <v/>
      </c>
      <c r="Q459" s="27">
        <f>IF(C459="","",J459-N(M459)-O459-P459)</f>
        <v/>
      </c>
      <c r="R459" s="6" t="n"/>
    </row>
    <row r="460">
      <c r="A460" s="17">
        <f>IF(B460="","","J-"&amp;TEXT(ROW()-4,"0000"))</f>
        <v/>
      </c>
      <c r="B460" s="26" t="n"/>
      <c r="C460" s="6" t="n"/>
      <c r="D460" s="6" t="n"/>
      <c r="E460" s="29" t="n"/>
      <c r="F460" s="6" t="n"/>
      <c r="G460" s="25" t="n"/>
      <c r="H460" s="30">
        <f>IF(C460="","",IF(G460&lt;&gt;"",G460,IFERROR(INDEX(Clients!$G$5:$G$304,MATCH(C460,Clients!$A$5:$A$304,0)),0)))</f>
        <v/>
      </c>
      <c r="I460" s="25" t="n"/>
      <c r="J460" s="30">
        <f>IF(C460="","",H460+N(I460))</f>
        <v/>
      </c>
      <c r="K460" s="6" t="n"/>
      <c r="L460" s="6" t="n"/>
      <c r="M460" s="25" t="n"/>
      <c r="N460" s="10" t="n"/>
      <c r="O460" s="30">
        <f>IF(C460="","",N(E460)*Settings!$B$8)</f>
        <v/>
      </c>
      <c r="P460" s="30">
        <f>IF(C460="","",N(N460)*Settings!$B$10)</f>
        <v/>
      </c>
      <c r="Q460" s="30">
        <f>IF(C460="","",J460-N(M460)-O460-P460)</f>
        <v/>
      </c>
      <c r="R460" s="6" t="n"/>
    </row>
    <row r="461">
      <c r="A461" s="8">
        <f>IF(B461="","","J-"&amp;TEXT(ROW()-4,"0000"))</f>
        <v/>
      </c>
      <c r="B461" s="26" t="n"/>
      <c r="C461" s="6" t="n"/>
      <c r="D461" s="6" t="n"/>
      <c r="E461" s="29" t="n"/>
      <c r="F461" s="6" t="n"/>
      <c r="G461" s="25" t="n"/>
      <c r="H461" s="27">
        <f>IF(C461="","",IF(G461&lt;&gt;"",G461,IFERROR(INDEX(Clients!$G$5:$G$304,MATCH(C461,Clients!$A$5:$A$304,0)),0)))</f>
        <v/>
      </c>
      <c r="I461" s="25" t="n"/>
      <c r="J461" s="27">
        <f>IF(C461="","",H461+N(I461))</f>
        <v/>
      </c>
      <c r="K461" s="6" t="n"/>
      <c r="L461" s="6" t="n"/>
      <c r="M461" s="25" t="n"/>
      <c r="N461" s="10" t="n"/>
      <c r="O461" s="27">
        <f>IF(C461="","",N(E461)*Settings!$B$8)</f>
        <v/>
      </c>
      <c r="P461" s="27">
        <f>IF(C461="","",N(N461)*Settings!$B$10)</f>
        <v/>
      </c>
      <c r="Q461" s="27">
        <f>IF(C461="","",J461-N(M461)-O461-P461)</f>
        <v/>
      </c>
      <c r="R461" s="6" t="n"/>
    </row>
    <row r="462">
      <c r="A462" s="17">
        <f>IF(B462="","","J-"&amp;TEXT(ROW()-4,"0000"))</f>
        <v/>
      </c>
      <c r="B462" s="26" t="n"/>
      <c r="C462" s="6" t="n"/>
      <c r="D462" s="6" t="n"/>
      <c r="E462" s="29" t="n"/>
      <c r="F462" s="6" t="n"/>
      <c r="G462" s="25" t="n"/>
      <c r="H462" s="30">
        <f>IF(C462="","",IF(G462&lt;&gt;"",G462,IFERROR(INDEX(Clients!$G$5:$G$304,MATCH(C462,Clients!$A$5:$A$304,0)),0)))</f>
        <v/>
      </c>
      <c r="I462" s="25" t="n"/>
      <c r="J462" s="30">
        <f>IF(C462="","",H462+N(I462))</f>
        <v/>
      </c>
      <c r="K462" s="6" t="n"/>
      <c r="L462" s="6" t="n"/>
      <c r="M462" s="25" t="n"/>
      <c r="N462" s="10" t="n"/>
      <c r="O462" s="30">
        <f>IF(C462="","",N(E462)*Settings!$B$8)</f>
        <v/>
      </c>
      <c r="P462" s="30">
        <f>IF(C462="","",N(N462)*Settings!$B$10)</f>
        <v/>
      </c>
      <c r="Q462" s="30">
        <f>IF(C462="","",J462-N(M462)-O462-P462)</f>
        <v/>
      </c>
      <c r="R462" s="6" t="n"/>
    </row>
    <row r="463">
      <c r="A463" s="8">
        <f>IF(B463="","","J-"&amp;TEXT(ROW()-4,"0000"))</f>
        <v/>
      </c>
      <c r="B463" s="26" t="n"/>
      <c r="C463" s="6" t="n"/>
      <c r="D463" s="6" t="n"/>
      <c r="E463" s="29" t="n"/>
      <c r="F463" s="6" t="n"/>
      <c r="G463" s="25" t="n"/>
      <c r="H463" s="27">
        <f>IF(C463="","",IF(G463&lt;&gt;"",G463,IFERROR(INDEX(Clients!$G$5:$G$304,MATCH(C463,Clients!$A$5:$A$304,0)),0)))</f>
        <v/>
      </c>
      <c r="I463" s="25" t="n"/>
      <c r="J463" s="27">
        <f>IF(C463="","",H463+N(I463))</f>
        <v/>
      </c>
      <c r="K463" s="6" t="n"/>
      <c r="L463" s="6" t="n"/>
      <c r="M463" s="25" t="n"/>
      <c r="N463" s="10" t="n"/>
      <c r="O463" s="27">
        <f>IF(C463="","",N(E463)*Settings!$B$8)</f>
        <v/>
      </c>
      <c r="P463" s="27">
        <f>IF(C463="","",N(N463)*Settings!$B$10)</f>
        <v/>
      </c>
      <c r="Q463" s="27">
        <f>IF(C463="","",J463-N(M463)-O463-P463)</f>
        <v/>
      </c>
      <c r="R463" s="6" t="n"/>
    </row>
    <row r="464">
      <c r="A464" s="17">
        <f>IF(B464="","","J-"&amp;TEXT(ROW()-4,"0000"))</f>
        <v/>
      </c>
      <c r="B464" s="26" t="n"/>
      <c r="C464" s="6" t="n"/>
      <c r="D464" s="6" t="n"/>
      <c r="E464" s="29" t="n"/>
      <c r="F464" s="6" t="n"/>
      <c r="G464" s="25" t="n"/>
      <c r="H464" s="30">
        <f>IF(C464="","",IF(G464&lt;&gt;"",G464,IFERROR(INDEX(Clients!$G$5:$G$304,MATCH(C464,Clients!$A$5:$A$304,0)),0)))</f>
        <v/>
      </c>
      <c r="I464" s="25" t="n"/>
      <c r="J464" s="30">
        <f>IF(C464="","",H464+N(I464))</f>
        <v/>
      </c>
      <c r="K464" s="6" t="n"/>
      <c r="L464" s="6" t="n"/>
      <c r="M464" s="25" t="n"/>
      <c r="N464" s="10" t="n"/>
      <c r="O464" s="30">
        <f>IF(C464="","",N(E464)*Settings!$B$8)</f>
        <v/>
      </c>
      <c r="P464" s="30">
        <f>IF(C464="","",N(N464)*Settings!$B$10)</f>
        <v/>
      </c>
      <c r="Q464" s="30">
        <f>IF(C464="","",J464-N(M464)-O464-P464)</f>
        <v/>
      </c>
      <c r="R464" s="6" t="n"/>
    </row>
    <row r="465">
      <c r="A465" s="8">
        <f>IF(B465="","","J-"&amp;TEXT(ROW()-4,"0000"))</f>
        <v/>
      </c>
      <c r="B465" s="26" t="n"/>
      <c r="C465" s="6" t="n"/>
      <c r="D465" s="6" t="n"/>
      <c r="E465" s="29" t="n"/>
      <c r="F465" s="6" t="n"/>
      <c r="G465" s="25" t="n"/>
      <c r="H465" s="27">
        <f>IF(C465="","",IF(G465&lt;&gt;"",G465,IFERROR(INDEX(Clients!$G$5:$G$304,MATCH(C465,Clients!$A$5:$A$304,0)),0)))</f>
        <v/>
      </c>
      <c r="I465" s="25" t="n"/>
      <c r="J465" s="27">
        <f>IF(C465="","",H465+N(I465))</f>
        <v/>
      </c>
      <c r="K465" s="6" t="n"/>
      <c r="L465" s="6" t="n"/>
      <c r="M465" s="25" t="n"/>
      <c r="N465" s="10" t="n"/>
      <c r="O465" s="27">
        <f>IF(C465="","",N(E465)*Settings!$B$8)</f>
        <v/>
      </c>
      <c r="P465" s="27">
        <f>IF(C465="","",N(N465)*Settings!$B$10)</f>
        <v/>
      </c>
      <c r="Q465" s="27">
        <f>IF(C465="","",J465-N(M465)-O465-P465)</f>
        <v/>
      </c>
      <c r="R465" s="6" t="n"/>
    </row>
    <row r="466">
      <c r="A466" s="17">
        <f>IF(B466="","","J-"&amp;TEXT(ROW()-4,"0000"))</f>
        <v/>
      </c>
      <c r="B466" s="26" t="n"/>
      <c r="C466" s="6" t="n"/>
      <c r="D466" s="6" t="n"/>
      <c r="E466" s="29" t="n"/>
      <c r="F466" s="6" t="n"/>
      <c r="G466" s="25" t="n"/>
      <c r="H466" s="30">
        <f>IF(C466="","",IF(G466&lt;&gt;"",G466,IFERROR(INDEX(Clients!$G$5:$G$304,MATCH(C466,Clients!$A$5:$A$304,0)),0)))</f>
        <v/>
      </c>
      <c r="I466" s="25" t="n"/>
      <c r="J466" s="30">
        <f>IF(C466="","",H466+N(I466))</f>
        <v/>
      </c>
      <c r="K466" s="6" t="n"/>
      <c r="L466" s="6" t="n"/>
      <c r="M466" s="25" t="n"/>
      <c r="N466" s="10" t="n"/>
      <c r="O466" s="30">
        <f>IF(C466="","",N(E466)*Settings!$B$8)</f>
        <v/>
      </c>
      <c r="P466" s="30">
        <f>IF(C466="","",N(N466)*Settings!$B$10)</f>
        <v/>
      </c>
      <c r="Q466" s="30">
        <f>IF(C466="","",J466-N(M466)-O466-P466)</f>
        <v/>
      </c>
      <c r="R466" s="6" t="n"/>
    </row>
    <row r="467">
      <c r="A467" s="8">
        <f>IF(B467="","","J-"&amp;TEXT(ROW()-4,"0000"))</f>
        <v/>
      </c>
      <c r="B467" s="26" t="n"/>
      <c r="C467" s="6" t="n"/>
      <c r="D467" s="6" t="n"/>
      <c r="E467" s="29" t="n"/>
      <c r="F467" s="6" t="n"/>
      <c r="G467" s="25" t="n"/>
      <c r="H467" s="27">
        <f>IF(C467="","",IF(G467&lt;&gt;"",G467,IFERROR(INDEX(Clients!$G$5:$G$304,MATCH(C467,Clients!$A$5:$A$304,0)),0)))</f>
        <v/>
      </c>
      <c r="I467" s="25" t="n"/>
      <c r="J467" s="27">
        <f>IF(C467="","",H467+N(I467))</f>
        <v/>
      </c>
      <c r="K467" s="6" t="n"/>
      <c r="L467" s="6" t="n"/>
      <c r="M467" s="25" t="n"/>
      <c r="N467" s="10" t="n"/>
      <c r="O467" s="27">
        <f>IF(C467="","",N(E467)*Settings!$B$8)</f>
        <v/>
      </c>
      <c r="P467" s="27">
        <f>IF(C467="","",N(N467)*Settings!$B$10)</f>
        <v/>
      </c>
      <c r="Q467" s="27">
        <f>IF(C467="","",J467-N(M467)-O467-P467)</f>
        <v/>
      </c>
      <c r="R467" s="6" t="n"/>
    </row>
    <row r="468">
      <c r="A468" s="17">
        <f>IF(B468="","","J-"&amp;TEXT(ROW()-4,"0000"))</f>
        <v/>
      </c>
      <c r="B468" s="26" t="n"/>
      <c r="C468" s="6" t="n"/>
      <c r="D468" s="6" t="n"/>
      <c r="E468" s="29" t="n"/>
      <c r="F468" s="6" t="n"/>
      <c r="G468" s="25" t="n"/>
      <c r="H468" s="30">
        <f>IF(C468="","",IF(G468&lt;&gt;"",G468,IFERROR(INDEX(Clients!$G$5:$G$304,MATCH(C468,Clients!$A$5:$A$304,0)),0)))</f>
        <v/>
      </c>
      <c r="I468" s="25" t="n"/>
      <c r="J468" s="30">
        <f>IF(C468="","",H468+N(I468))</f>
        <v/>
      </c>
      <c r="K468" s="6" t="n"/>
      <c r="L468" s="6" t="n"/>
      <c r="M468" s="25" t="n"/>
      <c r="N468" s="10" t="n"/>
      <c r="O468" s="30">
        <f>IF(C468="","",N(E468)*Settings!$B$8)</f>
        <v/>
      </c>
      <c r="P468" s="30">
        <f>IF(C468="","",N(N468)*Settings!$B$10)</f>
        <v/>
      </c>
      <c r="Q468" s="30">
        <f>IF(C468="","",J468-N(M468)-O468-P468)</f>
        <v/>
      </c>
      <c r="R468" s="6" t="n"/>
    </row>
    <row r="469">
      <c r="A469" s="8">
        <f>IF(B469="","","J-"&amp;TEXT(ROW()-4,"0000"))</f>
        <v/>
      </c>
      <c r="B469" s="26" t="n"/>
      <c r="C469" s="6" t="n"/>
      <c r="D469" s="6" t="n"/>
      <c r="E469" s="29" t="n"/>
      <c r="F469" s="6" t="n"/>
      <c r="G469" s="25" t="n"/>
      <c r="H469" s="27">
        <f>IF(C469="","",IF(G469&lt;&gt;"",G469,IFERROR(INDEX(Clients!$G$5:$G$304,MATCH(C469,Clients!$A$5:$A$304,0)),0)))</f>
        <v/>
      </c>
      <c r="I469" s="25" t="n"/>
      <c r="J469" s="27">
        <f>IF(C469="","",H469+N(I469))</f>
        <v/>
      </c>
      <c r="K469" s="6" t="n"/>
      <c r="L469" s="6" t="n"/>
      <c r="M469" s="25" t="n"/>
      <c r="N469" s="10" t="n"/>
      <c r="O469" s="27">
        <f>IF(C469="","",N(E469)*Settings!$B$8)</f>
        <v/>
      </c>
      <c r="P469" s="27">
        <f>IF(C469="","",N(N469)*Settings!$B$10)</f>
        <v/>
      </c>
      <c r="Q469" s="27">
        <f>IF(C469="","",J469-N(M469)-O469-P469)</f>
        <v/>
      </c>
      <c r="R469" s="6" t="n"/>
    </row>
    <row r="470">
      <c r="A470" s="17">
        <f>IF(B470="","","J-"&amp;TEXT(ROW()-4,"0000"))</f>
        <v/>
      </c>
      <c r="B470" s="26" t="n"/>
      <c r="C470" s="6" t="n"/>
      <c r="D470" s="6" t="n"/>
      <c r="E470" s="29" t="n"/>
      <c r="F470" s="6" t="n"/>
      <c r="G470" s="25" t="n"/>
      <c r="H470" s="30">
        <f>IF(C470="","",IF(G470&lt;&gt;"",G470,IFERROR(INDEX(Clients!$G$5:$G$304,MATCH(C470,Clients!$A$5:$A$304,0)),0)))</f>
        <v/>
      </c>
      <c r="I470" s="25" t="n"/>
      <c r="J470" s="30">
        <f>IF(C470="","",H470+N(I470))</f>
        <v/>
      </c>
      <c r="K470" s="6" t="n"/>
      <c r="L470" s="6" t="n"/>
      <c r="M470" s="25" t="n"/>
      <c r="N470" s="10" t="n"/>
      <c r="O470" s="30">
        <f>IF(C470="","",N(E470)*Settings!$B$8)</f>
        <v/>
      </c>
      <c r="P470" s="30">
        <f>IF(C470="","",N(N470)*Settings!$B$10)</f>
        <v/>
      </c>
      <c r="Q470" s="30">
        <f>IF(C470="","",J470-N(M470)-O470-P470)</f>
        <v/>
      </c>
      <c r="R470" s="6" t="n"/>
    </row>
    <row r="471">
      <c r="A471" s="8">
        <f>IF(B471="","","J-"&amp;TEXT(ROW()-4,"0000"))</f>
        <v/>
      </c>
      <c r="B471" s="26" t="n"/>
      <c r="C471" s="6" t="n"/>
      <c r="D471" s="6" t="n"/>
      <c r="E471" s="29" t="n"/>
      <c r="F471" s="6" t="n"/>
      <c r="G471" s="25" t="n"/>
      <c r="H471" s="27">
        <f>IF(C471="","",IF(G471&lt;&gt;"",G471,IFERROR(INDEX(Clients!$G$5:$G$304,MATCH(C471,Clients!$A$5:$A$304,0)),0)))</f>
        <v/>
      </c>
      <c r="I471" s="25" t="n"/>
      <c r="J471" s="27">
        <f>IF(C471="","",H471+N(I471))</f>
        <v/>
      </c>
      <c r="K471" s="6" t="n"/>
      <c r="L471" s="6" t="n"/>
      <c r="M471" s="25" t="n"/>
      <c r="N471" s="10" t="n"/>
      <c r="O471" s="27">
        <f>IF(C471="","",N(E471)*Settings!$B$8)</f>
        <v/>
      </c>
      <c r="P471" s="27">
        <f>IF(C471="","",N(N471)*Settings!$B$10)</f>
        <v/>
      </c>
      <c r="Q471" s="27">
        <f>IF(C471="","",J471-N(M471)-O471-P471)</f>
        <v/>
      </c>
      <c r="R471" s="6" t="n"/>
    </row>
    <row r="472">
      <c r="A472" s="17">
        <f>IF(B472="","","J-"&amp;TEXT(ROW()-4,"0000"))</f>
        <v/>
      </c>
      <c r="B472" s="26" t="n"/>
      <c r="C472" s="6" t="n"/>
      <c r="D472" s="6" t="n"/>
      <c r="E472" s="29" t="n"/>
      <c r="F472" s="6" t="n"/>
      <c r="G472" s="25" t="n"/>
      <c r="H472" s="30">
        <f>IF(C472="","",IF(G472&lt;&gt;"",G472,IFERROR(INDEX(Clients!$G$5:$G$304,MATCH(C472,Clients!$A$5:$A$304,0)),0)))</f>
        <v/>
      </c>
      <c r="I472" s="25" t="n"/>
      <c r="J472" s="30">
        <f>IF(C472="","",H472+N(I472))</f>
        <v/>
      </c>
      <c r="K472" s="6" t="n"/>
      <c r="L472" s="6" t="n"/>
      <c r="M472" s="25" t="n"/>
      <c r="N472" s="10" t="n"/>
      <c r="O472" s="30">
        <f>IF(C472="","",N(E472)*Settings!$B$8)</f>
        <v/>
      </c>
      <c r="P472" s="30">
        <f>IF(C472="","",N(N472)*Settings!$B$10)</f>
        <v/>
      </c>
      <c r="Q472" s="30">
        <f>IF(C472="","",J472-N(M472)-O472-P472)</f>
        <v/>
      </c>
      <c r="R472" s="6" t="n"/>
    </row>
    <row r="473">
      <c r="A473" s="8">
        <f>IF(B473="","","J-"&amp;TEXT(ROW()-4,"0000"))</f>
        <v/>
      </c>
      <c r="B473" s="26" t="n"/>
      <c r="C473" s="6" t="n"/>
      <c r="D473" s="6" t="n"/>
      <c r="E473" s="29" t="n"/>
      <c r="F473" s="6" t="n"/>
      <c r="G473" s="25" t="n"/>
      <c r="H473" s="27">
        <f>IF(C473="","",IF(G473&lt;&gt;"",G473,IFERROR(INDEX(Clients!$G$5:$G$304,MATCH(C473,Clients!$A$5:$A$304,0)),0)))</f>
        <v/>
      </c>
      <c r="I473" s="25" t="n"/>
      <c r="J473" s="27">
        <f>IF(C473="","",H473+N(I473))</f>
        <v/>
      </c>
      <c r="K473" s="6" t="n"/>
      <c r="L473" s="6" t="n"/>
      <c r="M473" s="25" t="n"/>
      <c r="N473" s="10" t="n"/>
      <c r="O473" s="27">
        <f>IF(C473="","",N(E473)*Settings!$B$8)</f>
        <v/>
      </c>
      <c r="P473" s="27">
        <f>IF(C473="","",N(N473)*Settings!$B$10)</f>
        <v/>
      </c>
      <c r="Q473" s="27">
        <f>IF(C473="","",J473-N(M473)-O473-P473)</f>
        <v/>
      </c>
      <c r="R473" s="6" t="n"/>
    </row>
    <row r="474">
      <c r="A474" s="17">
        <f>IF(B474="","","J-"&amp;TEXT(ROW()-4,"0000"))</f>
        <v/>
      </c>
      <c r="B474" s="26" t="n"/>
      <c r="C474" s="6" t="n"/>
      <c r="D474" s="6" t="n"/>
      <c r="E474" s="29" t="n"/>
      <c r="F474" s="6" t="n"/>
      <c r="G474" s="25" t="n"/>
      <c r="H474" s="30">
        <f>IF(C474="","",IF(G474&lt;&gt;"",G474,IFERROR(INDEX(Clients!$G$5:$G$304,MATCH(C474,Clients!$A$5:$A$304,0)),0)))</f>
        <v/>
      </c>
      <c r="I474" s="25" t="n"/>
      <c r="J474" s="30">
        <f>IF(C474="","",H474+N(I474))</f>
        <v/>
      </c>
      <c r="K474" s="6" t="n"/>
      <c r="L474" s="6" t="n"/>
      <c r="M474" s="25" t="n"/>
      <c r="N474" s="10" t="n"/>
      <c r="O474" s="30">
        <f>IF(C474="","",N(E474)*Settings!$B$8)</f>
        <v/>
      </c>
      <c r="P474" s="30">
        <f>IF(C474="","",N(N474)*Settings!$B$10)</f>
        <v/>
      </c>
      <c r="Q474" s="30">
        <f>IF(C474="","",J474-N(M474)-O474-P474)</f>
        <v/>
      </c>
      <c r="R474" s="6" t="n"/>
    </row>
    <row r="475">
      <c r="A475" s="8">
        <f>IF(B475="","","J-"&amp;TEXT(ROW()-4,"0000"))</f>
        <v/>
      </c>
      <c r="B475" s="26" t="n"/>
      <c r="C475" s="6" t="n"/>
      <c r="D475" s="6" t="n"/>
      <c r="E475" s="29" t="n"/>
      <c r="F475" s="6" t="n"/>
      <c r="G475" s="25" t="n"/>
      <c r="H475" s="27">
        <f>IF(C475="","",IF(G475&lt;&gt;"",G475,IFERROR(INDEX(Clients!$G$5:$G$304,MATCH(C475,Clients!$A$5:$A$304,0)),0)))</f>
        <v/>
      </c>
      <c r="I475" s="25" t="n"/>
      <c r="J475" s="27">
        <f>IF(C475="","",H475+N(I475))</f>
        <v/>
      </c>
      <c r="K475" s="6" t="n"/>
      <c r="L475" s="6" t="n"/>
      <c r="M475" s="25" t="n"/>
      <c r="N475" s="10" t="n"/>
      <c r="O475" s="27">
        <f>IF(C475="","",N(E475)*Settings!$B$8)</f>
        <v/>
      </c>
      <c r="P475" s="27">
        <f>IF(C475="","",N(N475)*Settings!$B$10)</f>
        <v/>
      </c>
      <c r="Q475" s="27">
        <f>IF(C475="","",J475-N(M475)-O475-P475)</f>
        <v/>
      </c>
      <c r="R475" s="6" t="n"/>
    </row>
    <row r="476">
      <c r="A476" s="17">
        <f>IF(B476="","","J-"&amp;TEXT(ROW()-4,"0000"))</f>
        <v/>
      </c>
      <c r="B476" s="26" t="n"/>
      <c r="C476" s="6" t="n"/>
      <c r="D476" s="6" t="n"/>
      <c r="E476" s="29" t="n"/>
      <c r="F476" s="6" t="n"/>
      <c r="G476" s="25" t="n"/>
      <c r="H476" s="30">
        <f>IF(C476="","",IF(G476&lt;&gt;"",G476,IFERROR(INDEX(Clients!$G$5:$G$304,MATCH(C476,Clients!$A$5:$A$304,0)),0)))</f>
        <v/>
      </c>
      <c r="I476" s="25" t="n"/>
      <c r="J476" s="30">
        <f>IF(C476="","",H476+N(I476))</f>
        <v/>
      </c>
      <c r="K476" s="6" t="n"/>
      <c r="L476" s="6" t="n"/>
      <c r="M476" s="25" t="n"/>
      <c r="N476" s="10" t="n"/>
      <c r="O476" s="30">
        <f>IF(C476="","",N(E476)*Settings!$B$8)</f>
        <v/>
      </c>
      <c r="P476" s="30">
        <f>IF(C476="","",N(N476)*Settings!$B$10)</f>
        <v/>
      </c>
      <c r="Q476" s="30">
        <f>IF(C476="","",J476-N(M476)-O476-P476)</f>
        <v/>
      </c>
      <c r="R476" s="6" t="n"/>
    </row>
    <row r="477">
      <c r="A477" s="8">
        <f>IF(B477="","","J-"&amp;TEXT(ROW()-4,"0000"))</f>
        <v/>
      </c>
      <c r="B477" s="26" t="n"/>
      <c r="C477" s="6" t="n"/>
      <c r="D477" s="6" t="n"/>
      <c r="E477" s="29" t="n"/>
      <c r="F477" s="6" t="n"/>
      <c r="G477" s="25" t="n"/>
      <c r="H477" s="27">
        <f>IF(C477="","",IF(G477&lt;&gt;"",G477,IFERROR(INDEX(Clients!$G$5:$G$304,MATCH(C477,Clients!$A$5:$A$304,0)),0)))</f>
        <v/>
      </c>
      <c r="I477" s="25" t="n"/>
      <c r="J477" s="27">
        <f>IF(C477="","",H477+N(I477))</f>
        <v/>
      </c>
      <c r="K477" s="6" t="n"/>
      <c r="L477" s="6" t="n"/>
      <c r="M477" s="25" t="n"/>
      <c r="N477" s="10" t="n"/>
      <c r="O477" s="27">
        <f>IF(C477="","",N(E477)*Settings!$B$8)</f>
        <v/>
      </c>
      <c r="P477" s="27">
        <f>IF(C477="","",N(N477)*Settings!$B$10)</f>
        <v/>
      </c>
      <c r="Q477" s="27">
        <f>IF(C477="","",J477-N(M477)-O477-P477)</f>
        <v/>
      </c>
      <c r="R477" s="6" t="n"/>
    </row>
    <row r="478">
      <c r="A478" s="17">
        <f>IF(B478="","","J-"&amp;TEXT(ROW()-4,"0000"))</f>
        <v/>
      </c>
      <c r="B478" s="26" t="n"/>
      <c r="C478" s="6" t="n"/>
      <c r="D478" s="6" t="n"/>
      <c r="E478" s="29" t="n"/>
      <c r="F478" s="6" t="n"/>
      <c r="G478" s="25" t="n"/>
      <c r="H478" s="30">
        <f>IF(C478="","",IF(G478&lt;&gt;"",G478,IFERROR(INDEX(Clients!$G$5:$G$304,MATCH(C478,Clients!$A$5:$A$304,0)),0)))</f>
        <v/>
      </c>
      <c r="I478" s="25" t="n"/>
      <c r="J478" s="30">
        <f>IF(C478="","",H478+N(I478))</f>
        <v/>
      </c>
      <c r="K478" s="6" t="n"/>
      <c r="L478" s="6" t="n"/>
      <c r="M478" s="25" t="n"/>
      <c r="N478" s="10" t="n"/>
      <c r="O478" s="30">
        <f>IF(C478="","",N(E478)*Settings!$B$8)</f>
        <v/>
      </c>
      <c r="P478" s="30">
        <f>IF(C478="","",N(N478)*Settings!$B$10)</f>
        <v/>
      </c>
      <c r="Q478" s="30">
        <f>IF(C478="","",J478-N(M478)-O478-P478)</f>
        <v/>
      </c>
      <c r="R478" s="6" t="n"/>
    </row>
    <row r="479">
      <c r="A479" s="8">
        <f>IF(B479="","","J-"&amp;TEXT(ROW()-4,"0000"))</f>
        <v/>
      </c>
      <c r="B479" s="26" t="n"/>
      <c r="C479" s="6" t="n"/>
      <c r="D479" s="6" t="n"/>
      <c r="E479" s="29" t="n"/>
      <c r="F479" s="6" t="n"/>
      <c r="G479" s="25" t="n"/>
      <c r="H479" s="27">
        <f>IF(C479="","",IF(G479&lt;&gt;"",G479,IFERROR(INDEX(Clients!$G$5:$G$304,MATCH(C479,Clients!$A$5:$A$304,0)),0)))</f>
        <v/>
      </c>
      <c r="I479" s="25" t="n"/>
      <c r="J479" s="27">
        <f>IF(C479="","",H479+N(I479))</f>
        <v/>
      </c>
      <c r="K479" s="6" t="n"/>
      <c r="L479" s="6" t="n"/>
      <c r="M479" s="25" t="n"/>
      <c r="N479" s="10" t="n"/>
      <c r="O479" s="27">
        <f>IF(C479="","",N(E479)*Settings!$B$8)</f>
        <v/>
      </c>
      <c r="P479" s="27">
        <f>IF(C479="","",N(N479)*Settings!$B$10)</f>
        <v/>
      </c>
      <c r="Q479" s="27">
        <f>IF(C479="","",J479-N(M479)-O479-P479)</f>
        <v/>
      </c>
      <c r="R479" s="6" t="n"/>
    </row>
    <row r="480">
      <c r="A480" s="17">
        <f>IF(B480="","","J-"&amp;TEXT(ROW()-4,"0000"))</f>
        <v/>
      </c>
      <c r="B480" s="26" t="n"/>
      <c r="C480" s="6" t="n"/>
      <c r="D480" s="6" t="n"/>
      <c r="E480" s="29" t="n"/>
      <c r="F480" s="6" t="n"/>
      <c r="G480" s="25" t="n"/>
      <c r="H480" s="30">
        <f>IF(C480="","",IF(G480&lt;&gt;"",G480,IFERROR(INDEX(Clients!$G$5:$G$304,MATCH(C480,Clients!$A$5:$A$304,0)),0)))</f>
        <v/>
      </c>
      <c r="I480" s="25" t="n"/>
      <c r="J480" s="30">
        <f>IF(C480="","",H480+N(I480))</f>
        <v/>
      </c>
      <c r="K480" s="6" t="n"/>
      <c r="L480" s="6" t="n"/>
      <c r="M480" s="25" t="n"/>
      <c r="N480" s="10" t="n"/>
      <c r="O480" s="30">
        <f>IF(C480="","",N(E480)*Settings!$B$8)</f>
        <v/>
      </c>
      <c r="P480" s="30">
        <f>IF(C480="","",N(N480)*Settings!$B$10)</f>
        <v/>
      </c>
      <c r="Q480" s="30">
        <f>IF(C480="","",J480-N(M480)-O480-P480)</f>
        <v/>
      </c>
      <c r="R480" s="6" t="n"/>
    </row>
    <row r="481">
      <c r="A481" s="8">
        <f>IF(B481="","","J-"&amp;TEXT(ROW()-4,"0000"))</f>
        <v/>
      </c>
      <c r="B481" s="26" t="n"/>
      <c r="C481" s="6" t="n"/>
      <c r="D481" s="6" t="n"/>
      <c r="E481" s="29" t="n"/>
      <c r="F481" s="6" t="n"/>
      <c r="G481" s="25" t="n"/>
      <c r="H481" s="27">
        <f>IF(C481="","",IF(G481&lt;&gt;"",G481,IFERROR(INDEX(Clients!$G$5:$G$304,MATCH(C481,Clients!$A$5:$A$304,0)),0)))</f>
        <v/>
      </c>
      <c r="I481" s="25" t="n"/>
      <c r="J481" s="27">
        <f>IF(C481="","",H481+N(I481))</f>
        <v/>
      </c>
      <c r="K481" s="6" t="n"/>
      <c r="L481" s="6" t="n"/>
      <c r="M481" s="25" t="n"/>
      <c r="N481" s="10" t="n"/>
      <c r="O481" s="27">
        <f>IF(C481="","",N(E481)*Settings!$B$8)</f>
        <v/>
      </c>
      <c r="P481" s="27">
        <f>IF(C481="","",N(N481)*Settings!$B$10)</f>
        <v/>
      </c>
      <c r="Q481" s="27">
        <f>IF(C481="","",J481-N(M481)-O481-P481)</f>
        <v/>
      </c>
      <c r="R481" s="6" t="n"/>
    </row>
    <row r="482">
      <c r="A482" s="17">
        <f>IF(B482="","","J-"&amp;TEXT(ROW()-4,"0000"))</f>
        <v/>
      </c>
      <c r="B482" s="26" t="n"/>
      <c r="C482" s="6" t="n"/>
      <c r="D482" s="6" t="n"/>
      <c r="E482" s="29" t="n"/>
      <c r="F482" s="6" t="n"/>
      <c r="G482" s="25" t="n"/>
      <c r="H482" s="30">
        <f>IF(C482="","",IF(G482&lt;&gt;"",G482,IFERROR(INDEX(Clients!$G$5:$G$304,MATCH(C482,Clients!$A$5:$A$304,0)),0)))</f>
        <v/>
      </c>
      <c r="I482" s="25" t="n"/>
      <c r="J482" s="30">
        <f>IF(C482="","",H482+N(I482))</f>
        <v/>
      </c>
      <c r="K482" s="6" t="n"/>
      <c r="L482" s="6" t="n"/>
      <c r="M482" s="25" t="n"/>
      <c r="N482" s="10" t="n"/>
      <c r="O482" s="30">
        <f>IF(C482="","",N(E482)*Settings!$B$8)</f>
        <v/>
      </c>
      <c r="P482" s="30">
        <f>IF(C482="","",N(N482)*Settings!$B$10)</f>
        <v/>
      </c>
      <c r="Q482" s="30">
        <f>IF(C482="","",J482-N(M482)-O482-P482)</f>
        <v/>
      </c>
      <c r="R482" s="6" t="n"/>
    </row>
    <row r="483">
      <c r="A483" s="8">
        <f>IF(B483="","","J-"&amp;TEXT(ROW()-4,"0000"))</f>
        <v/>
      </c>
      <c r="B483" s="26" t="n"/>
      <c r="C483" s="6" t="n"/>
      <c r="D483" s="6" t="n"/>
      <c r="E483" s="29" t="n"/>
      <c r="F483" s="6" t="n"/>
      <c r="G483" s="25" t="n"/>
      <c r="H483" s="27">
        <f>IF(C483="","",IF(G483&lt;&gt;"",G483,IFERROR(INDEX(Clients!$G$5:$G$304,MATCH(C483,Clients!$A$5:$A$304,0)),0)))</f>
        <v/>
      </c>
      <c r="I483" s="25" t="n"/>
      <c r="J483" s="27">
        <f>IF(C483="","",H483+N(I483))</f>
        <v/>
      </c>
      <c r="K483" s="6" t="n"/>
      <c r="L483" s="6" t="n"/>
      <c r="M483" s="25" t="n"/>
      <c r="N483" s="10" t="n"/>
      <c r="O483" s="27">
        <f>IF(C483="","",N(E483)*Settings!$B$8)</f>
        <v/>
      </c>
      <c r="P483" s="27">
        <f>IF(C483="","",N(N483)*Settings!$B$10)</f>
        <v/>
      </c>
      <c r="Q483" s="27">
        <f>IF(C483="","",J483-N(M483)-O483-P483)</f>
        <v/>
      </c>
      <c r="R483" s="6" t="n"/>
    </row>
    <row r="484">
      <c r="A484" s="17">
        <f>IF(B484="","","J-"&amp;TEXT(ROW()-4,"0000"))</f>
        <v/>
      </c>
      <c r="B484" s="26" t="n"/>
      <c r="C484" s="6" t="n"/>
      <c r="D484" s="6" t="n"/>
      <c r="E484" s="29" t="n"/>
      <c r="F484" s="6" t="n"/>
      <c r="G484" s="25" t="n"/>
      <c r="H484" s="30">
        <f>IF(C484="","",IF(G484&lt;&gt;"",G484,IFERROR(INDEX(Clients!$G$5:$G$304,MATCH(C484,Clients!$A$5:$A$304,0)),0)))</f>
        <v/>
      </c>
      <c r="I484" s="25" t="n"/>
      <c r="J484" s="30">
        <f>IF(C484="","",H484+N(I484))</f>
        <v/>
      </c>
      <c r="K484" s="6" t="n"/>
      <c r="L484" s="6" t="n"/>
      <c r="M484" s="25" t="n"/>
      <c r="N484" s="10" t="n"/>
      <c r="O484" s="30">
        <f>IF(C484="","",N(E484)*Settings!$B$8)</f>
        <v/>
      </c>
      <c r="P484" s="30">
        <f>IF(C484="","",N(N484)*Settings!$B$10)</f>
        <v/>
      </c>
      <c r="Q484" s="30">
        <f>IF(C484="","",J484-N(M484)-O484-P484)</f>
        <v/>
      </c>
      <c r="R484" s="6" t="n"/>
    </row>
    <row r="485">
      <c r="A485" s="8">
        <f>IF(B485="","","J-"&amp;TEXT(ROW()-4,"0000"))</f>
        <v/>
      </c>
      <c r="B485" s="26" t="n"/>
      <c r="C485" s="6" t="n"/>
      <c r="D485" s="6" t="n"/>
      <c r="E485" s="29" t="n"/>
      <c r="F485" s="6" t="n"/>
      <c r="G485" s="25" t="n"/>
      <c r="H485" s="27">
        <f>IF(C485="","",IF(G485&lt;&gt;"",G485,IFERROR(INDEX(Clients!$G$5:$G$304,MATCH(C485,Clients!$A$5:$A$304,0)),0)))</f>
        <v/>
      </c>
      <c r="I485" s="25" t="n"/>
      <c r="J485" s="27">
        <f>IF(C485="","",H485+N(I485))</f>
        <v/>
      </c>
      <c r="K485" s="6" t="n"/>
      <c r="L485" s="6" t="n"/>
      <c r="M485" s="25" t="n"/>
      <c r="N485" s="10" t="n"/>
      <c r="O485" s="27">
        <f>IF(C485="","",N(E485)*Settings!$B$8)</f>
        <v/>
      </c>
      <c r="P485" s="27">
        <f>IF(C485="","",N(N485)*Settings!$B$10)</f>
        <v/>
      </c>
      <c r="Q485" s="27">
        <f>IF(C485="","",J485-N(M485)-O485-P485)</f>
        <v/>
      </c>
      <c r="R485" s="6" t="n"/>
    </row>
    <row r="486">
      <c r="A486" s="17">
        <f>IF(B486="","","J-"&amp;TEXT(ROW()-4,"0000"))</f>
        <v/>
      </c>
      <c r="B486" s="26" t="n"/>
      <c r="C486" s="6" t="n"/>
      <c r="D486" s="6" t="n"/>
      <c r="E486" s="29" t="n"/>
      <c r="F486" s="6" t="n"/>
      <c r="G486" s="25" t="n"/>
      <c r="H486" s="30">
        <f>IF(C486="","",IF(G486&lt;&gt;"",G486,IFERROR(INDEX(Clients!$G$5:$G$304,MATCH(C486,Clients!$A$5:$A$304,0)),0)))</f>
        <v/>
      </c>
      <c r="I486" s="25" t="n"/>
      <c r="J486" s="30">
        <f>IF(C486="","",H486+N(I486))</f>
        <v/>
      </c>
      <c r="K486" s="6" t="n"/>
      <c r="L486" s="6" t="n"/>
      <c r="M486" s="25" t="n"/>
      <c r="N486" s="10" t="n"/>
      <c r="O486" s="30">
        <f>IF(C486="","",N(E486)*Settings!$B$8)</f>
        <v/>
      </c>
      <c r="P486" s="30">
        <f>IF(C486="","",N(N486)*Settings!$B$10)</f>
        <v/>
      </c>
      <c r="Q486" s="30">
        <f>IF(C486="","",J486-N(M486)-O486-P486)</f>
        <v/>
      </c>
      <c r="R486" s="6" t="n"/>
    </row>
    <row r="487">
      <c r="A487" s="8">
        <f>IF(B487="","","J-"&amp;TEXT(ROW()-4,"0000"))</f>
        <v/>
      </c>
      <c r="B487" s="26" t="n"/>
      <c r="C487" s="6" t="n"/>
      <c r="D487" s="6" t="n"/>
      <c r="E487" s="29" t="n"/>
      <c r="F487" s="6" t="n"/>
      <c r="G487" s="25" t="n"/>
      <c r="H487" s="27">
        <f>IF(C487="","",IF(G487&lt;&gt;"",G487,IFERROR(INDEX(Clients!$G$5:$G$304,MATCH(C487,Clients!$A$5:$A$304,0)),0)))</f>
        <v/>
      </c>
      <c r="I487" s="25" t="n"/>
      <c r="J487" s="27">
        <f>IF(C487="","",H487+N(I487))</f>
        <v/>
      </c>
      <c r="K487" s="6" t="n"/>
      <c r="L487" s="6" t="n"/>
      <c r="M487" s="25" t="n"/>
      <c r="N487" s="10" t="n"/>
      <c r="O487" s="27">
        <f>IF(C487="","",N(E487)*Settings!$B$8)</f>
        <v/>
      </c>
      <c r="P487" s="27">
        <f>IF(C487="","",N(N487)*Settings!$B$10)</f>
        <v/>
      </c>
      <c r="Q487" s="27">
        <f>IF(C487="","",J487-N(M487)-O487-P487)</f>
        <v/>
      </c>
      <c r="R487" s="6" t="n"/>
    </row>
    <row r="488">
      <c r="A488" s="17">
        <f>IF(B488="","","J-"&amp;TEXT(ROW()-4,"0000"))</f>
        <v/>
      </c>
      <c r="B488" s="26" t="n"/>
      <c r="C488" s="6" t="n"/>
      <c r="D488" s="6" t="n"/>
      <c r="E488" s="29" t="n"/>
      <c r="F488" s="6" t="n"/>
      <c r="G488" s="25" t="n"/>
      <c r="H488" s="30">
        <f>IF(C488="","",IF(G488&lt;&gt;"",G488,IFERROR(INDEX(Clients!$G$5:$G$304,MATCH(C488,Clients!$A$5:$A$304,0)),0)))</f>
        <v/>
      </c>
      <c r="I488" s="25" t="n"/>
      <c r="J488" s="30">
        <f>IF(C488="","",H488+N(I488))</f>
        <v/>
      </c>
      <c r="K488" s="6" t="n"/>
      <c r="L488" s="6" t="n"/>
      <c r="M488" s="25" t="n"/>
      <c r="N488" s="10" t="n"/>
      <c r="O488" s="30">
        <f>IF(C488="","",N(E488)*Settings!$B$8)</f>
        <v/>
      </c>
      <c r="P488" s="30">
        <f>IF(C488="","",N(N488)*Settings!$B$10)</f>
        <v/>
      </c>
      <c r="Q488" s="30">
        <f>IF(C488="","",J488-N(M488)-O488-P488)</f>
        <v/>
      </c>
      <c r="R488" s="6" t="n"/>
    </row>
    <row r="489">
      <c r="A489" s="8">
        <f>IF(B489="","","J-"&amp;TEXT(ROW()-4,"0000"))</f>
        <v/>
      </c>
      <c r="B489" s="26" t="n"/>
      <c r="C489" s="6" t="n"/>
      <c r="D489" s="6" t="n"/>
      <c r="E489" s="29" t="n"/>
      <c r="F489" s="6" t="n"/>
      <c r="G489" s="25" t="n"/>
      <c r="H489" s="27">
        <f>IF(C489="","",IF(G489&lt;&gt;"",G489,IFERROR(INDEX(Clients!$G$5:$G$304,MATCH(C489,Clients!$A$5:$A$304,0)),0)))</f>
        <v/>
      </c>
      <c r="I489" s="25" t="n"/>
      <c r="J489" s="27">
        <f>IF(C489="","",H489+N(I489))</f>
        <v/>
      </c>
      <c r="K489" s="6" t="n"/>
      <c r="L489" s="6" t="n"/>
      <c r="M489" s="25" t="n"/>
      <c r="N489" s="10" t="n"/>
      <c r="O489" s="27">
        <f>IF(C489="","",N(E489)*Settings!$B$8)</f>
        <v/>
      </c>
      <c r="P489" s="27">
        <f>IF(C489="","",N(N489)*Settings!$B$10)</f>
        <v/>
      </c>
      <c r="Q489" s="27">
        <f>IF(C489="","",J489-N(M489)-O489-P489)</f>
        <v/>
      </c>
      <c r="R489" s="6" t="n"/>
    </row>
    <row r="490">
      <c r="A490" s="17">
        <f>IF(B490="","","J-"&amp;TEXT(ROW()-4,"0000"))</f>
        <v/>
      </c>
      <c r="B490" s="26" t="n"/>
      <c r="C490" s="6" t="n"/>
      <c r="D490" s="6" t="n"/>
      <c r="E490" s="29" t="n"/>
      <c r="F490" s="6" t="n"/>
      <c r="G490" s="25" t="n"/>
      <c r="H490" s="30">
        <f>IF(C490="","",IF(G490&lt;&gt;"",G490,IFERROR(INDEX(Clients!$G$5:$G$304,MATCH(C490,Clients!$A$5:$A$304,0)),0)))</f>
        <v/>
      </c>
      <c r="I490" s="25" t="n"/>
      <c r="J490" s="30">
        <f>IF(C490="","",H490+N(I490))</f>
        <v/>
      </c>
      <c r="K490" s="6" t="n"/>
      <c r="L490" s="6" t="n"/>
      <c r="M490" s="25" t="n"/>
      <c r="N490" s="10" t="n"/>
      <c r="O490" s="30">
        <f>IF(C490="","",N(E490)*Settings!$B$8)</f>
        <v/>
      </c>
      <c r="P490" s="30">
        <f>IF(C490="","",N(N490)*Settings!$B$10)</f>
        <v/>
      </c>
      <c r="Q490" s="30">
        <f>IF(C490="","",J490-N(M490)-O490-P490)</f>
        <v/>
      </c>
      <c r="R490" s="6" t="n"/>
    </row>
    <row r="491">
      <c r="A491" s="8">
        <f>IF(B491="","","J-"&amp;TEXT(ROW()-4,"0000"))</f>
        <v/>
      </c>
      <c r="B491" s="26" t="n"/>
      <c r="C491" s="6" t="n"/>
      <c r="D491" s="6" t="n"/>
      <c r="E491" s="29" t="n"/>
      <c r="F491" s="6" t="n"/>
      <c r="G491" s="25" t="n"/>
      <c r="H491" s="27">
        <f>IF(C491="","",IF(G491&lt;&gt;"",G491,IFERROR(INDEX(Clients!$G$5:$G$304,MATCH(C491,Clients!$A$5:$A$304,0)),0)))</f>
        <v/>
      </c>
      <c r="I491" s="25" t="n"/>
      <c r="J491" s="27">
        <f>IF(C491="","",H491+N(I491))</f>
        <v/>
      </c>
      <c r="K491" s="6" t="n"/>
      <c r="L491" s="6" t="n"/>
      <c r="M491" s="25" t="n"/>
      <c r="N491" s="10" t="n"/>
      <c r="O491" s="27">
        <f>IF(C491="","",N(E491)*Settings!$B$8)</f>
        <v/>
      </c>
      <c r="P491" s="27">
        <f>IF(C491="","",N(N491)*Settings!$B$10)</f>
        <v/>
      </c>
      <c r="Q491" s="27">
        <f>IF(C491="","",J491-N(M491)-O491-P491)</f>
        <v/>
      </c>
      <c r="R491" s="6" t="n"/>
    </row>
    <row r="492">
      <c r="A492" s="17">
        <f>IF(B492="","","J-"&amp;TEXT(ROW()-4,"0000"))</f>
        <v/>
      </c>
      <c r="B492" s="26" t="n"/>
      <c r="C492" s="6" t="n"/>
      <c r="D492" s="6" t="n"/>
      <c r="E492" s="29" t="n"/>
      <c r="F492" s="6" t="n"/>
      <c r="G492" s="25" t="n"/>
      <c r="H492" s="30">
        <f>IF(C492="","",IF(G492&lt;&gt;"",G492,IFERROR(INDEX(Clients!$G$5:$G$304,MATCH(C492,Clients!$A$5:$A$304,0)),0)))</f>
        <v/>
      </c>
      <c r="I492" s="25" t="n"/>
      <c r="J492" s="30">
        <f>IF(C492="","",H492+N(I492))</f>
        <v/>
      </c>
      <c r="K492" s="6" t="n"/>
      <c r="L492" s="6" t="n"/>
      <c r="M492" s="25" t="n"/>
      <c r="N492" s="10" t="n"/>
      <c r="O492" s="30">
        <f>IF(C492="","",N(E492)*Settings!$B$8)</f>
        <v/>
      </c>
      <c r="P492" s="30">
        <f>IF(C492="","",N(N492)*Settings!$B$10)</f>
        <v/>
      </c>
      <c r="Q492" s="30">
        <f>IF(C492="","",J492-N(M492)-O492-P492)</f>
        <v/>
      </c>
      <c r="R492" s="6" t="n"/>
    </row>
    <row r="493">
      <c r="A493" s="8">
        <f>IF(B493="","","J-"&amp;TEXT(ROW()-4,"0000"))</f>
        <v/>
      </c>
      <c r="B493" s="26" t="n"/>
      <c r="C493" s="6" t="n"/>
      <c r="D493" s="6" t="n"/>
      <c r="E493" s="29" t="n"/>
      <c r="F493" s="6" t="n"/>
      <c r="G493" s="25" t="n"/>
      <c r="H493" s="27">
        <f>IF(C493="","",IF(G493&lt;&gt;"",G493,IFERROR(INDEX(Clients!$G$5:$G$304,MATCH(C493,Clients!$A$5:$A$304,0)),0)))</f>
        <v/>
      </c>
      <c r="I493" s="25" t="n"/>
      <c r="J493" s="27">
        <f>IF(C493="","",H493+N(I493))</f>
        <v/>
      </c>
      <c r="K493" s="6" t="n"/>
      <c r="L493" s="6" t="n"/>
      <c r="M493" s="25" t="n"/>
      <c r="N493" s="10" t="n"/>
      <c r="O493" s="27">
        <f>IF(C493="","",N(E493)*Settings!$B$8)</f>
        <v/>
      </c>
      <c r="P493" s="27">
        <f>IF(C493="","",N(N493)*Settings!$B$10)</f>
        <v/>
      </c>
      <c r="Q493" s="27">
        <f>IF(C493="","",J493-N(M493)-O493-P493)</f>
        <v/>
      </c>
      <c r="R493" s="6" t="n"/>
    </row>
    <row r="494">
      <c r="A494" s="17">
        <f>IF(B494="","","J-"&amp;TEXT(ROW()-4,"0000"))</f>
        <v/>
      </c>
      <c r="B494" s="26" t="n"/>
      <c r="C494" s="6" t="n"/>
      <c r="D494" s="6" t="n"/>
      <c r="E494" s="29" t="n"/>
      <c r="F494" s="6" t="n"/>
      <c r="G494" s="25" t="n"/>
      <c r="H494" s="30">
        <f>IF(C494="","",IF(G494&lt;&gt;"",G494,IFERROR(INDEX(Clients!$G$5:$G$304,MATCH(C494,Clients!$A$5:$A$304,0)),0)))</f>
        <v/>
      </c>
      <c r="I494" s="25" t="n"/>
      <c r="J494" s="30">
        <f>IF(C494="","",H494+N(I494))</f>
        <v/>
      </c>
      <c r="K494" s="6" t="n"/>
      <c r="L494" s="6" t="n"/>
      <c r="M494" s="25" t="n"/>
      <c r="N494" s="10" t="n"/>
      <c r="O494" s="30">
        <f>IF(C494="","",N(E494)*Settings!$B$8)</f>
        <v/>
      </c>
      <c r="P494" s="30">
        <f>IF(C494="","",N(N494)*Settings!$B$10)</f>
        <v/>
      </c>
      <c r="Q494" s="30">
        <f>IF(C494="","",J494-N(M494)-O494-P494)</f>
        <v/>
      </c>
      <c r="R494" s="6" t="n"/>
    </row>
    <row r="495">
      <c r="A495" s="8">
        <f>IF(B495="","","J-"&amp;TEXT(ROW()-4,"0000"))</f>
        <v/>
      </c>
      <c r="B495" s="26" t="n"/>
      <c r="C495" s="6" t="n"/>
      <c r="D495" s="6" t="n"/>
      <c r="E495" s="29" t="n"/>
      <c r="F495" s="6" t="n"/>
      <c r="G495" s="25" t="n"/>
      <c r="H495" s="27">
        <f>IF(C495="","",IF(G495&lt;&gt;"",G495,IFERROR(INDEX(Clients!$G$5:$G$304,MATCH(C495,Clients!$A$5:$A$304,0)),0)))</f>
        <v/>
      </c>
      <c r="I495" s="25" t="n"/>
      <c r="J495" s="27">
        <f>IF(C495="","",H495+N(I495))</f>
        <v/>
      </c>
      <c r="K495" s="6" t="n"/>
      <c r="L495" s="6" t="n"/>
      <c r="M495" s="25" t="n"/>
      <c r="N495" s="10" t="n"/>
      <c r="O495" s="27">
        <f>IF(C495="","",N(E495)*Settings!$B$8)</f>
        <v/>
      </c>
      <c r="P495" s="27">
        <f>IF(C495="","",N(N495)*Settings!$B$10)</f>
        <v/>
      </c>
      <c r="Q495" s="27">
        <f>IF(C495="","",J495-N(M495)-O495-P495)</f>
        <v/>
      </c>
      <c r="R495" s="6" t="n"/>
    </row>
    <row r="496">
      <c r="A496" s="17">
        <f>IF(B496="","","J-"&amp;TEXT(ROW()-4,"0000"))</f>
        <v/>
      </c>
      <c r="B496" s="26" t="n"/>
      <c r="C496" s="6" t="n"/>
      <c r="D496" s="6" t="n"/>
      <c r="E496" s="29" t="n"/>
      <c r="F496" s="6" t="n"/>
      <c r="G496" s="25" t="n"/>
      <c r="H496" s="30">
        <f>IF(C496="","",IF(G496&lt;&gt;"",G496,IFERROR(INDEX(Clients!$G$5:$G$304,MATCH(C496,Clients!$A$5:$A$304,0)),0)))</f>
        <v/>
      </c>
      <c r="I496" s="25" t="n"/>
      <c r="J496" s="30">
        <f>IF(C496="","",H496+N(I496))</f>
        <v/>
      </c>
      <c r="K496" s="6" t="n"/>
      <c r="L496" s="6" t="n"/>
      <c r="M496" s="25" t="n"/>
      <c r="N496" s="10" t="n"/>
      <c r="O496" s="30">
        <f>IF(C496="","",N(E496)*Settings!$B$8)</f>
        <v/>
      </c>
      <c r="P496" s="30">
        <f>IF(C496="","",N(N496)*Settings!$B$10)</f>
        <v/>
      </c>
      <c r="Q496" s="30">
        <f>IF(C496="","",J496-N(M496)-O496-P496)</f>
        <v/>
      </c>
      <c r="R496" s="6" t="n"/>
    </row>
    <row r="497">
      <c r="A497" s="8">
        <f>IF(B497="","","J-"&amp;TEXT(ROW()-4,"0000"))</f>
        <v/>
      </c>
      <c r="B497" s="26" t="n"/>
      <c r="C497" s="6" t="n"/>
      <c r="D497" s="6" t="n"/>
      <c r="E497" s="29" t="n"/>
      <c r="F497" s="6" t="n"/>
      <c r="G497" s="25" t="n"/>
      <c r="H497" s="27">
        <f>IF(C497="","",IF(G497&lt;&gt;"",G497,IFERROR(INDEX(Clients!$G$5:$G$304,MATCH(C497,Clients!$A$5:$A$304,0)),0)))</f>
        <v/>
      </c>
      <c r="I497" s="25" t="n"/>
      <c r="J497" s="27">
        <f>IF(C497="","",H497+N(I497))</f>
        <v/>
      </c>
      <c r="K497" s="6" t="n"/>
      <c r="L497" s="6" t="n"/>
      <c r="M497" s="25" t="n"/>
      <c r="N497" s="10" t="n"/>
      <c r="O497" s="27">
        <f>IF(C497="","",N(E497)*Settings!$B$8)</f>
        <v/>
      </c>
      <c r="P497" s="27">
        <f>IF(C497="","",N(N497)*Settings!$B$10)</f>
        <v/>
      </c>
      <c r="Q497" s="27">
        <f>IF(C497="","",J497-N(M497)-O497-P497)</f>
        <v/>
      </c>
      <c r="R497" s="6" t="n"/>
    </row>
    <row r="498">
      <c r="A498" s="17">
        <f>IF(B498="","","J-"&amp;TEXT(ROW()-4,"0000"))</f>
        <v/>
      </c>
      <c r="B498" s="26" t="n"/>
      <c r="C498" s="6" t="n"/>
      <c r="D498" s="6" t="n"/>
      <c r="E498" s="29" t="n"/>
      <c r="F498" s="6" t="n"/>
      <c r="G498" s="25" t="n"/>
      <c r="H498" s="30">
        <f>IF(C498="","",IF(G498&lt;&gt;"",G498,IFERROR(INDEX(Clients!$G$5:$G$304,MATCH(C498,Clients!$A$5:$A$304,0)),0)))</f>
        <v/>
      </c>
      <c r="I498" s="25" t="n"/>
      <c r="J498" s="30">
        <f>IF(C498="","",H498+N(I498))</f>
        <v/>
      </c>
      <c r="K498" s="6" t="n"/>
      <c r="L498" s="6" t="n"/>
      <c r="M498" s="25" t="n"/>
      <c r="N498" s="10" t="n"/>
      <c r="O498" s="30">
        <f>IF(C498="","",N(E498)*Settings!$B$8)</f>
        <v/>
      </c>
      <c r="P498" s="30">
        <f>IF(C498="","",N(N498)*Settings!$B$10)</f>
        <v/>
      </c>
      <c r="Q498" s="30">
        <f>IF(C498="","",J498-N(M498)-O498-P498)</f>
        <v/>
      </c>
      <c r="R498" s="6" t="n"/>
    </row>
    <row r="499">
      <c r="A499" s="8">
        <f>IF(B499="","","J-"&amp;TEXT(ROW()-4,"0000"))</f>
        <v/>
      </c>
      <c r="B499" s="26" t="n"/>
      <c r="C499" s="6" t="n"/>
      <c r="D499" s="6" t="n"/>
      <c r="E499" s="29" t="n"/>
      <c r="F499" s="6" t="n"/>
      <c r="G499" s="25" t="n"/>
      <c r="H499" s="27">
        <f>IF(C499="","",IF(G499&lt;&gt;"",G499,IFERROR(INDEX(Clients!$G$5:$G$304,MATCH(C499,Clients!$A$5:$A$304,0)),0)))</f>
        <v/>
      </c>
      <c r="I499" s="25" t="n"/>
      <c r="J499" s="27">
        <f>IF(C499="","",H499+N(I499))</f>
        <v/>
      </c>
      <c r="K499" s="6" t="n"/>
      <c r="L499" s="6" t="n"/>
      <c r="M499" s="25" t="n"/>
      <c r="N499" s="10" t="n"/>
      <c r="O499" s="27">
        <f>IF(C499="","",N(E499)*Settings!$B$8)</f>
        <v/>
      </c>
      <c r="P499" s="27">
        <f>IF(C499="","",N(N499)*Settings!$B$10)</f>
        <v/>
      </c>
      <c r="Q499" s="27">
        <f>IF(C499="","",J499-N(M499)-O499-P499)</f>
        <v/>
      </c>
      <c r="R499" s="6" t="n"/>
    </row>
    <row r="500">
      <c r="A500" s="17">
        <f>IF(B500="","","J-"&amp;TEXT(ROW()-4,"0000"))</f>
        <v/>
      </c>
      <c r="B500" s="26" t="n"/>
      <c r="C500" s="6" t="n"/>
      <c r="D500" s="6" t="n"/>
      <c r="E500" s="29" t="n"/>
      <c r="F500" s="6" t="n"/>
      <c r="G500" s="25" t="n"/>
      <c r="H500" s="30">
        <f>IF(C500="","",IF(G500&lt;&gt;"",G500,IFERROR(INDEX(Clients!$G$5:$G$304,MATCH(C500,Clients!$A$5:$A$304,0)),0)))</f>
        <v/>
      </c>
      <c r="I500" s="25" t="n"/>
      <c r="J500" s="30">
        <f>IF(C500="","",H500+N(I500))</f>
        <v/>
      </c>
      <c r="K500" s="6" t="n"/>
      <c r="L500" s="6" t="n"/>
      <c r="M500" s="25" t="n"/>
      <c r="N500" s="10" t="n"/>
      <c r="O500" s="30">
        <f>IF(C500="","",N(E500)*Settings!$B$8)</f>
        <v/>
      </c>
      <c r="P500" s="30">
        <f>IF(C500="","",N(N500)*Settings!$B$10)</f>
        <v/>
      </c>
      <c r="Q500" s="30">
        <f>IF(C500="","",J500-N(M500)-O500-P500)</f>
        <v/>
      </c>
      <c r="R500" s="6" t="n"/>
    </row>
    <row r="501">
      <c r="A501" s="8">
        <f>IF(B501="","","J-"&amp;TEXT(ROW()-4,"0000"))</f>
        <v/>
      </c>
      <c r="B501" s="26" t="n"/>
      <c r="C501" s="6" t="n"/>
      <c r="D501" s="6" t="n"/>
      <c r="E501" s="29" t="n"/>
      <c r="F501" s="6" t="n"/>
      <c r="G501" s="25" t="n"/>
      <c r="H501" s="27">
        <f>IF(C501="","",IF(G501&lt;&gt;"",G501,IFERROR(INDEX(Clients!$G$5:$G$304,MATCH(C501,Clients!$A$5:$A$304,0)),0)))</f>
        <v/>
      </c>
      <c r="I501" s="25" t="n"/>
      <c r="J501" s="27">
        <f>IF(C501="","",H501+N(I501))</f>
        <v/>
      </c>
      <c r="K501" s="6" t="n"/>
      <c r="L501" s="6" t="n"/>
      <c r="M501" s="25" t="n"/>
      <c r="N501" s="10" t="n"/>
      <c r="O501" s="27">
        <f>IF(C501="","",N(E501)*Settings!$B$8)</f>
        <v/>
      </c>
      <c r="P501" s="27">
        <f>IF(C501="","",N(N501)*Settings!$B$10)</f>
        <v/>
      </c>
      <c r="Q501" s="27">
        <f>IF(C501="","",J501-N(M501)-O501-P501)</f>
        <v/>
      </c>
      <c r="R501" s="6" t="n"/>
    </row>
    <row r="502">
      <c r="A502" s="17">
        <f>IF(B502="","","J-"&amp;TEXT(ROW()-4,"0000"))</f>
        <v/>
      </c>
      <c r="B502" s="26" t="n"/>
      <c r="C502" s="6" t="n"/>
      <c r="D502" s="6" t="n"/>
      <c r="E502" s="29" t="n"/>
      <c r="F502" s="6" t="n"/>
      <c r="G502" s="25" t="n"/>
      <c r="H502" s="30">
        <f>IF(C502="","",IF(G502&lt;&gt;"",G502,IFERROR(INDEX(Clients!$G$5:$G$304,MATCH(C502,Clients!$A$5:$A$304,0)),0)))</f>
        <v/>
      </c>
      <c r="I502" s="25" t="n"/>
      <c r="J502" s="30">
        <f>IF(C502="","",H502+N(I502))</f>
        <v/>
      </c>
      <c r="K502" s="6" t="n"/>
      <c r="L502" s="6" t="n"/>
      <c r="M502" s="25" t="n"/>
      <c r="N502" s="10" t="n"/>
      <c r="O502" s="30">
        <f>IF(C502="","",N(E502)*Settings!$B$8)</f>
        <v/>
      </c>
      <c r="P502" s="30">
        <f>IF(C502="","",N(N502)*Settings!$B$10)</f>
        <v/>
      </c>
      <c r="Q502" s="30">
        <f>IF(C502="","",J502-N(M502)-O502-P502)</f>
        <v/>
      </c>
      <c r="R502" s="6" t="n"/>
    </row>
    <row r="503">
      <c r="A503" s="8">
        <f>IF(B503="","","J-"&amp;TEXT(ROW()-4,"0000"))</f>
        <v/>
      </c>
      <c r="B503" s="26" t="n"/>
      <c r="C503" s="6" t="n"/>
      <c r="D503" s="6" t="n"/>
      <c r="E503" s="29" t="n"/>
      <c r="F503" s="6" t="n"/>
      <c r="G503" s="25" t="n"/>
      <c r="H503" s="27">
        <f>IF(C503="","",IF(G503&lt;&gt;"",G503,IFERROR(INDEX(Clients!$G$5:$G$304,MATCH(C503,Clients!$A$5:$A$304,0)),0)))</f>
        <v/>
      </c>
      <c r="I503" s="25" t="n"/>
      <c r="J503" s="27">
        <f>IF(C503="","",H503+N(I503))</f>
        <v/>
      </c>
      <c r="K503" s="6" t="n"/>
      <c r="L503" s="6" t="n"/>
      <c r="M503" s="25" t="n"/>
      <c r="N503" s="10" t="n"/>
      <c r="O503" s="27">
        <f>IF(C503="","",N(E503)*Settings!$B$8)</f>
        <v/>
      </c>
      <c r="P503" s="27">
        <f>IF(C503="","",N(N503)*Settings!$B$10)</f>
        <v/>
      </c>
      <c r="Q503" s="27">
        <f>IF(C503="","",J503-N(M503)-O503-P503)</f>
        <v/>
      </c>
      <c r="R503" s="6" t="n"/>
    </row>
    <row r="504">
      <c r="A504" s="17">
        <f>IF(B504="","","J-"&amp;TEXT(ROW()-4,"0000"))</f>
        <v/>
      </c>
      <c r="B504" s="26" t="n"/>
      <c r="C504" s="6" t="n"/>
      <c r="D504" s="6" t="n"/>
      <c r="E504" s="29" t="n"/>
      <c r="F504" s="6" t="n"/>
      <c r="G504" s="25" t="n"/>
      <c r="H504" s="30">
        <f>IF(C504="","",IF(G504&lt;&gt;"",G504,IFERROR(INDEX(Clients!$G$5:$G$304,MATCH(C504,Clients!$A$5:$A$304,0)),0)))</f>
        <v/>
      </c>
      <c r="I504" s="25" t="n"/>
      <c r="J504" s="30">
        <f>IF(C504="","",H504+N(I504))</f>
        <v/>
      </c>
      <c r="K504" s="6" t="n"/>
      <c r="L504" s="6" t="n"/>
      <c r="M504" s="25" t="n"/>
      <c r="N504" s="10" t="n"/>
      <c r="O504" s="30">
        <f>IF(C504="","",N(E504)*Settings!$B$8)</f>
        <v/>
      </c>
      <c r="P504" s="30">
        <f>IF(C504="","",N(N504)*Settings!$B$10)</f>
        <v/>
      </c>
      <c r="Q504" s="30">
        <f>IF(C504="","",J504-N(M504)-O504-P504)</f>
        <v/>
      </c>
      <c r="R504" s="6" t="n"/>
    </row>
    <row r="505">
      <c r="A505" s="8">
        <f>IF(B505="","","J-"&amp;TEXT(ROW()-4,"0000"))</f>
        <v/>
      </c>
      <c r="B505" s="26" t="n"/>
      <c r="C505" s="6" t="n"/>
      <c r="D505" s="6" t="n"/>
      <c r="E505" s="29" t="n"/>
      <c r="F505" s="6" t="n"/>
      <c r="G505" s="25" t="n"/>
      <c r="H505" s="27">
        <f>IF(C505="","",IF(G505&lt;&gt;"",G505,IFERROR(INDEX(Clients!$G$5:$G$304,MATCH(C505,Clients!$A$5:$A$304,0)),0)))</f>
        <v/>
      </c>
      <c r="I505" s="25" t="n"/>
      <c r="J505" s="27">
        <f>IF(C505="","",H505+N(I505))</f>
        <v/>
      </c>
      <c r="K505" s="6" t="n"/>
      <c r="L505" s="6" t="n"/>
      <c r="M505" s="25" t="n"/>
      <c r="N505" s="10" t="n"/>
      <c r="O505" s="27">
        <f>IF(C505="","",N(E505)*Settings!$B$8)</f>
        <v/>
      </c>
      <c r="P505" s="27">
        <f>IF(C505="","",N(N505)*Settings!$B$10)</f>
        <v/>
      </c>
      <c r="Q505" s="27">
        <f>IF(C505="","",J505-N(M505)-O505-P505)</f>
        <v/>
      </c>
      <c r="R505" s="6" t="n"/>
    </row>
    <row r="506">
      <c r="A506" s="17">
        <f>IF(B506="","","J-"&amp;TEXT(ROW()-4,"0000"))</f>
        <v/>
      </c>
      <c r="B506" s="26" t="n"/>
      <c r="C506" s="6" t="n"/>
      <c r="D506" s="6" t="n"/>
      <c r="E506" s="29" t="n"/>
      <c r="F506" s="6" t="n"/>
      <c r="G506" s="25" t="n"/>
      <c r="H506" s="30">
        <f>IF(C506="","",IF(G506&lt;&gt;"",G506,IFERROR(INDEX(Clients!$G$5:$G$304,MATCH(C506,Clients!$A$5:$A$304,0)),0)))</f>
        <v/>
      </c>
      <c r="I506" s="25" t="n"/>
      <c r="J506" s="30">
        <f>IF(C506="","",H506+N(I506))</f>
        <v/>
      </c>
      <c r="K506" s="6" t="n"/>
      <c r="L506" s="6" t="n"/>
      <c r="M506" s="25" t="n"/>
      <c r="N506" s="10" t="n"/>
      <c r="O506" s="30">
        <f>IF(C506="","",N(E506)*Settings!$B$8)</f>
        <v/>
      </c>
      <c r="P506" s="30">
        <f>IF(C506="","",N(N506)*Settings!$B$10)</f>
        <v/>
      </c>
      <c r="Q506" s="30">
        <f>IF(C506="","",J506-N(M506)-O506-P506)</f>
        <v/>
      </c>
      <c r="R506" s="6" t="n"/>
    </row>
    <row r="507">
      <c r="A507" s="8">
        <f>IF(B507="","","J-"&amp;TEXT(ROW()-4,"0000"))</f>
        <v/>
      </c>
      <c r="B507" s="26" t="n"/>
      <c r="C507" s="6" t="n"/>
      <c r="D507" s="6" t="n"/>
      <c r="E507" s="29" t="n"/>
      <c r="F507" s="6" t="n"/>
      <c r="G507" s="25" t="n"/>
      <c r="H507" s="27">
        <f>IF(C507="","",IF(G507&lt;&gt;"",G507,IFERROR(INDEX(Clients!$G$5:$G$304,MATCH(C507,Clients!$A$5:$A$304,0)),0)))</f>
        <v/>
      </c>
      <c r="I507" s="25" t="n"/>
      <c r="J507" s="27">
        <f>IF(C507="","",H507+N(I507))</f>
        <v/>
      </c>
      <c r="K507" s="6" t="n"/>
      <c r="L507" s="6" t="n"/>
      <c r="M507" s="25" t="n"/>
      <c r="N507" s="10" t="n"/>
      <c r="O507" s="27">
        <f>IF(C507="","",N(E507)*Settings!$B$8)</f>
        <v/>
      </c>
      <c r="P507" s="27">
        <f>IF(C507="","",N(N507)*Settings!$B$10)</f>
        <v/>
      </c>
      <c r="Q507" s="27">
        <f>IF(C507="","",J507-N(M507)-O507-P507)</f>
        <v/>
      </c>
      <c r="R507" s="6" t="n"/>
    </row>
    <row r="508">
      <c r="A508" s="17">
        <f>IF(B508="","","J-"&amp;TEXT(ROW()-4,"0000"))</f>
        <v/>
      </c>
      <c r="B508" s="26" t="n"/>
      <c r="C508" s="6" t="n"/>
      <c r="D508" s="6" t="n"/>
      <c r="E508" s="29" t="n"/>
      <c r="F508" s="6" t="n"/>
      <c r="G508" s="25" t="n"/>
      <c r="H508" s="30">
        <f>IF(C508="","",IF(G508&lt;&gt;"",G508,IFERROR(INDEX(Clients!$G$5:$G$304,MATCH(C508,Clients!$A$5:$A$304,0)),0)))</f>
        <v/>
      </c>
      <c r="I508" s="25" t="n"/>
      <c r="J508" s="30">
        <f>IF(C508="","",H508+N(I508))</f>
        <v/>
      </c>
      <c r="K508" s="6" t="n"/>
      <c r="L508" s="6" t="n"/>
      <c r="M508" s="25" t="n"/>
      <c r="N508" s="10" t="n"/>
      <c r="O508" s="30">
        <f>IF(C508="","",N(E508)*Settings!$B$8)</f>
        <v/>
      </c>
      <c r="P508" s="30">
        <f>IF(C508="","",N(N508)*Settings!$B$10)</f>
        <v/>
      </c>
      <c r="Q508" s="30">
        <f>IF(C508="","",J508-N(M508)-O508-P508)</f>
        <v/>
      </c>
      <c r="R508" s="6" t="n"/>
    </row>
    <row r="509">
      <c r="A509" s="8">
        <f>IF(B509="","","J-"&amp;TEXT(ROW()-4,"0000"))</f>
        <v/>
      </c>
      <c r="B509" s="26" t="n"/>
      <c r="C509" s="6" t="n"/>
      <c r="D509" s="6" t="n"/>
      <c r="E509" s="29" t="n"/>
      <c r="F509" s="6" t="n"/>
      <c r="G509" s="25" t="n"/>
      <c r="H509" s="27">
        <f>IF(C509="","",IF(G509&lt;&gt;"",G509,IFERROR(INDEX(Clients!$G$5:$G$304,MATCH(C509,Clients!$A$5:$A$304,0)),0)))</f>
        <v/>
      </c>
      <c r="I509" s="25" t="n"/>
      <c r="J509" s="27">
        <f>IF(C509="","",H509+N(I509))</f>
        <v/>
      </c>
      <c r="K509" s="6" t="n"/>
      <c r="L509" s="6" t="n"/>
      <c r="M509" s="25" t="n"/>
      <c r="N509" s="10" t="n"/>
      <c r="O509" s="27">
        <f>IF(C509="","",N(E509)*Settings!$B$8)</f>
        <v/>
      </c>
      <c r="P509" s="27">
        <f>IF(C509="","",N(N509)*Settings!$B$10)</f>
        <v/>
      </c>
      <c r="Q509" s="27">
        <f>IF(C509="","",J509-N(M509)-O509-P509)</f>
        <v/>
      </c>
      <c r="R509" s="6" t="n"/>
    </row>
    <row r="510">
      <c r="A510" s="17">
        <f>IF(B510="","","J-"&amp;TEXT(ROW()-4,"0000"))</f>
        <v/>
      </c>
      <c r="B510" s="26" t="n"/>
      <c r="C510" s="6" t="n"/>
      <c r="D510" s="6" t="n"/>
      <c r="E510" s="29" t="n"/>
      <c r="F510" s="6" t="n"/>
      <c r="G510" s="25" t="n"/>
      <c r="H510" s="30">
        <f>IF(C510="","",IF(G510&lt;&gt;"",G510,IFERROR(INDEX(Clients!$G$5:$G$304,MATCH(C510,Clients!$A$5:$A$304,0)),0)))</f>
        <v/>
      </c>
      <c r="I510" s="25" t="n"/>
      <c r="J510" s="30">
        <f>IF(C510="","",H510+N(I510))</f>
        <v/>
      </c>
      <c r="K510" s="6" t="n"/>
      <c r="L510" s="6" t="n"/>
      <c r="M510" s="25" t="n"/>
      <c r="N510" s="10" t="n"/>
      <c r="O510" s="30">
        <f>IF(C510="","",N(E510)*Settings!$B$8)</f>
        <v/>
      </c>
      <c r="P510" s="30">
        <f>IF(C510="","",N(N510)*Settings!$B$10)</f>
        <v/>
      </c>
      <c r="Q510" s="30">
        <f>IF(C510="","",J510-N(M510)-O510-P510)</f>
        <v/>
      </c>
      <c r="R510" s="6" t="n"/>
    </row>
    <row r="511">
      <c r="A511" s="8">
        <f>IF(B511="","","J-"&amp;TEXT(ROW()-4,"0000"))</f>
        <v/>
      </c>
      <c r="B511" s="26" t="n"/>
      <c r="C511" s="6" t="n"/>
      <c r="D511" s="6" t="n"/>
      <c r="E511" s="29" t="n"/>
      <c r="F511" s="6" t="n"/>
      <c r="G511" s="25" t="n"/>
      <c r="H511" s="27">
        <f>IF(C511="","",IF(G511&lt;&gt;"",G511,IFERROR(INDEX(Clients!$G$5:$G$304,MATCH(C511,Clients!$A$5:$A$304,0)),0)))</f>
        <v/>
      </c>
      <c r="I511" s="25" t="n"/>
      <c r="J511" s="27">
        <f>IF(C511="","",H511+N(I511))</f>
        <v/>
      </c>
      <c r="K511" s="6" t="n"/>
      <c r="L511" s="6" t="n"/>
      <c r="M511" s="25" t="n"/>
      <c r="N511" s="10" t="n"/>
      <c r="O511" s="27">
        <f>IF(C511="","",N(E511)*Settings!$B$8)</f>
        <v/>
      </c>
      <c r="P511" s="27">
        <f>IF(C511="","",N(N511)*Settings!$B$10)</f>
        <v/>
      </c>
      <c r="Q511" s="27">
        <f>IF(C511="","",J511-N(M511)-O511-P511)</f>
        <v/>
      </c>
      <c r="R511" s="6" t="n"/>
    </row>
    <row r="512">
      <c r="A512" s="17">
        <f>IF(B512="","","J-"&amp;TEXT(ROW()-4,"0000"))</f>
        <v/>
      </c>
      <c r="B512" s="26" t="n"/>
      <c r="C512" s="6" t="n"/>
      <c r="D512" s="6" t="n"/>
      <c r="E512" s="29" t="n"/>
      <c r="F512" s="6" t="n"/>
      <c r="G512" s="25" t="n"/>
      <c r="H512" s="30">
        <f>IF(C512="","",IF(G512&lt;&gt;"",G512,IFERROR(INDEX(Clients!$G$5:$G$304,MATCH(C512,Clients!$A$5:$A$304,0)),0)))</f>
        <v/>
      </c>
      <c r="I512" s="25" t="n"/>
      <c r="J512" s="30">
        <f>IF(C512="","",H512+N(I512))</f>
        <v/>
      </c>
      <c r="K512" s="6" t="n"/>
      <c r="L512" s="6" t="n"/>
      <c r="M512" s="25" t="n"/>
      <c r="N512" s="10" t="n"/>
      <c r="O512" s="30">
        <f>IF(C512="","",N(E512)*Settings!$B$8)</f>
        <v/>
      </c>
      <c r="P512" s="30">
        <f>IF(C512="","",N(N512)*Settings!$B$10)</f>
        <v/>
      </c>
      <c r="Q512" s="30">
        <f>IF(C512="","",J512-N(M512)-O512-P512)</f>
        <v/>
      </c>
      <c r="R512" s="6" t="n"/>
    </row>
    <row r="513">
      <c r="A513" s="8">
        <f>IF(B513="","","J-"&amp;TEXT(ROW()-4,"0000"))</f>
        <v/>
      </c>
      <c r="B513" s="26" t="n"/>
      <c r="C513" s="6" t="n"/>
      <c r="D513" s="6" t="n"/>
      <c r="E513" s="29" t="n"/>
      <c r="F513" s="6" t="n"/>
      <c r="G513" s="25" t="n"/>
      <c r="H513" s="27">
        <f>IF(C513="","",IF(G513&lt;&gt;"",G513,IFERROR(INDEX(Clients!$G$5:$G$304,MATCH(C513,Clients!$A$5:$A$304,0)),0)))</f>
        <v/>
      </c>
      <c r="I513" s="25" t="n"/>
      <c r="J513" s="27">
        <f>IF(C513="","",H513+N(I513))</f>
        <v/>
      </c>
      <c r="K513" s="6" t="n"/>
      <c r="L513" s="6" t="n"/>
      <c r="M513" s="25" t="n"/>
      <c r="N513" s="10" t="n"/>
      <c r="O513" s="27">
        <f>IF(C513="","",N(E513)*Settings!$B$8)</f>
        <v/>
      </c>
      <c r="P513" s="27">
        <f>IF(C513="","",N(N513)*Settings!$B$10)</f>
        <v/>
      </c>
      <c r="Q513" s="27">
        <f>IF(C513="","",J513-N(M513)-O513-P513)</f>
        <v/>
      </c>
      <c r="R513" s="6" t="n"/>
    </row>
    <row r="514">
      <c r="A514" s="17">
        <f>IF(B514="","","J-"&amp;TEXT(ROW()-4,"0000"))</f>
        <v/>
      </c>
      <c r="B514" s="26" t="n"/>
      <c r="C514" s="6" t="n"/>
      <c r="D514" s="6" t="n"/>
      <c r="E514" s="29" t="n"/>
      <c r="F514" s="6" t="n"/>
      <c r="G514" s="25" t="n"/>
      <c r="H514" s="30">
        <f>IF(C514="","",IF(G514&lt;&gt;"",G514,IFERROR(INDEX(Clients!$G$5:$G$304,MATCH(C514,Clients!$A$5:$A$304,0)),0)))</f>
        <v/>
      </c>
      <c r="I514" s="25" t="n"/>
      <c r="J514" s="30">
        <f>IF(C514="","",H514+N(I514))</f>
        <v/>
      </c>
      <c r="K514" s="6" t="n"/>
      <c r="L514" s="6" t="n"/>
      <c r="M514" s="25" t="n"/>
      <c r="N514" s="10" t="n"/>
      <c r="O514" s="30">
        <f>IF(C514="","",N(E514)*Settings!$B$8)</f>
        <v/>
      </c>
      <c r="P514" s="30">
        <f>IF(C514="","",N(N514)*Settings!$B$10)</f>
        <v/>
      </c>
      <c r="Q514" s="30">
        <f>IF(C514="","",J514-N(M514)-O514-P514)</f>
        <v/>
      </c>
      <c r="R514" s="6" t="n"/>
    </row>
    <row r="515">
      <c r="A515" s="8">
        <f>IF(B515="","","J-"&amp;TEXT(ROW()-4,"0000"))</f>
        <v/>
      </c>
      <c r="B515" s="26" t="n"/>
      <c r="C515" s="6" t="n"/>
      <c r="D515" s="6" t="n"/>
      <c r="E515" s="29" t="n"/>
      <c r="F515" s="6" t="n"/>
      <c r="G515" s="25" t="n"/>
      <c r="H515" s="27">
        <f>IF(C515="","",IF(G515&lt;&gt;"",G515,IFERROR(INDEX(Clients!$G$5:$G$304,MATCH(C515,Clients!$A$5:$A$304,0)),0)))</f>
        <v/>
      </c>
      <c r="I515" s="25" t="n"/>
      <c r="J515" s="27">
        <f>IF(C515="","",H515+N(I515))</f>
        <v/>
      </c>
      <c r="K515" s="6" t="n"/>
      <c r="L515" s="6" t="n"/>
      <c r="M515" s="25" t="n"/>
      <c r="N515" s="10" t="n"/>
      <c r="O515" s="27">
        <f>IF(C515="","",N(E515)*Settings!$B$8)</f>
        <v/>
      </c>
      <c r="P515" s="27">
        <f>IF(C515="","",N(N515)*Settings!$B$10)</f>
        <v/>
      </c>
      <c r="Q515" s="27">
        <f>IF(C515="","",J515-N(M515)-O515-P515)</f>
        <v/>
      </c>
      <c r="R515" s="6" t="n"/>
    </row>
    <row r="516">
      <c r="A516" s="17">
        <f>IF(B516="","","J-"&amp;TEXT(ROW()-4,"0000"))</f>
        <v/>
      </c>
      <c r="B516" s="26" t="n"/>
      <c r="C516" s="6" t="n"/>
      <c r="D516" s="6" t="n"/>
      <c r="E516" s="29" t="n"/>
      <c r="F516" s="6" t="n"/>
      <c r="G516" s="25" t="n"/>
      <c r="H516" s="30">
        <f>IF(C516="","",IF(G516&lt;&gt;"",G516,IFERROR(INDEX(Clients!$G$5:$G$304,MATCH(C516,Clients!$A$5:$A$304,0)),0)))</f>
        <v/>
      </c>
      <c r="I516" s="25" t="n"/>
      <c r="J516" s="30">
        <f>IF(C516="","",H516+N(I516))</f>
        <v/>
      </c>
      <c r="K516" s="6" t="n"/>
      <c r="L516" s="6" t="n"/>
      <c r="M516" s="25" t="n"/>
      <c r="N516" s="10" t="n"/>
      <c r="O516" s="30">
        <f>IF(C516="","",N(E516)*Settings!$B$8)</f>
        <v/>
      </c>
      <c r="P516" s="30">
        <f>IF(C516="","",N(N516)*Settings!$B$10)</f>
        <v/>
      </c>
      <c r="Q516" s="30">
        <f>IF(C516="","",J516-N(M516)-O516-P516)</f>
        <v/>
      </c>
      <c r="R516" s="6" t="n"/>
    </row>
    <row r="517">
      <c r="A517" s="8">
        <f>IF(B517="","","J-"&amp;TEXT(ROW()-4,"0000"))</f>
        <v/>
      </c>
      <c r="B517" s="26" t="n"/>
      <c r="C517" s="6" t="n"/>
      <c r="D517" s="6" t="n"/>
      <c r="E517" s="29" t="n"/>
      <c r="F517" s="6" t="n"/>
      <c r="G517" s="25" t="n"/>
      <c r="H517" s="27">
        <f>IF(C517="","",IF(G517&lt;&gt;"",G517,IFERROR(INDEX(Clients!$G$5:$G$304,MATCH(C517,Clients!$A$5:$A$304,0)),0)))</f>
        <v/>
      </c>
      <c r="I517" s="25" t="n"/>
      <c r="J517" s="27">
        <f>IF(C517="","",H517+N(I517))</f>
        <v/>
      </c>
      <c r="K517" s="6" t="n"/>
      <c r="L517" s="6" t="n"/>
      <c r="M517" s="25" t="n"/>
      <c r="N517" s="10" t="n"/>
      <c r="O517" s="27">
        <f>IF(C517="","",N(E517)*Settings!$B$8)</f>
        <v/>
      </c>
      <c r="P517" s="27">
        <f>IF(C517="","",N(N517)*Settings!$B$10)</f>
        <v/>
      </c>
      <c r="Q517" s="27">
        <f>IF(C517="","",J517-N(M517)-O517-P517)</f>
        <v/>
      </c>
      <c r="R517" s="6" t="n"/>
    </row>
    <row r="518">
      <c r="A518" s="17">
        <f>IF(B518="","","J-"&amp;TEXT(ROW()-4,"0000"))</f>
        <v/>
      </c>
      <c r="B518" s="26" t="n"/>
      <c r="C518" s="6" t="n"/>
      <c r="D518" s="6" t="n"/>
      <c r="E518" s="29" t="n"/>
      <c r="F518" s="6" t="n"/>
      <c r="G518" s="25" t="n"/>
      <c r="H518" s="30">
        <f>IF(C518="","",IF(G518&lt;&gt;"",G518,IFERROR(INDEX(Clients!$G$5:$G$304,MATCH(C518,Clients!$A$5:$A$304,0)),0)))</f>
        <v/>
      </c>
      <c r="I518" s="25" t="n"/>
      <c r="J518" s="30">
        <f>IF(C518="","",H518+N(I518))</f>
        <v/>
      </c>
      <c r="K518" s="6" t="n"/>
      <c r="L518" s="6" t="n"/>
      <c r="M518" s="25" t="n"/>
      <c r="N518" s="10" t="n"/>
      <c r="O518" s="30">
        <f>IF(C518="","",N(E518)*Settings!$B$8)</f>
        <v/>
      </c>
      <c r="P518" s="30">
        <f>IF(C518="","",N(N518)*Settings!$B$10)</f>
        <v/>
      </c>
      <c r="Q518" s="30">
        <f>IF(C518="","",J518-N(M518)-O518-P518)</f>
        <v/>
      </c>
      <c r="R518" s="6" t="n"/>
    </row>
    <row r="519">
      <c r="A519" s="8">
        <f>IF(B519="","","J-"&amp;TEXT(ROW()-4,"0000"))</f>
        <v/>
      </c>
      <c r="B519" s="26" t="n"/>
      <c r="C519" s="6" t="n"/>
      <c r="D519" s="6" t="n"/>
      <c r="E519" s="29" t="n"/>
      <c r="F519" s="6" t="n"/>
      <c r="G519" s="25" t="n"/>
      <c r="H519" s="27">
        <f>IF(C519="","",IF(G519&lt;&gt;"",G519,IFERROR(INDEX(Clients!$G$5:$G$304,MATCH(C519,Clients!$A$5:$A$304,0)),0)))</f>
        <v/>
      </c>
      <c r="I519" s="25" t="n"/>
      <c r="J519" s="27">
        <f>IF(C519="","",H519+N(I519))</f>
        <v/>
      </c>
      <c r="K519" s="6" t="n"/>
      <c r="L519" s="6" t="n"/>
      <c r="M519" s="25" t="n"/>
      <c r="N519" s="10" t="n"/>
      <c r="O519" s="27">
        <f>IF(C519="","",N(E519)*Settings!$B$8)</f>
        <v/>
      </c>
      <c r="P519" s="27">
        <f>IF(C519="","",N(N519)*Settings!$B$10)</f>
        <v/>
      </c>
      <c r="Q519" s="27">
        <f>IF(C519="","",J519-N(M519)-O519-P519)</f>
        <v/>
      </c>
      <c r="R519" s="6" t="n"/>
    </row>
    <row r="520">
      <c r="A520" s="17">
        <f>IF(B520="","","J-"&amp;TEXT(ROW()-4,"0000"))</f>
        <v/>
      </c>
      <c r="B520" s="26" t="n"/>
      <c r="C520" s="6" t="n"/>
      <c r="D520" s="6" t="n"/>
      <c r="E520" s="29" t="n"/>
      <c r="F520" s="6" t="n"/>
      <c r="G520" s="25" t="n"/>
      <c r="H520" s="30">
        <f>IF(C520="","",IF(G520&lt;&gt;"",G520,IFERROR(INDEX(Clients!$G$5:$G$304,MATCH(C520,Clients!$A$5:$A$304,0)),0)))</f>
        <v/>
      </c>
      <c r="I520" s="25" t="n"/>
      <c r="J520" s="30">
        <f>IF(C520="","",H520+N(I520))</f>
        <v/>
      </c>
      <c r="K520" s="6" t="n"/>
      <c r="L520" s="6" t="n"/>
      <c r="M520" s="25" t="n"/>
      <c r="N520" s="10" t="n"/>
      <c r="O520" s="30">
        <f>IF(C520="","",N(E520)*Settings!$B$8)</f>
        <v/>
      </c>
      <c r="P520" s="30">
        <f>IF(C520="","",N(N520)*Settings!$B$10)</f>
        <v/>
      </c>
      <c r="Q520" s="30">
        <f>IF(C520="","",J520-N(M520)-O520-P520)</f>
        <v/>
      </c>
      <c r="R520" s="6" t="n"/>
    </row>
    <row r="521">
      <c r="A521" s="8">
        <f>IF(B521="","","J-"&amp;TEXT(ROW()-4,"0000"))</f>
        <v/>
      </c>
      <c r="B521" s="26" t="n"/>
      <c r="C521" s="6" t="n"/>
      <c r="D521" s="6" t="n"/>
      <c r="E521" s="29" t="n"/>
      <c r="F521" s="6" t="n"/>
      <c r="G521" s="25" t="n"/>
      <c r="H521" s="27">
        <f>IF(C521="","",IF(G521&lt;&gt;"",G521,IFERROR(INDEX(Clients!$G$5:$G$304,MATCH(C521,Clients!$A$5:$A$304,0)),0)))</f>
        <v/>
      </c>
      <c r="I521" s="25" t="n"/>
      <c r="J521" s="27">
        <f>IF(C521="","",H521+N(I521))</f>
        <v/>
      </c>
      <c r="K521" s="6" t="n"/>
      <c r="L521" s="6" t="n"/>
      <c r="M521" s="25" t="n"/>
      <c r="N521" s="10" t="n"/>
      <c r="O521" s="27">
        <f>IF(C521="","",N(E521)*Settings!$B$8)</f>
        <v/>
      </c>
      <c r="P521" s="27">
        <f>IF(C521="","",N(N521)*Settings!$B$10)</f>
        <v/>
      </c>
      <c r="Q521" s="27">
        <f>IF(C521="","",J521-N(M521)-O521-P521)</f>
        <v/>
      </c>
      <c r="R521" s="6" t="n"/>
    </row>
    <row r="522">
      <c r="A522" s="17">
        <f>IF(B522="","","J-"&amp;TEXT(ROW()-4,"0000"))</f>
        <v/>
      </c>
      <c r="B522" s="26" t="n"/>
      <c r="C522" s="6" t="n"/>
      <c r="D522" s="6" t="n"/>
      <c r="E522" s="29" t="n"/>
      <c r="F522" s="6" t="n"/>
      <c r="G522" s="25" t="n"/>
      <c r="H522" s="30">
        <f>IF(C522="","",IF(G522&lt;&gt;"",G522,IFERROR(INDEX(Clients!$G$5:$G$304,MATCH(C522,Clients!$A$5:$A$304,0)),0)))</f>
        <v/>
      </c>
      <c r="I522" s="25" t="n"/>
      <c r="J522" s="30">
        <f>IF(C522="","",H522+N(I522))</f>
        <v/>
      </c>
      <c r="K522" s="6" t="n"/>
      <c r="L522" s="6" t="n"/>
      <c r="M522" s="25" t="n"/>
      <c r="N522" s="10" t="n"/>
      <c r="O522" s="30">
        <f>IF(C522="","",N(E522)*Settings!$B$8)</f>
        <v/>
      </c>
      <c r="P522" s="30">
        <f>IF(C522="","",N(N522)*Settings!$B$10)</f>
        <v/>
      </c>
      <c r="Q522" s="30">
        <f>IF(C522="","",J522-N(M522)-O522-P522)</f>
        <v/>
      </c>
      <c r="R522" s="6" t="n"/>
    </row>
    <row r="523">
      <c r="A523" s="8">
        <f>IF(B523="","","J-"&amp;TEXT(ROW()-4,"0000"))</f>
        <v/>
      </c>
      <c r="B523" s="26" t="n"/>
      <c r="C523" s="6" t="n"/>
      <c r="D523" s="6" t="n"/>
      <c r="E523" s="29" t="n"/>
      <c r="F523" s="6" t="n"/>
      <c r="G523" s="25" t="n"/>
      <c r="H523" s="27">
        <f>IF(C523="","",IF(G523&lt;&gt;"",G523,IFERROR(INDEX(Clients!$G$5:$G$304,MATCH(C523,Clients!$A$5:$A$304,0)),0)))</f>
        <v/>
      </c>
      <c r="I523" s="25" t="n"/>
      <c r="J523" s="27">
        <f>IF(C523="","",H523+N(I523))</f>
        <v/>
      </c>
      <c r="K523" s="6" t="n"/>
      <c r="L523" s="6" t="n"/>
      <c r="M523" s="25" t="n"/>
      <c r="N523" s="10" t="n"/>
      <c r="O523" s="27">
        <f>IF(C523="","",N(E523)*Settings!$B$8)</f>
        <v/>
      </c>
      <c r="P523" s="27">
        <f>IF(C523="","",N(N523)*Settings!$B$10)</f>
        <v/>
      </c>
      <c r="Q523" s="27">
        <f>IF(C523="","",J523-N(M523)-O523-P523)</f>
        <v/>
      </c>
      <c r="R523" s="6" t="n"/>
    </row>
    <row r="524">
      <c r="A524" s="17">
        <f>IF(B524="","","J-"&amp;TEXT(ROW()-4,"0000"))</f>
        <v/>
      </c>
      <c r="B524" s="26" t="n"/>
      <c r="C524" s="6" t="n"/>
      <c r="D524" s="6" t="n"/>
      <c r="E524" s="29" t="n"/>
      <c r="F524" s="6" t="n"/>
      <c r="G524" s="25" t="n"/>
      <c r="H524" s="30">
        <f>IF(C524="","",IF(G524&lt;&gt;"",G524,IFERROR(INDEX(Clients!$G$5:$G$304,MATCH(C524,Clients!$A$5:$A$304,0)),0)))</f>
        <v/>
      </c>
      <c r="I524" s="25" t="n"/>
      <c r="J524" s="30">
        <f>IF(C524="","",H524+N(I524))</f>
        <v/>
      </c>
      <c r="K524" s="6" t="n"/>
      <c r="L524" s="6" t="n"/>
      <c r="M524" s="25" t="n"/>
      <c r="N524" s="10" t="n"/>
      <c r="O524" s="30">
        <f>IF(C524="","",N(E524)*Settings!$B$8)</f>
        <v/>
      </c>
      <c r="P524" s="30">
        <f>IF(C524="","",N(N524)*Settings!$B$10)</f>
        <v/>
      </c>
      <c r="Q524" s="30">
        <f>IF(C524="","",J524-N(M524)-O524-P524)</f>
        <v/>
      </c>
      <c r="R524" s="6" t="n"/>
    </row>
    <row r="525">
      <c r="A525" s="8">
        <f>IF(B525="","","J-"&amp;TEXT(ROW()-4,"0000"))</f>
        <v/>
      </c>
      <c r="B525" s="26" t="n"/>
      <c r="C525" s="6" t="n"/>
      <c r="D525" s="6" t="n"/>
      <c r="E525" s="29" t="n"/>
      <c r="F525" s="6" t="n"/>
      <c r="G525" s="25" t="n"/>
      <c r="H525" s="27">
        <f>IF(C525="","",IF(G525&lt;&gt;"",G525,IFERROR(INDEX(Clients!$G$5:$G$304,MATCH(C525,Clients!$A$5:$A$304,0)),0)))</f>
        <v/>
      </c>
      <c r="I525" s="25" t="n"/>
      <c r="J525" s="27">
        <f>IF(C525="","",H525+N(I525))</f>
        <v/>
      </c>
      <c r="K525" s="6" t="n"/>
      <c r="L525" s="6" t="n"/>
      <c r="M525" s="25" t="n"/>
      <c r="N525" s="10" t="n"/>
      <c r="O525" s="27">
        <f>IF(C525="","",N(E525)*Settings!$B$8)</f>
        <v/>
      </c>
      <c r="P525" s="27">
        <f>IF(C525="","",N(N525)*Settings!$B$10)</f>
        <v/>
      </c>
      <c r="Q525" s="27">
        <f>IF(C525="","",J525-N(M525)-O525-P525)</f>
        <v/>
      </c>
      <c r="R525" s="6" t="n"/>
    </row>
    <row r="526">
      <c r="A526" s="17">
        <f>IF(B526="","","J-"&amp;TEXT(ROW()-4,"0000"))</f>
        <v/>
      </c>
      <c r="B526" s="26" t="n"/>
      <c r="C526" s="6" t="n"/>
      <c r="D526" s="6" t="n"/>
      <c r="E526" s="29" t="n"/>
      <c r="F526" s="6" t="n"/>
      <c r="G526" s="25" t="n"/>
      <c r="H526" s="30">
        <f>IF(C526="","",IF(G526&lt;&gt;"",G526,IFERROR(INDEX(Clients!$G$5:$G$304,MATCH(C526,Clients!$A$5:$A$304,0)),0)))</f>
        <v/>
      </c>
      <c r="I526" s="25" t="n"/>
      <c r="J526" s="30">
        <f>IF(C526="","",H526+N(I526))</f>
        <v/>
      </c>
      <c r="K526" s="6" t="n"/>
      <c r="L526" s="6" t="n"/>
      <c r="M526" s="25" t="n"/>
      <c r="N526" s="10" t="n"/>
      <c r="O526" s="30">
        <f>IF(C526="","",N(E526)*Settings!$B$8)</f>
        <v/>
      </c>
      <c r="P526" s="30">
        <f>IF(C526="","",N(N526)*Settings!$B$10)</f>
        <v/>
      </c>
      <c r="Q526" s="30">
        <f>IF(C526="","",J526-N(M526)-O526-P526)</f>
        <v/>
      </c>
      <c r="R526" s="6" t="n"/>
    </row>
    <row r="527">
      <c r="A527" s="8">
        <f>IF(B527="","","J-"&amp;TEXT(ROW()-4,"0000"))</f>
        <v/>
      </c>
      <c r="B527" s="26" t="n"/>
      <c r="C527" s="6" t="n"/>
      <c r="D527" s="6" t="n"/>
      <c r="E527" s="29" t="n"/>
      <c r="F527" s="6" t="n"/>
      <c r="G527" s="25" t="n"/>
      <c r="H527" s="27">
        <f>IF(C527="","",IF(G527&lt;&gt;"",G527,IFERROR(INDEX(Clients!$G$5:$G$304,MATCH(C527,Clients!$A$5:$A$304,0)),0)))</f>
        <v/>
      </c>
      <c r="I527" s="25" t="n"/>
      <c r="J527" s="27">
        <f>IF(C527="","",H527+N(I527))</f>
        <v/>
      </c>
      <c r="K527" s="6" t="n"/>
      <c r="L527" s="6" t="n"/>
      <c r="M527" s="25" t="n"/>
      <c r="N527" s="10" t="n"/>
      <c r="O527" s="27">
        <f>IF(C527="","",N(E527)*Settings!$B$8)</f>
        <v/>
      </c>
      <c r="P527" s="27">
        <f>IF(C527="","",N(N527)*Settings!$B$10)</f>
        <v/>
      </c>
      <c r="Q527" s="27">
        <f>IF(C527="","",J527-N(M527)-O527-P527)</f>
        <v/>
      </c>
      <c r="R527" s="6" t="n"/>
    </row>
    <row r="528">
      <c r="A528" s="17">
        <f>IF(B528="","","J-"&amp;TEXT(ROW()-4,"0000"))</f>
        <v/>
      </c>
      <c r="B528" s="26" t="n"/>
      <c r="C528" s="6" t="n"/>
      <c r="D528" s="6" t="n"/>
      <c r="E528" s="29" t="n"/>
      <c r="F528" s="6" t="n"/>
      <c r="G528" s="25" t="n"/>
      <c r="H528" s="30">
        <f>IF(C528="","",IF(G528&lt;&gt;"",G528,IFERROR(INDEX(Clients!$G$5:$G$304,MATCH(C528,Clients!$A$5:$A$304,0)),0)))</f>
        <v/>
      </c>
      <c r="I528" s="25" t="n"/>
      <c r="J528" s="30">
        <f>IF(C528="","",H528+N(I528))</f>
        <v/>
      </c>
      <c r="K528" s="6" t="n"/>
      <c r="L528" s="6" t="n"/>
      <c r="M528" s="25" t="n"/>
      <c r="N528" s="10" t="n"/>
      <c r="O528" s="30">
        <f>IF(C528="","",N(E528)*Settings!$B$8)</f>
        <v/>
      </c>
      <c r="P528" s="30">
        <f>IF(C528="","",N(N528)*Settings!$B$10)</f>
        <v/>
      </c>
      <c r="Q528" s="30">
        <f>IF(C528="","",J528-N(M528)-O528-P528)</f>
        <v/>
      </c>
      <c r="R528" s="6" t="n"/>
    </row>
    <row r="529">
      <c r="A529" s="8">
        <f>IF(B529="","","J-"&amp;TEXT(ROW()-4,"0000"))</f>
        <v/>
      </c>
      <c r="B529" s="26" t="n"/>
      <c r="C529" s="6" t="n"/>
      <c r="D529" s="6" t="n"/>
      <c r="E529" s="29" t="n"/>
      <c r="F529" s="6" t="n"/>
      <c r="G529" s="25" t="n"/>
      <c r="H529" s="27">
        <f>IF(C529="","",IF(G529&lt;&gt;"",G529,IFERROR(INDEX(Clients!$G$5:$G$304,MATCH(C529,Clients!$A$5:$A$304,0)),0)))</f>
        <v/>
      </c>
      <c r="I529" s="25" t="n"/>
      <c r="J529" s="27">
        <f>IF(C529="","",H529+N(I529))</f>
        <v/>
      </c>
      <c r="K529" s="6" t="n"/>
      <c r="L529" s="6" t="n"/>
      <c r="M529" s="25" t="n"/>
      <c r="N529" s="10" t="n"/>
      <c r="O529" s="27">
        <f>IF(C529="","",N(E529)*Settings!$B$8)</f>
        <v/>
      </c>
      <c r="P529" s="27">
        <f>IF(C529="","",N(N529)*Settings!$B$10)</f>
        <v/>
      </c>
      <c r="Q529" s="27">
        <f>IF(C529="","",J529-N(M529)-O529-P529)</f>
        <v/>
      </c>
      <c r="R529" s="6" t="n"/>
    </row>
    <row r="530">
      <c r="A530" s="17">
        <f>IF(B530="","","J-"&amp;TEXT(ROW()-4,"0000"))</f>
        <v/>
      </c>
      <c r="B530" s="26" t="n"/>
      <c r="C530" s="6" t="n"/>
      <c r="D530" s="6" t="n"/>
      <c r="E530" s="29" t="n"/>
      <c r="F530" s="6" t="n"/>
      <c r="G530" s="25" t="n"/>
      <c r="H530" s="30">
        <f>IF(C530="","",IF(G530&lt;&gt;"",G530,IFERROR(INDEX(Clients!$G$5:$G$304,MATCH(C530,Clients!$A$5:$A$304,0)),0)))</f>
        <v/>
      </c>
      <c r="I530" s="25" t="n"/>
      <c r="J530" s="30">
        <f>IF(C530="","",H530+N(I530))</f>
        <v/>
      </c>
      <c r="K530" s="6" t="n"/>
      <c r="L530" s="6" t="n"/>
      <c r="M530" s="25" t="n"/>
      <c r="N530" s="10" t="n"/>
      <c r="O530" s="30">
        <f>IF(C530="","",N(E530)*Settings!$B$8)</f>
        <v/>
      </c>
      <c r="P530" s="30">
        <f>IF(C530="","",N(N530)*Settings!$B$10)</f>
        <v/>
      </c>
      <c r="Q530" s="30">
        <f>IF(C530="","",J530-N(M530)-O530-P530)</f>
        <v/>
      </c>
      <c r="R530" s="6" t="n"/>
    </row>
    <row r="531">
      <c r="A531" s="8">
        <f>IF(B531="","","J-"&amp;TEXT(ROW()-4,"0000"))</f>
        <v/>
      </c>
      <c r="B531" s="26" t="n"/>
      <c r="C531" s="6" t="n"/>
      <c r="D531" s="6" t="n"/>
      <c r="E531" s="29" t="n"/>
      <c r="F531" s="6" t="n"/>
      <c r="G531" s="25" t="n"/>
      <c r="H531" s="27">
        <f>IF(C531="","",IF(G531&lt;&gt;"",G531,IFERROR(INDEX(Clients!$G$5:$G$304,MATCH(C531,Clients!$A$5:$A$304,0)),0)))</f>
        <v/>
      </c>
      <c r="I531" s="25" t="n"/>
      <c r="J531" s="27">
        <f>IF(C531="","",H531+N(I531))</f>
        <v/>
      </c>
      <c r="K531" s="6" t="n"/>
      <c r="L531" s="6" t="n"/>
      <c r="M531" s="25" t="n"/>
      <c r="N531" s="10" t="n"/>
      <c r="O531" s="27">
        <f>IF(C531="","",N(E531)*Settings!$B$8)</f>
        <v/>
      </c>
      <c r="P531" s="27">
        <f>IF(C531="","",N(N531)*Settings!$B$10)</f>
        <v/>
      </c>
      <c r="Q531" s="27">
        <f>IF(C531="","",J531-N(M531)-O531-P531)</f>
        <v/>
      </c>
      <c r="R531" s="6" t="n"/>
    </row>
    <row r="532">
      <c r="A532" s="17">
        <f>IF(B532="","","J-"&amp;TEXT(ROW()-4,"0000"))</f>
        <v/>
      </c>
      <c r="B532" s="26" t="n"/>
      <c r="C532" s="6" t="n"/>
      <c r="D532" s="6" t="n"/>
      <c r="E532" s="29" t="n"/>
      <c r="F532" s="6" t="n"/>
      <c r="G532" s="25" t="n"/>
      <c r="H532" s="30">
        <f>IF(C532="","",IF(G532&lt;&gt;"",G532,IFERROR(INDEX(Clients!$G$5:$G$304,MATCH(C532,Clients!$A$5:$A$304,0)),0)))</f>
        <v/>
      </c>
      <c r="I532" s="25" t="n"/>
      <c r="J532" s="30">
        <f>IF(C532="","",H532+N(I532))</f>
        <v/>
      </c>
      <c r="K532" s="6" t="n"/>
      <c r="L532" s="6" t="n"/>
      <c r="M532" s="25" t="n"/>
      <c r="N532" s="10" t="n"/>
      <c r="O532" s="30">
        <f>IF(C532="","",N(E532)*Settings!$B$8)</f>
        <v/>
      </c>
      <c r="P532" s="30">
        <f>IF(C532="","",N(N532)*Settings!$B$10)</f>
        <v/>
      </c>
      <c r="Q532" s="30">
        <f>IF(C532="","",J532-N(M532)-O532-P532)</f>
        <v/>
      </c>
      <c r="R532" s="6" t="n"/>
    </row>
    <row r="533">
      <c r="A533" s="8">
        <f>IF(B533="","","J-"&amp;TEXT(ROW()-4,"0000"))</f>
        <v/>
      </c>
      <c r="B533" s="26" t="n"/>
      <c r="C533" s="6" t="n"/>
      <c r="D533" s="6" t="n"/>
      <c r="E533" s="29" t="n"/>
      <c r="F533" s="6" t="n"/>
      <c r="G533" s="25" t="n"/>
      <c r="H533" s="27">
        <f>IF(C533="","",IF(G533&lt;&gt;"",G533,IFERROR(INDEX(Clients!$G$5:$G$304,MATCH(C533,Clients!$A$5:$A$304,0)),0)))</f>
        <v/>
      </c>
      <c r="I533" s="25" t="n"/>
      <c r="J533" s="27">
        <f>IF(C533="","",H533+N(I533))</f>
        <v/>
      </c>
      <c r="K533" s="6" t="n"/>
      <c r="L533" s="6" t="n"/>
      <c r="M533" s="25" t="n"/>
      <c r="N533" s="10" t="n"/>
      <c r="O533" s="27">
        <f>IF(C533="","",N(E533)*Settings!$B$8)</f>
        <v/>
      </c>
      <c r="P533" s="27">
        <f>IF(C533="","",N(N533)*Settings!$B$10)</f>
        <v/>
      </c>
      <c r="Q533" s="27">
        <f>IF(C533="","",J533-N(M533)-O533-P533)</f>
        <v/>
      </c>
      <c r="R533" s="6" t="n"/>
    </row>
    <row r="534">
      <c r="A534" s="17">
        <f>IF(B534="","","J-"&amp;TEXT(ROW()-4,"0000"))</f>
        <v/>
      </c>
      <c r="B534" s="26" t="n"/>
      <c r="C534" s="6" t="n"/>
      <c r="D534" s="6" t="n"/>
      <c r="E534" s="29" t="n"/>
      <c r="F534" s="6" t="n"/>
      <c r="G534" s="25" t="n"/>
      <c r="H534" s="30">
        <f>IF(C534="","",IF(G534&lt;&gt;"",G534,IFERROR(INDEX(Clients!$G$5:$G$304,MATCH(C534,Clients!$A$5:$A$304,0)),0)))</f>
        <v/>
      </c>
      <c r="I534" s="25" t="n"/>
      <c r="J534" s="30">
        <f>IF(C534="","",H534+N(I534))</f>
        <v/>
      </c>
      <c r="K534" s="6" t="n"/>
      <c r="L534" s="6" t="n"/>
      <c r="M534" s="25" t="n"/>
      <c r="N534" s="10" t="n"/>
      <c r="O534" s="30">
        <f>IF(C534="","",N(E534)*Settings!$B$8)</f>
        <v/>
      </c>
      <c r="P534" s="30">
        <f>IF(C534="","",N(N534)*Settings!$B$10)</f>
        <v/>
      </c>
      <c r="Q534" s="30">
        <f>IF(C534="","",J534-N(M534)-O534-P534)</f>
        <v/>
      </c>
      <c r="R534" s="6" t="n"/>
    </row>
    <row r="535">
      <c r="A535" s="8">
        <f>IF(B535="","","J-"&amp;TEXT(ROW()-4,"0000"))</f>
        <v/>
      </c>
      <c r="B535" s="26" t="n"/>
      <c r="C535" s="6" t="n"/>
      <c r="D535" s="6" t="n"/>
      <c r="E535" s="29" t="n"/>
      <c r="F535" s="6" t="n"/>
      <c r="G535" s="25" t="n"/>
      <c r="H535" s="27">
        <f>IF(C535="","",IF(G535&lt;&gt;"",G535,IFERROR(INDEX(Clients!$G$5:$G$304,MATCH(C535,Clients!$A$5:$A$304,0)),0)))</f>
        <v/>
      </c>
      <c r="I535" s="25" t="n"/>
      <c r="J535" s="27">
        <f>IF(C535="","",H535+N(I535))</f>
        <v/>
      </c>
      <c r="K535" s="6" t="n"/>
      <c r="L535" s="6" t="n"/>
      <c r="M535" s="25" t="n"/>
      <c r="N535" s="10" t="n"/>
      <c r="O535" s="27">
        <f>IF(C535="","",N(E535)*Settings!$B$8)</f>
        <v/>
      </c>
      <c r="P535" s="27">
        <f>IF(C535="","",N(N535)*Settings!$B$10)</f>
        <v/>
      </c>
      <c r="Q535" s="27">
        <f>IF(C535="","",J535-N(M535)-O535-P535)</f>
        <v/>
      </c>
      <c r="R535" s="6" t="n"/>
    </row>
    <row r="536">
      <c r="A536" s="17">
        <f>IF(B536="","","J-"&amp;TEXT(ROW()-4,"0000"))</f>
        <v/>
      </c>
      <c r="B536" s="26" t="n"/>
      <c r="C536" s="6" t="n"/>
      <c r="D536" s="6" t="n"/>
      <c r="E536" s="29" t="n"/>
      <c r="F536" s="6" t="n"/>
      <c r="G536" s="25" t="n"/>
      <c r="H536" s="30">
        <f>IF(C536="","",IF(G536&lt;&gt;"",G536,IFERROR(INDEX(Clients!$G$5:$G$304,MATCH(C536,Clients!$A$5:$A$304,0)),0)))</f>
        <v/>
      </c>
      <c r="I536" s="25" t="n"/>
      <c r="J536" s="30">
        <f>IF(C536="","",H536+N(I536))</f>
        <v/>
      </c>
      <c r="K536" s="6" t="n"/>
      <c r="L536" s="6" t="n"/>
      <c r="M536" s="25" t="n"/>
      <c r="N536" s="10" t="n"/>
      <c r="O536" s="30">
        <f>IF(C536="","",N(E536)*Settings!$B$8)</f>
        <v/>
      </c>
      <c r="P536" s="30">
        <f>IF(C536="","",N(N536)*Settings!$B$10)</f>
        <v/>
      </c>
      <c r="Q536" s="30">
        <f>IF(C536="","",J536-N(M536)-O536-P536)</f>
        <v/>
      </c>
      <c r="R536" s="6" t="n"/>
    </row>
    <row r="537">
      <c r="A537" s="8">
        <f>IF(B537="","","J-"&amp;TEXT(ROW()-4,"0000"))</f>
        <v/>
      </c>
      <c r="B537" s="26" t="n"/>
      <c r="C537" s="6" t="n"/>
      <c r="D537" s="6" t="n"/>
      <c r="E537" s="29" t="n"/>
      <c r="F537" s="6" t="n"/>
      <c r="G537" s="25" t="n"/>
      <c r="H537" s="27">
        <f>IF(C537="","",IF(G537&lt;&gt;"",G537,IFERROR(INDEX(Clients!$G$5:$G$304,MATCH(C537,Clients!$A$5:$A$304,0)),0)))</f>
        <v/>
      </c>
      <c r="I537" s="25" t="n"/>
      <c r="J537" s="27">
        <f>IF(C537="","",H537+N(I537))</f>
        <v/>
      </c>
      <c r="K537" s="6" t="n"/>
      <c r="L537" s="6" t="n"/>
      <c r="M537" s="25" t="n"/>
      <c r="N537" s="10" t="n"/>
      <c r="O537" s="27">
        <f>IF(C537="","",N(E537)*Settings!$B$8)</f>
        <v/>
      </c>
      <c r="P537" s="27">
        <f>IF(C537="","",N(N537)*Settings!$B$10)</f>
        <v/>
      </c>
      <c r="Q537" s="27">
        <f>IF(C537="","",J537-N(M537)-O537-P537)</f>
        <v/>
      </c>
      <c r="R537" s="6" t="n"/>
    </row>
    <row r="538">
      <c r="A538" s="17">
        <f>IF(B538="","","J-"&amp;TEXT(ROW()-4,"0000"))</f>
        <v/>
      </c>
      <c r="B538" s="26" t="n"/>
      <c r="C538" s="6" t="n"/>
      <c r="D538" s="6" t="n"/>
      <c r="E538" s="29" t="n"/>
      <c r="F538" s="6" t="n"/>
      <c r="G538" s="25" t="n"/>
      <c r="H538" s="30">
        <f>IF(C538="","",IF(G538&lt;&gt;"",G538,IFERROR(INDEX(Clients!$G$5:$G$304,MATCH(C538,Clients!$A$5:$A$304,0)),0)))</f>
        <v/>
      </c>
      <c r="I538" s="25" t="n"/>
      <c r="J538" s="30">
        <f>IF(C538="","",H538+N(I538))</f>
        <v/>
      </c>
      <c r="K538" s="6" t="n"/>
      <c r="L538" s="6" t="n"/>
      <c r="M538" s="25" t="n"/>
      <c r="N538" s="10" t="n"/>
      <c r="O538" s="30">
        <f>IF(C538="","",N(E538)*Settings!$B$8)</f>
        <v/>
      </c>
      <c r="P538" s="30">
        <f>IF(C538="","",N(N538)*Settings!$B$10)</f>
        <v/>
      </c>
      <c r="Q538" s="30">
        <f>IF(C538="","",J538-N(M538)-O538-P538)</f>
        <v/>
      </c>
      <c r="R538" s="6" t="n"/>
    </row>
    <row r="539">
      <c r="A539" s="8">
        <f>IF(B539="","","J-"&amp;TEXT(ROW()-4,"0000"))</f>
        <v/>
      </c>
      <c r="B539" s="26" t="n"/>
      <c r="C539" s="6" t="n"/>
      <c r="D539" s="6" t="n"/>
      <c r="E539" s="29" t="n"/>
      <c r="F539" s="6" t="n"/>
      <c r="G539" s="25" t="n"/>
      <c r="H539" s="27">
        <f>IF(C539="","",IF(G539&lt;&gt;"",G539,IFERROR(INDEX(Clients!$G$5:$G$304,MATCH(C539,Clients!$A$5:$A$304,0)),0)))</f>
        <v/>
      </c>
      <c r="I539" s="25" t="n"/>
      <c r="J539" s="27">
        <f>IF(C539="","",H539+N(I539))</f>
        <v/>
      </c>
      <c r="K539" s="6" t="n"/>
      <c r="L539" s="6" t="n"/>
      <c r="M539" s="25" t="n"/>
      <c r="N539" s="10" t="n"/>
      <c r="O539" s="27">
        <f>IF(C539="","",N(E539)*Settings!$B$8)</f>
        <v/>
      </c>
      <c r="P539" s="27">
        <f>IF(C539="","",N(N539)*Settings!$B$10)</f>
        <v/>
      </c>
      <c r="Q539" s="27">
        <f>IF(C539="","",J539-N(M539)-O539-P539)</f>
        <v/>
      </c>
      <c r="R539" s="6" t="n"/>
    </row>
    <row r="540">
      <c r="A540" s="17">
        <f>IF(B540="","","J-"&amp;TEXT(ROW()-4,"0000"))</f>
        <v/>
      </c>
      <c r="B540" s="26" t="n"/>
      <c r="C540" s="6" t="n"/>
      <c r="D540" s="6" t="n"/>
      <c r="E540" s="29" t="n"/>
      <c r="F540" s="6" t="n"/>
      <c r="G540" s="25" t="n"/>
      <c r="H540" s="30">
        <f>IF(C540="","",IF(G540&lt;&gt;"",G540,IFERROR(INDEX(Clients!$G$5:$G$304,MATCH(C540,Clients!$A$5:$A$304,0)),0)))</f>
        <v/>
      </c>
      <c r="I540" s="25" t="n"/>
      <c r="J540" s="30">
        <f>IF(C540="","",H540+N(I540))</f>
        <v/>
      </c>
      <c r="K540" s="6" t="n"/>
      <c r="L540" s="6" t="n"/>
      <c r="M540" s="25" t="n"/>
      <c r="N540" s="10" t="n"/>
      <c r="O540" s="30">
        <f>IF(C540="","",N(E540)*Settings!$B$8)</f>
        <v/>
      </c>
      <c r="P540" s="30">
        <f>IF(C540="","",N(N540)*Settings!$B$10)</f>
        <v/>
      </c>
      <c r="Q540" s="30">
        <f>IF(C540="","",J540-N(M540)-O540-P540)</f>
        <v/>
      </c>
      <c r="R540" s="6" t="n"/>
    </row>
    <row r="541">
      <c r="A541" s="8">
        <f>IF(B541="","","J-"&amp;TEXT(ROW()-4,"0000"))</f>
        <v/>
      </c>
      <c r="B541" s="26" t="n"/>
      <c r="C541" s="6" t="n"/>
      <c r="D541" s="6" t="n"/>
      <c r="E541" s="29" t="n"/>
      <c r="F541" s="6" t="n"/>
      <c r="G541" s="25" t="n"/>
      <c r="H541" s="27">
        <f>IF(C541="","",IF(G541&lt;&gt;"",G541,IFERROR(INDEX(Clients!$G$5:$G$304,MATCH(C541,Clients!$A$5:$A$304,0)),0)))</f>
        <v/>
      </c>
      <c r="I541" s="25" t="n"/>
      <c r="J541" s="27">
        <f>IF(C541="","",H541+N(I541))</f>
        <v/>
      </c>
      <c r="K541" s="6" t="n"/>
      <c r="L541" s="6" t="n"/>
      <c r="M541" s="25" t="n"/>
      <c r="N541" s="10" t="n"/>
      <c r="O541" s="27">
        <f>IF(C541="","",N(E541)*Settings!$B$8)</f>
        <v/>
      </c>
      <c r="P541" s="27">
        <f>IF(C541="","",N(N541)*Settings!$B$10)</f>
        <v/>
      </c>
      <c r="Q541" s="27">
        <f>IF(C541="","",J541-N(M541)-O541-P541)</f>
        <v/>
      </c>
      <c r="R541" s="6" t="n"/>
    </row>
    <row r="542">
      <c r="A542" s="17">
        <f>IF(B542="","","J-"&amp;TEXT(ROW()-4,"0000"))</f>
        <v/>
      </c>
      <c r="B542" s="26" t="n"/>
      <c r="C542" s="6" t="n"/>
      <c r="D542" s="6" t="n"/>
      <c r="E542" s="29" t="n"/>
      <c r="F542" s="6" t="n"/>
      <c r="G542" s="25" t="n"/>
      <c r="H542" s="30">
        <f>IF(C542="","",IF(G542&lt;&gt;"",G542,IFERROR(INDEX(Clients!$G$5:$G$304,MATCH(C542,Clients!$A$5:$A$304,0)),0)))</f>
        <v/>
      </c>
      <c r="I542" s="25" t="n"/>
      <c r="J542" s="30">
        <f>IF(C542="","",H542+N(I542))</f>
        <v/>
      </c>
      <c r="K542" s="6" t="n"/>
      <c r="L542" s="6" t="n"/>
      <c r="M542" s="25" t="n"/>
      <c r="N542" s="10" t="n"/>
      <c r="O542" s="30">
        <f>IF(C542="","",N(E542)*Settings!$B$8)</f>
        <v/>
      </c>
      <c r="P542" s="30">
        <f>IF(C542="","",N(N542)*Settings!$B$10)</f>
        <v/>
      </c>
      <c r="Q542" s="30">
        <f>IF(C542="","",J542-N(M542)-O542-P542)</f>
        <v/>
      </c>
      <c r="R542" s="6" t="n"/>
    </row>
    <row r="543">
      <c r="A543" s="8">
        <f>IF(B543="","","J-"&amp;TEXT(ROW()-4,"0000"))</f>
        <v/>
      </c>
      <c r="B543" s="26" t="n"/>
      <c r="C543" s="6" t="n"/>
      <c r="D543" s="6" t="n"/>
      <c r="E543" s="29" t="n"/>
      <c r="F543" s="6" t="n"/>
      <c r="G543" s="25" t="n"/>
      <c r="H543" s="27">
        <f>IF(C543="","",IF(G543&lt;&gt;"",G543,IFERROR(INDEX(Clients!$G$5:$G$304,MATCH(C543,Clients!$A$5:$A$304,0)),0)))</f>
        <v/>
      </c>
      <c r="I543" s="25" t="n"/>
      <c r="J543" s="27">
        <f>IF(C543="","",H543+N(I543))</f>
        <v/>
      </c>
      <c r="K543" s="6" t="n"/>
      <c r="L543" s="6" t="n"/>
      <c r="M543" s="25" t="n"/>
      <c r="N543" s="10" t="n"/>
      <c r="O543" s="27">
        <f>IF(C543="","",N(E543)*Settings!$B$8)</f>
        <v/>
      </c>
      <c r="P543" s="27">
        <f>IF(C543="","",N(N543)*Settings!$B$10)</f>
        <v/>
      </c>
      <c r="Q543" s="27">
        <f>IF(C543="","",J543-N(M543)-O543-P543)</f>
        <v/>
      </c>
      <c r="R543" s="6" t="n"/>
    </row>
    <row r="544">
      <c r="A544" s="17">
        <f>IF(B544="","","J-"&amp;TEXT(ROW()-4,"0000"))</f>
        <v/>
      </c>
      <c r="B544" s="26" t="n"/>
      <c r="C544" s="6" t="n"/>
      <c r="D544" s="6" t="n"/>
      <c r="E544" s="29" t="n"/>
      <c r="F544" s="6" t="n"/>
      <c r="G544" s="25" t="n"/>
      <c r="H544" s="30">
        <f>IF(C544="","",IF(G544&lt;&gt;"",G544,IFERROR(INDEX(Clients!$G$5:$G$304,MATCH(C544,Clients!$A$5:$A$304,0)),0)))</f>
        <v/>
      </c>
      <c r="I544" s="25" t="n"/>
      <c r="J544" s="30">
        <f>IF(C544="","",H544+N(I544))</f>
        <v/>
      </c>
      <c r="K544" s="6" t="n"/>
      <c r="L544" s="6" t="n"/>
      <c r="M544" s="25" t="n"/>
      <c r="N544" s="10" t="n"/>
      <c r="O544" s="30">
        <f>IF(C544="","",N(E544)*Settings!$B$8)</f>
        <v/>
      </c>
      <c r="P544" s="30">
        <f>IF(C544="","",N(N544)*Settings!$B$10)</f>
        <v/>
      </c>
      <c r="Q544" s="30">
        <f>IF(C544="","",J544-N(M544)-O544-P544)</f>
        <v/>
      </c>
      <c r="R544" s="6" t="n"/>
    </row>
    <row r="545">
      <c r="A545" s="8">
        <f>IF(B545="","","J-"&amp;TEXT(ROW()-4,"0000"))</f>
        <v/>
      </c>
      <c r="B545" s="26" t="n"/>
      <c r="C545" s="6" t="n"/>
      <c r="D545" s="6" t="n"/>
      <c r="E545" s="29" t="n"/>
      <c r="F545" s="6" t="n"/>
      <c r="G545" s="25" t="n"/>
      <c r="H545" s="27">
        <f>IF(C545="","",IF(G545&lt;&gt;"",G545,IFERROR(INDEX(Clients!$G$5:$G$304,MATCH(C545,Clients!$A$5:$A$304,0)),0)))</f>
        <v/>
      </c>
      <c r="I545" s="25" t="n"/>
      <c r="J545" s="27">
        <f>IF(C545="","",H545+N(I545))</f>
        <v/>
      </c>
      <c r="K545" s="6" t="n"/>
      <c r="L545" s="6" t="n"/>
      <c r="M545" s="25" t="n"/>
      <c r="N545" s="10" t="n"/>
      <c r="O545" s="27">
        <f>IF(C545="","",N(E545)*Settings!$B$8)</f>
        <v/>
      </c>
      <c r="P545" s="27">
        <f>IF(C545="","",N(N545)*Settings!$B$10)</f>
        <v/>
      </c>
      <c r="Q545" s="27">
        <f>IF(C545="","",J545-N(M545)-O545-P545)</f>
        <v/>
      </c>
      <c r="R545" s="6" t="n"/>
    </row>
    <row r="546">
      <c r="A546" s="17">
        <f>IF(B546="","","J-"&amp;TEXT(ROW()-4,"0000"))</f>
        <v/>
      </c>
      <c r="B546" s="26" t="n"/>
      <c r="C546" s="6" t="n"/>
      <c r="D546" s="6" t="n"/>
      <c r="E546" s="29" t="n"/>
      <c r="F546" s="6" t="n"/>
      <c r="G546" s="25" t="n"/>
      <c r="H546" s="30">
        <f>IF(C546="","",IF(G546&lt;&gt;"",G546,IFERROR(INDEX(Clients!$G$5:$G$304,MATCH(C546,Clients!$A$5:$A$304,0)),0)))</f>
        <v/>
      </c>
      <c r="I546" s="25" t="n"/>
      <c r="J546" s="30">
        <f>IF(C546="","",H546+N(I546))</f>
        <v/>
      </c>
      <c r="K546" s="6" t="n"/>
      <c r="L546" s="6" t="n"/>
      <c r="M546" s="25" t="n"/>
      <c r="N546" s="10" t="n"/>
      <c r="O546" s="30">
        <f>IF(C546="","",N(E546)*Settings!$B$8)</f>
        <v/>
      </c>
      <c r="P546" s="30">
        <f>IF(C546="","",N(N546)*Settings!$B$10)</f>
        <v/>
      </c>
      <c r="Q546" s="30">
        <f>IF(C546="","",J546-N(M546)-O546-P546)</f>
        <v/>
      </c>
      <c r="R546" s="6" t="n"/>
    </row>
    <row r="547">
      <c r="A547" s="8">
        <f>IF(B547="","","J-"&amp;TEXT(ROW()-4,"0000"))</f>
        <v/>
      </c>
      <c r="B547" s="26" t="n"/>
      <c r="C547" s="6" t="n"/>
      <c r="D547" s="6" t="n"/>
      <c r="E547" s="29" t="n"/>
      <c r="F547" s="6" t="n"/>
      <c r="G547" s="25" t="n"/>
      <c r="H547" s="27">
        <f>IF(C547="","",IF(G547&lt;&gt;"",G547,IFERROR(INDEX(Clients!$G$5:$G$304,MATCH(C547,Clients!$A$5:$A$304,0)),0)))</f>
        <v/>
      </c>
      <c r="I547" s="25" t="n"/>
      <c r="J547" s="27">
        <f>IF(C547="","",H547+N(I547))</f>
        <v/>
      </c>
      <c r="K547" s="6" t="n"/>
      <c r="L547" s="6" t="n"/>
      <c r="M547" s="25" t="n"/>
      <c r="N547" s="10" t="n"/>
      <c r="O547" s="27">
        <f>IF(C547="","",N(E547)*Settings!$B$8)</f>
        <v/>
      </c>
      <c r="P547" s="27">
        <f>IF(C547="","",N(N547)*Settings!$B$10)</f>
        <v/>
      </c>
      <c r="Q547" s="27">
        <f>IF(C547="","",J547-N(M547)-O547-P547)</f>
        <v/>
      </c>
      <c r="R547" s="6" t="n"/>
    </row>
    <row r="548">
      <c r="A548" s="17">
        <f>IF(B548="","","J-"&amp;TEXT(ROW()-4,"0000"))</f>
        <v/>
      </c>
      <c r="B548" s="26" t="n"/>
      <c r="C548" s="6" t="n"/>
      <c r="D548" s="6" t="n"/>
      <c r="E548" s="29" t="n"/>
      <c r="F548" s="6" t="n"/>
      <c r="G548" s="25" t="n"/>
      <c r="H548" s="30">
        <f>IF(C548="","",IF(G548&lt;&gt;"",G548,IFERROR(INDEX(Clients!$G$5:$G$304,MATCH(C548,Clients!$A$5:$A$304,0)),0)))</f>
        <v/>
      </c>
      <c r="I548" s="25" t="n"/>
      <c r="J548" s="30">
        <f>IF(C548="","",H548+N(I548))</f>
        <v/>
      </c>
      <c r="K548" s="6" t="n"/>
      <c r="L548" s="6" t="n"/>
      <c r="M548" s="25" t="n"/>
      <c r="N548" s="10" t="n"/>
      <c r="O548" s="30">
        <f>IF(C548="","",N(E548)*Settings!$B$8)</f>
        <v/>
      </c>
      <c r="P548" s="30">
        <f>IF(C548="","",N(N548)*Settings!$B$10)</f>
        <v/>
      </c>
      <c r="Q548" s="30">
        <f>IF(C548="","",J548-N(M548)-O548-P548)</f>
        <v/>
      </c>
      <c r="R548" s="6" t="n"/>
    </row>
    <row r="549">
      <c r="A549" s="8">
        <f>IF(B549="","","J-"&amp;TEXT(ROW()-4,"0000"))</f>
        <v/>
      </c>
      <c r="B549" s="26" t="n"/>
      <c r="C549" s="6" t="n"/>
      <c r="D549" s="6" t="n"/>
      <c r="E549" s="29" t="n"/>
      <c r="F549" s="6" t="n"/>
      <c r="G549" s="25" t="n"/>
      <c r="H549" s="27">
        <f>IF(C549="","",IF(G549&lt;&gt;"",G549,IFERROR(INDEX(Clients!$G$5:$G$304,MATCH(C549,Clients!$A$5:$A$304,0)),0)))</f>
        <v/>
      </c>
      <c r="I549" s="25" t="n"/>
      <c r="J549" s="27">
        <f>IF(C549="","",H549+N(I549))</f>
        <v/>
      </c>
      <c r="K549" s="6" t="n"/>
      <c r="L549" s="6" t="n"/>
      <c r="M549" s="25" t="n"/>
      <c r="N549" s="10" t="n"/>
      <c r="O549" s="27">
        <f>IF(C549="","",N(E549)*Settings!$B$8)</f>
        <v/>
      </c>
      <c r="P549" s="27">
        <f>IF(C549="","",N(N549)*Settings!$B$10)</f>
        <v/>
      </c>
      <c r="Q549" s="27">
        <f>IF(C549="","",J549-N(M549)-O549-P549)</f>
        <v/>
      </c>
      <c r="R549" s="6" t="n"/>
    </row>
    <row r="550">
      <c r="A550" s="17">
        <f>IF(B550="","","J-"&amp;TEXT(ROW()-4,"0000"))</f>
        <v/>
      </c>
      <c r="B550" s="26" t="n"/>
      <c r="C550" s="6" t="n"/>
      <c r="D550" s="6" t="n"/>
      <c r="E550" s="29" t="n"/>
      <c r="F550" s="6" t="n"/>
      <c r="G550" s="25" t="n"/>
      <c r="H550" s="30">
        <f>IF(C550="","",IF(G550&lt;&gt;"",G550,IFERROR(INDEX(Clients!$G$5:$G$304,MATCH(C550,Clients!$A$5:$A$304,0)),0)))</f>
        <v/>
      </c>
      <c r="I550" s="25" t="n"/>
      <c r="J550" s="30">
        <f>IF(C550="","",H550+N(I550))</f>
        <v/>
      </c>
      <c r="K550" s="6" t="n"/>
      <c r="L550" s="6" t="n"/>
      <c r="M550" s="25" t="n"/>
      <c r="N550" s="10" t="n"/>
      <c r="O550" s="30">
        <f>IF(C550="","",N(E550)*Settings!$B$8)</f>
        <v/>
      </c>
      <c r="P550" s="30">
        <f>IF(C550="","",N(N550)*Settings!$B$10)</f>
        <v/>
      </c>
      <c r="Q550" s="30">
        <f>IF(C550="","",J550-N(M550)-O550-P550)</f>
        <v/>
      </c>
      <c r="R550" s="6" t="n"/>
    </row>
    <row r="551">
      <c r="A551" s="8">
        <f>IF(B551="","","J-"&amp;TEXT(ROW()-4,"0000"))</f>
        <v/>
      </c>
      <c r="B551" s="26" t="n"/>
      <c r="C551" s="6" t="n"/>
      <c r="D551" s="6" t="n"/>
      <c r="E551" s="29" t="n"/>
      <c r="F551" s="6" t="n"/>
      <c r="G551" s="25" t="n"/>
      <c r="H551" s="27">
        <f>IF(C551="","",IF(G551&lt;&gt;"",G551,IFERROR(INDEX(Clients!$G$5:$G$304,MATCH(C551,Clients!$A$5:$A$304,0)),0)))</f>
        <v/>
      </c>
      <c r="I551" s="25" t="n"/>
      <c r="J551" s="27">
        <f>IF(C551="","",H551+N(I551))</f>
        <v/>
      </c>
      <c r="K551" s="6" t="n"/>
      <c r="L551" s="6" t="n"/>
      <c r="M551" s="25" t="n"/>
      <c r="N551" s="10" t="n"/>
      <c r="O551" s="27">
        <f>IF(C551="","",N(E551)*Settings!$B$8)</f>
        <v/>
      </c>
      <c r="P551" s="27">
        <f>IF(C551="","",N(N551)*Settings!$B$10)</f>
        <v/>
      </c>
      <c r="Q551" s="27">
        <f>IF(C551="","",J551-N(M551)-O551-P551)</f>
        <v/>
      </c>
      <c r="R551" s="6" t="n"/>
    </row>
    <row r="552">
      <c r="A552" s="17">
        <f>IF(B552="","","J-"&amp;TEXT(ROW()-4,"0000"))</f>
        <v/>
      </c>
      <c r="B552" s="26" t="n"/>
      <c r="C552" s="6" t="n"/>
      <c r="D552" s="6" t="n"/>
      <c r="E552" s="29" t="n"/>
      <c r="F552" s="6" t="n"/>
      <c r="G552" s="25" t="n"/>
      <c r="H552" s="30">
        <f>IF(C552="","",IF(G552&lt;&gt;"",G552,IFERROR(INDEX(Clients!$G$5:$G$304,MATCH(C552,Clients!$A$5:$A$304,0)),0)))</f>
        <v/>
      </c>
      <c r="I552" s="25" t="n"/>
      <c r="J552" s="30">
        <f>IF(C552="","",H552+N(I552))</f>
        <v/>
      </c>
      <c r="K552" s="6" t="n"/>
      <c r="L552" s="6" t="n"/>
      <c r="M552" s="25" t="n"/>
      <c r="N552" s="10" t="n"/>
      <c r="O552" s="30">
        <f>IF(C552="","",N(E552)*Settings!$B$8)</f>
        <v/>
      </c>
      <c r="P552" s="30">
        <f>IF(C552="","",N(N552)*Settings!$B$10)</f>
        <v/>
      </c>
      <c r="Q552" s="30">
        <f>IF(C552="","",J552-N(M552)-O552-P552)</f>
        <v/>
      </c>
      <c r="R552" s="6" t="n"/>
    </row>
    <row r="553">
      <c r="A553" s="8">
        <f>IF(B553="","","J-"&amp;TEXT(ROW()-4,"0000"))</f>
        <v/>
      </c>
      <c r="B553" s="26" t="n"/>
      <c r="C553" s="6" t="n"/>
      <c r="D553" s="6" t="n"/>
      <c r="E553" s="29" t="n"/>
      <c r="F553" s="6" t="n"/>
      <c r="G553" s="25" t="n"/>
      <c r="H553" s="27">
        <f>IF(C553="","",IF(G553&lt;&gt;"",G553,IFERROR(INDEX(Clients!$G$5:$G$304,MATCH(C553,Clients!$A$5:$A$304,0)),0)))</f>
        <v/>
      </c>
      <c r="I553" s="25" t="n"/>
      <c r="J553" s="27">
        <f>IF(C553="","",H553+N(I553))</f>
        <v/>
      </c>
      <c r="K553" s="6" t="n"/>
      <c r="L553" s="6" t="n"/>
      <c r="M553" s="25" t="n"/>
      <c r="N553" s="10" t="n"/>
      <c r="O553" s="27">
        <f>IF(C553="","",N(E553)*Settings!$B$8)</f>
        <v/>
      </c>
      <c r="P553" s="27">
        <f>IF(C553="","",N(N553)*Settings!$B$10)</f>
        <v/>
      </c>
      <c r="Q553" s="27">
        <f>IF(C553="","",J553-N(M553)-O553-P553)</f>
        <v/>
      </c>
      <c r="R553" s="6" t="n"/>
    </row>
    <row r="554">
      <c r="A554" s="17">
        <f>IF(B554="","","J-"&amp;TEXT(ROW()-4,"0000"))</f>
        <v/>
      </c>
      <c r="B554" s="26" t="n"/>
      <c r="C554" s="6" t="n"/>
      <c r="D554" s="6" t="n"/>
      <c r="E554" s="29" t="n"/>
      <c r="F554" s="6" t="n"/>
      <c r="G554" s="25" t="n"/>
      <c r="H554" s="30">
        <f>IF(C554="","",IF(G554&lt;&gt;"",G554,IFERROR(INDEX(Clients!$G$5:$G$304,MATCH(C554,Clients!$A$5:$A$304,0)),0)))</f>
        <v/>
      </c>
      <c r="I554" s="25" t="n"/>
      <c r="J554" s="30">
        <f>IF(C554="","",H554+N(I554))</f>
        <v/>
      </c>
      <c r="K554" s="6" t="n"/>
      <c r="L554" s="6" t="n"/>
      <c r="M554" s="25" t="n"/>
      <c r="N554" s="10" t="n"/>
      <c r="O554" s="30">
        <f>IF(C554="","",N(E554)*Settings!$B$8)</f>
        <v/>
      </c>
      <c r="P554" s="30">
        <f>IF(C554="","",N(N554)*Settings!$B$10)</f>
        <v/>
      </c>
      <c r="Q554" s="30">
        <f>IF(C554="","",J554-N(M554)-O554-P554)</f>
        <v/>
      </c>
      <c r="R554" s="6" t="n"/>
    </row>
    <row r="555">
      <c r="A555" s="8">
        <f>IF(B555="","","J-"&amp;TEXT(ROW()-4,"0000"))</f>
        <v/>
      </c>
      <c r="B555" s="26" t="n"/>
      <c r="C555" s="6" t="n"/>
      <c r="D555" s="6" t="n"/>
      <c r="E555" s="29" t="n"/>
      <c r="F555" s="6" t="n"/>
      <c r="G555" s="25" t="n"/>
      <c r="H555" s="27">
        <f>IF(C555="","",IF(G555&lt;&gt;"",G555,IFERROR(INDEX(Clients!$G$5:$G$304,MATCH(C555,Clients!$A$5:$A$304,0)),0)))</f>
        <v/>
      </c>
      <c r="I555" s="25" t="n"/>
      <c r="J555" s="27">
        <f>IF(C555="","",H555+N(I555))</f>
        <v/>
      </c>
      <c r="K555" s="6" t="n"/>
      <c r="L555" s="6" t="n"/>
      <c r="M555" s="25" t="n"/>
      <c r="N555" s="10" t="n"/>
      <c r="O555" s="27">
        <f>IF(C555="","",N(E555)*Settings!$B$8)</f>
        <v/>
      </c>
      <c r="P555" s="27">
        <f>IF(C555="","",N(N555)*Settings!$B$10)</f>
        <v/>
      </c>
      <c r="Q555" s="27">
        <f>IF(C555="","",J555-N(M555)-O555-P555)</f>
        <v/>
      </c>
      <c r="R555" s="6" t="n"/>
    </row>
    <row r="556">
      <c r="A556" s="17">
        <f>IF(B556="","","J-"&amp;TEXT(ROW()-4,"0000"))</f>
        <v/>
      </c>
      <c r="B556" s="26" t="n"/>
      <c r="C556" s="6" t="n"/>
      <c r="D556" s="6" t="n"/>
      <c r="E556" s="29" t="n"/>
      <c r="F556" s="6" t="n"/>
      <c r="G556" s="25" t="n"/>
      <c r="H556" s="30">
        <f>IF(C556="","",IF(G556&lt;&gt;"",G556,IFERROR(INDEX(Clients!$G$5:$G$304,MATCH(C556,Clients!$A$5:$A$304,0)),0)))</f>
        <v/>
      </c>
      <c r="I556" s="25" t="n"/>
      <c r="J556" s="30">
        <f>IF(C556="","",H556+N(I556))</f>
        <v/>
      </c>
      <c r="K556" s="6" t="n"/>
      <c r="L556" s="6" t="n"/>
      <c r="M556" s="25" t="n"/>
      <c r="N556" s="10" t="n"/>
      <c r="O556" s="30">
        <f>IF(C556="","",N(E556)*Settings!$B$8)</f>
        <v/>
      </c>
      <c r="P556" s="30">
        <f>IF(C556="","",N(N556)*Settings!$B$10)</f>
        <v/>
      </c>
      <c r="Q556" s="30">
        <f>IF(C556="","",J556-N(M556)-O556-P556)</f>
        <v/>
      </c>
      <c r="R556" s="6" t="n"/>
    </row>
    <row r="557">
      <c r="A557" s="8">
        <f>IF(B557="","","J-"&amp;TEXT(ROW()-4,"0000"))</f>
        <v/>
      </c>
      <c r="B557" s="26" t="n"/>
      <c r="C557" s="6" t="n"/>
      <c r="D557" s="6" t="n"/>
      <c r="E557" s="29" t="n"/>
      <c r="F557" s="6" t="n"/>
      <c r="G557" s="25" t="n"/>
      <c r="H557" s="27">
        <f>IF(C557="","",IF(G557&lt;&gt;"",G557,IFERROR(INDEX(Clients!$G$5:$G$304,MATCH(C557,Clients!$A$5:$A$304,0)),0)))</f>
        <v/>
      </c>
      <c r="I557" s="25" t="n"/>
      <c r="J557" s="27">
        <f>IF(C557="","",H557+N(I557))</f>
        <v/>
      </c>
      <c r="K557" s="6" t="n"/>
      <c r="L557" s="6" t="n"/>
      <c r="M557" s="25" t="n"/>
      <c r="N557" s="10" t="n"/>
      <c r="O557" s="27">
        <f>IF(C557="","",N(E557)*Settings!$B$8)</f>
        <v/>
      </c>
      <c r="P557" s="27">
        <f>IF(C557="","",N(N557)*Settings!$B$10)</f>
        <v/>
      </c>
      <c r="Q557" s="27">
        <f>IF(C557="","",J557-N(M557)-O557-P557)</f>
        <v/>
      </c>
      <c r="R557" s="6" t="n"/>
    </row>
    <row r="558">
      <c r="A558" s="17">
        <f>IF(B558="","","J-"&amp;TEXT(ROW()-4,"0000"))</f>
        <v/>
      </c>
      <c r="B558" s="26" t="n"/>
      <c r="C558" s="6" t="n"/>
      <c r="D558" s="6" t="n"/>
      <c r="E558" s="29" t="n"/>
      <c r="F558" s="6" t="n"/>
      <c r="G558" s="25" t="n"/>
      <c r="H558" s="30">
        <f>IF(C558="","",IF(G558&lt;&gt;"",G558,IFERROR(INDEX(Clients!$G$5:$G$304,MATCH(C558,Clients!$A$5:$A$304,0)),0)))</f>
        <v/>
      </c>
      <c r="I558" s="25" t="n"/>
      <c r="J558" s="30">
        <f>IF(C558="","",H558+N(I558))</f>
        <v/>
      </c>
      <c r="K558" s="6" t="n"/>
      <c r="L558" s="6" t="n"/>
      <c r="M558" s="25" t="n"/>
      <c r="N558" s="10" t="n"/>
      <c r="O558" s="30">
        <f>IF(C558="","",N(E558)*Settings!$B$8)</f>
        <v/>
      </c>
      <c r="P558" s="30">
        <f>IF(C558="","",N(N558)*Settings!$B$10)</f>
        <v/>
      </c>
      <c r="Q558" s="30">
        <f>IF(C558="","",J558-N(M558)-O558-P558)</f>
        <v/>
      </c>
      <c r="R558" s="6" t="n"/>
    </row>
    <row r="559">
      <c r="A559" s="8">
        <f>IF(B559="","","J-"&amp;TEXT(ROW()-4,"0000"))</f>
        <v/>
      </c>
      <c r="B559" s="26" t="n"/>
      <c r="C559" s="6" t="n"/>
      <c r="D559" s="6" t="n"/>
      <c r="E559" s="29" t="n"/>
      <c r="F559" s="6" t="n"/>
      <c r="G559" s="25" t="n"/>
      <c r="H559" s="27">
        <f>IF(C559="","",IF(G559&lt;&gt;"",G559,IFERROR(INDEX(Clients!$G$5:$G$304,MATCH(C559,Clients!$A$5:$A$304,0)),0)))</f>
        <v/>
      </c>
      <c r="I559" s="25" t="n"/>
      <c r="J559" s="27">
        <f>IF(C559="","",H559+N(I559))</f>
        <v/>
      </c>
      <c r="K559" s="6" t="n"/>
      <c r="L559" s="6" t="n"/>
      <c r="M559" s="25" t="n"/>
      <c r="N559" s="10" t="n"/>
      <c r="O559" s="27">
        <f>IF(C559="","",N(E559)*Settings!$B$8)</f>
        <v/>
      </c>
      <c r="P559" s="27">
        <f>IF(C559="","",N(N559)*Settings!$B$10)</f>
        <v/>
      </c>
      <c r="Q559" s="27">
        <f>IF(C559="","",J559-N(M559)-O559-P559)</f>
        <v/>
      </c>
      <c r="R559" s="6" t="n"/>
    </row>
    <row r="560">
      <c r="A560" s="17">
        <f>IF(B560="","","J-"&amp;TEXT(ROW()-4,"0000"))</f>
        <v/>
      </c>
      <c r="B560" s="26" t="n"/>
      <c r="C560" s="6" t="n"/>
      <c r="D560" s="6" t="n"/>
      <c r="E560" s="29" t="n"/>
      <c r="F560" s="6" t="n"/>
      <c r="G560" s="25" t="n"/>
      <c r="H560" s="30">
        <f>IF(C560="","",IF(G560&lt;&gt;"",G560,IFERROR(INDEX(Clients!$G$5:$G$304,MATCH(C560,Clients!$A$5:$A$304,0)),0)))</f>
        <v/>
      </c>
      <c r="I560" s="25" t="n"/>
      <c r="J560" s="30">
        <f>IF(C560="","",H560+N(I560))</f>
        <v/>
      </c>
      <c r="K560" s="6" t="n"/>
      <c r="L560" s="6" t="n"/>
      <c r="M560" s="25" t="n"/>
      <c r="N560" s="10" t="n"/>
      <c r="O560" s="30">
        <f>IF(C560="","",N(E560)*Settings!$B$8)</f>
        <v/>
      </c>
      <c r="P560" s="30">
        <f>IF(C560="","",N(N560)*Settings!$B$10)</f>
        <v/>
      </c>
      <c r="Q560" s="30">
        <f>IF(C560="","",J560-N(M560)-O560-P560)</f>
        <v/>
      </c>
      <c r="R560" s="6" t="n"/>
    </row>
    <row r="561">
      <c r="A561" s="8">
        <f>IF(B561="","","J-"&amp;TEXT(ROW()-4,"0000"))</f>
        <v/>
      </c>
      <c r="B561" s="26" t="n"/>
      <c r="C561" s="6" t="n"/>
      <c r="D561" s="6" t="n"/>
      <c r="E561" s="29" t="n"/>
      <c r="F561" s="6" t="n"/>
      <c r="G561" s="25" t="n"/>
      <c r="H561" s="27">
        <f>IF(C561="","",IF(G561&lt;&gt;"",G561,IFERROR(INDEX(Clients!$G$5:$G$304,MATCH(C561,Clients!$A$5:$A$304,0)),0)))</f>
        <v/>
      </c>
      <c r="I561" s="25" t="n"/>
      <c r="J561" s="27">
        <f>IF(C561="","",H561+N(I561))</f>
        <v/>
      </c>
      <c r="K561" s="6" t="n"/>
      <c r="L561" s="6" t="n"/>
      <c r="M561" s="25" t="n"/>
      <c r="N561" s="10" t="n"/>
      <c r="O561" s="27">
        <f>IF(C561="","",N(E561)*Settings!$B$8)</f>
        <v/>
      </c>
      <c r="P561" s="27">
        <f>IF(C561="","",N(N561)*Settings!$B$10)</f>
        <v/>
      </c>
      <c r="Q561" s="27">
        <f>IF(C561="","",J561-N(M561)-O561-P561)</f>
        <v/>
      </c>
      <c r="R561" s="6" t="n"/>
    </row>
    <row r="562">
      <c r="A562" s="17">
        <f>IF(B562="","","J-"&amp;TEXT(ROW()-4,"0000"))</f>
        <v/>
      </c>
      <c r="B562" s="26" t="n"/>
      <c r="C562" s="6" t="n"/>
      <c r="D562" s="6" t="n"/>
      <c r="E562" s="29" t="n"/>
      <c r="F562" s="6" t="n"/>
      <c r="G562" s="25" t="n"/>
      <c r="H562" s="30">
        <f>IF(C562="","",IF(G562&lt;&gt;"",G562,IFERROR(INDEX(Clients!$G$5:$G$304,MATCH(C562,Clients!$A$5:$A$304,0)),0)))</f>
        <v/>
      </c>
      <c r="I562" s="25" t="n"/>
      <c r="J562" s="30">
        <f>IF(C562="","",H562+N(I562))</f>
        <v/>
      </c>
      <c r="K562" s="6" t="n"/>
      <c r="L562" s="6" t="n"/>
      <c r="M562" s="25" t="n"/>
      <c r="N562" s="10" t="n"/>
      <c r="O562" s="30">
        <f>IF(C562="","",N(E562)*Settings!$B$8)</f>
        <v/>
      </c>
      <c r="P562" s="30">
        <f>IF(C562="","",N(N562)*Settings!$B$10)</f>
        <v/>
      </c>
      <c r="Q562" s="30">
        <f>IF(C562="","",J562-N(M562)-O562-P562)</f>
        <v/>
      </c>
      <c r="R562" s="6" t="n"/>
    </row>
    <row r="563">
      <c r="A563" s="8">
        <f>IF(B563="","","J-"&amp;TEXT(ROW()-4,"0000"))</f>
        <v/>
      </c>
      <c r="B563" s="26" t="n"/>
      <c r="C563" s="6" t="n"/>
      <c r="D563" s="6" t="n"/>
      <c r="E563" s="29" t="n"/>
      <c r="F563" s="6" t="n"/>
      <c r="G563" s="25" t="n"/>
      <c r="H563" s="27">
        <f>IF(C563="","",IF(G563&lt;&gt;"",G563,IFERROR(INDEX(Clients!$G$5:$G$304,MATCH(C563,Clients!$A$5:$A$304,0)),0)))</f>
        <v/>
      </c>
      <c r="I563" s="25" t="n"/>
      <c r="J563" s="27">
        <f>IF(C563="","",H563+N(I563))</f>
        <v/>
      </c>
      <c r="K563" s="6" t="n"/>
      <c r="L563" s="6" t="n"/>
      <c r="M563" s="25" t="n"/>
      <c r="N563" s="10" t="n"/>
      <c r="O563" s="27">
        <f>IF(C563="","",N(E563)*Settings!$B$8)</f>
        <v/>
      </c>
      <c r="P563" s="27">
        <f>IF(C563="","",N(N563)*Settings!$B$10)</f>
        <v/>
      </c>
      <c r="Q563" s="27">
        <f>IF(C563="","",J563-N(M563)-O563-P563)</f>
        <v/>
      </c>
      <c r="R563" s="6" t="n"/>
    </row>
    <row r="564">
      <c r="A564" s="17">
        <f>IF(B564="","","J-"&amp;TEXT(ROW()-4,"0000"))</f>
        <v/>
      </c>
      <c r="B564" s="26" t="n"/>
      <c r="C564" s="6" t="n"/>
      <c r="D564" s="6" t="n"/>
      <c r="E564" s="29" t="n"/>
      <c r="F564" s="6" t="n"/>
      <c r="G564" s="25" t="n"/>
      <c r="H564" s="30">
        <f>IF(C564="","",IF(G564&lt;&gt;"",G564,IFERROR(INDEX(Clients!$G$5:$G$304,MATCH(C564,Clients!$A$5:$A$304,0)),0)))</f>
        <v/>
      </c>
      <c r="I564" s="25" t="n"/>
      <c r="J564" s="30">
        <f>IF(C564="","",H564+N(I564))</f>
        <v/>
      </c>
      <c r="K564" s="6" t="n"/>
      <c r="L564" s="6" t="n"/>
      <c r="M564" s="25" t="n"/>
      <c r="N564" s="10" t="n"/>
      <c r="O564" s="30">
        <f>IF(C564="","",N(E564)*Settings!$B$8)</f>
        <v/>
      </c>
      <c r="P564" s="30">
        <f>IF(C564="","",N(N564)*Settings!$B$10)</f>
        <v/>
      </c>
      <c r="Q564" s="30">
        <f>IF(C564="","",J564-N(M564)-O564-P564)</f>
        <v/>
      </c>
      <c r="R564" s="6" t="n"/>
    </row>
    <row r="565">
      <c r="A565" s="8">
        <f>IF(B565="","","J-"&amp;TEXT(ROW()-4,"0000"))</f>
        <v/>
      </c>
      <c r="B565" s="26" t="n"/>
      <c r="C565" s="6" t="n"/>
      <c r="D565" s="6" t="n"/>
      <c r="E565" s="29" t="n"/>
      <c r="F565" s="6" t="n"/>
      <c r="G565" s="25" t="n"/>
      <c r="H565" s="27">
        <f>IF(C565="","",IF(G565&lt;&gt;"",G565,IFERROR(INDEX(Clients!$G$5:$G$304,MATCH(C565,Clients!$A$5:$A$304,0)),0)))</f>
        <v/>
      </c>
      <c r="I565" s="25" t="n"/>
      <c r="J565" s="27">
        <f>IF(C565="","",H565+N(I565))</f>
        <v/>
      </c>
      <c r="K565" s="6" t="n"/>
      <c r="L565" s="6" t="n"/>
      <c r="M565" s="25" t="n"/>
      <c r="N565" s="10" t="n"/>
      <c r="O565" s="27">
        <f>IF(C565="","",N(E565)*Settings!$B$8)</f>
        <v/>
      </c>
      <c r="P565" s="27">
        <f>IF(C565="","",N(N565)*Settings!$B$10)</f>
        <v/>
      </c>
      <c r="Q565" s="27">
        <f>IF(C565="","",J565-N(M565)-O565-P565)</f>
        <v/>
      </c>
      <c r="R565" s="6" t="n"/>
    </row>
    <row r="566">
      <c r="A566" s="17">
        <f>IF(B566="","","J-"&amp;TEXT(ROW()-4,"0000"))</f>
        <v/>
      </c>
      <c r="B566" s="26" t="n"/>
      <c r="C566" s="6" t="n"/>
      <c r="D566" s="6" t="n"/>
      <c r="E566" s="29" t="n"/>
      <c r="F566" s="6" t="n"/>
      <c r="G566" s="25" t="n"/>
      <c r="H566" s="30">
        <f>IF(C566="","",IF(G566&lt;&gt;"",G566,IFERROR(INDEX(Clients!$G$5:$G$304,MATCH(C566,Clients!$A$5:$A$304,0)),0)))</f>
        <v/>
      </c>
      <c r="I566" s="25" t="n"/>
      <c r="J566" s="30">
        <f>IF(C566="","",H566+N(I566))</f>
        <v/>
      </c>
      <c r="K566" s="6" t="n"/>
      <c r="L566" s="6" t="n"/>
      <c r="M566" s="25" t="n"/>
      <c r="N566" s="10" t="n"/>
      <c r="O566" s="30">
        <f>IF(C566="","",N(E566)*Settings!$B$8)</f>
        <v/>
      </c>
      <c r="P566" s="30">
        <f>IF(C566="","",N(N566)*Settings!$B$10)</f>
        <v/>
      </c>
      <c r="Q566" s="30">
        <f>IF(C566="","",J566-N(M566)-O566-P566)</f>
        <v/>
      </c>
      <c r="R566" s="6" t="n"/>
    </row>
    <row r="567">
      <c r="A567" s="8">
        <f>IF(B567="","","J-"&amp;TEXT(ROW()-4,"0000"))</f>
        <v/>
      </c>
      <c r="B567" s="26" t="n"/>
      <c r="C567" s="6" t="n"/>
      <c r="D567" s="6" t="n"/>
      <c r="E567" s="29" t="n"/>
      <c r="F567" s="6" t="n"/>
      <c r="G567" s="25" t="n"/>
      <c r="H567" s="27">
        <f>IF(C567="","",IF(G567&lt;&gt;"",G567,IFERROR(INDEX(Clients!$G$5:$G$304,MATCH(C567,Clients!$A$5:$A$304,0)),0)))</f>
        <v/>
      </c>
      <c r="I567" s="25" t="n"/>
      <c r="J567" s="27">
        <f>IF(C567="","",H567+N(I567))</f>
        <v/>
      </c>
      <c r="K567" s="6" t="n"/>
      <c r="L567" s="6" t="n"/>
      <c r="M567" s="25" t="n"/>
      <c r="N567" s="10" t="n"/>
      <c r="O567" s="27">
        <f>IF(C567="","",N(E567)*Settings!$B$8)</f>
        <v/>
      </c>
      <c r="P567" s="27">
        <f>IF(C567="","",N(N567)*Settings!$B$10)</f>
        <v/>
      </c>
      <c r="Q567" s="27">
        <f>IF(C567="","",J567-N(M567)-O567-P567)</f>
        <v/>
      </c>
      <c r="R567" s="6" t="n"/>
    </row>
    <row r="568">
      <c r="A568" s="17">
        <f>IF(B568="","","J-"&amp;TEXT(ROW()-4,"0000"))</f>
        <v/>
      </c>
      <c r="B568" s="26" t="n"/>
      <c r="C568" s="6" t="n"/>
      <c r="D568" s="6" t="n"/>
      <c r="E568" s="29" t="n"/>
      <c r="F568" s="6" t="n"/>
      <c r="G568" s="25" t="n"/>
      <c r="H568" s="30">
        <f>IF(C568="","",IF(G568&lt;&gt;"",G568,IFERROR(INDEX(Clients!$G$5:$G$304,MATCH(C568,Clients!$A$5:$A$304,0)),0)))</f>
        <v/>
      </c>
      <c r="I568" s="25" t="n"/>
      <c r="J568" s="30">
        <f>IF(C568="","",H568+N(I568))</f>
        <v/>
      </c>
      <c r="K568" s="6" t="n"/>
      <c r="L568" s="6" t="n"/>
      <c r="M568" s="25" t="n"/>
      <c r="N568" s="10" t="n"/>
      <c r="O568" s="30">
        <f>IF(C568="","",N(E568)*Settings!$B$8)</f>
        <v/>
      </c>
      <c r="P568" s="30">
        <f>IF(C568="","",N(N568)*Settings!$B$10)</f>
        <v/>
      </c>
      <c r="Q568" s="30">
        <f>IF(C568="","",J568-N(M568)-O568-P568)</f>
        <v/>
      </c>
      <c r="R568" s="6" t="n"/>
    </row>
    <row r="569">
      <c r="A569" s="8">
        <f>IF(B569="","","J-"&amp;TEXT(ROW()-4,"0000"))</f>
        <v/>
      </c>
      <c r="B569" s="26" t="n"/>
      <c r="C569" s="6" t="n"/>
      <c r="D569" s="6" t="n"/>
      <c r="E569" s="29" t="n"/>
      <c r="F569" s="6" t="n"/>
      <c r="G569" s="25" t="n"/>
      <c r="H569" s="27">
        <f>IF(C569="","",IF(G569&lt;&gt;"",G569,IFERROR(INDEX(Clients!$G$5:$G$304,MATCH(C569,Clients!$A$5:$A$304,0)),0)))</f>
        <v/>
      </c>
      <c r="I569" s="25" t="n"/>
      <c r="J569" s="27">
        <f>IF(C569="","",H569+N(I569))</f>
        <v/>
      </c>
      <c r="K569" s="6" t="n"/>
      <c r="L569" s="6" t="n"/>
      <c r="M569" s="25" t="n"/>
      <c r="N569" s="10" t="n"/>
      <c r="O569" s="27">
        <f>IF(C569="","",N(E569)*Settings!$B$8)</f>
        <v/>
      </c>
      <c r="P569" s="27">
        <f>IF(C569="","",N(N569)*Settings!$B$10)</f>
        <v/>
      </c>
      <c r="Q569" s="27">
        <f>IF(C569="","",J569-N(M569)-O569-P569)</f>
        <v/>
      </c>
      <c r="R569" s="6" t="n"/>
    </row>
    <row r="570">
      <c r="A570" s="17">
        <f>IF(B570="","","J-"&amp;TEXT(ROW()-4,"0000"))</f>
        <v/>
      </c>
      <c r="B570" s="26" t="n"/>
      <c r="C570" s="6" t="n"/>
      <c r="D570" s="6" t="n"/>
      <c r="E570" s="29" t="n"/>
      <c r="F570" s="6" t="n"/>
      <c r="G570" s="25" t="n"/>
      <c r="H570" s="30">
        <f>IF(C570="","",IF(G570&lt;&gt;"",G570,IFERROR(INDEX(Clients!$G$5:$G$304,MATCH(C570,Clients!$A$5:$A$304,0)),0)))</f>
        <v/>
      </c>
      <c r="I570" s="25" t="n"/>
      <c r="J570" s="30">
        <f>IF(C570="","",H570+N(I570))</f>
        <v/>
      </c>
      <c r="K570" s="6" t="n"/>
      <c r="L570" s="6" t="n"/>
      <c r="M570" s="25" t="n"/>
      <c r="N570" s="10" t="n"/>
      <c r="O570" s="30">
        <f>IF(C570="","",N(E570)*Settings!$B$8)</f>
        <v/>
      </c>
      <c r="P570" s="30">
        <f>IF(C570="","",N(N570)*Settings!$B$10)</f>
        <v/>
      </c>
      <c r="Q570" s="30">
        <f>IF(C570="","",J570-N(M570)-O570-P570)</f>
        <v/>
      </c>
      <c r="R570" s="6" t="n"/>
    </row>
    <row r="571">
      <c r="A571" s="8">
        <f>IF(B571="","","J-"&amp;TEXT(ROW()-4,"0000"))</f>
        <v/>
      </c>
      <c r="B571" s="26" t="n"/>
      <c r="C571" s="6" t="n"/>
      <c r="D571" s="6" t="n"/>
      <c r="E571" s="29" t="n"/>
      <c r="F571" s="6" t="n"/>
      <c r="G571" s="25" t="n"/>
      <c r="H571" s="27">
        <f>IF(C571="","",IF(G571&lt;&gt;"",G571,IFERROR(INDEX(Clients!$G$5:$G$304,MATCH(C571,Clients!$A$5:$A$304,0)),0)))</f>
        <v/>
      </c>
      <c r="I571" s="25" t="n"/>
      <c r="J571" s="27">
        <f>IF(C571="","",H571+N(I571))</f>
        <v/>
      </c>
      <c r="K571" s="6" t="n"/>
      <c r="L571" s="6" t="n"/>
      <c r="M571" s="25" t="n"/>
      <c r="N571" s="10" t="n"/>
      <c r="O571" s="27">
        <f>IF(C571="","",N(E571)*Settings!$B$8)</f>
        <v/>
      </c>
      <c r="P571" s="27">
        <f>IF(C571="","",N(N571)*Settings!$B$10)</f>
        <v/>
      </c>
      <c r="Q571" s="27">
        <f>IF(C571="","",J571-N(M571)-O571-P571)</f>
        <v/>
      </c>
      <c r="R571" s="6" t="n"/>
    </row>
    <row r="572">
      <c r="A572" s="17">
        <f>IF(B572="","","J-"&amp;TEXT(ROW()-4,"0000"))</f>
        <v/>
      </c>
      <c r="B572" s="26" t="n"/>
      <c r="C572" s="6" t="n"/>
      <c r="D572" s="6" t="n"/>
      <c r="E572" s="29" t="n"/>
      <c r="F572" s="6" t="n"/>
      <c r="G572" s="25" t="n"/>
      <c r="H572" s="30">
        <f>IF(C572="","",IF(G572&lt;&gt;"",G572,IFERROR(INDEX(Clients!$G$5:$G$304,MATCH(C572,Clients!$A$5:$A$304,0)),0)))</f>
        <v/>
      </c>
      <c r="I572" s="25" t="n"/>
      <c r="J572" s="30">
        <f>IF(C572="","",H572+N(I572))</f>
        <v/>
      </c>
      <c r="K572" s="6" t="n"/>
      <c r="L572" s="6" t="n"/>
      <c r="M572" s="25" t="n"/>
      <c r="N572" s="10" t="n"/>
      <c r="O572" s="30">
        <f>IF(C572="","",N(E572)*Settings!$B$8)</f>
        <v/>
      </c>
      <c r="P572" s="30">
        <f>IF(C572="","",N(N572)*Settings!$B$10)</f>
        <v/>
      </c>
      <c r="Q572" s="30">
        <f>IF(C572="","",J572-N(M572)-O572-P572)</f>
        <v/>
      </c>
      <c r="R572" s="6" t="n"/>
    </row>
    <row r="573">
      <c r="A573" s="8">
        <f>IF(B573="","","J-"&amp;TEXT(ROW()-4,"0000"))</f>
        <v/>
      </c>
      <c r="B573" s="26" t="n"/>
      <c r="C573" s="6" t="n"/>
      <c r="D573" s="6" t="n"/>
      <c r="E573" s="29" t="n"/>
      <c r="F573" s="6" t="n"/>
      <c r="G573" s="25" t="n"/>
      <c r="H573" s="27">
        <f>IF(C573="","",IF(G573&lt;&gt;"",G573,IFERROR(INDEX(Clients!$G$5:$G$304,MATCH(C573,Clients!$A$5:$A$304,0)),0)))</f>
        <v/>
      </c>
      <c r="I573" s="25" t="n"/>
      <c r="J573" s="27">
        <f>IF(C573="","",H573+N(I573))</f>
        <v/>
      </c>
      <c r="K573" s="6" t="n"/>
      <c r="L573" s="6" t="n"/>
      <c r="M573" s="25" t="n"/>
      <c r="N573" s="10" t="n"/>
      <c r="O573" s="27">
        <f>IF(C573="","",N(E573)*Settings!$B$8)</f>
        <v/>
      </c>
      <c r="P573" s="27">
        <f>IF(C573="","",N(N573)*Settings!$B$10)</f>
        <v/>
      </c>
      <c r="Q573" s="27">
        <f>IF(C573="","",J573-N(M573)-O573-P573)</f>
        <v/>
      </c>
      <c r="R573" s="6" t="n"/>
    </row>
    <row r="574">
      <c r="A574" s="17">
        <f>IF(B574="","","J-"&amp;TEXT(ROW()-4,"0000"))</f>
        <v/>
      </c>
      <c r="B574" s="26" t="n"/>
      <c r="C574" s="6" t="n"/>
      <c r="D574" s="6" t="n"/>
      <c r="E574" s="29" t="n"/>
      <c r="F574" s="6" t="n"/>
      <c r="G574" s="25" t="n"/>
      <c r="H574" s="30">
        <f>IF(C574="","",IF(G574&lt;&gt;"",G574,IFERROR(INDEX(Clients!$G$5:$G$304,MATCH(C574,Clients!$A$5:$A$304,0)),0)))</f>
        <v/>
      </c>
      <c r="I574" s="25" t="n"/>
      <c r="J574" s="30">
        <f>IF(C574="","",H574+N(I574))</f>
        <v/>
      </c>
      <c r="K574" s="6" t="n"/>
      <c r="L574" s="6" t="n"/>
      <c r="M574" s="25" t="n"/>
      <c r="N574" s="10" t="n"/>
      <c r="O574" s="30">
        <f>IF(C574="","",N(E574)*Settings!$B$8)</f>
        <v/>
      </c>
      <c r="P574" s="30">
        <f>IF(C574="","",N(N574)*Settings!$B$10)</f>
        <v/>
      </c>
      <c r="Q574" s="30">
        <f>IF(C574="","",J574-N(M574)-O574-P574)</f>
        <v/>
      </c>
      <c r="R574" s="6" t="n"/>
    </row>
    <row r="575">
      <c r="A575" s="8">
        <f>IF(B575="","","J-"&amp;TEXT(ROW()-4,"0000"))</f>
        <v/>
      </c>
      <c r="B575" s="26" t="n"/>
      <c r="C575" s="6" t="n"/>
      <c r="D575" s="6" t="n"/>
      <c r="E575" s="29" t="n"/>
      <c r="F575" s="6" t="n"/>
      <c r="G575" s="25" t="n"/>
      <c r="H575" s="27">
        <f>IF(C575="","",IF(G575&lt;&gt;"",G575,IFERROR(INDEX(Clients!$G$5:$G$304,MATCH(C575,Clients!$A$5:$A$304,0)),0)))</f>
        <v/>
      </c>
      <c r="I575" s="25" t="n"/>
      <c r="J575" s="27">
        <f>IF(C575="","",H575+N(I575))</f>
        <v/>
      </c>
      <c r="K575" s="6" t="n"/>
      <c r="L575" s="6" t="n"/>
      <c r="M575" s="25" t="n"/>
      <c r="N575" s="10" t="n"/>
      <c r="O575" s="27">
        <f>IF(C575="","",N(E575)*Settings!$B$8)</f>
        <v/>
      </c>
      <c r="P575" s="27">
        <f>IF(C575="","",N(N575)*Settings!$B$10)</f>
        <v/>
      </c>
      <c r="Q575" s="27">
        <f>IF(C575="","",J575-N(M575)-O575-P575)</f>
        <v/>
      </c>
      <c r="R575" s="6" t="n"/>
    </row>
    <row r="576">
      <c r="A576" s="17">
        <f>IF(B576="","","J-"&amp;TEXT(ROW()-4,"0000"))</f>
        <v/>
      </c>
      <c r="B576" s="26" t="n"/>
      <c r="C576" s="6" t="n"/>
      <c r="D576" s="6" t="n"/>
      <c r="E576" s="29" t="n"/>
      <c r="F576" s="6" t="n"/>
      <c r="G576" s="25" t="n"/>
      <c r="H576" s="30">
        <f>IF(C576="","",IF(G576&lt;&gt;"",G576,IFERROR(INDEX(Clients!$G$5:$G$304,MATCH(C576,Clients!$A$5:$A$304,0)),0)))</f>
        <v/>
      </c>
      <c r="I576" s="25" t="n"/>
      <c r="J576" s="30">
        <f>IF(C576="","",H576+N(I576))</f>
        <v/>
      </c>
      <c r="K576" s="6" t="n"/>
      <c r="L576" s="6" t="n"/>
      <c r="M576" s="25" t="n"/>
      <c r="N576" s="10" t="n"/>
      <c r="O576" s="30">
        <f>IF(C576="","",N(E576)*Settings!$B$8)</f>
        <v/>
      </c>
      <c r="P576" s="30">
        <f>IF(C576="","",N(N576)*Settings!$B$10)</f>
        <v/>
      </c>
      <c r="Q576" s="30">
        <f>IF(C576="","",J576-N(M576)-O576-P576)</f>
        <v/>
      </c>
      <c r="R576" s="6" t="n"/>
    </row>
    <row r="577">
      <c r="A577" s="8">
        <f>IF(B577="","","J-"&amp;TEXT(ROW()-4,"0000"))</f>
        <v/>
      </c>
      <c r="B577" s="26" t="n"/>
      <c r="C577" s="6" t="n"/>
      <c r="D577" s="6" t="n"/>
      <c r="E577" s="29" t="n"/>
      <c r="F577" s="6" t="n"/>
      <c r="G577" s="25" t="n"/>
      <c r="H577" s="27">
        <f>IF(C577="","",IF(G577&lt;&gt;"",G577,IFERROR(INDEX(Clients!$G$5:$G$304,MATCH(C577,Clients!$A$5:$A$304,0)),0)))</f>
        <v/>
      </c>
      <c r="I577" s="25" t="n"/>
      <c r="J577" s="27">
        <f>IF(C577="","",H577+N(I577))</f>
        <v/>
      </c>
      <c r="K577" s="6" t="n"/>
      <c r="L577" s="6" t="n"/>
      <c r="M577" s="25" t="n"/>
      <c r="N577" s="10" t="n"/>
      <c r="O577" s="27">
        <f>IF(C577="","",N(E577)*Settings!$B$8)</f>
        <v/>
      </c>
      <c r="P577" s="27">
        <f>IF(C577="","",N(N577)*Settings!$B$10)</f>
        <v/>
      </c>
      <c r="Q577" s="27">
        <f>IF(C577="","",J577-N(M577)-O577-P577)</f>
        <v/>
      </c>
      <c r="R577" s="6" t="n"/>
    </row>
    <row r="578">
      <c r="A578" s="17">
        <f>IF(B578="","","J-"&amp;TEXT(ROW()-4,"0000"))</f>
        <v/>
      </c>
      <c r="B578" s="26" t="n"/>
      <c r="C578" s="6" t="n"/>
      <c r="D578" s="6" t="n"/>
      <c r="E578" s="29" t="n"/>
      <c r="F578" s="6" t="n"/>
      <c r="G578" s="25" t="n"/>
      <c r="H578" s="30">
        <f>IF(C578="","",IF(G578&lt;&gt;"",G578,IFERROR(INDEX(Clients!$G$5:$G$304,MATCH(C578,Clients!$A$5:$A$304,0)),0)))</f>
        <v/>
      </c>
      <c r="I578" s="25" t="n"/>
      <c r="J578" s="30">
        <f>IF(C578="","",H578+N(I578))</f>
        <v/>
      </c>
      <c r="K578" s="6" t="n"/>
      <c r="L578" s="6" t="n"/>
      <c r="M578" s="25" t="n"/>
      <c r="N578" s="10" t="n"/>
      <c r="O578" s="30">
        <f>IF(C578="","",N(E578)*Settings!$B$8)</f>
        <v/>
      </c>
      <c r="P578" s="30">
        <f>IF(C578="","",N(N578)*Settings!$B$10)</f>
        <v/>
      </c>
      <c r="Q578" s="30">
        <f>IF(C578="","",J578-N(M578)-O578-P578)</f>
        <v/>
      </c>
      <c r="R578" s="6" t="n"/>
    </row>
    <row r="579">
      <c r="A579" s="8">
        <f>IF(B579="","","J-"&amp;TEXT(ROW()-4,"0000"))</f>
        <v/>
      </c>
      <c r="B579" s="26" t="n"/>
      <c r="C579" s="6" t="n"/>
      <c r="D579" s="6" t="n"/>
      <c r="E579" s="29" t="n"/>
      <c r="F579" s="6" t="n"/>
      <c r="G579" s="25" t="n"/>
      <c r="H579" s="27">
        <f>IF(C579="","",IF(G579&lt;&gt;"",G579,IFERROR(INDEX(Clients!$G$5:$G$304,MATCH(C579,Clients!$A$5:$A$304,0)),0)))</f>
        <v/>
      </c>
      <c r="I579" s="25" t="n"/>
      <c r="J579" s="27">
        <f>IF(C579="","",H579+N(I579))</f>
        <v/>
      </c>
      <c r="K579" s="6" t="n"/>
      <c r="L579" s="6" t="n"/>
      <c r="M579" s="25" t="n"/>
      <c r="N579" s="10" t="n"/>
      <c r="O579" s="27">
        <f>IF(C579="","",N(E579)*Settings!$B$8)</f>
        <v/>
      </c>
      <c r="P579" s="27">
        <f>IF(C579="","",N(N579)*Settings!$B$10)</f>
        <v/>
      </c>
      <c r="Q579" s="27">
        <f>IF(C579="","",J579-N(M579)-O579-P579)</f>
        <v/>
      </c>
      <c r="R579" s="6" t="n"/>
    </row>
    <row r="580">
      <c r="A580" s="17">
        <f>IF(B580="","","J-"&amp;TEXT(ROW()-4,"0000"))</f>
        <v/>
      </c>
      <c r="B580" s="26" t="n"/>
      <c r="C580" s="6" t="n"/>
      <c r="D580" s="6" t="n"/>
      <c r="E580" s="29" t="n"/>
      <c r="F580" s="6" t="n"/>
      <c r="G580" s="25" t="n"/>
      <c r="H580" s="30">
        <f>IF(C580="","",IF(G580&lt;&gt;"",G580,IFERROR(INDEX(Clients!$G$5:$G$304,MATCH(C580,Clients!$A$5:$A$304,0)),0)))</f>
        <v/>
      </c>
      <c r="I580" s="25" t="n"/>
      <c r="J580" s="30">
        <f>IF(C580="","",H580+N(I580))</f>
        <v/>
      </c>
      <c r="K580" s="6" t="n"/>
      <c r="L580" s="6" t="n"/>
      <c r="M580" s="25" t="n"/>
      <c r="N580" s="10" t="n"/>
      <c r="O580" s="30">
        <f>IF(C580="","",N(E580)*Settings!$B$8)</f>
        <v/>
      </c>
      <c r="P580" s="30">
        <f>IF(C580="","",N(N580)*Settings!$B$10)</f>
        <v/>
      </c>
      <c r="Q580" s="30">
        <f>IF(C580="","",J580-N(M580)-O580-P580)</f>
        <v/>
      </c>
      <c r="R580" s="6" t="n"/>
    </row>
    <row r="581">
      <c r="A581" s="8">
        <f>IF(B581="","","J-"&amp;TEXT(ROW()-4,"0000"))</f>
        <v/>
      </c>
      <c r="B581" s="26" t="n"/>
      <c r="C581" s="6" t="n"/>
      <c r="D581" s="6" t="n"/>
      <c r="E581" s="29" t="n"/>
      <c r="F581" s="6" t="n"/>
      <c r="G581" s="25" t="n"/>
      <c r="H581" s="27">
        <f>IF(C581="","",IF(G581&lt;&gt;"",G581,IFERROR(INDEX(Clients!$G$5:$G$304,MATCH(C581,Clients!$A$5:$A$304,0)),0)))</f>
        <v/>
      </c>
      <c r="I581" s="25" t="n"/>
      <c r="J581" s="27">
        <f>IF(C581="","",H581+N(I581))</f>
        <v/>
      </c>
      <c r="K581" s="6" t="n"/>
      <c r="L581" s="6" t="n"/>
      <c r="M581" s="25" t="n"/>
      <c r="N581" s="10" t="n"/>
      <c r="O581" s="27">
        <f>IF(C581="","",N(E581)*Settings!$B$8)</f>
        <v/>
      </c>
      <c r="P581" s="27">
        <f>IF(C581="","",N(N581)*Settings!$B$10)</f>
        <v/>
      </c>
      <c r="Q581" s="27">
        <f>IF(C581="","",J581-N(M581)-O581-P581)</f>
        <v/>
      </c>
      <c r="R581" s="6" t="n"/>
    </row>
    <row r="582">
      <c r="A582" s="17">
        <f>IF(B582="","","J-"&amp;TEXT(ROW()-4,"0000"))</f>
        <v/>
      </c>
      <c r="B582" s="26" t="n"/>
      <c r="C582" s="6" t="n"/>
      <c r="D582" s="6" t="n"/>
      <c r="E582" s="29" t="n"/>
      <c r="F582" s="6" t="n"/>
      <c r="G582" s="25" t="n"/>
      <c r="H582" s="30">
        <f>IF(C582="","",IF(G582&lt;&gt;"",G582,IFERROR(INDEX(Clients!$G$5:$G$304,MATCH(C582,Clients!$A$5:$A$304,0)),0)))</f>
        <v/>
      </c>
      <c r="I582" s="25" t="n"/>
      <c r="J582" s="30">
        <f>IF(C582="","",H582+N(I582))</f>
        <v/>
      </c>
      <c r="K582" s="6" t="n"/>
      <c r="L582" s="6" t="n"/>
      <c r="M582" s="25" t="n"/>
      <c r="N582" s="10" t="n"/>
      <c r="O582" s="30">
        <f>IF(C582="","",N(E582)*Settings!$B$8)</f>
        <v/>
      </c>
      <c r="P582" s="30">
        <f>IF(C582="","",N(N582)*Settings!$B$10)</f>
        <v/>
      </c>
      <c r="Q582" s="30">
        <f>IF(C582="","",J582-N(M582)-O582-P582)</f>
        <v/>
      </c>
      <c r="R582" s="6" t="n"/>
    </row>
    <row r="583">
      <c r="A583" s="8">
        <f>IF(B583="","","J-"&amp;TEXT(ROW()-4,"0000"))</f>
        <v/>
      </c>
      <c r="B583" s="26" t="n"/>
      <c r="C583" s="6" t="n"/>
      <c r="D583" s="6" t="n"/>
      <c r="E583" s="29" t="n"/>
      <c r="F583" s="6" t="n"/>
      <c r="G583" s="25" t="n"/>
      <c r="H583" s="27">
        <f>IF(C583="","",IF(G583&lt;&gt;"",G583,IFERROR(INDEX(Clients!$G$5:$G$304,MATCH(C583,Clients!$A$5:$A$304,0)),0)))</f>
        <v/>
      </c>
      <c r="I583" s="25" t="n"/>
      <c r="J583" s="27">
        <f>IF(C583="","",H583+N(I583))</f>
        <v/>
      </c>
      <c r="K583" s="6" t="n"/>
      <c r="L583" s="6" t="n"/>
      <c r="M583" s="25" t="n"/>
      <c r="N583" s="10" t="n"/>
      <c r="O583" s="27">
        <f>IF(C583="","",N(E583)*Settings!$B$8)</f>
        <v/>
      </c>
      <c r="P583" s="27">
        <f>IF(C583="","",N(N583)*Settings!$B$10)</f>
        <v/>
      </c>
      <c r="Q583" s="27">
        <f>IF(C583="","",J583-N(M583)-O583-P583)</f>
        <v/>
      </c>
      <c r="R583" s="6" t="n"/>
    </row>
    <row r="584">
      <c r="A584" s="17">
        <f>IF(B584="","","J-"&amp;TEXT(ROW()-4,"0000"))</f>
        <v/>
      </c>
      <c r="B584" s="26" t="n"/>
      <c r="C584" s="6" t="n"/>
      <c r="D584" s="6" t="n"/>
      <c r="E584" s="29" t="n"/>
      <c r="F584" s="6" t="n"/>
      <c r="G584" s="25" t="n"/>
      <c r="H584" s="30">
        <f>IF(C584="","",IF(G584&lt;&gt;"",G584,IFERROR(INDEX(Clients!$G$5:$G$304,MATCH(C584,Clients!$A$5:$A$304,0)),0)))</f>
        <v/>
      </c>
      <c r="I584" s="25" t="n"/>
      <c r="J584" s="30">
        <f>IF(C584="","",H584+N(I584))</f>
        <v/>
      </c>
      <c r="K584" s="6" t="n"/>
      <c r="L584" s="6" t="n"/>
      <c r="M584" s="25" t="n"/>
      <c r="N584" s="10" t="n"/>
      <c r="O584" s="30">
        <f>IF(C584="","",N(E584)*Settings!$B$8)</f>
        <v/>
      </c>
      <c r="P584" s="30">
        <f>IF(C584="","",N(N584)*Settings!$B$10)</f>
        <v/>
      </c>
      <c r="Q584" s="30">
        <f>IF(C584="","",J584-N(M584)-O584-P584)</f>
        <v/>
      </c>
      <c r="R584" s="6" t="n"/>
    </row>
    <row r="585">
      <c r="A585" s="8">
        <f>IF(B585="","","J-"&amp;TEXT(ROW()-4,"0000"))</f>
        <v/>
      </c>
      <c r="B585" s="26" t="n"/>
      <c r="C585" s="6" t="n"/>
      <c r="D585" s="6" t="n"/>
      <c r="E585" s="29" t="n"/>
      <c r="F585" s="6" t="n"/>
      <c r="G585" s="25" t="n"/>
      <c r="H585" s="27">
        <f>IF(C585="","",IF(G585&lt;&gt;"",G585,IFERROR(INDEX(Clients!$G$5:$G$304,MATCH(C585,Clients!$A$5:$A$304,0)),0)))</f>
        <v/>
      </c>
      <c r="I585" s="25" t="n"/>
      <c r="J585" s="27">
        <f>IF(C585="","",H585+N(I585))</f>
        <v/>
      </c>
      <c r="K585" s="6" t="n"/>
      <c r="L585" s="6" t="n"/>
      <c r="M585" s="25" t="n"/>
      <c r="N585" s="10" t="n"/>
      <c r="O585" s="27">
        <f>IF(C585="","",N(E585)*Settings!$B$8)</f>
        <v/>
      </c>
      <c r="P585" s="27">
        <f>IF(C585="","",N(N585)*Settings!$B$10)</f>
        <v/>
      </c>
      <c r="Q585" s="27">
        <f>IF(C585="","",J585-N(M585)-O585-P585)</f>
        <v/>
      </c>
      <c r="R585" s="6" t="n"/>
    </row>
    <row r="586">
      <c r="A586" s="17">
        <f>IF(B586="","","J-"&amp;TEXT(ROW()-4,"0000"))</f>
        <v/>
      </c>
      <c r="B586" s="26" t="n"/>
      <c r="C586" s="6" t="n"/>
      <c r="D586" s="6" t="n"/>
      <c r="E586" s="29" t="n"/>
      <c r="F586" s="6" t="n"/>
      <c r="G586" s="25" t="n"/>
      <c r="H586" s="30">
        <f>IF(C586="","",IF(G586&lt;&gt;"",G586,IFERROR(INDEX(Clients!$G$5:$G$304,MATCH(C586,Clients!$A$5:$A$304,0)),0)))</f>
        <v/>
      </c>
      <c r="I586" s="25" t="n"/>
      <c r="J586" s="30">
        <f>IF(C586="","",H586+N(I586))</f>
        <v/>
      </c>
      <c r="K586" s="6" t="n"/>
      <c r="L586" s="6" t="n"/>
      <c r="M586" s="25" t="n"/>
      <c r="N586" s="10" t="n"/>
      <c r="O586" s="30">
        <f>IF(C586="","",N(E586)*Settings!$B$8)</f>
        <v/>
      </c>
      <c r="P586" s="30">
        <f>IF(C586="","",N(N586)*Settings!$B$10)</f>
        <v/>
      </c>
      <c r="Q586" s="30">
        <f>IF(C586="","",J586-N(M586)-O586-P586)</f>
        <v/>
      </c>
      <c r="R586" s="6" t="n"/>
    </row>
    <row r="587">
      <c r="A587" s="8">
        <f>IF(B587="","","J-"&amp;TEXT(ROW()-4,"0000"))</f>
        <v/>
      </c>
      <c r="B587" s="26" t="n"/>
      <c r="C587" s="6" t="n"/>
      <c r="D587" s="6" t="n"/>
      <c r="E587" s="29" t="n"/>
      <c r="F587" s="6" t="n"/>
      <c r="G587" s="25" t="n"/>
      <c r="H587" s="27">
        <f>IF(C587="","",IF(G587&lt;&gt;"",G587,IFERROR(INDEX(Clients!$G$5:$G$304,MATCH(C587,Clients!$A$5:$A$304,0)),0)))</f>
        <v/>
      </c>
      <c r="I587" s="25" t="n"/>
      <c r="J587" s="27">
        <f>IF(C587="","",H587+N(I587))</f>
        <v/>
      </c>
      <c r="K587" s="6" t="n"/>
      <c r="L587" s="6" t="n"/>
      <c r="M587" s="25" t="n"/>
      <c r="N587" s="10" t="n"/>
      <c r="O587" s="27">
        <f>IF(C587="","",N(E587)*Settings!$B$8)</f>
        <v/>
      </c>
      <c r="P587" s="27">
        <f>IF(C587="","",N(N587)*Settings!$B$10)</f>
        <v/>
      </c>
      <c r="Q587" s="27">
        <f>IF(C587="","",J587-N(M587)-O587-P587)</f>
        <v/>
      </c>
      <c r="R587" s="6" t="n"/>
    </row>
    <row r="588">
      <c r="A588" s="17">
        <f>IF(B588="","","J-"&amp;TEXT(ROW()-4,"0000"))</f>
        <v/>
      </c>
      <c r="B588" s="26" t="n"/>
      <c r="C588" s="6" t="n"/>
      <c r="D588" s="6" t="n"/>
      <c r="E588" s="29" t="n"/>
      <c r="F588" s="6" t="n"/>
      <c r="G588" s="25" t="n"/>
      <c r="H588" s="30">
        <f>IF(C588="","",IF(G588&lt;&gt;"",G588,IFERROR(INDEX(Clients!$G$5:$G$304,MATCH(C588,Clients!$A$5:$A$304,0)),0)))</f>
        <v/>
      </c>
      <c r="I588" s="25" t="n"/>
      <c r="J588" s="30">
        <f>IF(C588="","",H588+N(I588))</f>
        <v/>
      </c>
      <c r="K588" s="6" t="n"/>
      <c r="L588" s="6" t="n"/>
      <c r="M588" s="25" t="n"/>
      <c r="N588" s="10" t="n"/>
      <c r="O588" s="30">
        <f>IF(C588="","",N(E588)*Settings!$B$8)</f>
        <v/>
      </c>
      <c r="P588" s="30">
        <f>IF(C588="","",N(N588)*Settings!$B$10)</f>
        <v/>
      </c>
      <c r="Q588" s="30">
        <f>IF(C588="","",J588-N(M588)-O588-P588)</f>
        <v/>
      </c>
      <c r="R588" s="6" t="n"/>
    </row>
    <row r="589">
      <c r="A589" s="8">
        <f>IF(B589="","","J-"&amp;TEXT(ROW()-4,"0000"))</f>
        <v/>
      </c>
      <c r="B589" s="26" t="n"/>
      <c r="C589" s="6" t="n"/>
      <c r="D589" s="6" t="n"/>
      <c r="E589" s="29" t="n"/>
      <c r="F589" s="6" t="n"/>
      <c r="G589" s="25" t="n"/>
      <c r="H589" s="27">
        <f>IF(C589="","",IF(G589&lt;&gt;"",G589,IFERROR(INDEX(Clients!$G$5:$G$304,MATCH(C589,Clients!$A$5:$A$304,0)),0)))</f>
        <v/>
      </c>
      <c r="I589" s="25" t="n"/>
      <c r="J589" s="27">
        <f>IF(C589="","",H589+N(I589))</f>
        <v/>
      </c>
      <c r="K589" s="6" t="n"/>
      <c r="L589" s="6" t="n"/>
      <c r="M589" s="25" t="n"/>
      <c r="N589" s="10" t="n"/>
      <c r="O589" s="27">
        <f>IF(C589="","",N(E589)*Settings!$B$8)</f>
        <v/>
      </c>
      <c r="P589" s="27">
        <f>IF(C589="","",N(N589)*Settings!$B$10)</f>
        <v/>
      </c>
      <c r="Q589" s="27">
        <f>IF(C589="","",J589-N(M589)-O589-P589)</f>
        <v/>
      </c>
      <c r="R589" s="6" t="n"/>
    </row>
    <row r="590">
      <c r="A590" s="17">
        <f>IF(B590="","","J-"&amp;TEXT(ROW()-4,"0000"))</f>
        <v/>
      </c>
      <c r="B590" s="26" t="n"/>
      <c r="C590" s="6" t="n"/>
      <c r="D590" s="6" t="n"/>
      <c r="E590" s="29" t="n"/>
      <c r="F590" s="6" t="n"/>
      <c r="G590" s="25" t="n"/>
      <c r="H590" s="30">
        <f>IF(C590="","",IF(G590&lt;&gt;"",G590,IFERROR(INDEX(Clients!$G$5:$G$304,MATCH(C590,Clients!$A$5:$A$304,0)),0)))</f>
        <v/>
      </c>
      <c r="I590" s="25" t="n"/>
      <c r="J590" s="30">
        <f>IF(C590="","",H590+N(I590))</f>
        <v/>
      </c>
      <c r="K590" s="6" t="n"/>
      <c r="L590" s="6" t="n"/>
      <c r="M590" s="25" t="n"/>
      <c r="N590" s="10" t="n"/>
      <c r="O590" s="30">
        <f>IF(C590="","",N(E590)*Settings!$B$8)</f>
        <v/>
      </c>
      <c r="P590" s="30">
        <f>IF(C590="","",N(N590)*Settings!$B$10)</f>
        <v/>
      </c>
      <c r="Q590" s="30">
        <f>IF(C590="","",J590-N(M590)-O590-P590)</f>
        <v/>
      </c>
      <c r="R590" s="6" t="n"/>
    </row>
    <row r="591">
      <c r="A591" s="8">
        <f>IF(B591="","","J-"&amp;TEXT(ROW()-4,"0000"))</f>
        <v/>
      </c>
      <c r="B591" s="26" t="n"/>
      <c r="C591" s="6" t="n"/>
      <c r="D591" s="6" t="n"/>
      <c r="E591" s="29" t="n"/>
      <c r="F591" s="6" t="n"/>
      <c r="G591" s="25" t="n"/>
      <c r="H591" s="27">
        <f>IF(C591="","",IF(G591&lt;&gt;"",G591,IFERROR(INDEX(Clients!$G$5:$G$304,MATCH(C591,Clients!$A$5:$A$304,0)),0)))</f>
        <v/>
      </c>
      <c r="I591" s="25" t="n"/>
      <c r="J591" s="27">
        <f>IF(C591="","",H591+N(I591))</f>
        <v/>
      </c>
      <c r="K591" s="6" t="n"/>
      <c r="L591" s="6" t="n"/>
      <c r="M591" s="25" t="n"/>
      <c r="N591" s="10" t="n"/>
      <c r="O591" s="27">
        <f>IF(C591="","",N(E591)*Settings!$B$8)</f>
        <v/>
      </c>
      <c r="P591" s="27">
        <f>IF(C591="","",N(N591)*Settings!$B$10)</f>
        <v/>
      </c>
      <c r="Q591" s="27">
        <f>IF(C591="","",J591-N(M591)-O591-P591)</f>
        <v/>
      </c>
      <c r="R591" s="6" t="n"/>
    </row>
    <row r="592">
      <c r="A592" s="17">
        <f>IF(B592="","","J-"&amp;TEXT(ROW()-4,"0000"))</f>
        <v/>
      </c>
      <c r="B592" s="26" t="n"/>
      <c r="C592" s="6" t="n"/>
      <c r="D592" s="6" t="n"/>
      <c r="E592" s="29" t="n"/>
      <c r="F592" s="6" t="n"/>
      <c r="G592" s="25" t="n"/>
      <c r="H592" s="30">
        <f>IF(C592="","",IF(G592&lt;&gt;"",G592,IFERROR(INDEX(Clients!$G$5:$G$304,MATCH(C592,Clients!$A$5:$A$304,0)),0)))</f>
        <v/>
      </c>
      <c r="I592" s="25" t="n"/>
      <c r="J592" s="30">
        <f>IF(C592="","",H592+N(I592))</f>
        <v/>
      </c>
      <c r="K592" s="6" t="n"/>
      <c r="L592" s="6" t="n"/>
      <c r="M592" s="25" t="n"/>
      <c r="N592" s="10" t="n"/>
      <c r="O592" s="30">
        <f>IF(C592="","",N(E592)*Settings!$B$8)</f>
        <v/>
      </c>
      <c r="P592" s="30">
        <f>IF(C592="","",N(N592)*Settings!$B$10)</f>
        <v/>
      </c>
      <c r="Q592" s="30">
        <f>IF(C592="","",J592-N(M592)-O592-P592)</f>
        <v/>
      </c>
      <c r="R592" s="6" t="n"/>
    </row>
    <row r="593">
      <c r="A593" s="8">
        <f>IF(B593="","","J-"&amp;TEXT(ROW()-4,"0000"))</f>
        <v/>
      </c>
      <c r="B593" s="26" t="n"/>
      <c r="C593" s="6" t="n"/>
      <c r="D593" s="6" t="n"/>
      <c r="E593" s="29" t="n"/>
      <c r="F593" s="6" t="n"/>
      <c r="G593" s="25" t="n"/>
      <c r="H593" s="27">
        <f>IF(C593="","",IF(G593&lt;&gt;"",G593,IFERROR(INDEX(Clients!$G$5:$G$304,MATCH(C593,Clients!$A$5:$A$304,0)),0)))</f>
        <v/>
      </c>
      <c r="I593" s="25" t="n"/>
      <c r="J593" s="27">
        <f>IF(C593="","",H593+N(I593))</f>
        <v/>
      </c>
      <c r="K593" s="6" t="n"/>
      <c r="L593" s="6" t="n"/>
      <c r="M593" s="25" t="n"/>
      <c r="N593" s="10" t="n"/>
      <c r="O593" s="27">
        <f>IF(C593="","",N(E593)*Settings!$B$8)</f>
        <v/>
      </c>
      <c r="P593" s="27">
        <f>IF(C593="","",N(N593)*Settings!$B$10)</f>
        <v/>
      </c>
      <c r="Q593" s="27">
        <f>IF(C593="","",J593-N(M593)-O593-P593)</f>
        <v/>
      </c>
      <c r="R593" s="6" t="n"/>
    </row>
    <row r="594">
      <c r="A594" s="17">
        <f>IF(B594="","","J-"&amp;TEXT(ROW()-4,"0000"))</f>
        <v/>
      </c>
      <c r="B594" s="26" t="n"/>
      <c r="C594" s="6" t="n"/>
      <c r="D594" s="6" t="n"/>
      <c r="E594" s="29" t="n"/>
      <c r="F594" s="6" t="n"/>
      <c r="G594" s="25" t="n"/>
      <c r="H594" s="30">
        <f>IF(C594="","",IF(G594&lt;&gt;"",G594,IFERROR(INDEX(Clients!$G$5:$G$304,MATCH(C594,Clients!$A$5:$A$304,0)),0)))</f>
        <v/>
      </c>
      <c r="I594" s="25" t="n"/>
      <c r="J594" s="30">
        <f>IF(C594="","",H594+N(I594))</f>
        <v/>
      </c>
      <c r="K594" s="6" t="n"/>
      <c r="L594" s="6" t="n"/>
      <c r="M594" s="25" t="n"/>
      <c r="N594" s="10" t="n"/>
      <c r="O594" s="30">
        <f>IF(C594="","",N(E594)*Settings!$B$8)</f>
        <v/>
      </c>
      <c r="P594" s="30">
        <f>IF(C594="","",N(N594)*Settings!$B$10)</f>
        <v/>
      </c>
      <c r="Q594" s="30">
        <f>IF(C594="","",J594-N(M594)-O594-P594)</f>
        <v/>
      </c>
      <c r="R594" s="6" t="n"/>
    </row>
    <row r="595">
      <c r="A595" s="8">
        <f>IF(B595="","","J-"&amp;TEXT(ROW()-4,"0000"))</f>
        <v/>
      </c>
      <c r="B595" s="26" t="n"/>
      <c r="C595" s="6" t="n"/>
      <c r="D595" s="6" t="n"/>
      <c r="E595" s="29" t="n"/>
      <c r="F595" s="6" t="n"/>
      <c r="G595" s="25" t="n"/>
      <c r="H595" s="27">
        <f>IF(C595="","",IF(G595&lt;&gt;"",G595,IFERROR(INDEX(Clients!$G$5:$G$304,MATCH(C595,Clients!$A$5:$A$304,0)),0)))</f>
        <v/>
      </c>
      <c r="I595" s="25" t="n"/>
      <c r="J595" s="27">
        <f>IF(C595="","",H595+N(I595))</f>
        <v/>
      </c>
      <c r="K595" s="6" t="n"/>
      <c r="L595" s="6" t="n"/>
      <c r="M595" s="25" t="n"/>
      <c r="N595" s="10" t="n"/>
      <c r="O595" s="27">
        <f>IF(C595="","",N(E595)*Settings!$B$8)</f>
        <v/>
      </c>
      <c r="P595" s="27">
        <f>IF(C595="","",N(N595)*Settings!$B$10)</f>
        <v/>
      </c>
      <c r="Q595" s="27">
        <f>IF(C595="","",J595-N(M595)-O595-P595)</f>
        <v/>
      </c>
      <c r="R595" s="6" t="n"/>
    </row>
    <row r="596">
      <c r="A596" s="17">
        <f>IF(B596="","","J-"&amp;TEXT(ROW()-4,"0000"))</f>
        <v/>
      </c>
      <c r="B596" s="26" t="n"/>
      <c r="C596" s="6" t="n"/>
      <c r="D596" s="6" t="n"/>
      <c r="E596" s="29" t="n"/>
      <c r="F596" s="6" t="n"/>
      <c r="G596" s="25" t="n"/>
      <c r="H596" s="30">
        <f>IF(C596="","",IF(G596&lt;&gt;"",G596,IFERROR(INDEX(Clients!$G$5:$G$304,MATCH(C596,Clients!$A$5:$A$304,0)),0)))</f>
        <v/>
      </c>
      <c r="I596" s="25" t="n"/>
      <c r="J596" s="30">
        <f>IF(C596="","",H596+N(I596))</f>
        <v/>
      </c>
      <c r="K596" s="6" t="n"/>
      <c r="L596" s="6" t="n"/>
      <c r="M596" s="25" t="n"/>
      <c r="N596" s="10" t="n"/>
      <c r="O596" s="30">
        <f>IF(C596="","",N(E596)*Settings!$B$8)</f>
        <v/>
      </c>
      <c r="P596" s="30">
        <f>IF(C596="","",N(N596)*Settings!$B$10)</f>
        <v/>
      </c>
      <c r="Q596" s="30">
        <f>IF(C596="","",J596-N(M596)-O596-P596)</f>
        <v/>
      </c>
      <c r="R596" s="6" t="n"/>
    </row>
    <row r="597">
      <c r="A597" s="8">
        <f>IF(B597="","","J-"&amp;TEXT(ROW()-4,"0000"))</f>
        <v/>
      </c>
      <c r="B597" s="26" t="n"/>
      <c r="C597" s="6" t="n"/>
      <c r="D597" s="6" t="n"/>
      <c r="E597" s="29" t="n"/>
      <c r="F597" s="6" t="n"/>
      <c r="G597" s="25" t="n"/>
      <c r="H597" s="27">
        <f>IF(C597="","",IF(G597&lt;&gt;"",G597,IFERROR(INDEX(Clients!$G$5:$G$304,MATCH(C597,Clients!$A$5:$A$304,0)),0)))</f>
        <v/>
      </c>
      <c r="I597" s="25" t="n"/>
      <c r="J597" s="27">
        <f>IF(C597="","",H597+N(I597))</f>
        <v/>
      </c>
      <c r="K597" s="6" t="n"/>
      <c r="L597" s="6" t="n"/>
      <c r="M597" s="25" t="n"/>
      <c r="N597" s="10" t="n"/>
      <c r="O597" s="27">
        <f>IF(C597="","",N(E597)*Settings!$B$8)</f>
        <v/>
      </c>
      <c r="P597" s="27">
        <f>IF(C597="","",N(N597)*Settings!$B$10)</f>
        <v/>
      </c>
      <c r="Q597" s="27">
        <f>IF(C597="","",J597-N(M597)-O597-P597)</f>
        <v/>
      </c>
      <c r="R597" s="6" t="n"/>
    </row>
    <row r="598">
      <c r="A598" s="17">
        <f>IF(B598="","","J-"&amp;TEXT(ROW()-4,"0000"))</f>
        <v/>
      </c>
      <c r="B598" s="26" t="n"/>
      <c r="C598" s="6" t="n"/>
      <c r="D598" s="6" t="n"/>
      <c r="E598" s="29" t="n"/>
      <c r="F598" s="6" t="n"/>
      <c r="G598" s="25" t="n"/>
      <c r="H598" s="30">
        <f>IF(C598="","",IF(G598&lt;&gt;"",G598,IFERROR(INDEX(Clients!$G$5:$G$304,MATCH(C598,Clients!$A$5:$A$304,0)),0)))</f>
        <v/>
      </c>
      <c r="I598" s="25" t="n"/>
      <c r="J598" s="30">
        <f>IF(C598="","",H598+N(I598))</f>
        <v/>
      </c>
      <c r="K598" s="6" t="n"/>
      <c r="L598" s="6" t="n"/>
      <c r="M598" s="25" t="n"/>
      <c r="N598" s="10" t="n"/>
      <c r="O598" s="30">
        <f>IF(C598="","",N(E598)*Settings!$B$8)</f>
        <v/>
      </c>
      <c r="P598" s="30">
        <f>IF(C598="","",N(N598)*Settings!$B$10)</f>
        <v/>
      </c>
      <c r="Q598" s="30">
        <f>IF(C598="","",J598-N(M598)-O598-P598)</f>
        <v/>
      </c>
      <c r="R598" s="6" t="n"/>
    </row>
    <row r="599">
      <c r="A599" s="8">
        <f>IF(B599="","","J-"&amp;TEXT(ROW()-4,"0000"))</f>
        <v/>
      </c>
      <c r="B599" s="26" t="n"/>
      <c r="C599" s="6" t="n"/>
      <c r="D599" s="6" t="n"/>
      <c r="E599" s="29" t="n"/>
      <c r="F599" s="6" t="n"/>
      <c r="G599" s="25" t="n"/>
      <c r="H599" s="27">
        <f>IF(C599="","",IF(G599&lt;&gt;"",G599,IFERROR(INDEX(Clients!$G$5:$G$304,MATCH(C599,Clients!$A$5:$A$304,0)),0)))</f>
        <v/>
      </c>
      <c r="I599" s="25" t="n"/>
      <c r="J599" s="27">
        <f>IF(C599="","",H599+N(I599))</f>
        <v/>
      </c>
      <c r="K599" s="6" t="n"/>
      <c r="L599" s="6" t="n"/>
      <c r="M599" s="25" t="n"/>
      <c r="N599" s="10" t="n"/>
      <c r="O599" s="27">
        <f>IF(C599="","",N(E599)*Settings!$B$8)</f>
        <v/>
      </c>
      <c r="P599" s="27">
        <f>IF(C599="","",N(N599)*Settings!$B$10)</f>
        <v/>
      </c>
      <c r="Q599" s="27">
        <f>IF(C599="","",J599-N(M599)-O599-P599)</f>
        <v/>
      </c>
      <c r="R599" s="6" t="n"/>
    </row>
    <row r="600">
      <c r="A600" s="17">
        <f>IF(B600="","","J-"&amp;TEXT(ROW()-4,"0000"))</f>
        <v/>
      </c>
      <c r="B600" s="26" t="n"/>
      <c r="C600" s="6" t="n"/>
      <c r="D600" s="6" t="n"/>
      <c r="E600" s="29" t="n"/>
      <c r="F600" s="6" t="n"/>
      <c r="G600" s="25" t="n"/>
      <c r="H600" s="30">
        <f>IF(C600="","",IF(G600&lt;&gt;"",G600,IFERROR(INDEX(Clients!$G$5:$G$304,MATCH(C600,Clients!$A$5:$A$304,0)),0)))</f>
        <v/>
      </c>
      <c r="I600" s="25" t="n"/>
      <c r="J600" s="30">
        <f>IF(C600="","",H600+N(I600))</f>
        <v/>
      </c>
      <c r="K600" s="6" t="n"/>
      <c r="L600" s="6" t="n"/>
      <c r="M600" s="25" t="n"/>
      <c r="N600" s="10" t="n"/>
      <c r="O600" s="30">
        <f>IF(C600="","",N(E600)*Settings!$B$8)</f>
        <v/>
      </c>
      <c r="P600" s="30">
        <f>IF(C600="","",N(N600)*Settings!$B$10)</f>
        <v/>
      </c>
      <c r="Q600" s="30">
        <f>IF(C600="","",J600-N(M600)-O600-P600)</f>
        <v/>
      </c>
      <c r="R600" s="6" t="n"/>
    </row>
    <row r="601">
      <c r="A601" s="8">
        <f>IF(B601="","","J-"&amp;TEXT(ROW()-4,"0000"))</f>
        <v/>
      </c>
      <c r="B601" s="26" t="n"/>
      <c r="C601" s="6" t="n"/>
      <c r="D601" s="6" t="n"/>
      <c r="E601" s="29" t="n"/>
      <c r="F601" s="6" t="n"/>
      <c r="G601" s="25" t="n"/>
      <c r="H601" s="27">
        <f>IF(C601="","",IF(G601&lt;&gt;"",G601,IFERROR(INDEX(Clients!$G$5:$G$304,MATCH(C601,Clients!$A$5:$A$304,0)),0)))</f>
        <v/>
      </c>
      <c r="I601" s="25" t="n"/>
      <c r="J601" s="27">
        <f>IF(C601="","",H601+N(I601))</f>
        <v/>
      </c>
      <c r="K601" s="6" t="n"/>
      <c r="L601" s="6" t="n"/>
      <c r="M601" s="25" t="n"/>
      <c r="N601" s="10" t="n"/>
      <c r="O601" s="27">
        <f>IF(C601="","",N(E601)*Settings!$B$8)</f>
        <v/>
      </c>
      <c r="P601" s="27">
        <f>IF(C601="","",N(N601)*Settings!$B$10)</f>
        <v/>
      </c>
      <c r="Q601" s="27">
        <f>IF(C601="","",J601-N(M601)-O601-P601)</f>
        <v/>
      </c>
      <c r="R601" s="6" t="n"/>
    </row>
    <row r="602">
      <c r="A602" s="17">
        <f>IF(B602="","","J-"&amp;TEXT(ROW()-4,"0000"))</f>
        <v/>
      </c>
      <c r="B602" s="26" t="n"/>
      <c r="C602" s="6" t="n"/>
      <c r="D602" s="6" t="n"/>
      <c r="E602" s="29" t="n"/>
      <c r="F602" s="6" t="n"/>
      <c r="G602" s="25" t="n"/>
      <c r="H602" s="30">
        <f>IF(C602="","",IF(G602&lt;&gt;"",G602,IFERROR(INDEX(Clients!$G$5:$G$304,MATCH(C602,Clients!$A$5:$A$304,0)),0)))</f>
        <v/>
      </c>
      <c r="I602" s="25" t="n"/>
      <c r="J602" s="30">
        <f>IF(C602="","",H602+N(I602))</f>
        <v/>
      </c>
      <c r="K602" s="6" t="n"/>
      <c r="L602" s="6" t="n"/>
      <c r="M602" s="25" t="n"/>
      <c r="N602" s="10" t="n"/>
      <c r="O602" s="30">
        <f>IF(C602="","",N(E602)*Settings!$B$8)</f>
        <v/>
      </c>
      <c r="P602" s="30">
        <f>IF(C602="","",N(N602)*Settings!$B$10)</f>
        <v/>
      </c>
      <c r="Q602" s="30">
        <f>IF(C602="","",J602-N(M602)-O602-P602)</f>
        <v/>
      </c>
      <c r="R602" s="6" t="n"/>
    </row>
    <row r="603">
      <c r="A603" s="8">
        <f>IF(B603="","","J-"&amp;TEXT(ROW()-4,"0000"))</f>
        <v/>
      </c>
      <c r="B603" s="26" t="n"/>
      <c r="C603" s="6" t="n"/>
      <c r="D603" s="6" t="n"/>
      <c r="E603" s="29" t="n"/>
      <c r="F603" s="6" t="n"/>
      <c r="G603" s="25" t="n"/>
      <c r="H603" s="27">
        <f>IF(C603="","",IF(G603&lt;&gt;"",G603,IFERROR(INDEX(Clients!$G$5:$G$304,MATCH(C603,Clients!$A$5:$A$304,0)),0)))</f>
        <v/>
      </c>
      <c r="I603" s="25" t="n"/>
      <c r="J603" s="27">
        <f>IF(C603="","",H603+N(I603))</f>
        <v/>
      </c>
      <c r="K603" s="6" t="n"/>
      <c r="L603" s="6" t="n"/>
      <c r="M603" s="25" t="n"/>
      <c r="N603" s="10" t="n"/>
      <c r="O603" s="27">
        <f>IF(C603="","",N(E603)*Settings!$B$8)</f>
        <v/>
      </c>
      <c r="P603" s="27">
        <f>IF(C603="","",N(N603)*Settings!$B$10)</f>
        <v/>
      </c>
      <c r="Q603" s="27">
        <f>IF(C603="","",J603-N(M603)-O603-P603)</f>
        <v/>
      </c>
      <c r="R603" s="6" t="n"/>
    </row>
    <row r="604">
      <c r="A604" s="17">
        <f>IF(B604="","","J-"&amp;TEXT(ROW()-4,"0000"))</f>
        <v/>
      </c>
      <c r="B604" s="26" t="n"/>
      <c r="C604" s="6" t="n"/>
      <c r="D604" s="6" t="n"/>
      <c r="E604" s="29" t="n"/>
      <c r="F604" s="6" t="n"/>
      <c r="G604" s="25" t="n"/>
      <c r="H604" s="30">
        <f>IF(C604="","",IF(G604&lt;&gt;"",G604,IFERROR(INDEX(Clients!$G$5:$G$304,MATCH(C604,Clients!$A$5:$A$304,0)),0)))</f>
        <v/>
      </c>
      <c r="I604" s="25" t="n"/>
      <c r="J604" s="30">
        <f>IF(C604="","",H604+N(I604))</f>
        <v/>
      </c>
      <c r="K604" s="6" t="n"/>
      <c r="L604" s="6" t="n"/>
      <c r="M604" s="25" t="n"/>
      <c r="N604" s="10" t="n"/>
      <c r="O604" s="30">
        <f>IF(C604="","",N(E604)*Settings!$B$8)</f>
        <v/>
      </c>
      <c r="P604" s="30">
        <f>IF(C604="","",N(N604)*Settings!$B$10)</f>
        <v/>
      </c>
      <c r="Q604" s="30">
        <f>IF(C604="","",J604-N(M604)-O604-P604)</f>
        <v/>
      </c>
      <c r="R604" s="6" t="n"/>
    </row>
    <row r="605">
      <c r="A605" s="8">
        <f>IF(B605="","","J-"&amp;TEXT(ROW()-4,"0000"))</f>
        <v/>
      </c>
      <c r="B605" s="26" t="n"/>
      <c r="C605" s="6" t="n"/>
      <c r="D605" s="6" t="n"/>
      <c r="E605" s="29" t="n"/>
      <c r="F605" s="6" t="n"/>
      <c r="G605" s="25" t="n"/>
      <c r="H605" s="27">
        <f>IF(C605="","",IF(G605&lt;&gt;"",G605,IFERROR(INDEX(Clients!$G$5:$G$304,MATCH(C605,Clients!$A$5:$A$304,0)),0)))</f>
        <v/>
      </c>
      <c r="I605" s="25" t="n"/>
      <c r="J605" s="27">
        <f>IF(C605="","",H605+N(I605))</f>
        <v/>
      </c>
      <c r="K605" s="6" t="n"/>
      <c r="L605" s="6" t="n"/>
      <c r="M605" s="25" t="n"/>
      <c r="N605" s="10" t="n"/>
      <c r="O605" s="27">
        <f>IF(C605="","",N(E605)*Settings!$B$8)</f>
        <v/>
      </c>
      <c r="P605" s="27">
        <f>IF(C605="","",N(N605)*Settings!$B$10)</f>
        <v/>
      </c>
      <c r="Q605" s="27">
        <f>IF(C605="","",J605-N(M605)-O605-P605)</f>
        <v/>
      </c>
      <c r="R605" s="6" t="n"/>
    </row>
    <row r="606">
      <c r="A606" s="17">
        <f>IF(B606="","","J-"&amp;TEXT(ROW()-4,"0000"))</f>
        <v/>
      </c>
      <c r="B606" s="26" t="n"/>
      <c r="C606" s="6" t="n"/>
      <c r="D606" s="6" t="n"/>
      <c r="E606" s="29" t="n"/>
      <c r="F606" s="6" t="n"/>
      <c r="G606" s="25" t="n"/>
      <c r="H606" s="30">
        <f>IF(C606="","",IF(G606&lt;&gt;"",G606,IFERROR(INDEX(Clients!$G$5:$G$304,MATCH(C606,Clients!$A$5:$A$304,0)),0)))</f>
        <v/>
      </c>
      <c r="I606" s="25" t="n"/>
      <c r="J606" s="30">
        <f>IF(C606="","",H606+N(I606))</f>
        <v/>
      </c>
      <c r="K606" s="6" t="n"/>
      <c r="L606" s="6" t="n"/>
      <c r="M606" s="25" t="n"/>
      <c r="N606" s="10" t="n"/>
      <c r="O606" s="30">
        <f>IF(C606="","",N(E606)*Settings!$B$8)</f>
        <v/>
      </c>
      <c r="P606" s="30">
        <f>IF(C606="","",N(N606)*Settings!$B$10)</f>
        <v/>
      </c>
      <c r="Q606" s="30">
        <f>IF(C606="","",J606-N(M606)-O606-P606)</f>
        <v/>
      </c>
      <c r="R606" s="6" t="n"/>
    </row>
    <row r="607">
      <c r="A607" s="8">
        <f>IF(B607="","","J-"&amp;TEXT(ROW()-4,"0000"))</f>
        <v/>
      </c>
      <c r="B607" s="26" t="n"/>
      <c r="C607" s="6" t="n"/>
      <c r="D607" s="6" t="n"/>
      <c r="E607" s="29" t="n"/>
      <c r="F607" s="6" t="n"/>
      <c r="G607" s="25" t="n"/>
      <c r="H607" s="27">
        <f>IF(C607="","",IF(G607&lt;&gt;"",G607,IFERROR(INDEX(Clients!$G$5:$G$304,MATCH(C607,Clients!$A$5:$A$304,0)),0)))</f>
        <v/>
      </c>
      <c r="I607" s="25" t="n"/>
      <c r="J607" s="27">
        <f>IF(C607="","",H607+N(I607))</f>
        <v/>
      </c>
      <c r="K607" s="6" t="n"/>
      <c r="L607" s="6" t="n"/>
      <c r="M607" s="25" t="n"/>
      <c r="N607" s="10" t="n"/>
      <c r="O607" s="27">
        <f>IF(C607="","",N(E607)*Settings!$B$8)</f>
        <v/>
      </c>
      <c r="P607" s="27">
        <f>IF(C607="","",N(N607)*Settings!$B$10)</f>
        <v/>
      </c>
      <c r="Q607" s="27">
        <f>IF(C607="","",J607-N(M607)-O607-P607)</f>
        <v/>
      </c>
      <c r="R607" s="6" t="n"/>
    </row>
    <row r="608">
      <c r="A608" s="17">
        <f>IF(B608="","","J-"&amp;TEXT(ROW()-4,"0000"))</f>
        <v/>
      </c>
      <c r="B608" s="26" t="n"/>
      <c r="C608" s="6" t="n"/>
      <c r="D608" s="6" t="n"/>
      <c r="E608" s="29" t="n"/>
      <c r="F608" s="6" t="n"/>
      <c r="G608" s="25" t="n"/>
      <c r="H608" s="30">
        <f>IF(C608="","",IF(G608&lt;&gt;"",G608,IFERROR(INDEX(Clients!$G$5:$G$304,MATCH(C608,Clients!$A$5:$A$304,0)),0)))</f>
        <v/>
      </c>
      <c r="I608" s="25" t="n"/>
      <c r="J608" s="30">
        <f>IF(C608="","",H608+N(I608))</f>
        <v/>
      </c>
      <c r="K608" s="6" t="n"/>
      <c r="L608" s="6" t="n"/>
      <c r="M608" s="25" t="n"/>
      <c r="N608" s="10" t="n"/>
      <c r="O608" s="30">
        <f>IF(C608="","",N(E608)*Settings!$B$8)</f>
        <v/>
      </c>
      <c r="P608" s="30">
        <f>IF(C608="","",N(N608)*Settings!$B$10)</f>
        <v/>
      </c>
      <c r="Q608" s="30">
        <f>IF(C608="","",J608-N(M608)-O608-P608)</f>
        <v/>
      </c>
      <c r="R608" s="6" t="n"/>
    </row>
    <row r="609">
      <c r="A609" s="8">
        <f>IF(B609="","","J-"&amp;TEXT(ROW()-4,"0000"))</f>
        <v/>
      </c>
      <c r="B609" s="26" t="n"/>
      <c r="C609" s="6" t="n"/>
      <c r="D609" s="6" t="n"/>
      <c r="E609" s="29" t="n"/>
      <c r="F609" s="6" t="n"/>
      <c r="G609" s="25" t="n"/>
      <c r="H609" s="27">
        <f>IF(C609="","",IF(G609&lt;&gt;"",G609,IFERROR(INDEX(Clients!$G$5:$G$304,MATCH(C609,Clients!$A$5:$A$304,0)),0)))</f>
        <v/>
      </c>
      <c r="I609" s="25" t="n"/>
      <c r="J609" s="27">
        <f>IF(C609="","",H609+N(I609))</f>
        <v/>
      </c>
      <c r="K609" s="6" t="n"/>
      <c r="L609" s="6" t="n"/>
      <c r="M609" s="25" t="n"/>
      <c r="N609" s="10" t="n"/>
      <c r="O609" s="27">
        <f>IF(C609="","",N(E609)*Settings!$B$8)</f>
        <v/>
      </c>
      <c r="P609" s="27">
        <f>IF(C609="","",N(N609)*Settings!$B$10)</f>
        <v/>
      </c>
      <c r="Q609" s="27">
        <f>IF(C609="","",J609-N(M609)-O609-P609)</f>
        <v/>
      </c>
      <c r="R609" s="6" t="n"/>
    </row>
    <row r="610">
      <c r="A610" s="17">
        <f>IF(B610="","","J-"&amp;TEXT(ROW()-4,"0000"))</f>
        <v/>
      </c>
      <c r="B610" s="26" t="n"/>
      <c r="C610" s="6" t="n"/>
      <c r="D610" s="6" t="n"/>
      <c r="E610" s="29" t="n"/>
      <c r="F610" s="6" t="n"/>
      <c r="G610" s="25" t="n"/>
      <c r="H610" s="30">
        <f>IF(C610="","",IF(G610&lt;&gt;"",G610,IFERROR(INDEX(Clients!$G$5:$G$304,MATCH(C610,Clients!$A$5:$A$304,0)),0)))</f>
        <v/>
      </c>
      <c r="I610" s="25" t="n"/>
      <c r="J610" s="30">
        <f>IF(C610="","",H610+N(I610))</f>
        <v/>
      </c>
      <c r="K610" s="6" t="n"/>
      <c r="L610" s="6" t="n"/>
      <c r="M610" s="25" t="n"/>
      <c r="N610" s="10" t="n"/>
      <c r="O610" s="30">
        <f>IF(C610="","",N(E610)*Settings!$B$8)</f>
        <v/>
      </c>
      <c r="P610" s="30">
        <f>IF(C610="","",N(N610)*Settings!$B$10)</f>
        <v/>
      </c>
      <c r="Q610" s="30">
        <f>IF(C610="","",J610-N(M610)-O610-P610)</f>
        <v/>
      </c>
      <c r="R610" s="6" t="n"/>
    </row>
    <row r="611">
      <c r="A611" s="8">
        <f>IF(B611="","","J-"&amp;TEXT(ROW()-4,"0000"))</f>
        <v/>
      </c>
      <c r="B611" s="26" t="n"/>
      <c r="C611" s="6" t="n"/>
      <c r="D611" s="6" t="n"/>
      <c r="E611" s="29" t="n"/>
      <c r="F611" s="6" t="n"/>
      <c r="G611" s="25" t="n"/>
      <c r="H611" s="27">
        <f>IF(C611="","",IF(G611&lt;&gt;"",G611,IFERROR(INDEX(Clients!$G$5:$G$304,MATCH(C611,Clients!$A$5:$A$304,0)),0)))</f>
        <v/>
      </c>
      <c r="I611" s="25" t="n"/>
      <c r="J611" s="27">
        <f>IF(C611="","",H611+N(I611))</f>
        <v/>
      </c>
      <c r="K611" s="6" t="n"/>
      <c r="L611" s="6" t="n"/>
      <c r="M611" s="25" t="n"/>
      <c r="N611" s="10" t="n"/>
      <c r="O611" s="27">
        <f>IF(C611="","",N(E611)*Settings!$B$8)</f>
        <v/>
      </c>
      <c r="P611" s="27">
        <f>IF(C611="","",N(N611)*Settings!$B$10)</f>
        <v/>
      </c>
      <c r="Q611" s="27">
        <f>IF(C611="","",J611-N(M611)-O611-P611)</f>
        <v/>
      </c>
      <c r="R611" s="6" t="n"/>
    </row>
    <row r="612">
      <c r="A612" s="17">
        <f>IF(B612="","","J-"&amp;TEXT(ROW()-4,"0000"))</f>
        <v/>
      </c>
      <c r="B612" s="26" t="n"/>
      <c r="C612" s="6" t="n"/>
      <c r="D612" s="6" t="n"/>
      <c r="E612" s="29" t="n"/>
      <c r="F612" s="6" t="n"/>
      <c r="G612" s="25" t="n"/>
      <c r="H612" s="30">
        <f>IF(C612="","",IF(G612&lt;&gt;"",G612,IFERROR(INDEX(Clients!$G$5:$G$304,MATCH(C612,Clients!$A$5:$A$304,0)),0)))</f>
        <v/>
      </c>
      <c r="I612" s="25" t="n"/>
      <c r="J612" s="30">
        <f>IF(C612="","",H612+N(I612))</f>
        <v/>
      </c>
      <c r="K612" s="6" t="n"/>
      <c r="L612" s="6" t="n"/>
      <c r="M612" s="25" t="n"/>
      <c r="N612" s="10" t="n"/>
      <c r="O612" s="30">
        <f>IF(C612="","",N(E612)*Settings!$B$8)</f>
        <v/>
      </c>
      <c r="P612" s="30">
        <f>IF(C612="","",N(N612)*Settings!$B$10)</f>
        <v/>
      </c>
      <c r="Q612" s="30">
        <f>IF(C612="","",J612-N(M612)-O612-P612)</f>
        <v/>
      </c>
      <c r="R612" s="6" t="n"/>
    </row>
    <row r="613">
      <c r="A613" s="8">
        <f>IF(B613="","","J-"&amp;TEXT(ROW()-4,"0000"))</f>
        <v/>
      </c>
      <c r="B613" s="26" t="n"/>
      <c r="C613" s="6" t="n"/>
      <c r="D613" s="6" t="n"/>
      <c r="E613" s="29" t="n"/>
      <c r="F613" s="6" t="n"/>
      <c r="G613" s="25" t="n"/>
      <c r="H613" s="27">
        <f>IF(C613="","",IF(G613&lt;&gt;"",G613,IFERROR(INDEX(Clients!$G$5:$G$304,MATCH(C613,Clients!$A$5:$A$304,0)),0)))</f>
        <v/>
      </c>
      <c r="I613" s="25" t="n"/>
      <c r="J613" s="27">
        <f>IF(C613="","",H613+N(I613))</f>
        <v/>
      </c>
      <c r="K613" s="6" t="n"/>
      <c r="L613" s="6" t="n"/>
      <c r="M613" s="25" t="n"/>
      <c r="N613" s="10" t="n"/>
      <c r="O613" s="27">
        <f>IF(C613="","",N(E613)*Settings!$B$8)</f>
        <v/>
      </c>
      <c r="P613" s="27">
        <f>IF(C613="","",N(N613)*Settings!$B$10)</f>
        <v/>
      </c>
      <c r="Q613" s="27">
        <f>IF(C613="","",J613-N(M613)-O613-P613)</f>
        <v/>
      </c>
      <c r="R613" s="6" t="n"/>
    </row>
    <row r="614">
      <c r="A614" s="17">
        <f>IF(B614="","","J-"&amp;TEXT(ROW()-4,"0000"))</f>
        <v/>
      </c>
      <c r="B614" s="26" t="n"/>
      <c r="C614" s="6" t="n"/>
      <c r="D614" s="6" t="n"/>
      <c r="E614" s="29" t="n"/>
      <c r="F614" s="6" t="n"/>
      <c r="G614" s="25" t="n"/>
      <c r="H614" s="30">
        <f>IF(C614="","",IF(G614&lt;&gt;"",G614,IFERROR(INDEX(Clients!$G$5:$G$304,MATCH(C614,Clients!$A$5:$A$304,0)),0)))</f>
        <v/>
      </c>
      <c r="I614" s="25" t="n"/>
      <c r="J614" s="30">
        <f>IF(C614="","",H614+N(I614))</f>
        <v/>
      </c>
      <c r="K614" s="6" t="n"/>
      <c r="L614" s="6" t="n"/>
      <c r="M614" s="25" t="n"/>
      <c r="N614" s="10" t="n"/>
      <c r="O614" s="30">
        <f>IF(C614="","",N(E614)*Settings!$B$8)</f>
        <v/>
      </c>
      <c r="P614" s="30">
        <f>IF(C614="","",N(N614)*Settings!$B$10)</f>
        <v/>
      </c>
      <c r="Q614" s="30">
        <f>IF(C614="","",J614-N(M614)-O614-P614)</f>
        <v/>
      </c>
      <c r="R614" s="6" t="n"/>
    </row>
    <row r="615">
      <c r="A615" s="8">
        <f>IF(B615="","","J-"&amp;TEXT(ROW()-4,"0000"))</f>
        <v/>
      </c>
      <c r="B615" s="26" t="n"/>
      <c r="C615" s="6" t="n"/>
      <c r="D615" s="6" t="n"/>
      <c r="E615" s="29" t="n"/>
      <c r="F615" s="6" t="n"/>
      <c r="G615" s="25" t="n"/>
      <c r="H615" s="27">
        <f>IF(C615="","",IF(G615&lt;&gt;"",G615,IFERROR(INDEX(Clients!$G$5:$G$304,MATCH(C615,Clients!$A$5:$A$304,0)),0)))</f>
        <v/>
      </c>
      <c r="I615" s="25" t="n"/>
      <c r="J615" s="27">
        <f>IF(C615="","",H615+N(I615))</f>
        <v/>
      </c>
      <c r="K615" s="6" t="n"/>
      <c r="L615" s="6" t="n"/>
      <c r="M615" s="25" t="n"/>
      <c r="N615" s="10" t="n"/>
      <c r="O615" s="27">
        <f>IF(C615="","",N(E615)*Settings!$B$8)</f>
        <v/>
      </c>
      <c r="P615" s="27">
        <f>IF(C615="","",N(N615)*Settings!$B$10)</f>
        <v/>
      </c>
      <c r="Q615" s="27">
        <f>IF(C615="","",J615-N(M615)-O615-P615)</f>
        <v/>
      </c>
      <c r="R615" s="6" t="n"/>
    </row>
    <row r="616">
      <c r="A616" s="17">
        <f>IF(B616="","","J-"&amp;TEXT(ROW()-4,"0000"))</f>
        <v/>
      </c>
      <c r="B616" s="26" t="n"/>
      <c r="C616" s="6" t="n"/>
      <c r="D616" s="6" t="n"/>
      <c r="E616" s="29" t="n"/>
      <c r="F616" s="6" t="n"/>
      <c r="G616" s="25" t="n"/>
      <c r="H616" s="30">
        <f>IF(C616="","",IF(G616&lt;&gt;"",G616,IFERROR(INDEX(Clients!$G$5:$G$304,MATCH(C616,Clients!$A$5:$A$304,0)),0)))</f>
        <v/>
      </c>
      <c r="I616" s="25" t="n"/>
      <c r="J616" s="30">
        <f>IF(C616="","",H616+N(I616))</f>
        <v/>
      </c>
      <c r="K616" s="6" t="n"/>
      <c r="L616" s="6" t="n"/>
      <c r="M616" s="25" t="n"/>
      <c r="N616" s="10" t="n"/>
      <c r="O616" s="30">
        <f>IF(C616="","",N(E616)*Settings!$B$8)</f>
        <v/>
      </c>
      <c r="P616" s="30">
        <f>IF(C616="","",N(N616)*Settings!$B$10)</f>
        <v/>
      </c>
      <c r="Q616" s="30">
        <f>IF(C616="","",J616-N(M616)-O616-P616)</f>
        <v/>
      </c>
      <c r="R616" s="6" t="n"/>
    </row>
    <row r="617">
      <c r="A617" s="8">
        <f>IF(B617="","","J-"&amp;TEXT(ROW()-4,"0000"))</f>
        <v/>
      </c>
      <c r="B617" s="26" t="n"/>
      <c r="C617" s="6" t="n"/>
      <c r="D617" s="6" t="n"/>
      <c r="E617" s="29" t="n"/>
      <c r="F617" s="6" t="n"/>
      <c r="G617" s="25" t="n"/>
      <c r="H617" s="27">
        <f>IF(C617="","",IF(G617&lt;&gt;"",G617,IFERROR(INDEX(Clients!$G$5:$G$304,MATCH(C617,Clients!$A$5:$A$304,0)),0)))</f>
        <v/>
      </c>
      <c r="I617" s="25" t="n"/>
      <c r="J617" s="27">
        <f>IF(C617="","",H617+N(I617))</f>
        <v/>
      </c>
      <c r="K617" s="6" t="n"/>
      <c r="L617" s="6" t="n"/>
      <c r="M617" s="25" t="n"/>
      <c r="N617" s="10" t="n"/>
      <c r="O617" s="27">
        <f>IF(C617="","",N(E617)*Settings!$B$8)</f>
        <v/>
      </c>
      <c r="P617" s="27">
        <f>IF(C617="","",N(N617)*Settings!$B$10)</f>
        <v/>
      </c>
      <c r="Q617" s="27">
        <f>IF(C617="","",J617-N(M617)-O617-P617)</f>
        <v/>
      </c>
      <c r="R617" s="6" t="n"/>
    </row>
    <row r="618">
      <c r="A618" s="17">
        <f>IF(B618="","","J-"&amp;TEXT(ROW()-4,"0000"))</f>
        <v/>
      </c>
      <c r="B618" s="26" t="n"/>
      <c r="C618" s="6" t="n"/>
      <c r="D618" s="6" t="n"/>
      <c r="E618" s="29" t="n"/>
      <c r="F618" s="6" t="n"/>
      <c r="G618" s="25" t="n"/>
      <c r="H618" s="30">
        <f>IF(C618="","",IF(G618&lt;&gt;"",G618,IFERROR(INDEX(Clients!$G$5:$G$304,MATCH(C618,Clients!$A$5:$A$304,0)),0)))</f>
        <v/>
      </c>
      <c r="I618" s="25" t="n"/>
      <c r="J618" s="30">
        <f>IF(C618="","",H618+N(I618))</f>
        <v/>
      </c>
      <c r="K618" s="6" t="n"/>
      <c r="L618" s="6" t="n"/>
      <c r="M618" s="25" t="n"/>
      <c r="N618" s="10" t="n"/>
      <c r="O618" s="30">
        <f>IF(C618="","",N(E618)*Settings!$B$8)</f>
        <v/>
      </c>
      <c r="P618" s="30">
        <f>IF(C618="","",N(N618)*Settings!$B$10)</f>
        <v/>
      </c>
      <c r="Q618" s="30">
        <f>IF(C618="","",J618-N(M618)-O618-P618)</f>
        <v/>
      </c>
      <c r="R618" s="6" t="n"/>
    </row>
    <row r="619">
      <c r="A619" s="8">
        <f>IF(B619="","","J-"&amp;TEXT(ROW()-4,"0000"))</f>
        <v/>
      </c>
      <c r="B619" s="26" t="n"/>
      <c r="C619" s="6" t="n"/>
      <c r="D619" s="6" t="n"/>
      <c r="E619" s="29" t="n"/>
      <c r="F619" s="6" t="n"/>
      <c r="G619" s="25" t="n"/>
      <c r="H619" s="27">
        <f>IF(C619="","",IF(G619&lt;&gt;"",G619,IFERROR(INDEX(Clients!$G$5:$G$304,MATCH(C619,Clients!$A$5:$A$304,0)),0)))</f>
        <v/>
      </c>
      <c r="I619" s="25" t="n"/>
      <c r="J619" s="27">
        <f>IF(C619="","",H619+N(I619))</f>
        <v/>
      </c>
      <c r="K619" s="6" t="n"/>
      <c r="L619" s="6" t="n"/>
      <c r="M619" s="25" t="n"/>
      <c r="N619" s="10" t="n"/>
      <c r="O619" s="27">
        <f>IF(C619="","",N(E619)*Settings!$B$8)</f>
        <v/>
      </c>
      <c r="P619" s="27">
        <f>IF(C619="","",N(N619)*Settings!$B$10)</f>
        <v/>
      </c>
      <c r="Q619" s="27">
        <f>IF(C619="","",J619-N(M619)-O619-P619)</f>
        <v/>
      </c>
      <c r="R619" s="6" t="n"/>
    </row>
    <row r="620">
      <c r="A620" s="17">
        <f>IF(B620="","","J-"&amp;TEXT(ROW()-4,"0000"))</f>
        <v/>
      </c>
      <c r="B620" s="26" t="n"/>
      <c r="C620" s="6" t="n"/>
      <c r="D620" s="6" t="n"/>
      <c r="E620" s="29" t="n"/>
      <c r="F620" s="6" t="n"/>
      <c r="G620" s="25" t="n"/>
      <c r="H620" s="30">
        <f>IF(C620="","",IF(G620&lt;&gt;"",G620,IFERROR(INDEX(Clients!$G$5:$G$304,MATCH(C620,Clients!$A$5:$A$304,0)),0)))</f>
        <v/>
      </c>
      <c r="I620" s="25" t="n"/>
      <c r="J620" s="30">
        <f>IF(C620="","",H620+N(I620))</f>
        <v/>
      </c>
      <c r="K620" s="6" t="n"/>
      <c r="L620" s="6" t="n"/>
      <c r="M620" s="25" t="n"/>
      <c r="N620" s="10" t="n"/>
      <c r="O620" s="30">
        <f>IF(C620="","",N(E620)*Settings!$B$8)</f>
        <v/>
      </c>
      <c r="P620" s="30">
        <f>IF(C620="","",N(N620)*Settings!$B$10)</f>
        <v/>
      </c>
      <c r="Q620" s="30">
        <f>IF(C620="","",J620-N(M620)-O620-P620)</f>
        <v/>
      </c>
      <c r="R620" s="6" t="n"/>
    </row>
    <row r="621">
      <c r="A621" s="8">
        <f>IF(B621="","","J-"&amp;TEXT(ROW()-4,"0000"))</f>
        <v/>
      </c>
      <c r="B621" s="26" t="n"/>
      <c r="C621" s="6" t="n"/>
      <c r="D621" s="6" t="n"/>
      <c r="E621" s="29" t="n"/>
      <c r="F621" s="6" t="n"/>
      <c r="G621" s="25" t="n"/>
      <c r="H621" s="27">
        <f>IF(C621="","",IF(G621&lt;&gt;"",G621,IFERROR(INDEX(Clients!$G$5:$G$304,MATCH(C621,Clients!$A$5:$A$304,0)),0)))</f>
        <v/>
      </c>
      <c r="I621" s="25" t="n"/>
      <c r="J621" s="27">
        <f>IF(C621="","",H621+N(I621))</f>
        <v/>
      </c>
      <c r="K621" s="6" t="n"/>
      <c r="L621" s="6" t="n"/>
      <c r="M621" s="25" t="n"/>
      <c r="N621" s="10" t="n"/>
      <c r="O621" s="27">
        <f>IF(C621="","",N(E621)*Settings!$B$8)</f>
        <v/>
      </c>
      <c r="P621" s="27">
        <f>IF(C621="","",N(N621)*Settings!$B$10)</f>
        <v/>
      </c>
      <c r="Q621" s="27">
        <f>IF(C621="","",J621-N(M621)-O621-P621)</f>
        <v/>
      </c>
      <c r="R621" s="6" t="n"/>
    </row>
    <row r="622">
      <c r="A622" s="17">
        <f>IF(B622="","","J-"&amp;TEXT(ROW()-4,"0000"))</f>
        <v/>
      </c>
      <c r="B622" s="26" t="n"/>
      <c r="C622" s="6" t="n"/>
      <c r="D622" s="6" t="n"/>
      <c r="E622" s="29" t="n"/>
      <c r="F622" s="6" t="n"/>
      <c r="G622" s="25" t="n"/>
      <c r="H622" s="30">
        <f>IF(C622="","",IF(G622&lt;&gt;"",G622,IFERROR(INDEX(Clients!$G$5:$G$304,MATCH(C622,Clients!$A$5:$A$304,0)),0)))</f>
        <v/>
      </c>
      <c r="I622" s="25" t="n"/>
      <c r="J622" s="30">
        <f>IF(C622="","",H622+N(I622))</f>
        <v/>
      </c>
      <c r="K622" s="6" t="n"/>
      <c r="L622" s="6" t="n"/>
      <c r="M622" s="25" t="n"/>
      <c r="N622" s="10" t="n"/>
      <c r="O622" s="30">
        <f>IF(C622="","",N(E622)*Settings!$B$8)</f>
        <v/>
      </c>
      <c r="P622" s="30">
        <f>IF(C622="","",N(N622)*Settings!$B$10)</f>
        <v/>
      </c>
      <c r="Q622" s="30">
        <f>IF(C622="","",J622-N(M622)-O622-P622)</f>
        <v/>
      </c>
      <c r="R622" s="6" t="n"/>
    </row>
    <row r="623">
      <c r="A623" s="8">
        <f>IF(B623="","","J-"&amp;TEXT(ROW()-4,"0000"))</f>
        <v/>
      </c>
      <c r="B623" s="26" t="n"/>
      <c r="C623" s="6" t="n"/>
      <c r="D623" s="6" t="n"/>
      <c r="E623" s="29" t="n"/>
      <c r="F623" s="6" t="n"/>
      <c r="G623" s="25" t="n"/>
      <c r="H623" s="27">
        <f>IF(C623="","",IF(G623&lt;&gt;"",G623,IFERROR(INDEX(Clients!$G$5:$G$304,MATCH(C623,Clients!$A$5:$A$304,0)),0)))</f>
        <v/>
      </c>
      <c r="I623" s="25" t="n"/>
      <c r="J623" s="27">
        <f>IF(C623="","",H623+N(I623))</f>
        <v/>
      </c>
      <c r="K623" s="6" t="n"/>
      <c r="L623" s="6" t="n"/>
      <c r="M623" s="25" t="n"/>
      <c r="N623" s="10" t="n"/>
      <c r="O623" s="27">
        <f>IF(C623="","",N(E623)*Settings!$B$8)</f>
        <v/>
      </c>
      <c r="P623" s="27">
        <f>IF(C623="","",N(N623)*Settings!$B$10)</f>
        <v/>
      </c>
      <c r="Q623" s="27">
        <f>IF(C623="","",J623-N(M623)-O623-P623)</f>
        <v/>
      </c>
      <c r="R623" s="6" t="n"/>
    </row>
    <row r="624">
      <c r="A624" s="17">
        <f>IF(B624="","","J-"&amp;TEXT(ROW()-4,"0000"))</f>
        <v/>
      </c>
      <c r="B624" s="26" t="n"/>
      <c r="C624" s="6" t="n"/>
      <c r="D624" s="6" t="n"/>
      <c r="E624" s="29" t="n"/>
      <c r="F624" s="6" t="n"/>
      <c r="G624" s="25" t="n"/>
      <c r="H624" s="30">
        <f>IF(C624="","",IF(G624&lt;&gt;"",G624,IFERROR(INDEX(Clients!$G$5:$G$304,MATCH(C624,Clients!$A$5:$A$304,0)),0)))</f>
        <v/>
      </c>
      <c r="I624" s="25" t="n"/>
      <c r="J624" s="30">
        <f>IF(C624="","",H624+N(I624))</f>
        <v/>
      </c>
      <c r="K624" s="6" t="n"/>
      <c r="L624" s="6" t="n"/>
      <c r="M624" s="25" t="n"/>
      <c r="N624" s="10" t="n"/>
      <c r="O624" s="30">
        <f>IF(C624="","",N(E624)*Settings!$B$8)</f>
        <v/>
      </c>
      <c r="P624" s="30">
        <f>IF(C624="","",N(N624)*Settings!$B$10)</f>
        <v/>
      </c>
      <c r="Q624" s="30">
        <f>IF(C624="","",J624-N(M624)-O624-P624)</f>
        <v/>
      </c>
      <c r="R624" s="6" t="n"/>
    </row>
    <row r="625">
      <c r="A625" s="8">
        <f>IF(B625="","","J-"&amp;TEXT(ROW()-4,"0000"))</f>
        <v/>
      </c>
      <c r="B625" s="26" t="n"/>
      <c r="C625" s="6" t="n"/>
      <c r="D625" s="6" t="n"/>
      <c r="E625" s="29" t="n"/>
      <c r="F625" s="6" t="n"/>
      <c r="G625" s="25" t="n"/>
      <c r="H625" s="27">
        <f>IF(C625="","",IF(G625&lt;&gt;"",G625,IFERROR(INDEX(Clients!$G$5:$G$304,MATCH(C625,Clients!$A$5:$A$304,0)),0)))</f>
        <v/>
      </c>
      <c r="I625" s="25" t="n"/>
      <c r="J625" s="27">
        <f>IF(C625="","",H625+N(I625))</f>
        <v/>
      </c>
      <c r="K625" s="6" t="n"/>
      <c r="L625" s="6" t="n"/>
      <c r="M625" s="25" t="n"/>
      <c r="N625" s="10" t="n"/>
      <c r="O625" s="27">
        <f>IF(C625="","",N(E625)*Settings!$B$8)</f>
        <v/>
      </c>
      <c r="P625" s="27">
        <f>IF(C625="","",N(N625)*Settings!$B$10)</f>
        <v/>
      </c>
      <c r="Q625" s="27">
        <f>IF(C625="","",J625-N(M625)-O625-P625)</f>
        <v/>
      </c>
      <c r="R625" s="6" t="n"/>
    </row>
    <row r="626">
      <c r="A626" s="17">
        <f>IF(B626="","","J-"&amp;TEXT(ROW()-4,"0000"))</f>
        <v/>
      </c>
      <c r="B626" s="26" t="n"/>
      <c r="C626" s="6" t="n"/>
      <c r="D626" s="6" t="n"/>
      <c r="E626" s="29" t="n"/>
      <c r="F626" s="6" t="n"/>
      <c r="G626" s="25" t="n"/>
      <c r="H626" s="30">
        <f>IF(C626="","",IF(G626&lt;&gt;"",G626,IFERROR(INDEX(Clients!$G$5:$G$304,MATCH(C626,Clients!$A$5:$A$304,0)),0)))</f>
        <v/>
      </c>
      <c r="I626" s="25" t="n"/>
      <c r="J626" s="30">
        <f>IF(C626="","",H626+N(I626))</f>
        <v/>
      </c>
      <c r="K626" s="6" t="n"/>
      <c r="L626" s="6" t="n"/>
      <c r="M626" s="25" t="n"/>
      <c r="N626" s="10" t="n"/>
      <c r="O626" s="30">
        <f>IF(C626="","",N(E626)*Settings!$B$8)</f>
        <v/>
      </c>
      <c r="P626" s="30">
        <f>IF(C626="","",N(N626)*Settings!$B$10)</f>
        <v/>
      </c>
      <c r="Q626" s="30">
        <f>IF(C626="","",J626-N(M626)-O626-P626)</f>
        <v/>
      </c>
      <c r="R626" s="6" t="n"/>
    </row>
    <row r="627">
      <c r="A627" s="8">
        <f>IF(B627="","","J-"&amp;TEXT(ROW()-4,"0000"))</f>
        <v/>
      </c>
      <c r="B627" s="26" t="n"/>
      <c r="C627" s="6" t="n"/>
      <c r="D627" s="6" t="n"/>
      <c r="E627" s="29" t="n"/>
      <c r="F627" s="6" t="n"/>
      <c r="G627" s="25" t="n"/>
      <c r="H627" s="27">
        <f>IF(C627="","",IF(G627&lt;&gt;"",G627,IFERROR(INDEX(Clients!$G$5:$G$304,MATCH(C627,Clients!$A$5:$A$304,0)),0)))</f>
        <v/>
      </c>
      <c r="I627" s="25" t="n"/>
      <c r="J627" s="27">
        <f>IF(C627="","",H627+N(I627))</f>
        <v/>
      </c>
      <c r="K627" s="6" t="n"/>
      <c r="L627" s="6" t="n"/>
      <c r="M627" s="25" t="n"/>
      <c r="N627" s="10" t="n"/>
      <c r="O627" s="27">
        <f>IF(C627="","",N(E627)*Settings!$B$8)</f>
        <v/>
      </c>
      <c r="P627" s="27">
        <f>IF(C627="","",N(N627)*Settings!$B$10)</f>
        <v/>
      </c>
      <c r="Q627" s="27">
        <f>IF(C627="","",J627-N(M627)-O627-P627)</f>
        <v/>
      </c>
      <c r="R627" s="6" t="n"/>
    </row>
    <row r="628">
      <c r="A628" s="17">
        <f>IF(B628="","","J-"&amp;TEXT(ROW()-4,"0000"))</f>
        <v/>
      </c>
      <c r="B628" s="26" t="n"/>
      <c r="C628" s="6" t="n"/>
      <c r="D628" s="6" t="n"/>
      <c r="E628" s="29" t="n"/>
      <c r="F628" s="6" t="n"/>
      <c r="G628" s="25" t="n"/>
      <c r="H628" s="30">
        <f>IF(C628="","",IF(G628&lt;&gt;"",G628,IFERROR(INDEX(Clients!$G$5:$G$304,MATCH(C628,Clients!$A$5:$A$304,0)),0)))</f>
        <v/>
      </c>
      <c r="I628" s="25" t="n"/>
      <c r="J628" s="30">
        <f>IF(C628="","",H628+N(I628))</f>
        <v/>
      </c>
      <c r="K628" s="6" t="n"/>
      <c r="L628" s="6" t="n"/>
      <c r="M628" s="25" t="n"/>
      <c r="N628" s="10" t="n"/>
      <c r="O628" s="30">
        <f>IF(C628="","",N(E628)*Settings!$B$8)</f>
        <v/>
      </c>
      <c r="P628" s="30">
        <f>IF(C628="","",N(N628)*Settings!$B$10)</f>
        <v/>
      </c>
      <c r="Q628" s="30">
        <f>IF(C628="","",J628-N(M628)-O628-P628)</f>
        <v/>
      </c>
      <c r="R628" s="6" t="n"/>
    </row>
    <row r="629">
      <c r="A629" s="8">
        <f>IF(B629="","","J-"&amp;TEXT(ROW()-4,"0000"))</f>
        <v/>
      </c>
      <c r="B629" s="26" t="n"/>
      <c r="C629" s="6" t="n"/>
      <c r="D629" s="6" t="n"/>
      <c r="E629" s="29" t="n"/>
      <c r="F629" s="6" t="n"/>
      <c r="G629" s="25" t="n"/>
      <c r="H629" s="27">
        <f>IF(C629="","",IF(G629&lt;&gt;"",G629,IFERROR(INDEX(Clients!$G$5:$G$304,MATCH(C629,Clients!$A$5:$A$304,0)),0)))</f>
        <v/>
      </c>
      <c r="I629" s="25" t="n"/>
      <c r="J629" s="27">
        <f>IF(C629="","",H629+N(I629))</f>
        <v/>
      </c>
      <c r="K629" s="6" t="n"/>
      <c r="L629" s="6" t="n"/>
      <c r="M629" s="25" t="n"/>
      <c r="N629" s="10" t="n"/>
      <c r="O629" s="27">
        <f>IF(C629="","",N(E629)*Settings!$B$8)</f>
        <v/>
      </c>
      <c r="P629" s="27">
        <f>IF(C629="","",N(N629)*Settings!$B$10)</f>
        <v/>
      </c>
      <c r="Q629" s="27">
        <f>IF(C629="","",J629-N(M629)-O629-P629)</f>
        <v/>
      </c>
      <c r="R629" s="6" t="n"/>
    </row>
    <row r="630">
      <c r="A630" s="17">
        <f>IF(B630="","","J-"&amp;TEXT(ROW()-4,"0000"))</f>
        <v/>
      </c>
      <c r="B630" s="26" t="n"/>
      <c r="C630" s="6" t="n"/>
      <c r="D630" s="6" t="n"/>
      <c r="E630" s="29" t="n"/>
      <c r="F630" s="6" t="n"/>
      <c r="G630" s="25" t="n"/>
      <c r="H630" s="30">
        <f>IF(C630="","",IF(G630&lt;&gt;"",G630,IFERROR(INDEX(Clients!$G$5:$G$304,MATCH(C630,Clients!$A$5:$A$304,0)),0)))</f>
        <v/>
      </c>
      <c r="I630" s="25" t="n"/>
      <c r="J630" s="30">
        <f>IF(C630="","",H630+N(I630))</f>
        <v/>
      </c>
      <c r="K630" s="6" t="n"/>
      <c r="L630" s="6" t="n"/>
      <c r="M630" s="25" t="n"/>
      <c r="N630" s="10" t="n"/>
      <c r="O630" s="30">
        <f>IF(C630="","",N(E630)*Settings!$B$8)</f>
        <v/>
      </c>
      <c r="P630" s="30">
        <f>IF(C630="","",N(N630)*Settings!$B$10)</f>
        <v/>
      </c>
      <c r="Q630" s="30">
        <f>IF(C630="","",J630-N(M630)-O630-P630)</f>
        <v/>
      </c>
      <c r="R630" s="6" t="n"/>
    </row>
    <row r="631">
      <c r="A631" s="8">
        <f>IF(B631="","","J-"&amp;TEXT(ROW()-4,"0000"))</f>
        <v/>
      </c>
      <c r="B631" s="26" t="n"/>
      <c r="C631" s="6" t="n"/>
      <c r="D631" s="6" t="n"/>
      <c r="E631" s="29" t="n"/>
      <c r="F631" s="6" t="n"/>
      <c r="G631" s="25" t="n"/>
      <c r="H631" s="27">
        <f>IF(C631="","",IF(G631&lt;&gt;"",G631,IFERROR(INDEX(Clients!$G$5:$G$304,MATCH(C631,Clients!$A$5:$A$304,0)),0)))</f>
        <v/>
      </c>
      <c r="I631" s="25" t="n"/>
      <c r="J631" s="27">
        <f>IF(C631="","",H631+N(I631))</f>
        <v/>
      </c>
      <c r="K631" s="6" t="n"/>
      <c r="L631" s="6" t="n"/>
      <c r="M631" s="25" t="n"/>
      <c r="N631" s="10" t="n"/>
      <c r="O631" s="27">
        <f>IF(C631="","",N(E631)*Settings!$B$8)</f>
        <v/>
      </c>
      <c r="P631" s="27">
        <f>IF(C631="","",N(N631)*Settings!$B$10)</f>
        <v/>
      </c>
      <c r="Q631" s="27">
        <f>IF(C631="","",J631-N(M631)-O631-P631)</f>
        <v/>
      </c>
      <c r="R631" s="6" t="n"/>
    </row>
    <row r="632">
      <c r="A632" s="17">
        <f>IF(B632="","","J-"&amp;TEXT(ROW()-4,"0000"))</f>
        <v/>
      </c>
      <c r="B632" s="26" t="n"/>
      <c r="C632" s="6" t="n"/>
      <c r="D632" s="6" t="n"/>
      <c r="E632" s="29" t="n"/>
      <c r="F632" s="6" t="n"/>
      <c r="G632" s="25" t="n"/>
      <c r="H632" s="30">
        <f>IF(C632="","",IF(G632&lt;&gt;"",G632,IFERROR(INDEX(Clients!$G$5:$G$304,MATCH(C632,Clients!$A$5:$A$304,0)),0)))</f>
        <v/>
      </c>
      <c r="I632" s="25" t="n"/>
      <c r="J632" s="30">
        <f>IF(C632="","",H632+N(I632))</f>
        <v/>
      </c>
      <c r="K632" s="6" t="n"/>
      <c r="L632" s="6" t="n"/>
      <c r="M632" s="25" t="n"/>
      <c r="N632" s="10" t="n"/>
      <c r="O632" s="30">
        <f>IF(C632="","",N(E632)*Settings!$B$8)</f>
        <v/>
      </c>
      <c r="P632" s="30">
        <f>IF(C632="","",N(N632)*Settings!$B$10)</f>
        <v/>
      </c>
      <c r="Q632" s="30">
        <f>IF(C632="","",J632-N(M632)-O632-P632)</f>
        <v/>
      </c>
      <c r="R632" s="6" t="n"/>
    </row>
    <row r="633">
      <c r="A633" s="8">
        <f>IF(B633="","","J-"&amp;TEXT(ROW()-4,"0000"))</f>
        <v/>
      </c>
      <c r="B633" s="26" t="n"/>
      <c r="C633" s="6" t="n"/>
      <c r="D633" s="6" t="n"/>
      <c r="E633" s="29" t="n"/>
      <c r="F633" s="6" t="n"/>
      <c r="G633" s="25" t="n"/>
      <c r="H633" s="27">
        <f>IF(C633="","",IF(G633&lt;&gt;"",G633,IFERROR(INDEX(Clients!$G$5:$G$304,MATCH(C633,Clients!$A$5:$A$304,0)),0)))</f>
        <v/>
      </c>
      <c r="I633" s="25" t="n"/>
      <c r="J633" s="27">
        <f>IF(C633="","",H633+N(I633))</f>
        <v/>
      </c>
      <c r="K633" s="6" t="n"/>
      <c r="L633" s="6" t="n"/>
      <c r="M633" s="25" t="n"/>
      <c r="N633" s="10" t="n"/>
      <c r="O633" s="27">
        <f>IF(C633="","",N(E633)*Settings!$B$8)</f>
        <v/>
      </c>
      <c r="P633" s="27">
        <f>IF(C633="","",N(N633)*Settings!$B$10)</f>
        <v/>
      </c>
      <c r="Q633" s="27">
        <f>IF(C633="","",J633-N(M633)-O633-P633)</f>
        <v/>
      </c>
      <c r="R633" s="6" t="n"/>
    </row>
    <row r="634">
      <c r="A634" s="17">
        <f>IF(B634="","","J-"&amp;TEXT(ROW()-4,"0000"))</f>
        <v/>
      </c>
      <c r="B634" s="26" t="n"/>
      <c r="C634" s="6" t="n"/>
      <c r="D634" s="6" t="n"/>
      <c r="E634" s="29" t="n"/>
      <c r="F634" s="6" t="n"/>
      <c r="G634" s="25" t="n"/>
      <c r="H634" s="30">
        <f>IF(C634="","",IF(G634&lt;&gt;"",G634,IFERROR(INDEX(Clients!$G$5:$G$304,MATCH(C634,Clients!$A$5:$A$304,0)),0)))</f>
        <v/>
      </c>
      <c r="I634" s="25" t="n"/>
      <c r="J634" s="30">
        <f>IF(C634="","",H634+N(I634))</f>
        <v/>
      </c>
      <c r="K634" s="6" t="n"/>
      <c r="L634" s="6" t="n"/>
      <c r="M634" s="25" t="n"/>
      <c r="N634" s="10" t="n"/>
      <c r="O634" s="30">
        <f>IF(C634="","",N(E634)*Settings!$B$8)</f>
        <v/>
      </c>
      <c r="P634" s="30">
        <f>IF(C634="","",N(N634)*Settings!$B$10)</f>
        <v/>
      </c>
      <c r="Q634" s="30">
        <f>IF(C634="","",J634-N(M634)-O634-P634)</f>
        <v/>
      </c>
      <c r="R634" s="6" t="n"/>
    </row>
    <row r="635">
      <c r="A635" s="8">
        <f>IF(B635="","","J-"&amp;TEXT(ROW()-4,"0000"))</f>
        <v/>
      </c>
      <c r="B635" s="26" t="n"/>
      <c r="C635" s="6" t="n"/>
      <c r="D635" s="6" t="n"/>
      <c r="E635" s="29" t="n"/>
      <c r="F635" s="6" t="n"/>
      <c r="G635" s="25" t="n"/>
      <c r="H635" s="27">
        <f>IF(C635="","",IF(G635&lt;&gt;"",G635,IFERROR(INDEX(Clients!$G$5:$G$304,MATCH(C635,Clients!$A$5:$A$304,0)),0)))</f>
        <v/>
      </c>
      <c r="I635" s="25" t="n"/>
      <c r="J635" s="27">
        <f>IF(C635="","",H635+N(I635))</f>
        <v/>
      </c>
      <c r="K635" s="6" t="n"/>
      <c r="L635" s="6" t="n"/>
      <c r="M635" s="25" t="n"/>
      <c r="N635" s="10" t="n"/>
      <c r="O635" s="27">
        <f>IF(C635="","",N(E635)*Settings!$B$8)</f>
        <v/>
      </c>
      <c r="P635" s="27">
        <f>IF(C635="","",N(N635)*Settings!$B$10)</f>
        <v/>
      </c>
      <c r="Q635" s="27">
        <f>IF(C635="","",J635-N(M635)-O635-P635)</f>
        <v/>
      </c>
      <c r="R635" s="6" t="n"/>
    </row>
    <row r="636">
      <c r="A636" s="17">
        <f>IF(B636="","","J-"&amp;TEXT(ROW()-4,"0000"))</f>
        <v/>
      </c>
      <c r="B636" s="26" t="n"/>
      <c r="C636" s="6" t="n"/>
      <c r="D636" s="6" t="n"/>
      <c r="E636" s="29" t="n"/>
      <c r="F636" s="6" t="n"/>
      <c r="G636" s="25" t="n"/>
      <c r="H636" s="30">
        <f>IF(C636="","",IF(G636&lt;&gt;"",G636,IFERROR(INDEX(Clients!$G$5:$G$304,MATCH(C636,Clients!$A$5:$A$304,0)),0)))</f>
        <v/>
      </c>
      <c r="I636" s="25" t="n"/>
      <c r="J636" s="30">
        <f>IF(C636="","",H636+N(I636))</f>
        <v/>
      </c>
      <c r="K636" s="6" t="n"/>
      <c r="L636" s="6" t="n"/>
      <c r="M636" s="25" t="n"/>
      <c r="N636" s="10" t="n"/>
      <c r="O636" s="30">
        <f>IF(C636="","",N(E636)*Settings!$B$8)</f>
        <v/>
      </c>
      <c r="P636" s="30">
        <f>IF(C636="","",N(N636)*Settings!$B$10)</f>
        <v/>
      </c>
      <c r="Q636" s="30">
        <f>IF(C636="","",J636-N(M636)-O636-P636)</f>
        <v/>
      </c>
      <c r="R636" s="6" t="n"/>
    </row>
    <row r="637">
      <c r="A637" s="8">
        <f>IF(B637="","","J-"&amp;TEXT(ROW()-4,"0000"))</f>
        <v/>
      </c>
      <c r="B637" s="26" t="n"/>
      <c r="C637" s="6" t="n"/>
      <c r="D637" s="6" t="n"/>
      <c r="E637" s="29" t="n"/>
      <c r="F637" s="6" t="n"/>
      <c r="G637" s="25" t="n"/>
      <c r="H637" s="27">
        <f>IF(C637="","",IF(G637&lt;&gt;"",G637,IFERROR(INDEX(Clients!$G$5:$G$304,MATCH(C637,Clients!$A$5:$A$304,0)),0)))</f>
        <v/>
      </c>
      <c r="I637" s="25" t="n"/>
      <c r="J637" s="27">
        <f>IF(C637="","",H637+N(I637))</f>
        <v/>
      </c>
      <c r="K637" s="6" t="n"/>
      <c r="L637" s="6" t="n"/>
      <c r="M637" s="25" t="n"/>
      <c r="N637" s="10" t="n"/>
      <c r="O637" s="27">
        <f>IF(C637="","",N(E637)*Settings!$B$8)</f>
        <v/>
      </c>
      <c r="P637" s="27">
        <f>IF(C637="","",N(N637)*Settings!$B$10)</f>
        <v/>
      </c>
      <c r="Q637" s="27">
        <f>IF(C637="","",J637-N(M637)-O637-P637)</f>
        <v/>
      </c>
      <c r="R637" s="6" t="n"/>
    </row>
    <row r="638">
      <c r="A638" s="17">
        <f>IF(B638="","","J-"&amp;TEXT(ROW()-4,"0000"))</f>
        <v/>
      </c>
      <c r="B638" s="26" t="n"/>
      <c r="C638" s="6" t="n"/>
      <c r="D638" s="6" t="n"/>
      <c r="E638" s="29" t="n"/>
      <c r="F638" s="6" t="n"/>
      <c r="G638" s="25" t="n"/>
      <c r="H638" s="30">
        <f>IF(C638="","",IF(G638&lt;&gt;"",G638,IFERROR(INDEX(Clients!$G$5:$G$304,MATCH(C638,Clients!$A$5:$A$304,0)),0)))</f>
        <v/>
      </c>
      <c r="I638" s="25" t="n"/>
      <c r="J638" s="30">
        <f>IF(C638="","",H638+N(I638))</f>
        <v/>
      </c>
      <c r="K638" s="6" t="n"/>
      <c r="L638" s="6" t="n"/>
      <c r="M638" s="25" t="n"/>
      <c r="N638" s="10" t="n"/>
      <c r="O638" s="30">
        <f>IF(C638="","",N(E638)*Settings!$B$8)</f>
        <v/>
      </c>
      <c r="P638" s="30">
        <f>IF(C638="","",N(N638)*Settings!$B$10)</f>
        <v/>
      </c>
      <c r="Q638" s="30">
        <f>IF(C638="","",J638-N(M638)-O638-P638)</f>
        <v/>
      </c>
      <c r="R638" s="6" t="n"/>
    </row>
    <row r="639">
      <c r="A639" s="8">
        <f>IF(B639="","","J-"&amp;TEXT(ROW()-4,"0000"))</f>
        <v/>
      </c>
      <c r="B639" s="26" t="n"/>
      <c r="C639" s="6" t="n"/>
      <c r="D639" s="6" t="n"/>
      <c r="E639" s="29" t="n"/>
      <c r="F639" s="6" t="n"/>
      <c r="G639" s="25" t="n"/>
      <c r="H639" s="27">
        <f>IF(C639="","",IF(G639&lt;&gt;"",G639,IFERROR(INDEX(Clients!$G$5:$G$304,MATCH(C639,Clients!$A$5:$A$304,0)),0)))</f>
        <v/>
      </c>
      <c r="I639" s="25" t="n"/>
      <c r="J639" s="27">
        <f>IF(C639="","",H639+N(I639))</f>
        <v/>
      </c>
      <c r="K639" s="6" t="n"/>
      <c r="L639" s="6" t="n"/>
      <c r="M639" s="25" t="n"/>
      <c r="N639" s="10" t="n"/>
      <c r="O639" s="27">
        <f>IF(C639="","",N(E639)*Settings!$B$8)</f>
        <v/>
      </c>
      <c r="P639" s="27">
        <f>IF(C639="","",N(N639)*Settings!$B$10)</f>
        <v/>
      </c>
      <c r="Q639" s="27">
        <f>IF(C639="","",J639-N(M639)-O639-P639)</f>
        <v/>
      </c>
      <c r="R639" s="6" t="n"/>
    </row>
    <row r="640">
      <c r="A640" s="17">
        <f>IF(B640="","","J-"&amp;TEXT(ROW()-4,"0000"))</f>
        <v/>
      </c>
      <c r="B640" s="26" t="n"/>
      <c r="C640" s="6" t="n"/>
      <c r="D640" s="6" t="n"/>
      <c r="E640" s="29" t="n"/>
      <c r="F640" s="6" t="n"/>
      <c r="G640" s="25" t="n"/>
      <c r="H640" s="30">
        <f>IF(C640="","",IF(G640&lt;&gt;"",G640,IFERROR(INDEX(Clients!$G$5:$G$304,MATCH(C640,Clients!$A$5:$A$304,0)),0)))</f>
        <v/>
      </c>
      <c r="I640" s="25" t="n"/>
      <c r="J640" s="30">
        <f>IF(C640="","",H640+N(I640))</f>
        <v/>
      </c>
      <c r="K640" s="6" t="n"/>
      <c r="L640" s="6" t="n"/>
      <c r="M640" s="25" t="n"/>
      <c r="N640" s="10" t="n"/>
      <c r="O640" s="30">
        <f>IF(C640="","",N(E640)*Settings!$B$8)</f>
        <v/>
      </c>
      <c r="P640" s="30">
        <f>IF(C640="","",N(N640)*Settings!$B$10)</f>
        <v/>
      </c>
      <c r="Q640" s="30">
        <f>IF(C640="","",J640-N(M640)-O640-P640)</f>
        <v/>
      </c>
      <c r="R640" s="6" t="n"/>
    </row>
    <row r="641">
      <c r="A641" s="8">
        <f>IF(B641="","","J-"&amp;TEXT(ROW()-4,"0000"))</f>
        <v/>
      </c>
      <c r="B641" s="26" t="n"/>
      <c r="C641" s="6" t="n"/>
      <c r="D641" s="6" t="n"/>
      <c r="E641" s="29" t="n"/>
      <c r="F641" s="6" t="n"/>
      <c r="G641" s="25" t="n"/>
      <c r="H641" s="27">
        <f>IF(C641="","",IF(G641&lt;&gt;"",G641,IFERROR(INDEX(Clients!$G$5:$G$304,MATCH(C641,Clients!$A$5:$A$304,0)),0)))</f>
        <v/>
      </c>
      <c r="I641" s="25" t="n"/>
      <c r="J641" s="27">
        <f>IF(C641="","",H641+N(I641))</f>
        <v/>
      </c>
      <c r="K641" s="6" t="n"/>
      <c r="L641" s="6" t="n"/>
      <c r="M641" s="25" t="n"/>
      <c r="N641" s="10" t="n"/>
      <c r="O641" s="27">
        <f>IF(C641="","",N(E641)*Settings!$B$8)</f>
        <v/>
      </c>
      <c r="P641" s="27">
        <f>IF(C641="","",N(N641)*Settings!$B$10)</f>
        <v/>
      </c>
      <c r="Q641" s="27">
        <f>IF(C641="","",J641-N(M641)-O641-P641)</f>
        <v/>
      </c>
      <c r="R641" s="6" t="n"/>
    </row>
    <row r="642">
      <c r="A642" s="17">
        <f>IF(B642="","","J-"&amp;TEXT(ROW()-4,"0000"))</f>
        <v/>
      </c>
      <c r="B642" s="26" t="n"/>
      <c r="C642" s="6" t="n"/>
      <c r="D642" s="6" t="n"/>
      <c r="E642" s="29" t="n"/>
      <c r="F642" s="6" t="n"/>
      <c r="G642" s="25" t="n"/>
      <c r="H642" s="30">
        <f>IF(C642="","",IF(G642&lt;&gt;"",G642,IFERROR(INDEX(Clients!$G$5:$G$304,MATCH(C642,Clients!$A$5:$A$304,0)),0)))</f>
        <v/>
      </c>
      <c r="I642" s="25" t="n"/>
      <c r="J642" s="30">
        <f>IF(C642="","",H642+N(I642))</f>
        <v/>
      </c>
      <c r="K642" s="6" t="n"/>
      <c r="L642" s="6" t="n"/>
      <c r="M642" s="25" t="n"/>
      <c r="N642" s="10" t="n"/>
      <c r="O642" s="30">
        <f>IF(C642="","",N(E642)*Settings!$B$8)</f>
        <v/>
      </c>
      <c r="P642" s="30">
        <f>IF(C642="","",N(N642)*Settings!$B$10)</f>
        <v/>
      </c>
      <c r="Q642" s="30">
        <f>IF(C642="","",J642-N(M642)-O642-P642)</f>
        <v/>
      </c>
      <c r="R642" s="6" t="n"/>
    </row>
    <row r="643">
      <c r="A643" s="8">
        <f>IF(B643="","","J-"&amp;TEXT(ROW()-4,"0000"))</f>
        <v/>
      </c>
      <c r="B643" s="26" t="n"/>
      <c r="C643" s="6" t="n"/>
      <c r="D643" s="6" t="n"/>
      <c r="E643" s="29" t="n"/>
      <c r="F643" s="6" t="n"/>
      <c r="G643" s="25" t="n"/>
      <c r="H643" s="27">
        <f>IF(C643="","",IF(G643&lt;&gt;"",G643,IFERROR(INDEX(Clients!$G$5:$G$304,MATCH(C643,Clients!$A$5:$A$304,0)),0)))</f>
        <v/>
      </c>
      <c r="I643" s="25" t="n"/>
      <c r="J643" s="27">
        <f>IF(C643="","",H643+N(I643))</f>
        <v/>
      </c>
      <c r="K643" s="6" t="n"/>
      <c r="L643" s="6" t="n"/>
      <c r="M643" s="25" t="n"/>
      <c r="N643" s="10" t="n"/>
      <c r="O643" s="27">
        <f>IF(C643="","",N(E643)*Settings!$B$8)</f>
        <v/>
      </c>
      <c r="P643" s="27">
        <f>IF(C643="","",N(N643)*Settings!$B$10)</f>
        <v/>
      </c>
      <c r="Q643" s="27">
        <f>IF(C643="","",J643-N(M643)-O643-P643)</f>
        <v/>
      </c>
      <c r="R643" s="6" t="n"/>
    </row>
    <row r="644">
      <c r="A644" s="17">
        <f>IF(B644="","","J-"&amp;TEXT(ROW()-4,"0000"))</f>
        <v/>
      </c>
      <c r="B644" s="26" t="n"/>
      <c r="C644" s="6" t="n"/>
      <c r="D644" s="6" t="n"/>
      <c r="E644" s="29" t="n"/>
      <c r="F644" s="6" t="n"/>
      <c r="G644" s="25" t="n"/>
      <c r="H644" s="30">
        <f>IF(C644="","",IF(G644&lt;&gt;"",G644,IFERROR(INDEX(Clients!$G$5:$G$304,MATCH(C644,Clients!$A$5:$A$304,0)),0)))</f>
        <v/>
      </c>
      <c r="I644" s="25" t="n"/>
      <c r="J644" s="30">
        <f>IF(C644="","",H644+N(I644))</f>
        <v/>
      </c>
      <c r="K644" s="6" t="n"/>
      <c r="L644" s="6" t="n"/>
      <c r="M644" s="25" t="n"/>
      <c r="N644" s="10" t="n"/>
      <c r="O644" s="30">
        <f>IF(C644="","",N(E644)*Settings!$B$8)</f>
        <v/>
      </c>
      <c r="P644" s="30">
        <f>IF(C644="","",N(N644)*Settings!$B$10)</f>
        <v/>
      </c>
      <c r="Q644" s="30">
        <f>IF(C644="","",J644-N(M644)-O644-P644)</f>
        <v/>
      </c>
      <c r="R644" s="6" t="n"/>
    </row>
    <row r="645">
      <c r="A645" s="8">
        <f>IF(B645="","","J-"&amp;TEXT(ROW()-4,"0000"))</f>
        <v/>
      </c>
      <c r="B645" s="26" t="n"/>
      <c r="C645" s="6" t="n"/>
      <c r="D645" s="6" t="n"/>
      <c r="E645" s="29" t="n"/>
      <c r="F645" s="6" t="n"/>
      <c r="G645" s="25" t="n"/>
      <c r="H645" s="27">
        <f>IF(C645="","",IF(G645&lt;&gt;"",G645,IFERROR(INDEX(Clients!$G$5:$G$304,MATCH(C645,Clients!$A$5:$A$304,0)),0)))</f>
        <v/>
      </c>
      <c r="I645" s="25" t="n"/>
      <c r="J645" s="27">
        <f>IF(C645="","",H645+N(I645))</f>
        <v/>
      </c>
      <c r="K645" s="6" t="n"/>
      <c r="L645" s="6" t="n"/>
      <c r="M645" s="25" t="n"/>
      <c r="N645" s="10" t="n"/>
      <c r="O645" s="27">
        <f>IF(C645="","",N(E645)*Settings!$B$8)</f>
        <v/>
      </c>
      <c r="P645" s="27">
        <f>IF(C645="","",N(N645)*Settings!$B$10)</f>
        <v/>
      </c>
      <c r="Q645" s="27">
        <f>IF(C645="","",J645-N(M645)-O645-P645)</f>
        <v/>
      </c>
      <c r="R645" s="6" t="n"/>
    </row>
    <row r="646">
      <c r="A646" s="17">
        <f>IF(B646="","","J-"&amp;TEXT(ROW()-4,"0000"))</f>
        <v/>
      </c>
      <c r="B646" s="26" t="n"/>
      <c r="C646" s="6" t="n"/>
      <c r="D646" s="6" t="n"/>
      <c r="E646" s="29" t="n"/>
      <c r="F646" s="6" t="n"/>
      <c r="G646" s="25" t="n"/>
      <c r="H646" s="30">
        <f>IF(C646="","",IF(G646&lt;&gt;"",G646,IFERROR(INDEX(Clients!$G$5:$G$304,MATCH(C646,Clients!$A$5:$A$304,0)),0)))</f>
        <v/>
      </c>
      <c r="I646" s="25" t="n"/>
      <c r="J646" s="30">
        <f>IF(C646="","",H646+N(I646))</f>
        <v/>
      </c>
      <c r="K646" s="6" t="n"/>
      <c r="L646" s="6" t="n"/>
      <c r="M646" s="25" t="n"/>
      <c r="N646" s="10" t="n"/>
      <c r="O646" s="30">
        <f>IF(C646="","",N(E646)*Settings!$B$8)</f>
        <v/>
      </c>
      <c r="P646" s="30">
        <f>IF(C646="","",N(N646)*Settings!$B$10)</f>
        <v/>
      </c>
      <c r="Q646" s="30">
        <f>IF(C646="","",J646-N(M646)-O646-P646)</f>
        <v/>
      </c>
      <c r="R646" s="6" t="n"/>
    </row>
    <row r="647">
      <c r="A647" s="8">
        <f>IF(B647="","","J-"&amp;TEXT(ROW()-4,"0000"))</f>
        <v/>
      </c>
      <c r="B647" s="26" t="n"/>
      <c r="C647" s="6" t="n"/>
      <c r="D647" s="6" t="n"/>
      <c r="E647" s="29" t="n"/>
      <c r="F647" s="6" t="n"/>
      <c r="G647" s="25" t="n"/>
      <c r="H647" s="27">
        <f>IF(C647="","",IF(G647&lt;&gt;"",G647,IFERROR(INDEX(Clients!$G$5:$G$304,MATCH(C647,Clients!$A$5:$A$304,0)),0)))</f>
        <v/>
      </c>
      <c r="I647" s="25" t="n"/>
      <c r="J647" s="27">
        <f>IF(C647="","",H647+N(I647))</f>
        <v/>
      </c>
      <c r="K647" s="6" t="n"/>
      <c r="L647" s="6" t="n"/>
      <c r="M647" s="25" t="n"/>
      <c r="N647" s="10" t="n"/>
      <c r="O647" s="27">
        <f>IF(C647="","",N(E647)*Settings!$B$8)</f>
        <v/>
      </c>
      <c r="P647" s="27">
        <f>IF(C647="","",N(N647)*Settings!$B$10)</f>
        <v/>
      </c>
      <c r="Q647" s="27">
        <f>IF(C647="","",J647-N(M647)-O647-P647)</f>
        <v/>
      </c>
      <c r="R647" s="6" t="n"/>
    </row>
    <row r="648">
      <c r="A648" s="17">
        <f>IF(B648="","","J-"&amp;TEXT(ROW()-4,"0000"))</f>
        <v/>
      </c>
      <c r="B648" s="26" t="n"/>
      <c r="C648" s="6" t="n"/>
      <c r="D648" s="6" t="n"/>
      <c r="E648" s="29" t="n"/>
      <c r="F648" s="6" t="n"/>
      <c r="G648" s="25" t="n"/>
      <c r="H648" s="30">
        <f>IF(C648="","",IF(G648&lt;&gt;"",G648,IFERROR(INDEX(Clients!$G$5:$G$304,MATCH(C648,Clients!$A$5:$A$304,0)),0)))</f>
        <v/>
      </c>
      <c r="I648" s="25" t="n"/>
      <c r="J648" s="30">
        <f>IF(C648="","",H648+N(I648))</f>
        <v/>
      </c>
      <c r="K648" s="6" t="n"/>
      <c r="L648" s="6" t="n"/>
      <c r="M648" s="25" t="n"/>
      <c r="N648" s="10" t="n"/>
      <c r="O648" s="30">
        <f>IF(C648="","",N(E648)*Settings!$B$8)</f>
        <v/>
      </c>
      <c r="P648" s="30">
        <f>IF(C648="","",N(N648)*Settings!$B$10)</f>
        <v/>
      </c>
      <c r="Q648" s="30">
        <f>IF(C648="","",J648-N(M648)-O648-P648)</f>
        <v/>
      </c>
      <c r="R648" s="6" t="n"/>
    </row>
    <row r="649">
      <c r="A649" s="8">
        <f>IF(B649="","","J-"&amp;TEXT(ROW()-4,"0000"))</f>
        <v/>
      </c>
      <c r="B649" s="26" t="n"/>
      <c r="C649" s="6" t="n"/>
      <c r="D649" s="6" t="n"/>
      <c r="E649" s="29" t="n"/>
      <c r="F649" s="6" t="n"/>
      <c r="G649" s="25" t="n"/>
      <c r="H649" s="27">
        <f>IF(C649="","",IF(G649&lt;&gt;"",G649,IFERROR(INDEX(Clients!$G$5:$G$304,MATCH(C649,Clients!$A$5:$A$304,0)),0)))</f>
        <v/>
      </c>
      <c r="I649" s="25" t="n"/>
      <c r="J649" s="27">
        <f>IF(C649="","",H649+N(I649))</f>
        <v/>
      </c>
      <c r="K649" s="6" t="n"/>
      <c r="L649" s="6" t="n"/>
      <c r="M649" s="25" t="n"/>
      <c r="N649" s="10" t="n"/>
      <c r="O649" s="27">
        <f>IF(C649="","",N(E649)*Settings!$B$8)</f>
        <v/>
      </c>
      <c r="P649" s="27">
        <f>IF(C649="","",N(N649)*Settings!$B$10)</f>
        <v/>
      </c>
      <c r="Q649" s="27">
        <f>IF(C649="","",J649-N(M649)-O649-P649)</f>
        <v/>
      </c>
      <c r="R649" s="6" t="n"/>
    </row>
    <row r="650">
      <c r="A650" s="17">
        <f>IF(B650="","","J-"&amp;TEXT(ROW()-4,"0000"))</f>
        <v/>
      </c>
      <c r="B650" s="26" t="n"/>
      <c r="C650" s="6" t="n"/>
      <c r="D650" s="6" t="n"/>
      <c r="E650" s="29" t="n"/>
      <c r="F650" s="6" t="n"/>
      <c r="G650" s="25" t="n"/>
      <c r="H650" s="30">
        <f>IF(C650="","",IF(G650&lt;&gt;"",G650,IFERROR(INDEX(Clients!$G$5:$G$304,MATCH(C650,Clients!$A$5:$A$304,0)),0)))</f>
        <v/>
      </c>
      <c r="I650" s="25" t="n"/>
      <c r="J650" s="30">
        <f>IF(C650="","",H650+N(I650))</f>
        <v/>
      </c>
      <c r="K650" s="6" t="n"/>
      <c r="L650" s="6" t="n"/>
      <c r="M650" s="25" t="n"/>
      <c r="N650" s="10" t="n"/>
      <c r="O650" s="30">
        <f>IF(C650="","",N(E650)*Settings!$B$8)</f>
        <v/>
      </c>
      <c r="P650" s="30">
        <f>IF(C650="","",N(N650)*Settings!$B$10)</f>
        <v/>
      </c>
      <c r="Q650" s="30">
        <f>IF(C650="","",J650-N(M650)-O650-P650)</f>
        <v/>
      </c>
      <c r="R650" s="6" t="n"/>
    </row>
    <row r="651">
      <c r="A651" s="8">
        <f>IF(B651="","","J-"&amp;TEXT(ROW()-4,"0000"))</f>
        <v/>
      </c>
      <c r="B651" s="26" t="n"/>
      <c r="C651" s="6" t="n"/>
      <c r="D651" s="6" t="n"/>
      <c r="E651" s="29" t="n"/>
      <c r="F651" s="6" t="n"/>
      <c r="G651" s="25" t="n"/>
      <c r="H651" s="27">
        <f>IF(C651="","",IF(G651&lt;&gt;"",G651,IFERROR(INDEX(Clients!$G$5:$G$304,MATCH(C651,Clients!$A$5:$A$304,0)),0)))</f>
        <v/>
      </c>
      <c r="I651" s="25" t="n"/>
      <c r="J651" s="27">
        <f>IF(C651="","",H651+N(I651))</f>
        <v/>
      </c>
      <c r="K651" s="6" t="n"/>
      <c r="L651" s="6" t="n"/>
      <c r="M651" s="25" t="n"/>
      <c r="N651" s="10" t="n"/>
      <c r="O651" s="27">
        <f>IF(C651="","",N(E651)*Settings!$B$8)</f>
        <v/>
      </c>
      <c r="P651" s="27">
        <f>IF(C651="","",N(N651)*Settings!$B$10)</f>
        <v/>
      </c>
      <c r="Q651" s="27">
        <f>IF(C651="","",J651-N(M651)-O651-P651)</f>
        <v/>
      </c>
      <c r="R651" s="6" t="n"/>
    </row>
    <row r="652">
      <c r="A652" s="17">
        <f>IF(B652="","","J-"&amp;TEXT(ROW()-4,"0000"))</f>
        <v/>
      </c>
      <c r="B652" s="26" t="n"/>
      <c r="C652" s="6" t="n"/>
      <c r="D652" s="6" t="n"/>
      <c r="E652" s="29" t="n"/>
      <c r="F652" s="6" t="n"/>
      <c r="G652" s="25" t="n"/>
      <c r="H652" s="30">
        <f>IF(C652="","",IF(G652&lt;&gt;"",G652,IFERROR(INDEX(Clients!$G$5:$G$304,MATCH(C652,Clients!$A$5:$A$304,0)),0)))</f>
        <v/>
      </c>
      <c r="I652" s="25" t="n"/>
      <c r="J652" s="30">
        <f>IF(C652="","",H652+N(I652))</f>
        <v/>
      </c>
      <c r="K652" s="6" t="n"/>
      <c r="L652" s="6" t="n"/>
      <c r="M652" s="25" t="n"/>
      <c r="N652" s="10" t="n"/>
      <c r="O652" s="30">
        <f>IF(C652="","",N(E652)*Settings!$B$8)</f>
        <v/>
      </c>
      <c r="P652" s="30">
        <f>IF(C652="","",N(N652)*Settings!$B$10)</f>
        <v/>
      </c>
      <c r="Q652" s="30">
        <f>IF(C652="","",J652-N(M652)-O652-P652)</f>
        <v/>
      </c>
      <c r="R652" s="6" t="n"/>
    </row>
    <row r="653">
      <c r="A653" s="8">
        <f>IF(B653="","","J-"&amp;TEXT(ROW()-4,"0000"))</f>
        <v/>
      </c>
      <c r="B653" s="26" t="n"/>
      <c r="C653" s="6" t="n"/>
      <c r="D653" s="6" t="n"/>
      <c r="E653" s="29" t="n"/>
      <c r="F653" s="6" t="n"/>
      <c r="G653" s="25" t="n"/>
      <c r="H653" s="27">
        <f>IF(C653="","",IF(G653&lt;&gt;"",G653,IFERROR(INDEX(Clients!$G$5:$G$304,MATCH(C653,Clients!$A$5:$A$304,0)),0)))</f>
        <v/>
      </c>
      <c r="I653" s="25" t="n"/>
      <c r="J653" s="27">
        <f>IF(C653="","",H653+N(I653))</f>
        <v/>
      </c>
      <c r="K653" s="6" t="n"/>
      <c r="L653" s="6" t="n"/>
      <c r="M653" s="25" t="n"/>
      <c r="N653" s="10" t="n"/>
      <c r="O653" s="27">
        <f>IF(C653="","",N(E653)*Settings!$B$8)</f>
        <v/>
      </c>
      <c r="P653" s="27">
        <f>IF(C653="","",N(N653)*Settings!$B$10)</f>
        <v/>
      </c>
      <c r="Q653" s="27">
        <f>IF(C653="","",J653-N(M653)-O653-P653)</f>
        <v/>
      </c>
      <c r="R653" s="6" t="n"/>
    </row>
    <row r="654">
      <c r="A654" s="17">
        <f>IF(B654="","","J-"&amp;TEXT(ROW()-4,"0000"))</f>
        <v/>
      </c>
      <c r="B654" s="26" t="n"/>
      <c r="C654" s="6" t="n"/>
      <c r="D654" s="6" t="n"/>
      <c r="E654" s="29" t="n"/>
      <c r="F654" s="6" t="n"/>
      <c r="G654" s="25" t="n"/>
      <c r="H654" s="30">
        <f>IF(C654="","",IF(G654&lt;&gt;"",G654,IFERROR(INDEX(Clients!$G$5:$G$304,MATCH(C654,Clients!$A$5:$A$304,0)),0)))</f>
        <v/>
      </c>
      <c r="I654" s="25" t="n"/>
      <c r="J654" s="30">
        <f>IF(C654="","",H654+N(I654))</f>
        <v/>
      </c>
      <c r="K654" s="6" t="n"/>
      <c r="L654" s="6" t="n"/>
      <c r="M654" s="25" t="n"/>
      <c r="N654" s="10" t="n"/>
      <c r="O654" s="30">
        <f>IF(C654="","",N(E654)*Settings!$B$8)</f>
        <v/>
      </c>
      <c r="P654" s="30">
        <f>IF(C654="","",N(N654)*Settings!$B$10)</f>
        <v/>
      </c>
      <c r="Q654" s="30">
        <f>IF(C654="","",J654-N(M654)-O654-P654)</f>
        <v/>
      </c>
      <c r="R654" s="6" t="n"/>
    </row>
    <row r="655">
      <c r="A655" s="8">
        <f>IF(B655="","","J-"&amp;TEXT(ROW()-4,"0000"))</f>
        <v/>
      </c>
      <c r="B655" s="26" t="n"/>
      <c r="C655" s="6" t="n"/>
      <c r="D655" s="6" t="n"/>
      <c r="E655" s="29" t="n"/>
      <c r="F655" s="6" t="n"/>
      <c r="G655" s="25" t="n"/>
      <c r="H655" s="27">
        <f>IF(C655="","",IF(G655&lt;&gt;"",G655,IFERROR(INDEX(Clients!$G$5:$G$304,MATCH(C655,Clients!$A$5:$A$304,0)),0)))</f>
        <v/>
      </c>
      <c r="I655" s="25" t="n"/>
      <c r="J655" s="27">
        <f>IF(C655="","",H655+N(I655))</f>
        <v/>
      </c>
      <c r="K655" s="6" t="n"/>
      <c r="L655" s="6" t="n"/>
      <c r="M655" s="25" t="n"/>
      <c r="N655" s="10" t="n"/>
      <c r="O655" s="27">
        <f>IF(C655="","",N(E655)*Settings!$B$8)</f>
        <v/>
      </c>
      <c r="P655" s="27">
        <f>IF(C655="","",N(N655)*Settings!$B$10)</f>
        <v/>
      </c>
      <c r="Q655" s="27">
        <f>IF(C655="","",J655-N(M655)-O655-P655)</f>
        <v/>
      </c>
      <c r="R655" s="6" t="n"/>
    </row>
    <row r="656">
      <c r="A656" s="17">
        <f>IF(B656="","","J-"&amp;TEXT(ROW()-4,"0000"))</f>
        <v/>
      </c>
      <c r="B656" s="26" t="n"/>
      <c r="C656" s="6" t="n"/>
      <c r="D656" s="6" t="n"/>
      <c r="E656" s="29" t="n"/>
      <c r="F656" s="6" t="n"/>
      <c r="G656" s="25" t="n"/>
      <c r="H656" s="30">
        <f>IF(C656="","",IF(G656&lt;&gt;"",G656,IFERROR(INDEX(Clients!$G$5:$G$304,MATCH(C656,Clients!$A$5:$A$304,0)),0)))</f>
        <v/>
      </c>
      <c r="I656" s="25" t="n"/>
      <c r="J656" s="30">
        <f>IF(C656="","",H656+N(I656))</f>
        <v/>
      </c>
      <c r="K656" s="6" t="n"/>
      <c r="L656" s="6" t="n"/>
      <c r="M656" s="25" t="n"/>
      <c r="N656" s="10" t="n"/>
      <c r="O656" s="30">
        <f>IF(C656="","",N(E656)*Settings!$B$8)</f>
        <v/>
      </c>
      <c r="P656" s="30">
        <f>IF(C656="","",N(N656)*Settings!$B$10)</f>
        <v/>
      </c>
      <c r="Q656" s="30">
        <f>IF(C656="","",J656-N(M656)-O656-P656)</f>
        <v/>
      </c>
      <c r="R656" s="6" t="n"/>
    </row>
    <row r="657">
      <c r="A657" s="8">
        <f>IF(B657="","","J-"&amp;TEXT(ROW()-4,"0000"))</f>
        <v/>
      </c>
      <c r="B657" s="26" t="n"/>
      <c r="C657" s="6" t="n"/>
      <c r="D657" s="6" t="n"/>
      <c r="E657" s="29" t="n"/>
      <c r="F657" s="6" t="n"/>
      <c r="G657" s="25" t="n"/>
      <c r="H657" s="27">
        <f>IF(C657="","",IF(G657&lt;&gt;"",G657,IFERROR(INDEX(Clients!$G$5:$G$304,MATCH(C657,Clients!$A$5:$A$304,0)),0)))</f>
        <v/>
      </c>
      <c r="I657" s="25" t="n"/>
      <c r="J657" s="27">
        <f>IF(C657="","",H657+N(I657))</f>
        <v/>
      </c>
      <c r="K657" s="6" t="n"/>
      <c r="L657" s="6" t="n"/>
      <c r="M657" s="25" t="n"/>
      <c r="N657" s="10" t="n"/>
      <c r="O657" s="27">
        <f>IF(C657="","",N(E657)*Settings!$B$8)</f>
        <v/>
      </c>
      <c r="P657" s="27">
        <f>IF(C657="","",N(N657)*Settings!$B$10)</f>
        <v/>
      </c>
      <c r="Q657" s="27">
        <f>IF(C657="","",J657-N(M657)-O657-P657)</f>
        <v/>
      </c>
      <c r="R657" s="6" t="n"/>
    </row>
    <row r="658">
      <c r="A658" s="17">
        <f>IF(B658="","","J-"&amp;TEXT(ROW()-4,"0000"))</f>
        <v/>
      </c>
      <c r="B658" s="26" t="n"/>
      <c r="C658" s="6" t="n"/>
      <c r="D658" s="6" t="n"/>
      <c r="E658" s="29" t="n"/>
      <c r="F658" s="6" t="n"/>
      <c r="G658" s="25" t="n"/>
      <c r="H658" s="30">
        <f>IF(C658="","",IF(G658&lt;&gt;"",G658,IFERROR(INDEX(Clients!$G$5:$G$304,MATCH(C658,Clients!$A$5:$A$304,0)),0)))</f>
        <v/>
      </c>
      <c r="I658" s="25" t="n"/>
      <c r="J658" s="30">
        <f>IF(C658="","",H658+N(I658))</f>
        <v/>
      </c>
      <c r="K658" s="6" t="n"/>
      <c r="L658" s="6" t="n"/>
      <c r="M658" s="25" t="n"/>
      <c r="N658" s="10" t="n"/>
      <c r="O658" s="30">
        <f>IF(C658="","",N(E658)*Settings!$B$8)</f>
        <v/>
      </c>
      <c r="P658" s="30">
        <f>IF(C658="","",N(N658)*Settings!$B$10)</f>
        <v/>
      </c>
      <c r="Q658" s="30">
        <f>IF(C658="","",J658-N(M658)-O658-P658)</f>
        <v/>
      </c>
      <c r="R658" s="6" t="n"/>
    </row>
    <row r="659">
      <c r="A659" s="8">
        <f>IF(B659="","","J-"&amp;TEXT(ROW()-4,"0000"))</f>
        <v/>
      </c>
      <c r="B659" s="26" t="n"/>
      <c r="C659" s="6" t="n"/>
      <c r="D659" s="6" t="n"/>
      <c r="E659" s="29" t="n"/>
      <c r="F659" s="6" t="n"/>
      <c r="G659" s="25" t="n"/>
      <c r="H659" s="27">
        <f>IF(C659="","",IF(G659&lt;&gt;"",G659,IFERROR(INDEX(Clients!$G$5:$G$304,MATCH(C659,Clients!$A$5:$A$304,0)),0)))</f>
        <v/>
      </c>
      <c r="I659" s="25" t="n"/>
      <c r="J659" s="27">
        <f>IF(C659="","",H659+N(I659))</f>
        <v/>
      </c>
      <c r="K659" s="6" t="n"/>
      <c r="L659" s="6" t="n"/>
      <c r="M659" s="25" t="n"/>
      <c r="N659" s="10" t="n"/>
      <c r="O659" s="27">
        <f>IF(C659="","",N(E659)*Settings!$B$8)</f>
        <v/>
      </c>
      <c r="P659" s="27">
        <f>IF(C659="","",N(N659)*Settings!$B$10)</f>
        <v/>
      </c>
      <c r="Q659" s="27">
        <f>IF(C659="","",J659-N(M659)-O659-P659)</f>
        <v/>
      </c>
      <c r="R659" s="6" t="n"/>
    </row>
    <row r="660">
      <c r="A660" s="17">
        <f>IF(B660="","","J-"&amp;TEXT(ROW()-4,"0000"))</f>
        <v/>
      </c>
      <c r="B660" s="26" t="n"/>
      <c r="C660" s="6" t="n"/>
      <c r="D660" s="6" t="n"/>
      <c r="E660" s="29" t="n"/>
      <c r="F660" s="6" t="n"/>
      <c r="G660" s="25" t="n"/>
      <c r="H660" s="30">
        <f>IF(C660="","",IF(G660&lt;&gt;"",G660,IFERROR(INDEX(Clients!$G$5:$G$304,MATCH(C660,Clients!$A$5:$A$304,0)),0)))</f>
        <v/>
      </c>
      <c r="I660" s="25" t="n"/>
      <c r="J660" s="30">
        <f>IF(C660="","",H660+N(I660))</f>
        <v/>
      </c>
      <c r="K660" s="6" t="n"/>
      <c r="L660" s="6" t="n"/>
      <c r="M660" s="25" t="n"/>
      <c r="N660" s="10" t="n"/>
      <c r="O660" s="30">
        <f>IF(C660="","",N(E660)*Settings!$B$8)</f>
        <v/>
      </c>
      <c r="P660" s="30">
        <f>IF(C660="","",N(N660)*Settings!$B$10)</f>
        <v/>
      </c>
      <c r="Q660" s="30">
        <f>IF(C660="","",J660-N(M660)-O660-P660)</f>
        <v/>
      </c>
      <c r="R660" s="6" t="n"/>
    </row>
    <row r="661">
      <c r="A661" s="8">
        <f>IF(B661="","","J-"&amp;TEXT(ROW()-4,"0000"))</f>
        <v/>
      </c>
      <c r="B661" s="26" t="n"/>
      <c r="C661" s="6" t="n"/>
      <c r="D661" s="6" t="n"/>
      <c r="E661" s="29" t="n"/>
      <c r="F661" s="6" t="n"/>
      <c r="G661" s="25" t="n"/>
      <c r="H661" s="27">
        <f>IF(C661="","",IF(G661&lt;&gt;"",G661,IFERROR(INDEX(Clients!$G$5:$G$304,MATCH(C661,Clients!$A$5:$A$304,0)),0)))</f>
        <v/>
      </c>
      <c r="I661" s="25" t="n"/>
      <c r="J661" s="27">
        <f>IF(C661="","",H661+N(I661))</f>
        <v/>
      </c>
      <c r="K661" s="6" t="n"/>
      <c r="L661" s="6" t="n"/>
      <c r="M661" s="25" t="n"/>
      <c r="N661" s="10" t="n"/>
      <c r="O661" s="27">
        <f>IF(C661="","",N(E661)*Settings!$B$8)</f>
        <v/>
      </c>
      <c r="P661" s="27">
        <f>IF(C661="","",N(N661)*Settings!$B$10)</f>
        <v/>
      </c>
      <c r="Q661" s="27">
        <f>IF(C661="","",J661-N(M661)-O661-P661)</f>
        <v/>
      </c>
      <c r="R661" s="6" t="n"/>
    </row>
    <row r="662">
      <c r="A662" s="17">
        <f>IF(B662="","","J-"&amp;TEXT(ROW()-4,"0000"))</f>
        <v/>
      </c>
      <c r="B662" s="26" t="n"/>
      <c r="C662" s="6" t="n"/>
      <c r="D662" s="6" t="n"/>
      <c r="E662" s="29" t="n"/>
      <c r="F662" s="6" t="n"/>
      <c r="G662" s="25" t="n"/>
      <c r="H662" s="30">
        <f>IF(C662="","",IF(G662&lt;&gt;"",G662,IFERROR(INDEX(Clients!$G$5:$G$304,MATCH(C662,Clients!$A$5:$A$304,0)),0)))</f>
        <v/>
      </c>
      <c r="I662" s="25" t="n"/>
      <c r="J662" s="30">
        <f>IF(C662="","",H662+N(I662))</f>
        <v/>
      </c>
      <c r="K662" s="6" t="n"/>
      <c r="L662" s="6" t="n"/>
      <c r="M662" s="25" t="n"/>
      <c r="N662" s="10" t="n"/>
      <c r="O662" s="30">
        <f>IF(C662="","",N(E662)*Settings!$B$8)</f>
        <v/>
      </c>
      <c r="P662" s="30">
        <f>IF(C662="","",N(N662)*Settings!$B$10)</f>
        <v/>
      </c>
      <c r="Q662" s="30">
        <f>IF(C662="","",J662-N(M662)-O662-P662)</f>
        <v/>
      </c>
      <c r="R662" s="6" t="n"/>
    </row>
    <row r="663">
      <c r="A663" s="8">
        <f>IF(B663="","","J-"&amp;TEXT(ROW()-4,"0000"))</f>
        <v/>
      </c>
      <c r="B663" s="26" t="n"/>
      <c r="C663" s="6" t="n"/>
      <c r="D663" s="6" t="n"/>
      <c r="E663" s="29" t="n"/>
      <c r="F663" s="6" t="n"/>
      <c r="G663" s="25" t="n"/>
      <c r="H663" s="27">
        <f>IF(C663="","",IF(G663&lt;&gt;"",G663,IFERROR(INDEX(Clients!$G$5:$G$304,MATCH(C663,Clients!$A$5:$A$304,0)),0)))</f>
        <v/>
      </c>
      <c r="I663" s="25" t="n"/>
      <c r="J663" s="27">
        <f>IF(C663="","",H663+N(I663))</f>
        <v/>
      </c>
      <c r="K663" s="6" t="n"/>
      <c r="L663" s="6" t="n"/>
      <c r="M663" s="25" t="n"/>
      <c r="N663" s="10" t="n"/>
      <c r="O663" s="27">
        <f>IF(C663="","",N(E663)*Settings!$B$8)</f>
        <v/>
      </c>
      <c r="P663" s="27">
        <f>IF(C663="","",N(N663)*Settings!$B$10)</f>
        <v/>
      </c>
      <c r="Q663" s="27">
        <f>IF(C663="","",J663-N(M663)-O663-P663)</f>
        <v/>
      </c>
      <c r="R663" s="6" t="n"/>
    </row>
    <row r="664">
      <c r="A664" s="17">
        <f>IF(B664="","","J-"&amp;TEXT(ROW()-4,"0000"))</f>
        <v/>
      </c>
      <c r="B664" s="26" t="n"/>
      <c r="C664" s="6" t="n"/>
      <c r="D664" s="6" t="n"/>
      <c r="E664" s="29" t="n"/>
      <c r="F664" s="6" t="n"/>
      <c r="G664" s="25" t="n"/>
      <c r="H664" s="30">
        <f>IF(C664="","",IF(G664&lt;&gt;"",G664,IFERROR(INDEX(Clients!$G$5:$G$304,MATCH(C664,Clients!$A$5:$A$304,0)),0)))</f>
        <v/>
      </c>
      <c r="I664" s="25" t="n"/>
      <c r="J664" s="30">
        <f>IF(C664="","",H664+N(I664))</f>
        <v/>
      </c>
      <c r="K664" s="6" t="n"/>
      <c r="L664" s="6" t="n"/>
      <c r="M664" s="25" t="n"/>
      <c r="N664" s="10" t="n"/>
      <c r="O664" s="30">
        <f>IF(C664="","",N(E664)*Settings!$B$8)</f>
        <v/>
      </c>
      <c r="P664" s="30">
        <f>IF(C664="","",N(N664)*Settings!$B$10)</f>
        <v/>
      </c>
      <c r="Q664" s="30">
        <f>IF(C664="","",J664-N(M664)-O664-P664)</f>
        <v/>
      </c>
      <c r="R664" s="6" t="n"/>
    </row>
    <row r="665">
      <c r="A665" s="8">
        <f>IF(B665="","","J-"&amp;TEXT(ROW()-4,"0000"))</f>
        <v/>
      </c>
      <c r="B665" s="26" t="n"/>
      <c r="C665" s="6" t="n"/>
      <c r="D665" s="6" t="n"/>
      <c r="E665" s="29" t="n"/>
      <c r="F665" s="6" t="n"/>
      <c r="G665" s="25" t="n"/>
      <c r="H665" s="27">
        <f>IF(C665="","",IF(G665&lt;&gt;"",G665,IFERROR(INDEX(Clients!$G$5:$G$304,MATCH(C665,Clients!$A$5:$A$304,0)),0)))</f>
        <v/>
      </c>
      <c r="I665" s="25" t="n"/>
      <c r="J665" s="27">
        <f>IF(C665="","",H665+N(I665))</f>
        <v/>
      </c>
      <c r="K665" s="6" t="n"/>
      <c r="L665" s="6" t="n"/>
      <c r="M665" s="25" t="n"/>
      <c r="N665" s="10" t="n"/>
      <c r="O665" s="27">
        <f>IF(C665="","",N(E665)*Settings!$B$8)</f>
        <v/>
      </c>
      <c r="P665" s="27">
        <f>IF(C665="","",N(N665)*Settings!$B$10)</f>
        <v/>
      </c>
      <c r="Q665" s="27">
        <f>IF(C665="","",J665-N(M665)-O665-P665)</f>
        <v/>
      </c>
      <c r="R665" s="6" t="n"/>
    </row>
    <row r="666">
      <c r="A666" s="17">
        <f>IF(B666="","","J-"&amp;TEXT(ROW()-4,"0000"))</f>
        <v/>
      </c>
      <c r="B666" s="26" t="n"/>
      <c r="C666" s="6" t="n"/>
      <c r="D666" s="6" t="n"/>
      <c r="E666" s="29" t="n"/>
      <c r="F666" s="6" t="n"/>
      <c r="G666" s="25" t="n"/>
      <c r="H666" s="30">
        <f>IF(C666="","",IF(G666&lt;&gt;"",G666,IFERROR(INDEX(Clients!$G$5:$G$304,MATCH(C666,Clients!$A$5:$A$304,0)),0)))</f>
        <v/>
      </c>
      <c r="I666" s="25" t="n"/>
      <c r="J666" s="30">
        <f>IF(C666="","",H666+N(I666))</f>
        <v/>
      </c>
      <c r="K666" s="6" t="n"/>
      <c r="L666" s="6" t="n"/>
      <c r="M666" s="25" t="n"/>
      <c r="N666" s="10" t="n"/>
      <c r="O666" s="30">
        <f>IF(C666="","",N(E666)*Settings!$B$8)</f>
        <v/>
      </c>
      <c r="P666" s="30">
        <f>IF(C666="","",N(N666)*Settings!$B$10)</f>
        <v/>
      </c>
      <c r="Q666" s="30">
        <f>IF(C666="","",J666-N(M666)-O666-P666)</f>
        <v/>
      </c>
      <c r="R666" s="6" t="n"/>
    </row>
    <row r="667">
      <c r="A667" s="8">
        <f>IF(B667="","","J-"&amp;TEXT(ROW()-4,"0000"))</f>
        <v/>
      </c>
      <c r="B667" s="26" t="n"/>
      <c r="C667" s="6" t="n"/>
      <c r="D667" s="6" t="n"/>
      <c r="E667" s="29" t="n"/>
      <c r="F667" s="6" t="n"/>
      <c r="G667" s="25" t="n"/>
      <c r="H667" s="27">
        <f>IF(C667="","",IF(G667&lt;&gt;"",G667,IFERROR(INDEX(Clients!$G$5:$G$304,MATCH(C667,Clients!$A$5:$A$304,0)),0)))</f>
        <v/>
      </c>
      <c r="I667" s="25" t="n"/>
      <c r="J667" s="27">
        <f>IF(C667="","",H667+N(I667))</f>
        <v/>
      </c>
      <c r="K667" s="6" t="n"/>
      <c r="L667" s="6" t="n"/>
      <c r="M667" s="25" t="n"/>
      <c r="N667" s="10" t="n"/>
      <c r="O667" s="27">
        <f>IF(C667="","",N(E667)*Settings!$B$8)</f>
        <v/>
      </c>
      <c r="P667" s="27">
        <f>IF(C667="","",N(N667)*Settings!$B$10)</f>
        <v/>
      </c>
      <c r="Q667" s="27">
        <f>IF(C667="","",J667-N(M667)-O667-P667)</f>
        <v/>
      </c>
      <c r="R667" s="6" t="n"/>
    </row>
    <row r="668">
      <c r="A668" s="17">
        <f>IF(B668="","","J-"&amp;TEXT(ROW()-4,"0000"))</f>
        <v/>
      </c>
      <c r="B668" s="26" t="n"/>
      <c r="C668" s="6" t="n"/>
      <c r="D668" s="6" t="n"/>
      <c r="E668" s="29" t="n"/>
      <c r="F668" s="6" t="n"/>
      <c r="G668" s="25" t="n"/>
      <c r="H668" s="30">
        <f>IF(C668="","",IF(G668&lt;&gt;"",G668,IFERROR(INDEX(Clients!$G$5:$G$304,MATCH(C668,Clients!$A$5:$A$304,0)),0)))</f>
        <v/>
      </c>
      <c r="I668" s="25" t="n"/>
      <c r="J668" s="30">
        <f>IF(C668="","",H668+N(I668))</f>
        <v/>
      </c>
      <c r="K668" s="6" t="n"/>
      <c r="L668" s="6" t="n"/>
      <c r="M668" s="25" t="n"/>
      <c r="N668" s="10" t="n"/>
      <c r="O668" s="30">
        <f>IF(C668="","",N(E668)*Settings!$B$8)</f>
        <v/>
      </c>
      <c r="P668" s="30">
        <f>IF(C668="","",N(N668)*Settings!$B$10)</f>
        <v/>
      </c>
      <c r="Q668" s="30">
        <f>IF(C668="","",J668-N(M668)-O668-P668)</f>
        <v/>
      </c>
      <c r="R668" s="6" t="n"/>
    </row>
    <row r="669">
      <c r="A669" s="8">
        <f>IF(B669="","","J-"&amp;TEXT(ROW()-4,"0000"))</f>
        <v/>
      </c>
      <c r="B669" s="26" t="n"/>
      <c r="C669" s="6" t="n"/>
      <c r="D669" s="6" t="n"/>
      <c r="E669" s="29" t="n"/>
      <c r="F669" s="6" t="n"/>
      <c r="G669" s="25" t="n"/>
      <c r="H669" s="27">
        <f>IF(C669="","",IF(G669&lt;&gt;"",G669,IFERROR(INDEX(Clients!$G$5:$G$304,MATCH(C669,Clients!$A$5:$A$304,0)),0)))</f>
        <v/>
      </c>
      <c r="I669" s="25" t="n"/>
      <c r="J669" s="27">
        <f>IF(C669="","",H669+N(I669))</f>
        <v/>
      </c>
      <c r="K669" s="6" t="n"/>
      <c r="L669" s="6" t="n"/>
      <c r="M669" s="25" t="n"/>
      <c r="N669" s="10" t="n"/>
      <c r="O669" s="27">
        <f>IF(C669="","",N(E669)*Settings!$B$8)</f>
        <v/>
      </c>
      <c r="P669" s="27">
        <f>IF(C669="","",N(N669)*Settings!$B$10)</f>
        <v/>
      </c>
      <c r="Q669" s="27">
        <f>IF(C669="","",J669-N(M669)-O669-P669)</f>
        <v/>
      </c>
      <c r="R669" s="6" t="n"/>
    </row>
    <row r="670">
      <c r="A670" s="17">
        <f>IF(B670="","","J-"&amp;TEXT(ROW()-4,"0000"))</f>
        <v/>
      </c>
      <c r="B670" s="26" t="n"/>
      <c r="C670" s="6" t="n"/>
      <c r="D670" s="6" t="n"/>
      <c r="E670" s="29" t="n"/>
      <c r="F670" s="6" t="n"/>
      <c r="G670" s="25" t="n"/>
      <c r="H670" s="30">
        <f>IF(C670="","",IF(G670&lt;&gt;"",G670,IFERROR(INDEX(Clients!$G$5:$G$304,MATCH(C670,Clients!$A$5:$A$304,0)),0)))</f>
        <v/>
      </c>
      <c r="I670" s="25" t="n"/>
      <c r="J670" s="30">
        <f>IF(C670="","",H670+N(I670))</f>
        <v/>
      </c>
      <c r="K670" s="6" t="n"/>
      <c r="L670" s="6" t="n"/>
      <c r="M670" s="25" t="n"/>
      <c r="N670" s="10" t="n"/>
      <c r="O670" s="30">
        <f>IF(C670="","",N(E670)*Settings!$B$8)</f>
        <v/>
      </c>
      <c r="P670" s="30">
        <f>IF(C670="","",N(N670)*Settings!$B$10)</f>
        <v/>
      </c>
      <c r="Q670" s="30">
        <f>IF(C670="","",J670-N(M670)-O670-P670)</f>
        <v/>
      </c>
      <c r="R670" s="6" t="n"/>
    </row>
    <row r="671">
      <c r="A671" s="8">
        <f>IF(B671="","","J-"&amp;TEXT(ROW()-4,"0000"))</f>
        <v/>
      </c>
      <c r="B671" s="26" t="n"/>
      <c r="C671" s="6" t="n"/>
      <c r="D671" s="6" t="n"/>
      <c r="E671" s="29" t="n"/>
      <c r="F671" s="6" t="n"/>
      <c r="G671" s="25" t="n"/>
      <c r="H671" s="27">
        <f>IF(C671="","",IF(G671&lt;&gt;"",G671,IFERROR(INDEX(Clients!$G$5:$G$304,MATCH(C671,Clients!$A$5:$A$304,0)),0)))</f>
        <v/>
      </c>
      <c r="I671" s="25" t="n"/>
      <c r="J671" s="27">
        <f>IF(C671="","",H671+N(I671))</f>
        <v/>
      </c>
      <c r="K671" s="6" t="n"/>
      <c r="L671" s="6" t="n"/>
      <c r="M671" s="25" t="n"/>
      <c r="N671" s="10" t="n"/>
      <c r="O671" s="27">
        <f>IF(C671="","",N(E671)*Settings!$B$8)</f>
        <v/>
      </c>
      <c r="P671" s="27">
        <f>IF(C671="","",N(N671)*Settings!$B$10)</f>
        <v/>
      </c>
      <c r="Q671" s="27">
        <f>IF(C671="","",J671-N(M671)-O671-P671)</f>
        <v/>
      </c>
      <c r="R671" s="6" t="n"/>
    </row>
    <row r="672">
      <c r="A672" s="17">
        <f>IF(B672="","","J-"&amp;TEXT(ROW()-4,"0000"))</f>
        <v/>
      </c>
      <c r="B672" s="26" t="n"/>
      <c r="C672" s="6" t="n"/>
      <c r="D672" s="6" t="n"/>
      <c r="E672" s="29" t="n"/>
      <c r="F672" s="6" t="n"/>
      <c r="G672" s="25" t="n"/>
      <c r="H672" s="30">
        <f>IF(C672="","",IF(G672&lt;&gt;"",G672,IFERROR(INDEX(Clients!$G$5:$G$304,MATCH(C672,Clients!$A$5:$A$304,0)),0)))</f>
        <v/>
      </c>
      <c r="I672" s="25" t="n"/>
      <c r="J672" s="30">
        <f>IF(C672="","",H672+N(I672))</f>
        <v/>
      </c>
      <c r="K672" s="6" t="n"/>
      <c r="L672" s="6" t="n"/>
      <c r="M672" s="25" t="n"/>
      <c r="N672" s="10" t="n"/>
      <c r="O672" s="30">
        <f>IF(C672="","",N(E672)*Settings!$B$8)</f>
        <v/>
      </c>
      <c r="P672" s="30">
        <f>IF(C672="","",N(N672)*Settings!$B$10)</f>
        <v/>
      </c>
      <c r="Q672" s="30">
        <f>IF(C672="","",J672-N(M672)-O672-P672)</f>
        <v/>
      </c>
      <c r="R672" s="6" t="n"/>
    </row>
    <row r="673">
      <c r="A673" s="8">
        <f>IF(B673="","","J-"&amp;TEXT(ROW()-4,"0000"))</f>
        <v/>
      </c>
      <c r="B673" s="26" t="n"/>
      <c r="C673" s="6" t="n"/>
      <c r="D673" s="6" t="n"/>
      <c r="E673" s="29" t="n"/>
      <c r="F673" s="6" t="n"/>
      <c r="G673" s="25" t="n"/>
      <c r="H673" s="27">
        <f>IF(C673="","",IF(G673&lt;&gt;"",G673,IFERROR(INDEX(Clients!$G$5:$G$304,MATCH(C673,Clients!$A$5:$A$304,0)),0)))</f>
        <v/>
      </c>
      <c r="I673" s="25" t="n"/>
      <c r="J673" s="27">
        <f>IF(C673="","",H673+N(I673))</f>
        <v/>
      </c>
      <c r="K673" s="6" t="n"/>
      <c r="L673" s="6" t="n"/>
      <c r="M673" s="25" t="n"/>
      <c r="N673" s="10" t="n"/>
      <c r="O673" s="27">
        <f>IF(C673="","",N(E673)*Settings!$B$8)</f>
        <v/>
      </c>
      <c r="P673" s="27">
        <f>IF(C673="","",N(N673)*Settings!$B$10)</f>
        <v/>
      </c>
      <c r="Q673" s="27">
        <f>IF(C673="","",J673-N(M673)-O673-P673)</f>
        <v/>
      </c>
      <c r="R673" s="6" t="n"/>
    </row>
    <row r="674">
      <c r="A674" s="17">
        <f>IF(B674="","","J-"&amp;TEXT(ROW()-4,"0000"))</f>
        <v/>
      </c>
      <c r="B674" s="26" t="n"/>
      <c r="C674" s="6" t="n"/>
      <c r="D674" s="6" t="n"/>
      <c r="E674" s="29" t="n"/>
      <c r="F674" s="6" t="n"/>
      <c r="G674" s="25" t="n"/>
      <c r="H674" s="30">
        <f>IF(C674="","",IF(G674&lt;&gt;"",G674,IFERROR(INDEX(Clients!$G$5:$G$304,MATCH(C674,Clients!$A$5:$A$304,0)),0)))</f>
        <v/>
      </c>
      <c r="I674" s="25" t="n"/>
      <c r="J674" s="30">
        <f>IF(C674="","",H674+N(I674))</f>
        <v/>
      </c>
      <c r="K674" s="6" t="n"/>
      <c r="L674" s="6" t="n"/>
      <c r="M674" s="25" t="n"/>
      <c r="N674" s="10" t="n"/>
      <c r="O674" s="30">
        <f>IF(C674="","",N(E674)*Settings!$B$8)</f>
        <v/>
      </c>
      <c r="P674" s="30">
        <f>IF(C674="","",N(N674)*Settings!$B$10)</f>
        <v/>
      </c>
      <c r="Q674" s="30">
        <f>IF(C674="","",J674-N(M674)-O674-P674)</f>
        <v/>
      </c>
      <c r="R674" s="6" t="n"/>
    </row>
    <row r="675">
      <c r="A675" s="8">
        <f>IF(B675="","","J-"&amp;TEXT(ROW()-4,"0000"))</f>
        <v/>
      </c>
      <c r="B675" s="26" t="n"/>
      <c r="C675" s="6" t="n"/>
      <c r="D675" s="6" t="n"/>
      <c r="E675" s="29" t="n"/>
      <c r="F675" s="6" t="n"/>
      <c r="G675" s="25" t="n"/>
      <c r="H675" s="27">
        <f>IF(C675="","",IF(G675&lt;&gt;"",G675,IFERROR(INDEX(Clients!$G$5:$G$304,MATCH(C675,Clients!$A$5:$A$304,0)),0)))</f>
        <v/>
      </c>
      <c r="I675" s="25" t="n"/>
      <c r="J675" s="27">
        <f>IF(C675="","",H675+N(I675))</f>
        <v/>
      </c>
      <c r="K675" s="6" t="n"/>
      <c r="L675" s="6" t="n"/>
      <c r="M675" s="25" t="n"/>
      <c r="N675" s="10" t="n"/>
      <c r="O675" s="27">
        <f>IF(C675="","",N(E675)*Settings!$B$8)</f>
        <v/>
      </c>
      <c r="P675" s="27">
        <f>IF(C675="","",N(N675)*Settings!$B$10)</f>
        <v/>
      </c>
      <c r="Q675" s="27">
        <f>IF(C675="","",J675-N(M675)-O675-P675)</f>
        <v/>
      </c>
      <c r="R675" s="6" t="n"/>
    </row>
    <row r="676">
      <c r="A676" s="17">
        <f>IF(B676="","","J-"&amp;TEXT(ROW()-4,"0000"))</f>
        <v/>
      </c>
      <c r="B676" s="26" t="n"/>
      <c r="C676" s="6" t="n"/>
      <c r="D676" s="6" t="n"/>
      <c r="E676" s="29" t="n"/>
      <c r="F676" s="6" t="n"/>
      <c r="G676" s="25" t="n"/>
      <c r="H676" s="30">
        <f>IF(C676="","",IF(G676&lt;&gt;"",G676,IFERROR(INDEX(Clients!$G$5:$G$304,MATCH(C676,Clients!$A$5:$A$304,0)),0)))</f>
        <v/>
      </c>
      <c r="I676" s="25" t="n"/>
      <c r="J676" s="30">
        <f>IF(C676="","",H676+N(I676))</f>
        <v/>
      </c>
      <c r="K676" s="6" t="n"/>
      <c r="L676" s="6" t="n"/>
      <c r="M676" s="25" t="n"/>
      <c r="N676" s="10" t="n"/>
      <c r="O676" s="30">
        <f>IF(C676="","",N(E676)*Settings!$B$8)</f>
        <v/>
      </c>
      <c r="P676" s="30">
        <f>IF(C676="","",N(N676)*Settings!$B$10)</f>
        <v/>
      </c>
      <c r="Q676" s="30">
        <f>IF(C676="","",J676-N(M676)-O676-P676)</f>
        <v/>
      </c>
      <c r="R676" s="6" t="n"/>
    </row>
    <row r="677">
      <c r="A677" s="8">
        <f>IF(B677="","","J-"&amp;TEXT(ROW()-4,"0000"))</f>
        <v/>
      </c>
      <c r="B677" s="26" t="n"/>
      <c r="C677" s="6" t="n"/>
      <c r="D677" s="6" t="n"/>
      <c r="E677" s="29" t="n"/>
      <c r="F677" s="6" t="n"/>
      <c r="G677" s="25" t="n"/>
      <c r="H677" s="27">
        <f>IF(C677="","",IF(G677&lt;&gt;"",G677,IFERROR(INDEX(Clients!$G$5:$G$304,MATCH(C677,Clients!$A$5:$A$304,0)),0)))</f>
        <v/>
      </c>
      <c r="I677" s="25" t="n"/>
      <c r="J677" s="27">
        <f>IF(C677="","",H677+N(I677))</f>
        <v/>
      </c>
      <c r="K677" s="6" t="n"/>
      <c r="L677" s="6" t="n"/>
      <c r="M677" s="25" t="n"/>
      <c r="N677" s="10" t="n"/>
      <c r="O677" s="27">
        <f>IF(C677="","",N(E677)*Settings!$B$8)</f>
        <v/>
      </c>
      <c r="P677" s="27">
        <f>IF(C677="","",N(N677)*Settings!$B$10)</f>
        <v/>
      </c>
      <c r="Q677" s="27">
        <f>IF(C677="","",J677-N(M677)-O677-P677)</f>
        <v/>
      </c>
      <c r="R677" s="6" t="n"/>
    </row>
    <row r="678">
      <c r="A678" s="17">
        <f>IF(B678="","","J-"&amp;TEXT(ROW()-4,"0000"))</f>
        <v/>
      </c>
      <c r="B678" s="26" t="n"/>
      <c r="C678" s="6" t="n"/>
      <c r="D678" s="6" t="n"/>
      <c r="E678" s="29" t="n"/>
      <c r="F678" s="6" t="n"/>
      <c r="G678" s="25" t="n"/>
      <c r="H678" s="30">
        <f>IF(C678="","",IF(G678&lt;&gt;"",G678,IFERROR(INDEX(Clients!$G$5:$G$304,MATCH(C678,Clients!$A$5:$A$304,0)),0)))</f>
        <v/>
      </c>
      <c r="I678" s="25" t="n"/>
      <c r="J678" s="30">
        <f>IF(C678="","",H678+N(I678))</f>
        <v/>
      </c>
      <c r="K678" s="6" t="n"/>
      <c r="L678" s="6" t="n"/>
      <c r="M678" s="25" t="n"/>
      <c r="N678" s="10" t="n"/>
      <c r="O678" s="30">
        <f>IF(C678="","",N(E678)*Settings!$B$8)</f>
        <v/>
      </c>
      <c r="P678" s="30">
        <f>IF(C678="","",N(N678)*Settings!$B$10)</f>
        <v/>
      </c>
      <c r="Q678" s="30">
        <f>IF(C678="","",J678-N(M678)-O678-P678)</f>
        <v/>
      </c>
      <c r="R678" s="6" t="n"/>
    </row>
    <row r="679">
      <c r="A679" s="8">
        <f>IF(B679="","","J-"&amp;TEXT(ROW()-4,"0000"))</f>
        <v/>
      </c>
      <c r="B679" s="26" t="n"/>
      <c r="C679" s="6" t="n"/>
      <c r="D679" s="6" t="n"/>
      <c r="E679" s="29" t="n"/>
      <c r="F679" s="6" t="n"/>
      <c r="G679" s="25" t="n"/>
      <c r="H679" s="27">
        <f>IF(C679="","",IF(G679&lt;&gt;"",G679,IFERROR(INDEX(Clients!$G$5:$G$304,MATCH(C679,Clients!$A$5:$A$304,0)),0)))</f>
        <v/>
      </c>
      <c r="I679" s="25" t="n"/>
      <c r="J679" s="27">
        <f>IF(C679="","",H679+N(I679))</f>
        <v/>
      </c>
      <c r="K679" s="6" t="n"/>
      <c r="L679" s="6" t="n"/>
      <c r="M679" s="25" t="n"/>
      <c r="N679" s="10" t="n"/>
      <c r="O679" s="27">
        <f>IF(C679="","",N(E679)*Settings!$B$8)</f>
        <v/>
      </c>
      <c r="P679" s="27">
        <f>IF(C679="","",N(N679)*Settings!$B$10)</f>
        <v/>
      </c>
      <c r="Q679" s="27">
        <f>IF(C679="","",J679-N(M679)-O679-P679)</f>
        <v/>
      </c>
      <c r="R679" s="6" t="n"/>
    </row>
    <row r="680">
      <c r="A680" s="17">
        <f>IF(B680="","","J-"&amp;TEXT(ROW()-4,"0000"))</f>
        <v/>
      </c>
      <c r="B680" s="26" t="n"/>
      <c r="C680" s="6" t="n"/>
      <c r="D680" s="6" t="n"/>
      <c r="E680" s="29" t="n"/>
      <c r="F680" s="6" t="n"/>
      <c r="G680" s="25" t="n"/>
      <c r="H680" s="30">
        <f>IF(C680="","",IF(G680&lt;&gt;"",G680,IFERROR(INDEX(Clients!$G$5:$G$304,MATCH(C680,Clients!$A$5:$A$304,0)),0)))</f>
        <v/>
      </c>
      <c r="I680" s="25" t="n"/>
      <c r="J680" s="30">
        <f>IF(C680="","",H680+N(I680))</f>
        <v/>
      </c>
      <c r="K680" s="6" t="n"/>
      <c r="L680" s="6" t="n"/>
      <c r="M680" s="25" t="n"/>
      <c r="N680" s="10" t="n"/>
      <c r="O680" s="30">
        <f>IF(C680="","",N(E680)*Settings!$B$8)</f>
        <v/>
      </c>
      <c r="P680" s="30">
        <f>IF(C680="","",N(N680)*Settings!$B$10)</f>
        <v/>
      </c>
      <c r="Q680" s="30">
        <f>IF(C680="","",J680-N(M680)-O680-P680)</f>
        <v/>
      </c>
      <c r="R680" s="6" t="n"/>
    </row>
    <row r="681">
      <c r="A681" s="8">
        <f>IF(B681="","","J-"&amp;TEXT(ROW()-4,"0000"))</f>
        <v/>
      </c>
      <c r="B681" s="26" t="n"/>
      <c r="C681" s="6" t="n"/>
      <c r="D681" s="6" t="n"/>
      <c r="E681" s="29" t="n"/>
      <c r="F681" s="6" t="n"/>
      <c r="G681" s="25" t="n"/>
      <c r="H681" s="27">
        <f>IF(C681="","",IF(G681&lt;&gt;"",G681,IFERROR(INDEX(Clients!$G$5:$G$304,MATCH(C681,Clients!$A$5:$A$304,0)),0)))</f>
        <v/>
      </c>
      <c r="I681" s="25" t="n"/>
      <c r="J681" s="27">
        <f>IF(C681="","",H681+N(I681))</f>
        <v/>
      </c>
      <c r="K681" s="6" t="n"/>
      <c r="L681" s="6" t="n"/>
      <c r="M681" s="25" t="n"/>
      <c r="N681" s="10" t="n"/>
      <c r="O681" s="27">
        <f>IF(C681="","",N(E681)*Settings!$B$8)</f>
        <v/>
      </c>
      <c r="P681" s="27">
        <f>IF(C681="","",N(N681)*Settings!$B$10)</f>
        <v/>
      </c>
      <c r="Q681" s="27">
        <f>IF(C681="","",J681-N(M681)-O681-P681)</f>
        <v/>
      </c>
      <c r="R681" s="6" t="n"/>
    </row>
    <row r="682">
      <c r="A682" s="17">
        <f>IF(B682="","","J-"&amp;TEXT(ROW()-4,"0000"))</f>
        <v/>
      </c>
      <c r="B682" s="26" t="n"/>
      <c r="C682" s="6" t="n"/>
      <c r="D682" s="6" t="n"/>
      <c r="E682" s="29" t="n"/>
      <c r="F682" s="6" t="n"/>
      <c r="G682" s="25" t="n"/>
      <c r="H682" s="30">
        <f>IF(C682="","",IF(G682&lt;&gt;"",G682,IFERROR(INDEX(Clients!$G$5:$G$304,MATCH(C682,Clients!$A$5:$A$304,0)),0)))</f>
        <v/>
      </c>
      <c r="I682" s="25" t="n"/>
      <c r="J682" s="30">
        <f>IF(C682="","",H682+N(I682))</f>
        <v/>
      </c>
      <c r="K682" s="6" t="n"/>
      <c r="L682" s="6" t="n"/>
      <c r="M682" s="25" t="n"/>
      <c r="N682" s="10" t="n"/>
      <c r="O682" s="30">
        <f>IF(C682="","",N(E682)*Settings!$B$8)</f>
        <v/>
      </c>
      <c r="P682" s="30">
        <f>IF(C682="","",N(N682)*Settings!$B$10)</f>
        <v/>
      </c>
      <c r="Q682" s="30">
        <f>IF(C682="","",J682-N(M682)-O682-P682)</f>
        <v/>
      </c>
      <c r="R682" s="6" t="n"/>
    </row>
    <row r="683">
      <c r="A683" s="8">
        <f>IF(B683="","","J-"&amp;TEXT(ROW()-4,"0000"))</f>
        <v/>
      </c>
      <c r="B683" s="26" t="n"/>
      <c r="C683" s="6" t="n"/>
      <c r="D683" s="6" t="n"/>
      <c r="E683" s="29" t="n"/>
      <c r="F683" s="6" t="n"/>
      <c r="G683" s="25" t="n"/>
      <c r="H683" s="27">
        <f>IF(C683="","",IF(G683&lt;&gt;"",G683,IFERROR(INDEX(Clients!$G$5:$G$304,MATCH(C683,Clients!$A$5:$A$304,0)),0)))</f>
        <v/>
      </c>
      <c r="I683" s="25" t="n"/>
      <c r="J683" s="27">
        <f>IF(C683="","",H683+N(I683))</f>
        <v/>
      </c>
      <c r="K683" s="6" t="n"/>
      <c r="L683" s="6" t="n"/>
      <c r="M683" s="25" t="n"/>
      <c r="N683" s="10" t="n"/>
      <c r="O683" s="27">
        <f>IF(C683="","",N(E683)*Settings!$B$8)</f>
        <v/>
      </c>
      <c r="P683" s="27">
        <f>IF(C683="","",N(N683)*Settings!$B$10)</f>
        <v/>
      </c>
      <c r="Q683" s="27">
        <f>IF(C683="","",J683-N(M683)-O683-P683)</f>
        <v/>
      </c>
      <c r="R683" s="6" t="n"/>
    </row>
    <row r="684">
      <c r="A684" s="17">
        <f>IF(B684="","","J-"&amp;TEXT(ROW()-4,"0000"))</f>
        <v/>
      </c>
      <c r="B684" s="26" t="n"/>
      <c r="C684" s="6" t="n"/>
      <c r="D684" s="6" t="n"/>
      <c r="E684" s="29" t="n"/>
      <c r="F684" s="6" t="n"/>
      <c r="G684" s="25" t="n"/>
      <c r="H684" s="30">
        <f>IF(C684="","",IF(G684&lt;&gt;"",G684,IFERROR(INDEX(Clients!$G$5:$G$304,MATCH(C684,Clients!$A$5:$A$304,0)),0)))</f>
        <v/>
      </c>
      <c r="I684" s="25" t="n"/>
      <c r="J684" s="30">
        <f>IF(C684="","",H684+N(I684))</f>
        <v/>
      </c>
      <c r="K684" s="6" t="n"/>
      <c r="L684" s="6" t="n"/>
      <c r="M684" s="25" t="n"/>
      <c r="N684" s="10" t="n"/>
      <c r="O684" s="30">
        <f>IF(C684="","",N(E684)*Settings!$B$8)</f>
        <v/>
      </c>
      <c r="P684" s="30">
        <f>IF(C684="","",N(N684)*Settings!$B$10)</f>
        <v/>
      </c>
      <c r="Q684" s="30">
        <f>IF(C684="","",J684-N(M684)-O684-P684)</f>
        <v/>
      </c>
      <c r="R684" s="6" t="n"/>
    </row>
    <row r="685">
      <c r="A685" s="8">
        <f>IF(B685="","","J-"&amp;TEXT(ROW()-4,"0000"))</f>
        <v/>
      </c>
      <c r="B685" s="26" t="n"/>
      <c r="C685" s="6" t="n"/>
      <c r="D685" s="6" t="n"/>
      <c r="E685" s="29" t="n"/>
      <c r="F685" s="6" t="n"/>
      <c r="G685" s="25" t="n"/>
      <c r="H685" s="27">
        <f>IF(C685="","",IF(G685&lt;&gt;"",G685,IFERROR(INDEX(Clients!$G$5:$G$304,MATCH(C685,Clients!$A$5:$A$304,0)),0)))</f>
        <v/>
      </c>
      <c r="I685" s="25" t="n"/>
      <c r="J685" s="27">
        <f>IF(C685="","",H685+N(I685))</f>
        <v/>
      </c>
      <c r="K685" s="6" t="n"/>
      <c r="L685" s="6" t="n"/>
      <c r="M685" s="25" t="n"/>
      <c r="N685" s="10" t="n"/>
      <c r="O685" s="27">
        <f>IF(C685="","",N(E685)*Settings!$B$8)</f>
        <v/>
      </c>
      <c r="P685" s="27">
        <f>IF(C685="","",N(N685)*Settings!$B$10)</f>
        <v/>
      </c>
      <c r="Q685" s="27">
        <f>IF(C685="","",J685-N(M685)-O685-P685)</f>
        <v/>
      </c>
      <c r="R685" s="6" t="n"/>
    </row>
    <row r="686">
      <c r="A686" s="17">
        <f>IF(B686="","","J-"&amp;TEXT(ROW()-4,"0000"))</f>
        <v/>
      </c>
      <c r="B686" s="26" t="n"/>
      <c r="C686" s="6" t="n"/>
      <c r="D686" s="6" t="n"/>
      <c r="E686" s="29" t="n"/>
      <c r="F686" s="6" t="n"/>
      <c r="G686" s="25" t="n"/>
      <c r="H686" s="30">
        <f>IF(C686="","",IF(G686&lt;&gt;"",G686,IFERROR(INDEX(Clients!$G$5:$G$304,MATCH(C686,Clients!$A$5:$A$304,0)),0)))</f>
        <v/>
      </c>
      <c r="I686" s="25" t="n"/>
      <c r="J686" s="30">
        <f>IF(C686="","",H686+N(I686))</f>
        <v/>
      </c>
      <c r="K686" s="6" t="n"/>
      <c r="L686" s="6" t="n"/>
      <c r="M686" s="25" t="n"/>
      <c r="N686" s="10" t="n"/>
      <c r="O686" s="30">
        <f>IF(C686="","",N(E686)*Settings!$B$8)</f>
        <v/>
      </c>
      <c r="P686" s="30">
        <f>IF(C686="","",N(N686)*Settings!$B$10)</f>
        <v/>
      </c>
      <c r="Q686" s="30">
        <f>IF(C686="","",J686-N(M686)-O686-P686)</f>
        <v/>
      </c>
      <c r="R686" s="6" t="n"/>
    </row>
    <row r="687">
      <c r="A687" s="8">
        <f>IF(B687="","","J-"&amp;TEXT(ROW()-4,"0000"))</f>
        <v/>
      </c>
      <c r="B687" s="26" t="n"/>
      <c r="C687" s="6" t="n"/>
      <c r="D687" s="6" t="n"/>
      <c r="E687" s="29" t="n"/>
      <c r="F687" s="6" t="n"/>
      <c r="G687" s="25" t="n"/>
      <c r="H687" s="27">
        <f>IF(C687="","",IF(G687&lt;&gt;"",G687,IFERROR(INDEX(Clients!$G$5:$G$304,MATCH(C687,Clients!$A$5:$A$304,0)),0)))</f>
        <v/>
      </c>
      <c r="I687" s="25" t="n"/>
      <c r="J687" s="27">
        <f>IF(C687="","",H687+N(I687))</f>
        <v/>
      </c>
      <c r="K687" s="6" t="n"/>
      <c r="L687" s="6" t="n"/>
      <c r="M687" s="25" t="n"/>
      <c r="N687" s="10" t="n"/>
      <c r="O687" s="27">
        <f>IF(C687="","",N(E687)*Settings!$B$8)</f>
        <v/>
      </c>
      <c r="P687" s="27">
        <f>IF(C687="","",N(N687)*Settings!$B$10)</f>
        <v/>
      </c>
      <c r="Q687" s="27">
        <f>IF(C687="","",J687-N(M687)-O687-P687)</f>
        <v/>
      </c>
      <c r="R687" s="6" t="n"/>
    </row>
    <row r="688">
      <c r="A688" s="17">
        <f>IF(B688="","","J-"&amp;TEXT(ROW()-4,"0000"))</f>
        <v/>
      </c>
      <c r="B688" s="26" t="n"/>
      <c r="C688" s="6" t="n"/>
      <c r="D688" s="6" t="n"/>
      <c r="E688" s="29" t="n"/>
      <c r="F688" s="6" t="n"/>
      <c r="G688" s="25" t="n"/>
      <c r="H688" s="30">
        <f>IF(C688="","",IF(G688&lt;&gt;"",G688,IFERROR(INDEX(Clients!$G$5:$G$304,MATCH(C688,Clients!$A$5:$A$304,0)),0)))</f>
        <v/>
      </c>
      <c r="I688" s="25" t="n"/>
      <c r="J688" s="30">
        <f>IF(C688="","",H688+N(I688))</f>
        <v/>
      </c>
      <c r="K688" s="6" t="n"/>
      <c r="L688" s="6" t="n"/>
      <c r="M688" s="25" t="n"/>
      <c r="N688" s="10" t="n"/>
      <c r="O688" s="30">
        <f>IF(C688="","",N(E688)*Settings!$B$8)</f>
        <v/>
      </c>
      <c r="P688" s="30">
        <f>IF(C688="","",N(N688)*Settings!$B$10)</f>
        <v/>
      </c>
      <c r="Q688" s="30">
        <f>IF(C688="","",J688-N(M688)-O688-P688)</f>
        <v/>
      </c>
      <c r="R688" s="6" t="n"/>
    </row>
    <row r="689">
      <c r="A689" s="8">
        <f>IF(B689="","","J-"&amp;TEXT(ROW()-4,"0000"))</f>
        <v/>
      </c>
      <c r="B689" s="26" t="n"/>
      <c r="C689" s="6" t="n"/>
      <c r="D689" s="6" t="n"/>
      <c r="E689" s="29" t="n"/>
      <c r="F689" s="6" t="n"/>
      <c r="G689" s="25" t="n"/>
      <c r="H689" s="27">
        <f>IF(C689="","",IF(G689&lt;&gt;"",G689,IFERROR(INDEX(Clients!$G$5:$G$304,MATCH(C689,Clients!$A$5:$A$304,0)),0)))</f>
        <v/>
      </c>
      <c r="I689" s="25" t="n"/>
      <c r="J689" s="27">
        <f>IF(C689="","",H689+N(I689))</f>
        <v/>
      </c>
      <c r="K689" s="6" t="n"/>
      <c r="L689" s="6" t="n"/>
      <c r="M689" s="25" t="n"/>
      <c r="N689" s="10" t="n"/>
      <c r="O689" s="27">
        <f>IF(C689="","",N(E689)*Settings!$B$8)</f>
        <v/>
      </c>
      <c r="P689" s="27">
        <f>IF(C689="","",N(N689)*Settings!$B$10)</f>
        <v/>
      </c>
      <c r="Q689" s="27">
        <f>IF(C689="","",J689-N(M689)-O689-P689)</f>
        <v/>
      </c>
      <c r="R689" s="6" t="n"/>
    </row>
    <row r="690">
      <c r="A690" s="17">
        <f>IF(B690="","","J-"&amp;TEXT(ROW()-4,"0000"))</f>
        <v/>
      </c>
      <c r="B690" s="26" t="n"/>
      <c r="C690" s="6" t="n"/>
      <c r="D690" s="6" t="n"/>
      <c r="E690" s="29" t="n"/>
      <c r="F690" s="6" t="n"/>
      <c r="G690" s="25" t="n"/>
      <c r="H690" s="30">
        <f>IF(C690="","",IF(G690&lt;&gt;"",G690,IFERROR(INDEX(Clients!$G$5:$G$304,MATCH(C690,Clients!$A$5:$A$304,0)),0)))</f>
        <v/>
      </c>
      <c r="I690" s="25" t="n"/>
      <c r="J690" s="30">
        <f>IF(C690="","",H690+N(I690))</f>
        <v/>
      </c>
      <c r="K690" s="6" t="n"/>
      <c r="L690" s="6" t="n"/>
      <c r="M690" s="25" t="n"/>
      <c r="N690" s="10" t="n"/>
      <c r="O690" s="30">
        <f>IF(C690="","",N(E690)*Settings!$B$8)</f>
        <v/>
      </c>
      <c r="P690" s="30">
        <f>IF(C690="","",N(N690)*Settings!$B$10)</f>
        <v/>
      </c>
      <c r="Q690" s="30">
        <f>IF(C690="","",J690-N(M690)-O690-P690)</f>
        <v/>
      </c>
      <c r="R690" s="6" t="n"/>
    </row>
    <row r="691">
      <c r="A691" s="8">
        <f>IF(B691="","","J-"&amp;TEXT(ROW()-4,"0000"))</f>
        <v/>
      </c>
      <c r="B691" s="26" t="n"/>
      <c r="C691" s="6" t="n"/>
      <c r="D691" s="6" t="n"/>
      <c r="E691" s="29" t="n"/>
      <c r="F691" s="6" t="n"/>
      <c r="G691" s="25" t="n"/>
      <c r="H691" s="27">
        <f>IF(C691="","",IF(G691&lt;&gt;"",G691,IFERROR(INDEX(Clients!$G$5:$G$304,MATCH(C691,Clients!$A$5:$A$304,0)),0)))</f>
        <v/>
      </c>
      <c r="I691" s="25" t="n"/>
      <c r="J691" s="27">
        <f>IF(C691="","",H691+N(I691))</f>
        <v/>
      </c>
      <c r="K691" s="6" t="n"/>
      <c r="L691" s="6" t="n"/>
      <c r="M691" s="25" t="n"/>
      <c r="N691" s="10" t="n"/>
      <c r="O691" s="27">
        <f>IF(C691="","",N(E691)*Settings!$B$8)</f>
        <v/>
      </c>
      <c r="P691" s="27">
        <f>IF(C691="","",N(N691)*Settings!$B$10)</f>
        <v/>
      </c>
      <c r="Q691" s="27">
        <f>IF(C691="","",J691-N(M691)-O691-P691)</f>
        <v/>
      </c>
      <c r="R691" s="6" t="n"/>
    </row>
    <row r="692">
      <c r="A692" s="17">
        <f>IF(B692="","","J-"&amp;TEXT(ROW()-4,"0000"))</f>
        <v/>
      </c>
      <c r="B692" s="26" t="n"/>
      <c r="C692" s="6" t="n"/>
      <c r="D692" s="6" t="n"/>
      <c r="E692" s="29" t="n"/>
      <c r="F692" s="6" t="n"/>
      <c r="G692" s="25" t="n"/>
      <c r="H692" s="30">
        <f>IF(C692="","",IF(G692&lt;&gt;"",G692,IFERROR(INDEX(Clients!$G$5:$G$304,MATCH(C692,Clients!$A$5:$A$304,0)),0)))</f>
        <v/>
      </c>
      <c r="I692" s="25" t="n"/>
      <c r="J692" s="30">
        <f>IF(C692="","",H692+N(I692))</f>
        <v/>
      </c>
      <c r="K692" s="6" t="n"/>
      <c r="L692" s="6" t="n"/>
      <c r="M692" s="25" t="n"/>
      <c r="N692" s="10" t="n"/>
      <c r="O692" s="30">
        <f>IF(C692="","",N(E692)*Settings!$B$8)</f>
        <v/>
      </c>
      <c r="P692" s="30">
        <f>IF(C692="","",N(N692)*Settings!$B$10)</f>
        <v/>
      </c>
      <c r="Q692" s="30">
        <f>IF(C692="","",J692-N(M692)-O692-P692)</f>
        <v/>
      </c>
      <c r="R692" s="6" t="n"/>
    </row>
    <row r="693">
      <c r="A693" s="8">
        <f>IF(B693="","","J-"&amp;TEXT(ROW()-4,"0000"))</f>
        <v/>
      </c>
      <c r="B693" s="26" t="n"/>
      <c r="C693" s="6" t="n"/>
      <c r="D693" s="6" t="n"/>
      <c r="E693" s="29" t="n"/>
      <c r="F693" s="6" t="n"/>
      <c r="G693" s="25" t="n"/>
      <c r="H693" s="27">
        <f>IF(C693="","",IF(G693&lt;&gt;"",G693,IFERROR(INDEX(Clients!$G$5:$G$304,MATCH(C693,Clients!$A$5:$A$304,0)),0)))</f>
        <v/>
      </c>
      <c r="I693" s="25" t="n"/>
      <c r="J693" s="27">
        <f>IF(C693="","",H693+N(I693))</f>
        <v/>
      </c>
      <c r="K693" s="6" t="n"/>
      <c r="L693" s="6" t="n"/>
      <c r="M693" s="25" t="n"/>
      <c r="N693" s="10" t="n"/>
      <c r="O693" s="27">
        <f>IF(C693="","",N(E693)*Settings!$B$8)</f>
        <v/>
      </c>
      <c r="P693" s="27">
        <f>IF(C693="","",N(N693)*Settings!$B$10)</f>
        <v/>
      </c>
      <c r="Q693" s="27">
        <f>IF(C693="","",J693-N(M693)-O693-P693)</f>
        <v/>
      </c>
      <c r="R693" s="6" t="n"/>
    </row>
    <row r="694">
      <c r="A694" s="17">
        <f>IF(B694="","","J-"&amp;TEXT(ROW()-4,"0000"))</f>
        <v/>
      </c>
      <c r="B694" s="26" t="n"/>
      <c r="C694" s="6" t="n"/>
      <c r="D694" s="6" t="n"/>
      <c r="E694" s="29" t="n"/>
      <c r="F694" s="6" t="n"/>
      <c r="G694" s="25" t="n"/>
      <c r="H694" s="30">
        <f>IF(C694="","",IF(G694&lt;&gt;"",G694,IFERROR(INDEX(Clients!$G$5:$G$304,MATCH(C694,Clients!$A$5:$A$304,0)),0)))</f>
        <v/>
      </c>
      <c r="I694" s="25" t="n"/>
      <c r="J694" s="30">
        <f>IF(C694="","",H694+N(I694))</f>
        <v/>
      </c>
      <c r="K694" s="6" t="n"/>
      <c r="L694" s="6" t="n"/>
      <c r="M694" s="25" t="n"/>
      <c r="N694" s="10" t="n"/>
      <c r="O694" s="30">
        <f>IF(C694="","",N(E694)*Settings!$B$8)</f>
        <v/>
      </c>
      <c r="P694" s="30">
        <f>IF(C694="","",N(N694)*Settings!$B$10)</f>
        <v/>
      </c>
      <c r="Q694" s="30">
        <f>IF(C694="","",J694-N(M694)-O694-P694)</f>
        <v/>
      </c>
      <c r="R694" s="6" t="n"/>
    </row>
    <row r="695">
      <c r="A695" s="8">
        <f>IF(B695="","","J-"&amp;TEXT(ROW()-4,"0000"))</f>
        <v/>
      </c>
      <c r="B695" s="26" t="n"/>
      <c r="C695" s="6" t="n"/>
      <c r="D695" s="6" t="n"/>
      <c r="E695" s="29" t="n"/>
      <c r="F695" s="6" t="n"/>
      <c r="G695" s="25" t="n"/>
      <c r="H695" s="27">
        <f>IF(C695="","",IF(G695&lt;&gt;"",G695,IFERROR(INDEX(Clients!$G$5:$G$304,MATCH(C695,Clients!$A$5:$A$304,0)),0)))</f>
        <v/>
      </c>
      <c r="I695" s="25" t="n"/>
      <c r="J695" s="27">
        <f>IF(C695="","",H695+N(I695))</f>
        <v/>
      </c>
      <c r="K695" s="6" t="n"/>
      <c r="L695" s="6" t="n"/>
      <c r="M695" s="25" t="n"/>
      <c r="N695" s="10" t="n"/>
      <c r="O695" s="27">
        <f>IF(C695="","",N(E695)*Settings!$B$8)</f>
        <v/>
      </c>
      <c r="P695" s="27">
        <f>IF(C695="","",N(N695)*Settings!$B$10)</f>
        <v/>
      </c>
      <c r="Q695" s="27">
        <f>IF(C695="","",J695-N(M695)-O695-P695)</f>
        <v/>
      </c>
      <c r="R695" s="6" t="n"/>
    </row>
    <row r="696">
      <c r="A696" s="17">
        <f>IF(B696="","","J-"&amp;TEXT(ROW()-4,"0000"))</f>
        <v/>
      </c>
      <c r="B696" s="26" t="n"/>
      <c r="C696" s="6" t="n"/>
      <c r="D696" s="6" t="n"/>
      <c r="E696" s="29" t="n"/>
      <c r="F696" s="6" t="n"/>
      <c r="G696" s="25" t="n"/>
      <c r="H696" s="30">
        <f>IF(C696="","",IF(G696&lt;&gt;"",G696,IFERROR(INDEX(Clients!$G$5:$G$304,MATCH(C696,Clients!$A$5:$A$304,0)),0)))</f>
        <v/>
      </c>
      <c r="I696" s="25" t="n"/>
      <c r="J696" s="30">
        <f>IF(C696="","",H696+N(I696))</f>
        <v/>
      </c>
      <c r="K696" s="6" t="n"/>
      <c r="L696" s="6" t="n"/>
      <c r="M696" s="25" t="n"/>
      <c r="N696" s="10" t="n"/>
      <c r="O696" s="30">
        <f>IF(C696="","",N(E696)*Settings!$B$8)</f>
        <v/>
      </c>
      <c r="P696" s="30">
        <f>IF(C696="","",N(N696)*Settings!$B$10)</f>
        <v/>
      </c>
      <c r="Q696" s="30">
        <f>IF(C696="","",J696-N(M696)-O696-P696)</f>
        <v/>
      </c>
      <c r="R696" s="6" t="n"/>
    </row>
    <row r="697">
      <c r="A697" s="8">
        <f>IF(B697="","","J-"&amp;TEXT(ROW()-4,"0000"))</f>
        <v/>
      </c>
      <c r="B697" s="26" t="n"/>
      <c r="C697" s="6" t="n"/>
      <c r="D697" s="6" t="n"/>
      <c r="E697" s="29" t="n"/>
      <c r="F697" s="6" t="n"/>
      <c r="G697" s="25" t="n"/>
      <c r="H697" s="27">
        <f>IF(C697="","",IF(G697&lt;&gt;"",G697,IFERROR(INDEX(Clients!$G$5:$G$304,MATCH(C697,Clients!$A$5:$A$304,0)),0)))</f>
        <v/>
      </c>
      <c r="I697" s="25" t="n"/>
      <c r="J697" s="27">
        <f>IF(C697="","",H697+N(I697))</f>
        <v/>
      </c>
      <c r="K697" s="6" t="n"/>
      <c r="L697" s="6" t="n"/>
      <c r="M697" s="25" t="n"/>
      <c r="N697" s="10" t="n"/>
      <c r="O697" s="27">
        <f>IF(C697="","",N(E697)*Settings!$B$8)</f>
        <v/>
      </c>
      <c r="P697" s="27">
        <f>IF(C697="","",N(N697)*Settings!$B$10)</f>
        <v/>
      </c>
      <c r="Q697" s="27">
        <f>IF(C697="","",J697-N(M697)-O697-P697)</f>
        <v/>
      </c>
      <c r="R697" s="6" t="n"/>
    </row>
    <row r="698">
      <c r="A698" s="17">
        <f>IF(B698="","","J-"&amp;TEXT(ROW()-4,"0000"))</f>
        <v/>
      </c>
      <c r="B698" s="26" t="n"/>
      <c r="C698" s="6" t="n"/>
      <c r="D698" s="6" t="n"/>
      <c r="E698" s="29" t="n"/>
      <c r="F698" s="6" t="n"/>
      <c r="G698" s="25" t="n"/>
      <c r="H698" s="30">
        <f>IF(C698="","",IF(G698&lt;&gt;"",G698,IFERROR(INDEX(Clients!$G$5:$G$304,MATCH(C698,Clients!$A$5:$A$304,0)),0)))</f>
        <v/>
      </c>
      <c r="I698" s="25" t="n"/>
      <c r="J698" s="30">
        <f>IF(C698="","",H698+N(I698))</f>
        <v/>
      </c>
      <c r="K698" s="6" t="n"/>
      <c r="L698" s="6" t="n"/>
      <c r="M698" s="25" t="n"/>
      <c r="N698" s="10" t="n"/>
      <c r="O698" s="30">
        <f>IF(C698="","",N(E698)*Settings!$B$8)</f>
        <v/>
      </c>
      <c r="P698" s="30">
        <f>IF(C698="","",N(N698)*Settings!$B$10)</f>
        <v/>
      </c>
      <c r="Q698" s="30">
        <f>IF(C698="","",J698-N(M698)-O698-P698)</f>
        <v/>
      </c>
      <c r="R698" s="6" t="n"/>
    </row>
    <row r="699">
      <c r="A699" s="8">
        <f>IF(B699="","","J-"&amp;TEXT(ROW()-4,"0000"))</f>
        <v/>
      </c>
      <c r="B699" s="26" t="n"/>
      <c r="C699" s="6" t="n"/>
      <c r="D699" s="6" t="n"/>
      <c r="E699" s="29" t="n"/>
      <c r="F699" s="6" t="n"/>
      <c r="G699" s="25" t="n"/>
      <c r="H699" s="27">
        <f>IF(C699="","",IF(G699&lt;&gt;"",G699,IFERROR(INDEX(Clients!$G$5:$G$304,MATCH(C699,Clients!$A$5:$A$304,0)),0)))</f>
        <v/>
      </c>
      <c r="I699" s="25" t="n"/>
      <c r="J699" s="27">
        <f>IF(C699="","",H699+N(I699))</f>
        <v/>
      </c>
      <c r="K699" s="6" t="n"/>
      <c r="L699" s="6" t="n"/>
      <c r="M699" s="25" t="n"/>
      <c r="N699" s="10" t="n"/>
      <c r="O699" s="27">
        <f>IF(C699="","",N(E699)*Settings!$B$8)</f>
        <v/>
      </c>
      <c r="P699" s="27">
        <f>IF(C699="","",N(N699)*Settings!$B$10)</f>
        <v/>
      </c>
      <c r="Q699" s="27">
        <f>IF(C699="","",J699-N(M699)-O699-P699)</f>
        <v/>
      </c>
      <c r="R699" s="6" t="n"/>
    </row>
    <row r="700">
      <c r="A700" s="17">
        <f>IF(B700="","","J-"&amp;TEXT(ROW()-4,"0000"))</f>
        <v/>
      </c>
      <c r="B700" s="26" t="n"/>
      <c r="C700" s="6" t="n"/>
      <c r="D700" s="6" t="n"/>
      <c r="E700" s="29" t="n"/>
      <c r="F700" s="6" t="n"/>
      <c r="G700" s="25" t="n"/>
      <c r="H700" s="30">
        <f>IF(C700="","",IF(G700&lt;&gt;"",G700,IFERROR(INDEX(Clients!$G$5:$G$304,MATCH(C700,Clients!$A$5:$A$304,0)),0)))</f>
        <v/>
      </c>
      <c r="I700" s="25" t="n"/>
      <c r="J700" s="30">
        <f>IF(C700="","",H700+N(I700))</f>
        <v/>
      </c>
      <c r="K700" s="6" t="n"/>
      <c r="L700" s="6" t="n"/>
      <c r="M700" s="25" t="n"/>
      <c r="N700" s="10" t="n"/>
      <c r="O700" s="30">
        <f>IF(C700="","",N(E700)*Settings!$B$8)</f>
        <v/>
      </c>
      <c r="P700" s="30">
        <f>IF(C700="","",N(N700)*Settings!$B$10)</f>
        <v/>
      </c>
      <c r="Q700" s="30">
        <f>IF(C700="","",J700-N(M700)-O700-P700)</f>
        <v/>
      </c>
      <c r="R700" s="6" t="n"/>
    </row>
    <row r="701">
      <c r="A701" s="8">
        <f>IF(B701="","","J-"&amp;TEXT(ROW()-4,"0000"))</f>
        <v/>
      </c>
      <c r="B701" s="26" t="n"/>
      <c r="C701" s="6" t="n"/>
      <c r="D701" s="6" t="n"/>
      <c r="E701" s="29" t="n"/>
      <c r="F701" s="6" t="n"/>
      <c r="G701" s="25" t="n"/>
      <c r="H701" s="27">
        <f>IF(C701="","",IF(G701&lt;&gt;"",G701,IFERROR(INDEX(Clients!$G$5:$G$304,MATCH(C701,Clients!$A$5:$A$304,0)),0)))</f>
        <v/>
      </c>
      <c r="I701" s="25" t="n"/>
      <c r="J701" s="27">
        <f>IF(C701="","",H701+N(I701))</f>
        <v/>
      </c>
      <c r="K701" s="6" t="n"/>
      <c r="L701" s="6" t="n"/>
      <c r="M701" s="25" t="n"/>
      <c r="N701" s="10" t="n"/>
      <c r="O701" s="27">
        <f>IF(C701="","",N(E701)*Settings!$B$8)</f>
        <v/>
      </c>
      <c r="P701" s="27">
        <f>IF(C701="","",N(N701)*Settings!$B$10)</f>
        <v/>
      </c>
      <c r="Q701" s="27">
        <f>IF(C701="","",J701-N(M701)-O701-P701)</f>
        <v/>
      </c>
      <c r="R701" s="6" t="n"/>
    </row>
    <row r="702">
      <c r="A702" s="17">
        <f>IF(B702="","","J-"&amp;TEXT(ROW()-4,"0000"))</f>
        <v/>
      </c>
      <c r="B702" s="26" t="n"/>
      <c r="C702" s="6" t="n"/>
      <c r="D702" s="6" t="n"/>
      <c r="E702" s="29" t="n"/>
      <c r="F702" s="6" t="n"/>
      <c r="G702" s="25" t="n"/>
      <c r="H702" s="30">
        <f>IF(C702="","",IF(G702&lt;&gt;"",G702,IFERROR(INDEX(Clients!$G$5:$G$304,MATCH(C702,Clients!$A$5:$A$304,0)),0)))</f>
        <v/>
      </c>
      <c r="I702" s="25" t="n"/>
      <c r="J702" s="30">
        <f>IF(C702="","",H702+N(I702))</f>
        <v/>
      </c>
      <c r="K702" s="6" t="n"/>
      <c r="L702" s="6" t="n"/>
      <c r="M702" s="25" t="n"/>
      <c r="N702" s="10" t="n"/>
      <c r="O702" s="30">
        <f>IF(C702="","",N(E702)*Settings!$B$8)</f>
        <v/>
      </c>
      <c r="P702" s="30">
        <f>IF(C702="","",N(N702)*Settings!$B$10)</f>
        <v/>
      </c>
      <c r="Q702" s="30">
        <f>IF(C702="","",J702-N(M702)-O702-P702)</f>
        <v/>
      </c>
      <c r="R702" s="6" t="n"/>
    </row>
    <row r="703">
      <c r="A703" s="8">
        <f>IF(B703="","","J-"&amp;TEXT(ROW()-4,"0000"))</f>
        <v/>
      </c>
      <c r="B703" s="26" t="n"/>
      <c r="C703" s="6" t="n"/>
      <c r="D703" s="6" t="n"/>
      <c r="E703" s="29" t="n"/>
      <c r="F703" s="6" t="n"/>
      <c r="G703" s="25" t="n"/>
      <c r="H703" s="27">
        <f>IF(C703="","",IF(G703&lt;&gt;"",G703,IFERROR(INDEX(Clients!$G$5:$G$304,MATCH(C703,Clients!$A$5:$A$304,0)),0)))</f>
        <v/>
      </c>
      <c r="I703" s="25" t="n"/>
      <c r="J703" s="27">
        <f>IF(C703="","",H703+N(I703))</f>
        <v/>
      </c>
      <c r="K703" s="6" t="n"/>
      <c r="L703" s="6" t="n"/>
      <c r="M703" s="25" t="n"/>
      <c r="N703" s="10" t="n"/>
      <c r="O703" s="27">
        <f>IF(C703="","",N(E703)*Settings!$B$8)</f>
        <v/>
      </c>
      <c r="P703" s="27">
        <f>IF(C703="","",N(N703)*Settings!$B$10)</f>
        <v/>
      </c>
      <c r="Q703" s="27">
        <f>IF(C703="","",J703-N(M703)-O703-P703)</f>
        <v/>
      </c>
      <c r="R703" s="6" t="n"/>
    </row>
    <row r="704">
      <c r="A704" s="17">
        <f>IF(B704="","","J-"&amp;TEXT(ROW()-4,"0000"))</f>
        <v/>
      </c>
      <c r="B704" s="26" t="n"/>
      <c r="C704" s="6" t="n"/>
      <c r="D704" s="6" t="n"/>
      <c r="E704" s="29" t="n"/>
      <c r="F704" s="6" t="n"/>
      <c r="G704" s="25" t="n"/>
      <c r="H704" s="30">
        <f>IF(C704="","",IF(G704&lt;&gt;"",G704,IFERROR(INDEX(Clients!$G$5:$G$304,MATCH(C704,Clients!$A$5:$A$304,0)),0)))</f>
        <v/>
      </c>
      <c r="I704" s="25" t="n"/>
      <c r="J704" s="30">
        <f>IF(C704="","",H704+N(I704))</f>
        <v/>
      </c>
      <c r="K704" s="6" t="n"/>
      <c r="L704" s="6" t="n"/>
      <c r="M704" s="25" t="n"/>
      <c r="N704" s="10" t="n"/>
      <c r="O704" s="30">
        <f>IF(C704="","",N(E704)*Settings!$B$8)</f>
        <v/>
      </c>
      <c r="P704" s="30">
        <f>IF(C704="","",N(N704)*Settings!$B$10)</f>
        <v/>
      </c>
      <c r="Q704" s="30">
        <f>IF(C704="","",J704-N(M704)-O704-P704)</f>
        <v/>
      </c>
      <c r="R704" s="6" t="n"/>
    </row>
    <row r="705">
      <c r="A705" s="8">
        <f>IF(B705="","","J-"&amp;TEXT(ROW()-4,"0000"))</f>
        <v/>
      </c>
      <c r="B705" s="26" t="n"/>
      <c r="C705" s="6" t="n"/>
      <c r="D705" s="6" t="n"/>
      <c r="E705" s="29" t="n"/>
      <c r="F705" s="6" t="n"/>
      <c r="G705" s="25" t="n"/>
      <c r="H705" s="27">
        <f>IF(C705="","",IF(G705&lt;&gt;"",G705,IFERROR(INDEX(Clients!$G$5:$G$304,MATCH(C705,Clients!$A$5:$A$304,0)),0)))</f>
        <v/>
      </c>
      <c r="I705" s="25" t="n"/>
      <c r="J705" s="27">
        <f>IF(C705="","",H705+N(I705))</f>
        <v/>
      </c>
      <c r="K705" s="6" t="n"/>
      <c r="L705" s="6" t="n"/>
      <c r="M705" s="25" t="n"/>
      <c r="N705" s="10" t="n"/>
      <c r="O705" s="27">
        <f>IF(C705="","",N(E705)*Settings!$B$8)</f>
        <v/>
      </c>
      <c r="P705" s="27">
        <f>IF(C705="","",N(N705)*Settings!$B$10)</f>
        <v/>
      </c>
      <c r="Q705" s="27">
        <f>IF(C705="","",J705-N(M705)-O705-P705)</f>
        <v/>
      </c>
      <c r="R705" s="6" t="n"/>
    </row>
    <row r="706">
      <c r="A706" s="17">
        <f>IF(B706="","","J-"&amp;TEXT(ROW()-4,"0000"))</f>
        <v/>
      </c>
      <c r="B706" s="26" t="n"/>
      <c r="C706" s="6" t="n"/>
      <c r="D706" s="6" t="n"/>
      <c r="E706" s="29" t="n"/>
      <c r="F706" s="6" t="n"/>
      <c r="G706" s="25" t="n"/>
      <c r="H706" s="30">
        <f>IF(C706="","",IF(G706&lt;&gt;"",G706,IFERROR(INDEX(Clients!$G$5:$G$304,MATCH(C706,Clients!$A$5:$A$304,0)),0)))</f>
        <v/>
      </c>
      <c r="I706" s="25" t="n"/>
      <c r="J706" s="30">
        <f>IF(C706="","",H706+N(I706))</f>
        <v/>
      </c>
      <c r="K706" s="6" t="n"/>
      <c r="L706" s="6" t="n"/>
      <c r="M706" s="25" t="n"/>
      <c r="N706" s="10" t="n"/>
      <c r="O706" s="30">
        <f>IF(C706="","",N(E706)*Settings!$B$8)</f>
        <v/>
      </c>
      <c r="P706" s="30">
        <f>IF(C706="","",N(N706)*Settings!$B$10)</f>
        <v/>
      </c>
      <c r="Q706" s="30">
        <f>IF(C706="","",J706-N(M706)-O706-P706)</f>
        <v/>
      </c>
      <c r="R706" s="6" t="n"/>
    </row>
    <row r="707">
      <c r="A707" s="8">
        <f>IF(B707="","","J-"&amp;TEXT(ROW()-4,"0000"))</f>
        <v/>
      </c>
      <c r="B707" s="26" t="n"/>
      <c r="C707" s="6" t="n"/>
      <c r="D707" s="6" t="n"/>
      <c r="E707" s="29" t="n"/>
      <c r="F707" s="6" t="n"/>
      <c r="G707" s="25" t="n"/>
      <c r="H707" s="27">
        <f>IF(C707="","",IF(G707&lt;&gt;"",G707,IFERROR(INDEX(Clients!$G$5:$G$304,MATCH(C707,Clients!$A$5:$A$304,0)),0)))</f>
        <v/>
      </c>
      <c r="I707" s="25" t="n"/>
      <c r="J707" s="27">
        <f>IF(C707="","",H707+N(I707))</f>
        <v/>
      </c>
      <c r="K707" s="6" t="n"/>
      <c r="L707" s="6" t="n"/>
      <c r="M707" s="25" t="n"/>
      <c r="N707" s="10" t="n"/>
      <c r="O707" s="27">
        <f>IF(C707="","",N(E707)*Settings!$B$8)</f>
        <v/>
      </c>
      <c r="P707" s="27">
        <f>IF(C707="","",N(N707)*Settings!$B$10)</f>
        <v/>
      </c>
      <c r="Q707" s="27">
        <f>IF(C707="","",J707-N(M707)-O707-P707)</f>
        <v/>
      </c>
      <c r="R707" s="6" t="n"/>
    </row>
    <row r="708">
      <c r="A708" s="17">
        <f>IF(B708="","","J-"&amp;TEXT(ROW()-4,"0000"))</f>
        <v/>
      </c>
      <c r="B708" s="26" t="n"/>
      <c r="C708" s="6" t="n"/>
      <c r="D708" s="6" t="n"/>
      <c r="E708" s="29" t="n"/>
      <c r="F708" s="6" t="n"/>
      <c r="G708" s="25" t="n"/>
      <c r="H708" s="30">
        <f>IF(C708="","",IF(G708&lt;&gt;"",G708,IFERROR(INDEX(Clients!$G$5:$G$304,MATCH(C708,Clients!$A$5:$A$304,0)),0)))</f>
        <v/>
      </c>
      <c r="I708" s="25" t="n"/>
      <c r="J708" s="30">
        <f>IF(C708="","",H708+N(I708))</f>
        <v/>
      </c>
      <c r="K708" s="6" t="n"/>
      <c r="L708" s="6" t="n"/>
      <c r="M708" s="25" t="n"/>
      <c r="N708" s="10" t="n"/>
      <c r="O708" s="30">
        <f>IF(C708="","",N(E708)*Settings!$B$8)</f>
        <v/>
      </c>
      <c r="P708" s="30">
        <f>IF(C708="","",N(N708)*Settings!$B$10)</f>
        <v/>
      </c>
      <c r="Q708" s="30">
        <f>IF(C708="","",J708-N(M708)-O708-P708)</f>
        <v/>
      </c>
      <c r="R708" s="6" t="n"/>
    </row>
    <row r="709">
      <c r="A709" s="8">
        <f>IF(B709="","","J-"&amp;TEXT(ROW()-4,"0000"))</f>
        <v/>
      </c>
      <c r="B709" s="26" t="n"/>
      <c r="C709" s="6" t="n"/>
      <c r="D709" s="6" t="n"/>
      <c r="E709" s="29" t="n"/>
      <c r="F709" s="6" t="n"/>
      <c r="G709" s="25" t="n"/>
      <c r="H709" s="27">
        <f>IF(C709="","",IF(G709&lt;&gt;"",G709,IFERROR(INDEX(Clients!$G$5:$G$304,MATCH(C709,Clients!$A$5:$A$304,0)),0)))</f>
        <v/>
      </c>
      <c r="I709" s="25" t="n"/>
      <c r="J709" s="27">
        <f>IF(C709="","",H709+N(I709))</f>
        <v/>
      </c>
      <c r="K709" s="6" t="n"/>
      <c r="L709" s="6" t="n"/>
      <c r="M709" s="25" t="n"/>
      <c r="N709" s="10" t="n"/>
      <c r="O709" s="27">
        <f>IF(C709="","",N(E709)*Settings!$B$8)</f>
        <v/>
      </c>
      <c r="P709" s="27">
        <f>IF(C709="","",N(N709)*Settings!$B$10)</f>
        <v/>
      </c>
      <c r="Q709" s="27">
        <f>IF(C709="","",J709-N(M709)-O709-P709)</f>
        <v/>
      </c>
      <c r="R709" s="6" t="n"/>
    </row>
    <row r="710">
      <c r="A710" s="17">
        <f>IF(B710="","","J-"&amp;TEXT(ROW()-4,"0000"))</f>
        <v/>
      </c>
      <c r="B710" s="26" t="n"/>
      <c r="C710" s="6" t="n"/>
      <c r="D710" s="6" t="n"/>
      <c r="E710" s="29" t="n"/>
      <c r="F710" s="6" t="n"/>
      <c r="G710" s="25" t="n"/>
      <c r="H710" s="30">
        <f>IF(C710="","",IF(G710&lt;&gt;"",G710,IFERROR(INDEX(Clients!$G$5:$G$304,MATCH(C710,Clients!$A$5:$A$304,0)),0)))</f>
        <v/>
      </c>
      <c r="I710" s="25" t="n"/>
      <c r="J710" s="30">
        <f>IF(C710="","",H710+N(I710))</f>
        <v/>
      </c>
      <c r="K710" s="6" t="n"/>
      <c r="L710" s="6" t="n"/>
      <c r="M710" s="25" t="n"/>
      <c r="N710" s="10" t="n"/>
      <c r="O710" s="30">
        <f>IF(C710="","",N(E710)*Settings!$B$8)</f>
        <v/>
      </c>
      <c r="P710" s="30">
        <f>IF(C710="","",N(N710)*Settings!$B$10)</f>
        <v/>
      </c>
      <c r="Q710" s="30">
        <f>IF(C710="","",J710-N(M710)-O710-P710)</f>
        <v/>
      </c>
      <c r="R710" s="6" t="n"/>
    </row>
    <row r="711">
      <c r="A711" s="8">
        <f>IF(B711="","","J-"&amp;TEXT(ROW()-4,"0000"))</f>
        <v/>
      </c>
      <c r="B711" s="26" t="n"/>
      <c r="C711" s="6" t="n"/>
      <c r="D711" s="6" t="n"/>
      <c r="E711" s="29" t="n"/>
      <c r="F711" s="6" t="n"/>
      <c r="G711" s="25" t="n"/>
      <c r="H711" s="27">
        <f>IF(C711="","",IF(G711&lt;&gt;"",G711,IFERROR(INDEX(Clients!$G$5:$G$304,MATCH(C711,Clients!$A$5:$A$304,0)),0)))</f>
        <v/>
      </c>
      <c r="I711" s="25" t="n"/>
      <c r="J711" s="27">
        <f>IF(C711="","",H711+N(I711))</f>
        <v/>
      </c>
      <c r="K711" s="6" t="n"/>
      <c r="L711" s="6" t="n"/>
      <c r="M711" s="25" t="n"/>
      <c r="N711" s="10" t="n"/>
      <c r="O711" s="27">
        <f>IF(C711="","",N(E711)*Settings!$B$8)</f>
        <v/>
      </c>
      <c r="P711" s="27">
        <f>IF(C711="","",N(N711)*Settings!$B$10)</f>
        <v/>
      </c>
      <c r="Q711" s="27">
        <f>IF(C711="","",J711-N(M711)-O711-P711)</f>
        <v/>
      </c>
      <c r="R711" s="6" t="n"/>
    </row>
    <row r="712">
      <c r="A712" s="17">
        <f>IF(B712="","","J-"&amp;TEXT(ROW()-4,"0000"))</f>
        <v/>
      </c>
      <c r="B712" s="26" t="n"/>
      <c r="C712" s="6" t="n"/>
      <c r="D712" s="6" t="n"/>
      <c r="E712" s="29" t="n"/>
      <c r="F712" s="6" t="n"/>
      <c r="G712" s="25" t="n"/>
      <c r="H712" s="30">
        <f>IF(C712="","",IF(G712&lt;&gt;"",G712,IFERROR(INDEX(Clients!$G$5:$G$304,MATCH(C712,Clients!$A$5:$A$304,0)),0)))</f>
        <v/>
      </c>
      <c r="I712" s="25" t="n"/>
      <c r="J712" s="30">
        <f>IF(C712="","",H712+N(I712))</f>
        <v/>
      </c>
      <c r="K712" s="6" t="n"/>
      <c r="L712" s="6" t="n"/>
      <c r="M712" s="25" t="n"/>
      <c r="N712" s="10" t="n"/>
      <c r="O712" s="30">
        <f>IF(C712="","",N(E712)*Settings!$B$8)</f>
        <v/>
      </c>
      <c r="P712" s="30">
        <f>IF(C712="","",N(N712)*Settings!$B$10)</f>
        <v/>
      </c>
      <c r="Q712" s="30">
        <f>IF(C712="","",J712-N(M712)-O712-P712)</f>
        <v/>
      </c>
      <c r="R712" s="6" t="n"/>
    </row>
    <row r="713">
      <c r="A713" s="8">
        <f>IF(B713="","","J-"&amp;TEXT(ROW()-4,"0000"))</f>
        <v/>
      </c>
      <c r="B713" s="26" t="n"/>
      <c r="C713" s="6" t="n"/>
      <c r="D713" s="6" t="n"/>
      <c r="E713" s="29" t="n"/>
      <c r="F713" s="6" t="n"/>
      <c r="G713" s="25" t="n"/>
      <c r="H713" s="27">
        <f>IF(C713="","",IF(G713&lt;&gt;"",G713,IFERROR(INDEX(Clients!$G$5:$G$304,MATCH(C713,Clients!$A$5:$A$304,0)),0)))</f>
        <v/>
      </c>
      <c r="I713" s="25" t="n"/>
      <c r="J713" s="27">
        <f>IF(C713="","",H713+N(I713))</f>
        <v/>
      </c>
      <c r="K713" s="6" t="n"/>
      <c r="L713" s="6" t="n"/>
      <c r="M713" s="25" t="n"/>
      <c r="N713" s="10" t="n"/>
      <c r="O713" s="27">
        <f>IF(C713="","",N(E713)*Settings!$B$8)</f>
        <v/>
      </c>
      <c r="P713" s="27">
        <f>IF(C713="","",N(N713)*Settings!$B$10)</f>
        <v/>
      </c>
      <c r="Q713" s="27">
        <f>IF(C713="","",J713-N(M713)-O713-P713)</f>
        <v/>
      </c>
      <c r="R713" s="6" t="n"/>
    </row>
    <row r="714">
      <c r="A714" s="17">
        <f>IF(B714="","","J-"&amp;TEXT(ROW()-4,"0000"))</f>
        <v/>
      </c>
      <c r="B714" s="26" t="n"/>
      <c r="C714" s="6" t="n"/>
      <c r="D714" s="6" t="n"/>
      <c r="E714" s="29" t="n"/>
      <c r="F714" s="6" t="n"/>
      <c r="G714" s="25" t="n"/>
      <c r="H714" s="30">
        <f>IF(C714="","",IF(G714&lt;&gt;"",G714,IFERROR(INDEX(Clients!$G$5:$G$304,MATCH(C714,Clients!$A$5:$A$304,0)),0)))</f>
        <v/>
      </c>
      <c r="I714" s="25" t="n"/>
      <c r="J714" s="30">
        <f>IF(C714="","",H714+N(I714))</f>
        <v/>
      </c>
      <c r="K714" s="6" t="n"/>
      <c r="L714" s="6" t="n"/>
      <c r="M714" s="25" t="n"/>
      <c r="N714" s="10" t="n"/>
      <c r="O714" s="30">
        <f>IF(C714="","",N(E714)*Settings!$B$8)</f>
        <v/>
      </c>
      <c r="P714" s="30">
        <f>IF(C714="","",N(N714)*Settings!$B$10)</f>
        <v/>
      </c>
      <c r="Q714" s="30">
        <f>IF(C714="","",J714-N(M714)-O714-P714)</f>
        <v/>
      </c>
      <c r="R714" s="6" t="n"/>
    </row>
    <row r="715">
      <c r="A715" s="8">
        <f>IF(B715="","","J-"&amp;TEXT(ROW()-4,"0000"))</f>
        <v/>
      </c>
      <c r="B715" s="26" t="n"/>
      <c r="C715" s="6" t="n"/>
      <c r="D715" s="6" t="n"/>
      <c r="E715" s="29" t="n"/>
      <c r="F715" s="6" t="n"/>
      <c r="G715" s="25" t="n"/>
      <c r="H715" s="27">
        <f>IF(C715="","",IF(G715&lt;&gt;"",G715,IFERROR(INDEX(Clients!$G$5:$G$304,MATCH(C715,Clients!$A$5:$A$304,0)),0)))</f>
        <v/>
      </c>
      <c r="I715" s="25" t="n"/>
      <c r="J715" s="27">
        <f>IF(C715="","",H715+N(I715))</f>
        <v/>
      </c>
      <c r="K715" s="6" t="n"/>
      <c r="L715" s="6" t="n"/>
      <c r="M715" s="25" t="n"/>
      <c r="N715" s="10" t="n"/>
      <c r="O715" s="27">
        <f>IF(C715="","",N(E715)*Settings!$B$8)</f>
        <v/>
      </c>
      <c r="P715" s="27">
        <f>IF(C715="","",N(N715)*Settings!$B$10)</f>
        <v/>
      </c>
      <c r="Q715" s="27">
        <f>IF(C715="","",J715-N(M715)-O715-P715)</f>
        <v/>
      </c>
      <c r="R715" s="6" t="n"/>
    </row>
    <row r="716">
      <c r="A716" s="17">
        <f>IF(B716="","","J-"&amp;TEXT(ROW()-4,"0000"))</f>
        <v/>
      </c>
      <c r="B716" s="26" t="n"/>
      <c r="C716" s="6" t="n"/>
      <c r="D716" s="6" t="n"/>
      <c r="E716" s="29" t="n"/>
      <c r="F716" s="6" t="n"/>
      <c r="G716" s="25" t="n"/>
      <c r="H716" s="30">
        <f>IF(C716="","",IF(G716&lt;&gt;"",G716,IFERROR(INDEX(Clients!$G$5:$G$304,MATCH(C716,Clients!$A$5:$A$304,0)),0)))</f>
        <v/>
      </c>
      <c r="I716" s="25" t="n"/>
      <c r="J716" s="30">
        <f>IF(C716="","",H716+N(I716))</f>
        <v/>
      </c>
      <c r="K716" s="6" t="n"/>
      <c r="L716" s="6" t="n"/>
      <c r="M716" s="25" t="n"/>
      <c r="N716" s="10" t="n"/>
      <c r="O716" s="30">
        <f>IF(C716="","",N(E716)*Settings!$B$8)</f>
        <v/>
      </c>
      <c r="P716" s="30">
        <f>IF(C716="","",N(N716)*Settings!$B$10)</f>
        <v/>
      </c>
      <c r="Q716" s="30">
        <f>IF(C716="","",J716-N(M716)-O716-P716)</f>
        <v/>
      </c>
      <c r="R716" s="6" t="n"/>
    </row>
    <row r="717">
      <c r="A717" s="8">
        <f>IF(B717="","","J-"&amp;TEXT(ROW()-4,"0000"))</f>
        <v/>
      </c>
      <c r="B717" s="26" t="n"/>
      <c r="C717" s="6" t="n"/>
      <c r="D717" s="6" t="n"/>
      <c r="E717" s="29" t="n"/>
      <c r="F717" s="6" t="n"/>
      <c r="G717" s="25" t="n"/>
      <c r="H717" s="27">
        <f>IF(C717="","",IF(G717&lt;&gt;"",G717,IFERROR(INDEX(Clients!$G$5:$G$304,MATCH(C717,Clients!$A$5:$A$304,0)),0)))</f>
        <v/>
      </c>
      <c r="I717" s="25" t="n"/>
      <c r="J717" s="27">
        <f>IF(C717="","",H717+N(I717))</f>
        <v/>
      </c>
      <c r="K717" s="6" t="n"/>
      <c r="L717" s="6" t="n"/>
      <c r="M717" s="25" t="n"/>
      <c r="N717" s="10" t="n"/>
      <c r="O717" s="27">
        <f>IF(C717="","",N(E717)*Settings!$B$8)</f>
        <v/>
      </c>
      <c r="P717" s="27">
        <f>IF(C717="","",N(N717)*Settings!$B$10)</f>
        <v/>
      </c>
      <c r="Q717" s="27">
        <f>IF(C717="","",J717-N(M717)-O717-P717)</f>
        <v/>
      </c>
      <c r="R717" s="6" t="n"/>
    </row>
    <row r="718">
      <c r="A718" s="17">
        <f>IF(B718="","","J-"&amp;TEXT(ROW()-4,"0000"))</f>
        <v/>
      </c>
      <c r="B718" s="26" t="n"/>
      <c r="C718" s="6" t="n"/>
      <c r="D718" s="6" t="n"/>
      <c r="E718" s="29" t="n"/>
      <c r="F718" s="6" t="n"/>
      <c r="G718" s="25" t="n"/>
      <c r="H718" s="30">
        <f>IF(C718="","",IF(G718&lt;&gt;"",G718,IFERROR(INDEX(Clients!$G$5:$G$304,MATCH(C718,Clients!$A$5:$A$304,0)),0)))</f>
        <v/>
      </c>
      <c r="I718" s="25" t="n"/>
      <c r="J718" s="30">
        <f>IF(C718="","",H718+N(I718))</f>
        <v/>
      </c>
      <c r="K718" s="6" t="n"/>
      <c r="L718" s="6" t="n"/>
      <c r="M718" s="25" t="n"/>
      <c r="N718" s="10" t="n"/>
      <c r="O718" s="30">
        <f>IF(C718="","",N(E718)*Settings!$B$8)</f>
        <v/>
      </c>
      <c r="P718" s="30">
        <f>IF(C718="","",N(N718)*Settings!$B$10)</f>
        <v/>
      </c>
      <c r="Q718" s="30">
        <f>IF(C718="","",J718-N(M718)-O718-P718)</f>
        <v/>
      </c>
      <c r="R718" s="6" t="n"/>
    </row>
    <row r="719">
      <c r="A719" s="8">
        <f>IF(B719="","","J-"&amp;TEXT(ROW()-4,"0000"))</f>
        <v/>
      </c>
      <c r="B719" s="26" t="n"/>
      <c r="C719" s="6" t="n"/>
      <c r="D719" s="6" t="n"/>
      <c r="E719" s="29" t="n"/>
      <c r="F719" s="6" t="n"/>
      <c r="G719" s="25" t="n"/>
      <c r="H719" s="27">
        <f>IF(C719="","",IF(G719&lt;&gt;"",G719,IFERROR(INDEX(Clients!$G$5:$G$304,MATCH(C719,Clients!$A$5:$A$304,0)),0)))</f>
        <v/>
      </c>
      <c r="I719" s="25" t="n"/>
      <c r="J719" s="27">
        <f>IF(C719="","",H719+N(I719))</f>
        <v/>
      </c>
      <c r="K719" s="6" t="n"/>
      <c r="L719" s="6" t="n"/>
      <c r="M719" s="25" t="n"/>
      <c r="N719" s="10" t="n"/>
      <c r="O719" s="27">
        <f>IF(C719="","",N(E719)*Settings!$B$8)</f>
        <v/>
      </c>
      <c r="P719" s="27">
        <f>IF(C719="","",N(N719)*Settings!$B$10)</f>
        <v/>
      </c>
      <c r="Q719" s="27">
        <f>IF(C719="","",J719-N(M719)-O719-P719)</f>
        <v/>
      </c>
      <c r="R719" s="6" t="n"/>
    </row>
    <row r="720">
      <c r="A720" s="17">
        <f>IF(B720="","","J-"&amp;TEXT(ROW()-4,"0000"))</f>
        <v/>
      </c>
      <c r="B720" s="26" t="n"/>
      <c r="C720" s="6" t="n"/>
      <c r="D720" s="6" t="n"/>
      <c r="E720" s="29" t="n"/>
      <c r="F720" s="6" t="n"/>
      <c r="G720" s="25" t="n"/>
      <c r="H720" s="30">
        <f>IF(C720="","",IF(G720&lt;&gt;"",G720,IFERROR(INDEX(Clients!$G$5:$G$304,MATCH(C720,Clients!$A$5:$A$304,0)),0)))</f>
        <v/>
      </c>
      <c r="I720" s="25" t="n"/>
      <c r="J720" s="30">
        <f>IF(C720="","",H720+N(I720))</f>
        <v/>
      </c>
      <c r="K720" s="6" t="n"/>
      <c r="L720" s="6" t="n"/>
      <c r="M720" s="25" t="n"/>
      <c r="N720" s="10" t="n"/>
      <c r="O720" s="30">
        <f>IF(C720="","",N(E720)*Settings!$B$8)</f>
        <v/>
      </c>
      <c r="P720" s="30">
        <f>IF(C720="","",N(N720)*Settings!$B$10)</f>
        <v/>
      </c>
      <c r="Q720" s="30">
        <f>IF(C720="","",J720-N(M720)-O720-P720)</f>
        <v/>
      </c>
      <c r="R720" s="6" t="n"/>
    </row>
    <row r="721">
      <c r="A721" s="8">
        <f>IF(B721="","","J-"&amp;TEXT(ROW()-4,"0000"))</f>
        <v/>
      </c>
      <c r="B721" s="26" t="n"/>
      <c r="C721" s="6" t="n"/>
      <c r="D721" s="6" t="n"/>
      <c r="E721" s="29" t="n"/>
      <c r="F721" s="6" t="n"/>
      <c r="G721" s="25" t="n"/>
      <c r="H721" s="27">
        <f>IF(C721="","",IF(G721&lt;&gt;"",G721,IFERROR(INDEX(Clients!$G$5:$G$304,MATCH(C721,Clients!$A$5:$A$304,0)),0)))</f>
        <v/>
      </c>
      <c r="I721" s="25" t="n"/>
      <c r="J721" s="27">
        <f>IF(C721="","",H721+N(I721))</f>
        <v/>
      </c>
      <c r="K721" s="6" t="n"/>
      <c r="L721" s="6" t="n"/>
      <c r="M721" s="25" t="n"/>
      <c r="N721" s="10" t="n"/>
      <c r="O721" s="27">
        <f>IF(C721="","",N(E721)*Settings!$B$8)</f>
        <v/>
      </c>
      <c r="P721" s="27">
        <f>IF(C721="","",N(N721)*Settings!$B$10)</f>
        <v/>
      </c>
      <c r="Q721" s="27">
        <f>IF(C721="","",J721-N(M721)-O721-P721)</f>
        <v/>
      </c>
      <c r="R721" s="6" t="n"/>
    </row>
    <row r="722">
      <c r="A722" s="17">
        <f>IF(B722="","","J-"&amp;TEXT(ROW()-4,"0000"))</f>
        <v/>
      </c>
      <c r="B722" s="26" t="n"/>
      <c r="C722" s="6" t="n"/>
      <c r="D722" s="6" t="n"/>
      <c r="E722" s="29" t="n"/>
      <c r="F722" s="6" t="n"/>
      <c r="G722" s="25" t="n"/>
      <c r="H722" s="30">
        <f>IF(C722="","",IF(G722&lt;&gt;"",G722,IFERROR(INDEX(Clients!$G$5:$G$304,MATCH(C722,Clients!$A$5:$A$304,0)),0)))</f>
        <v/>
      </c>
      <c r="I722" s="25" t="n"/>
      <c r="J722" s="30">
        <f>IF(C722="","",H722+N(I722))</f>
        <v/>
      </c>
      <c r="K722" s="6" t="n"/>
      <c r="L722" s="6" t="n"/>
      <c r="M722" s="25" t="n"/>
      <c r="N722" s="10" t="n"/>
      <c r="O722" s="30">
        <f>IF(C722="","",N(E722)*Settings!$B$8)</f>
        <v/>
      </c>
      <c r="P722" s="30">
        <f>IF(C722="","",N(N722)*Settings!$B$10)</f>
        <v/>
      </c>
      <c r="Q722" s="30">
        <f>IF(C722="","",J722-N(M722)-O722-P722)</f>
        <v/>
      </c>
      <c r="R722" s="6" t="n"/>
    </row>
    <row r="723">
      <c r="A723" s="8">
        <f>IF(B723="","","J-"&amp;TEXT(ROW()-4,"0000"))</f>
        <v/>
      </c>
      <c r="B723" s="26" t="n"/>
      <c r="C723" s="6" t="n"/>
      <c r="D723" s="6" t="n"/>
      <c r="E723" s="29" t="n"/>
      <c r="F723" s="6" t="n"/>
      <c r="G723" s="25" t="n"/>
      <c r="H723" s="27">
        <f>IF(C723="","",IF(G723&lt;&gt;"",G723,IFERROR(INDEX(Clients!$G$5:$G$304,MATCH(C723,Clients!$A$5:$A$304,0)),0)))</f>
        <v/>
      </c>
      <c r="I723" s="25" t="n"/>
      <c r="J723" s="27">
        <f>IF(C723="","",H723+N(I723))</f>
        <v/>
      </c>
      <c r="K723" s="6" t="n"/>
      <c r="L723" s="6" t="n"/>
      <c r="M723" s="25" t="n"/>
      <c r="N723" s="10" t="n"/>
      <c r="O723" s="27">
        <f>IF(C723="","",N(E723)*Settings!$B$8)</f>
        <v/>
      </c>
      <c r="P723" s="27">
        <f>IF(C723="","",N(N723)*Settings!$B$10)</f>
        <v/>
      </c>
      <c r="Q723" s="27">
        <f>IF(C723="","",J723-N(M723)-O723-P723)</f>
        <v/>
      </c>
      <c r="R723" s="6" t="n"/>
    </row>
    <row r="724">
      <c r="A724" s="17">
        <f>IF(B724="","","J-"&amp;TEXT(ROW()-4,"0000"))</f>
        <v/>
      </c>
      <c r="B724" s="26" t="n"/>
      <c r="C724" s="6" t="n"/>
      <c r="D724" s="6" t="n"/>
      <c r="E724" s="29" t="n"/>
      <c r="F724" s="6" t="n"/>
      <c r="G724" s="25" t="n"/>
      <c r="H724" s="30">
        <f>IF(C724="","",IF(G724&lt;&gt;"",G724,IFERROR(INDEX(Clients!$G$5:$G$304,MATCH(C724,Clients!$A$5:$A$304,0)),0)))</f>
        <v/>
      </c>
      <c r="I724" s="25" t="n"/>
      <c r="J724" s="30">
        <f>IF(C724="","",H724+N(I724))</f>
        <v/>
      </c>
      <c r="K724" s="6" t="n"/>
      <c r="L724" s="6" t="n"/>
      <c r="M724" s="25" t="n"/>
      <c r="N724" s="10" t="n"/>
      <c r="O724" s="30">
        <f>IF(C724="","",N(E724)*Settings!$B$8)</f>
        <v/>
      </c>
      <c r="P724" s="30">
        <f>IF(C724="","",N(N724)*Settings!$B$10)</f>
        <v/>
      </c>
      <c r="Q724" s="30">
        <f>IF(C724="","",J724-N(M724)-O724-P724)</f>
        <v/>
      </c>
      <c r="R724" s="6" t="n"/>
    </row>
    <row r="725">
      <c r="A725" s="8">
        <f>IF(B725="","","J-"&amp;TEXT(ROW()-4,"0000"))</f>
        <v/>
      </c>
      <c r="B725" s="26" t="n"/>
      <c r="C725" s="6" t="n"/>
      <c r="D725" s="6" t="n"/>
      <c r="E725" s="29" t="n"/>
      <c r="F725" s="6" t="n"/>
      <c r="G725" s="25" t="n"/>
      <c r="H725" s="27">
        <f>IF(C725="","",IF(G725&lt;&gt;"",G725,IFERROR(INDEX(Clients!$G$5:$G$304,MATCH(C725,Clients!$A$5:$A$304,0)),0)))</f>
        <v/>
      </c>
      <c r="I725" s="25" t="n"/>
      <c r="J725" s="27">
        <f>IF(C725="","",H725+N(I725))</f>
        <v/>
      </c>
      <c r="K725" s="6" t="n"/>
      <c r="L725" s="6" t="n"/>
      <c r="M725" s="25" t="n"/>
      <c r="N725" s="10" t="n"/>
      <c r="O725" s="27">
        <f>IF(C725="","",N(E725)*Settings!$B$8)</f>
        <v/>
      </c>
      <c r="P725" s="27">
        <f>IF(C725="","",N(N725)*Settings!$B$10)</f>
        <v/>
      </c>
      <c r="Q725" s="27">
        <f>IF(C725="","",J725-N(M725)-O725-P725)</f>
        <v/>
      </c>
      <c r="R725" s="6" t="n"/>
    </row>
    <row r="726">
      <c r="A726" s="17">
        <f>IF(B726="","","J-"&amp;TEXT(ROW()-4,"0000"))</f>
        <v/>
      </c>
      <c r="B726" s="26" t="n"/>
      <c r="C726" s="6" t="n"/>
      <c r="D726" s="6" t="n"/>
      <c r="E726" s="29" t="n"/>
      <c r="F726" s="6" t="n"/>
      <c r="G726" s="25" t="n"/>
      <c r="H726" s="30">
        <f>IF(C726="","",IF(G726&lt;&gt;"",G726,IFERROR(INDEX(Clients!$G$5:$G$304,MATCH(C726,Clients!$A$5:$A$304,0)),0)))</f>
        <v/>
      </c>
      <c r="I726" s="25" t="n"/>
      <c r="J726" s="30">
        <f>IF(C726="","",H726+N(I726))</f>
        <v/>
      </c>
      <c r="K726" s="6" t="n"/>
      <c r="L726" s="6" t="n"/>
      <c r="M726" s="25" t="n"/>
      <c r="N726" s="10" t="n"/>
      <c r="O726" s="30">
        <f>IF(C726="","",N(E726)*Settings!$B$8)</f>
        <v/>
      </c>
      <c r="P726" s="30">
        <f>IF(C726="","",N(N726)*Settings!$B$10)</f>
        <v/>
      </c>
      <c r="Q726" s="30">
        <f>IF(C726="","",J726-N(M726)-O726-P726)</f>
        <v/>
      </c>
      <c r="R726" s="6" t="n"/>
    </row>
    <row r="727">
      <c r="A727" s="8">
        <f>IF(B727="","","J-"&amp;TEXT(ROW()-4,"0000"))</f>
        <v/>
      </c>
      <c r="B727" s="26" t="n"/>
      <c r="C727" s="6" t="n"/>
      <c r="D727" s="6" t="n"/>
      <c r="E727" s="29" t="n"/>
      <c r="F727" s="6" t="n"/>
      <c r="G727" s="25" t="n"/>
      <c r="H727" s="27">
        <f>IF(C727="","",IF(G727&lt;&gt;"",G727,IFERROR(INDEX(Clients!$G$5:$G$304,MATCH(C727,Clients!$A$5:$A$304,0)),0)))</f>
        <v/>
      </c>
      <c r="I727" s="25" t="n"/>
      <c r="J727" s="27">
        <f>IF(C727="","",H727+N(I727))</f>
        <v/>
      </c>
      <c r="K727" s="6" t="n"/>
      <c r="L727" s="6" t="n"/>
      <c r="M727" s="25" t="n"/>
      <c r="N727" s="10" t="n"/>
      <c r="O727" s="27">
        <f>IF(C727="","",N(E727)*Settings!$B$8)</f>
        <v/>
      </c>
      <c r="P727" s="27">
        <f>IF(C727="","",N(N727)*Settings!$B$10)</f>
        <v/>
      </c>
      <c r="Q727" s="27">
        <f>IF(C727="","",J727-N(M727)-O727-P727)</f>
        <v/>
      </c>
      <c r="R727" s="6" t="n"/>
    </row>
    <row r="728">
      <c r="A728" s="17">
        <f>IF(B728="","","J-"&amp;TEXT(ROW()-4,"0000"))</f>
        <v/>
      </c>
      <c r="B728" s="26" t="n"/>
      <c r="C728" s="6" t="n"/>
      <c r="D728" s="6" t="n"/>
      <c r="E728" s="29" t="n"/>
      <c r="F728" s="6" t="n"/>
      <c r="G728" s="25" t="n"/>
      <c r="H728" s="30">
        <f>IF(C728="","",IF(G728&lt;&gt;"",G728,IFERROR(INDEX(Clients!$G$5:$G$304,MATCH(C728,Clients!$A$5:$A$304,0)),0)))</f>
        <v/>
      </c>
      <c r="I728" s="25" t="n"/>
      <c r="J728" s="30">
        <f>IF(C728="","",H728+N(I728))</f>
        <v/>
      </c>
      <c r="K728" s="6" t="n"/>
      <c r="L728" s="6" t="n"/>
      <c r="M728" s="25" t="n"/>
      <c r="N728" s="10" t="n"/>
      <c r="O728" s="30">
        <f>IF(C728="","",N(E728)*Settings!$B$8)</f>
        <v/>
      </c>
      <c r="P728" s="30">
        <f>IF(C728="","",N(N728)*Settings!$B$10)</f>
        <v/>
      </c>
      <c r="Q728" s="30">
        <f>IF(C728="","",J728-N(M728)-O728-P728)</f>
        <v/>
      </c>
      <c r="R728" s="6" t="n"/>
    </row>
    <row r="729">
      <c r="A729" s="8">
        <f>IF(B729="","","J-"&amp;TEXT(ROW()-4,"0000"))</f>
        <v/>
      </c>
      <c r="B729" s="26" t="n"/>
      <c r="C729" s="6" t="n"/>
      <c r="D729" s="6" t="n"/>
      <c r="E729" s="29" t="n"/>
      <c r="F729" s="6" t="n"/>
      <c r="G729" s="25" t="n"/>
      <c r="H729" s="27">
        <f>IF(C729="","",IF(G729&lt;&gt;"",G729,IFERROR(INDEX(Clients!$G$5:$G$304,MATCH(C729,Clients!$A$5:$A$304,0)),0)))</f>
        <v/>
      </c>
      <c r="I729" s="25" t="n"/>
      <c r="J729" s="27">
        <f>IF(C729="","",H729+N(I729))</f>
        <v/>
      </c>
      <c r="K729" s="6" t="n"/>
      <c r="L729" s="6" t="n"/>
      <c r="M729" s="25" t="n"/>
      <c r="N729" s="10" t="n"/>
      <c r="O729" s="27">
        <f>IF(C729="","",N(E729)*Settings!$B$8)</f>
        <v/>
      </c>
      <c r="P729" s="27">
        <f>IF(C729="","",N(N729)*Settings!$B$10)</f>
        <v/>
      </c>
      <c r="Q729" s="27">
        <f>IF(C729="","",J729-N(M729)-O729-P729)</f>
        <v/>
      </c>
      <c r="R729" s="6" t="n"/>
    </row>
    <row r="730">
      <c r="A730" s="17">
        <f>IF(B730="","","J-"&amp;TEXT(ROW()-4,"0000"))</f>
        <v/>
      </c>
      <c r="B730" s="26" t="n"/>
      <c r="C730" s="6" t="n"/>
      <c r="D730" s="6" t="n"/>
      <c r="E730" s="29" t="n"/>
      <c r="F730" s="6" t="n"/>
      <c r="G730" s="25" t="n"/>
      <c r="H730" s="30">
        <f>IF(C730="","",IF(G730&lt;&gt;"",G730,IFERROR(INDEX(Clients!$G$5:$G$304,MATCH(C730,Clients!$A$5:$A$304,0)),0)))</f>
        <v/>
      </c>
      <c r="I730" s="25" t="n"/>
      <c r="J730" s="30">
        <f>IF(C730="","",H730+N(I730))</f>
        <v/>
      </c>
      <c r="K730" s="6" t="n"/>
      <c r="L730" s="6" t="n"/>
      <c r="M730" s="25" t="n"/>
      <c r="N730" s="10" t="n"/>
      <c r="O730" s="30">
        <f>IF(C730="","",N(E730)*Settings!$B$8)</f>
        <v/>
      </c>
      <c r="P730" s="30">
        <f>IF(C730="","",N(N730)*Settings!$B$10)</f>
        <v/>
      </c>
      <c r="Q730" s="30">
        <f>IF(C730="","",J730-N(M730)-O730-P730)</f>
        <v/>
      </c>
      <c r="R730" s="6" t="n"/>
    </row>
    <row r="731">
      <c r="A731" s="8">
        <f>IF(B731="","","J-"&amp;TEXT(ROW()-4,"0000"))</f>
        <v/>
      </c>
      <c r="B731" s="26" t="n"/>
      <c r="C731" s="6" t="n"/>
      <c r="D731" s="6" t="n"/>
      <c r="E731" s="29" t="n"/>
      <c r="F731" s="6" t="n"/>
      <c r="G731" s="25" t="n"/>
      <c r="H731" s="27">
        <f>IF(C731="","",IF(G731&lt;&gt;"",G731,IFERROR(INDEX(Clients!$G$5:$G$304,MATCH(C731,Clients!$A$5:$A$304,0)),0)))</f>
        <v/>
      </c>
      <c r="I731" s="25" t="n"/>
      <c r="J731" s="27">
        <f>IF(C731="","",H731+N(I731))</f>
        <v/>
      </c>
      <c r="K731" s="6" t="n"/>
      <c r="L731" s="6" t="n"/>
      <c r="M731" s="25" t="n"/>
      <c r="N731" s="10" t="n"/>
      <c r="O731" s="27">
        <f>IF(C731="","",N(E731)*Settings!$B$8)</f>
        <v/>
      </c>
      <c r="P731" s="27">
        <f>IF(C731="","",N(N731)*Settings!$B$10)</f>
        <v/>
      </c>
      <c r="Q731" s="27">
        <f>IF(C731="","",J731-N(M731)-O731-P731)</f>
        <v/>
      </c>
      <c r="R731" s="6" t="n"/>
    </row>
    <row r="732">
      <c r="A732" s="17">
        <f>IF(B732="","","J-"&amp;TEXT(ROW()-4,"0000"))</f>
        <v/>
      </c>
      <c r="B732" s="26" t="n"/>
      <c r="C732" s="6" t="n"/>
      <c r="D732" s="6" t="n"/>
      <c r="E732" s="29" t="n"/>
      <c r="F732" s="6" t="n"/>
      <c r="G732" s="25" t="n"/>
      <c r="H732" s="30">
        <f>IF(C732="","",IF(G732&lt;&gt;"",G732,IFERROR(INDEX(Clients!$G$5:$G$304,MATCH(C732,Clients!$A$5:$A$304,0)),0)))</f>
        <v/>
      </c>
      <c r="I732" s="25" t="n"/>
      <c r="J732" s="30">
        <f>IF(C732="","",H732+N(I732))</f>
        <v/>
      </c>
      <c r="K732" s="6" t="n"/>
      <c r="L732" s="6" t="n"/>
      <c r="M732" s="25" t="n"/>
      <c r="N732" s="10" t="n"/>
      <c r="O732" s="30">
        <f>IF(C732="","",N(E732)*Settings!$B$8)</f>
        <v/>
      </c>
      <c r="P732" s="30">
        <f>IF(C732="","",N(N732)*Settings!$B$10)</f>
        <v/>
      </c>
      <c r="Q732" s="30">
        <f>IF(C732="","",J732-N(M732)-O732-P732)</f>
        <v/>
      </c>
      <c r="R732" s="6" t="n"/>
    </row>
    <row r="733">
      <c r="A733" s="8">
        <f>IF(B733="","","J-"&amp;TEXT(ROW()-4,"0000"))</f>
        <v/>
      </c>
      <c r="B733" s="26" t="n"/>
      <c r="C733" s="6" t="n"/>
      <c r="D733" s="6" t="n"/>
      <c r="E733" s="29" t="n"/>
      <c r="F733" s="6" t="n"/>
      <c r="G733" s="25" t="n"/>
      <c r="H733" s="27">
        <f>IF(C733="","",IF(G733&lt;&gt;"",G733,IFERROR(INDEX(Clients!$G$5:$G$304,MATCH(C733,Clients!$A$5:$A$304,0)),0)))</f>
        <v/>
      </c>
      <c r="I733" s="25" t="n"/>
      <c r="J733" s="27">
        <f>IF(C733="","",H733+N(I733))</f>
        <v/>
      </c>
      <c r="K733" s="6" t="n"/>
      <c r="L733" s="6" t="n"/>
      <c r="M733" s="25" t="n"/>
      <c r="N733" s="10" t="n"/>
      <c r="O733" s="27">
        <f>IF(C733="","",N(E733)*Settings!$B$8)</f>
        <v/>
      </c>
      <c r="P733" s="27">
        <f>IF(C733="","",N(N733)*Settings!$B$10)</f>
        <v/>
      </c>
      <c r="Q733" s="27">
        <f>IF(C733="","",J733-N(M733)-O733-P733)</f>
        <v/>
      </c>
      <c r="R733" s="6" t="n"/>
    </row>
    <row r="734">
      <c r="A734" s="17">
        <f>IF(B734="","","J-"&amp;TEXT(ROW()-4,"0000"))</f>
        <v/>
      </c>
      <c r="B734" s="26" t="n"/>
      <c r="C734" s="6" t="n"/>
      <c r="D734" s="6" t="n"/>
      <c r="E734" s="29" t="n"/>
      <c r="F734" s="6" t="n"/>
      <c r="G734" s="25" t="n"/>
      <c r="H734" s="30">
        <f>IF(C734="","",IF(G734&lt;&gt;"",G734,IFERROR(INDEX(Clients!$G$5:$G$304,MATCH(C734,Clients!$A$5:$A$304,0)),0)))</f>
        <v/>
      </c>
      <c r="I734" s="25" t="n"/>
      <c r="J734" s="30">
        <f>IF(C734="","",H734+N(I734))</f>
        <v/>
      </c>
      <c r="K734" s="6" t="n"/>
      <c r="L734" s="6" t="n"/>
      <c r="M734" s="25" t="n"/>
      <c r="N734" s="10" t="n"/>
      <c r="O734" s="30">
        <f>IF(C734="","",N(E734)*Settings!$B$8)</f>
        <v/>
      </c>
      <c r="P734" s="30">
        <f>IF(C734="","",N(N734)*Settings!$B$10)</f>
        <v/>
      </c>
      <c r="Q734" s="30">
        <f>IF(C734="","",J734-N(M734)-O734-P734)</f>
        <v/>
      </c>
      <c r="R734" s="6" t="n"/>
    </row>
    <row r="735">
      <c r="A735" s="8">
        <f>IF(B735="","","J-"&amp;TEXT(ROW()-4,"0000"))</f>
        <v/>
      </c>
      <c r="B735" s="26" t="n"/>
      <c r="C735" s="6" t="n"/>
      <c r="D735" s="6" t="n"/>
      <c r="E735" s="29" t="n"/>
      <c r="F735" s="6" t="n"/>
      <c r="G735" s="25" t="n"/>
      <c r="H735" s="27">
        <f>IF(C735="","",IF(G735&lt;&gt;"",G735,IFERROR(INDEX(Clients!$G$5:$G$304,MATCH(C735,Clients!$A$5:$A$304,0)),0)))</f>
        <v/>
      </c>
      <c r="I735" s="25" t="n"/>
      <c r="J735" s="27">
        <f>IF(C735="","",H735+N(I735))</f>
        <v/>
      </c>
      <c r="K735" s="6" t="n"/>
      <c r="L735" s="6" t="n"/>
      <c r="M735" s="25" t="n"/>
      <c r="N735" s="10" t="n"/>
      <c r="O735" s="27">
        <f>IF(C735="","",N(E735)*Settings!$B$8)</f>
        <v/>
      </c>
      <c r="P735" s="27">
        <f>IF(C735="","",N(N735)*Settings!$B$10)</f>
        <v/>
      </c>
      <c r="Q735" s="27">
        <f>IF(C735="","",J735-N(M735)-O735-P735)</f>
        <v/>
      </c>
      <c r="R735" s="6" t="n"/>
    </row>
    <row r="736">
      <c r="A736" s="17">
        <f>IF(B736="","","J-"&amp;TEXT(ROW()-4,"0000"))</f>
        <v/>
      </c>
      <c r="B736" s="26" t="n"/>
      <c r="C736" s="6" t="n"/>
      <c r="D736" s="6" t="n"/>
      <c r="E736" s="29" t="n"/>
      <c r="F736" s="6" t="n"/>
      <c r="G736" s="25" t="n"/>
      <c r="H736" s="30">
        <f>IF(C736="","",IF(G736&lt;&gt;"",G736,IFERROR(INDEX(Clients!$G$5:$G$304,MATCH(C736,Clients!$A$5:$A$304,0)),0)))</f>
        <v/>
      </c>
      <c r="I736" s="25" t="n"/>
      <c r="J736" s="30">
        <f>IF(C736="","",H736+N(I736))</f>
        <v/>
      </c>
      <c r="K736" s="6" t="n"/>
      <c r="L736" s="6" t="n"/>
      <c r="M736" s="25" t="n"/>
      <c r="N736" s="10" t="n"/>
      <c r="O736" s="30">
        <f>IF(C736="","",N(E736)*Settings!$B$8)</f>
        <v/>
      </c>
      <c r="P736" s="30">
        <f>IF(C736="","",N(N736)*Settings!$B$10)</f>
        <v/>
      </c>
      <c r="Q736" s="30">
        <f>IF(C736="","",J736-N(M736)-O736-P736)</f>
        <v/>
      </c>
      <c r="R736" s="6" t="n"/>
    </row>
    <row r="737">
      <c r="A737" s="8">
        <f>IF(B737="","","J-"&amp;TEXT(ROW()-4,"0000"))</f>
        <v/>
      </c>
      <c r="B737" s="26" t="n"/>
      <c r="C737" s="6" t="n"/>
      <c r="D737" s="6" t="n"/>
      <c r="E737" s="29" t="n"/>
      <c r="F737" s="6" t="n"/>
      <c r="G737" s="25" t="n"/>
      <c r="H737" s="27">
        <f>IF(C737="","",IF(G737&lt;&gt;"",G737,IFERROR(INDEX(Clients!$G$5:$G$304,MATCH(C737,Clients!$A$5:$A$304,0)),0)))</f>
        <v/>
      </c>
      <c r="I737" s="25" t="n"/>
      <c r="J737" s="27">
        <f>IF(C737="","",H737+N(I737))</f>
        <v/>
      </c>
      <c r="K737" s="6" t="n"/>
      <c r="L737" s="6" t="n"/>
      <c r="M737" s="25" t="n"/>
      <c r="N737" s="10" t="n"/>
      <c r="O737" s="27">
        <f>IF(C737="","",N(E737)*Settings!$B$8)</f>
        <v/>
      </c>
      <c r="P737" s="27">
        <f>IF(C737="","",N(N737)*Settings!$B$10)</f>
        <v/>
      </c>
      <c r="Q737" s="27">
        <f>IF(C737="","",J737-N(M737)-O737-P737)</f>
        <v/>
      </c>
      <c r="R737" s="6" t="n"/>
    </row>
    <row r="738">
      <c r="A738" s="17">
        <f>IF(B738="","","J-"&amp;TEXT(ROW()-4,"0000"))</f>
        <v/>
      </c>
      <c r="B738" s="26" t="n"/>
      <c r="C738" s="6" t="n"/>
      <c r="D738" s="6" t="n"/>
      <c r="E738" s="29" t="n"/>
      <c r="F738" s="6" t="n"/>
      <c r="G738" s="25" t="n"/>
      <c r="H738" s="30">
        <f>IF(C738="","",IF(G738&lt;&gt;"",G738,IFERROR(INDEX(Clients!$G$5:$G$304,MATCH(C738,Clients!$A$5:$A$304,0)),0)))</f>
        <v/>
      </c>
      <c r="I738" s="25" t="n"/>
      <c r="J738" s="30">
        <f>IF(C738="","",H738+N(I738))</f>
        <v/>
      </c>
      <c r="K738" s="6" t="n"/>
      <c r="L738" s="6" t="n"/>
      <c r="M738" s="25" t="n"/>
      <c r="N738" s="10" t="n"/>
      <c r="O738" s="30">
        <f>IF(C738="","",N(E738)*Settings!$B$8)</f>
        <v/>
      </c>
      <c r="P738" s="30">
        <f>IF(C738="","",N(N738)*Settings!$B$10)</f>
        <v/>
      </c>
      <c r="Q738" s="30">
        <f>IF(C738="","",J738-N(M738)-O738-P738)</f>
        <v/>
      </c>
      <c r="R738" s="6" t="n"/>
    </row>
    <row r="739">
      <c r="A739" s="8">
        <f>IF(B739="","","J-"&amp;TEXT(ROW()-4,"0000"))</f>
        <v/>
      </c>
      <c r="B739" s="26" t="n"/>
      <c r="C739" s="6" t="n"/>
      <c r="D739" s="6" t="n"/>
      <c r="E739" s="29" t="n"/>
      <c r="F739" s="6" t="n"/>
      <c r="G739" s="25" t="n"/>
      <c r="H739" s="27">
        <f>IF(C739="","",IF(G739&lt;&gt;"",G739,IFERROR(INDEX(Clients!$G$5:$G$304,MATCH(C739,Clients!$A$5:$A$304,0)),0)))</f>
        <v/>
      </c>
      <c r="I739" s="25" t="n"/>
      <c r="J739" s="27">
        <f>IF(C739="","",H739+N(I739))</f>
        <v/>
      </c>
      <c r="K739" s="6" t="n"/>
      <c r="L739" s="6" t="n"/>
      <c r="M739" s="25" t="n"/>
      <c r="N739" s="10" t="n"/>
      <c r="O739" s="27">
        <f>IF(C739="","",N(E739)*Settings!$B$8)</f>
        <v/>
      </c>
      <c r="P739" s="27">
        <f>IF(C739="","",N(N739)*Settings!$B$10)</f>
        <v/>
      </c>
      <c r="Q739" s="27">
        <f>IF(C739="","",J739-N(M739)-O739-P739)</f>
        <v/>
      </c>
      <c r="R739" s="6" t="n"/>
    </row>
    <row r="740">
      <c r="A740" s="17">
        <f>IF(B740="","","J-"&amp;TEXT(ROW()-4,"0000"))</f>
        <v/>
      </c>
      <c r="B740" s="26" t="n"/>
      <c r="C740" s="6" t="n"/>
      <c r="D740" s="6" t="n"/>
      <c r="E740" s="29" t="n"/>
      <c r="F740" s="6" t="n"/>
      <c r="G740" s="25" t="n"/>
      <c r="H740" s="30">
        <f>IF(C740="","",IF(G740&lt;&gt;"",G740,IFERROR(INDEX(Clients!$G$5:$G$304,MATCH(C740,Clients!$A$5:$A$304,0)),0)))</f>
        <v/>
      </c>
      <c r="I740" s="25" t="n"/>
      <c r="J740" s="30">
        <f>IF(C740="","",H740+N(I740))</f>
        <v/>
      </c>
      <c r="K740" s="6" t="n"/>
      <c r="L740" s="6" t="n"/>
      <c r="M740" s="25" t="n"/>
      <c r="N740" s="10" t="n"/>
      <c r="O740" s="30">
        <f>IF(C740="","",N(E740)*Settings!$B$8)</f>
        <v/>
      </c>
      <c r="P740" s="30">
        <f>IF(C740="","",N(N740)*Settings!$B$10)</f>
        <v/>
      </c>
      <c r="Q740" s="30">
        <f>IF(C740="","",J740-N(M740)-O740-P740)</f>
        <v/>
      </c>
      <c r="R740" s="6" t="n"/>
    </row>
    <row r="741">
      <c r="A741" s="8">
        <f>IF(B741="","","J-"&amp;TEXT(ROW()-4,"0000"))</f>
        <v/>
      </c>
      <c r="B741" s="26" t="n"/>
      <c r="C741" s="6" t="n"/>
      <c r="D741" s="6" t="n"/>
      <c r="E741" s="29" t="n"/>
      <c r="F741" s="6" t="n"/>
      <c r="G741" s="25" t="n"/>
      <c r="H741" s="27">
        <f>IF(C741="","",IF(G741&lt;&gt;"",G741,IFERROR(INDEX(Clients!$G$5:$G$304,MATCH(C741,Clients!$A$5:$A$304,0)),0)))</f>
        <v/>
      </c>
      <c r="I741" s="25" t="n"/>
      <c r="J741" s="27">
        <f>IF(C741="","",H741+N(I741))</f>
        <v/>
      </c>
      <c r="K741" s="6" t="n"/>
      <c r="L741" s="6" t="n"/>
      <c r="M741" s="25" t="n"/>
      <c r="N741" s="10" t="n"/>
      <c r="O741" s="27">
        <f>IF(C741="","",N(E741)*Settings!$B$8)</f>
        <v/>
      </c>
      <c r="P741" s="27">
        <f>IF(C741="","",N(N741)*Settings!$B$10)</f>
        <v/>
      </c>
      <c r="Q741" s="27">
        <f>IF(C741="","",J741-N(M741)-O741-P741)</f>
        <v/>
      </c>
      <c r="R741" s="6" t="n"/>
    </row>
    <row r="742">
      <c r="A742" s="17">
        <f>IF(B742="","","J-"&amp;TEXT(ROW()-4,"0000"))</f>
        <v/>
      </c>
      <c r="B742" s="26" t="n"/>
      <c r="C742" s="6" t="n"/>
      <c r="D742" s="6" t="n"/>
      <c r="E742" s="29" t="n"/>
      <c r="F742" s="6" t="n"/>
      <c r="G742" s="25" t="n"/>
      <c r="H742" s="30">
        <f>IF(C742="","",IF(G742&lt;&gt;"",G742,IFERROR(INDEX(Clients!$G$5:$G$304,MATCH(C742,Clients!$A$5:$A$304,0)),0)))</f>
        <v/>
      </c>
      <c r="I742" s="25" t="n"/>
      <c r="J742" s="30">
        <f>IF(C742="","",H742+N(I742))</f>
        <v/>
      </c>
      <c r="K742" s="6" t="n"/>
      <c r="L742" s="6" t="n"/>
      <c r="M742" s="25" t="n"/>
      <c r="N742" s="10" t="n"/>
      <c r="O742" s="30">
        <f>IF(C742="","",N(E742)*Settings!$B$8)</f>
        <v/>
      </c>
      <c r="P742" s="30">
        <f>IF(C742="","",N(N742)*Settings!$B$10)</f>
        <v/>
      </c>
      <c r="Q742" s="30">
        <f>IF(C742="","",J742-N(M742)-O742-P742)</f>
        <v/>
      </c>
      <c r="R742" s="6" t="n"/>
    </row>
    <row r="743">
      <c r="A743" s="8">
        <f>IF(B743="","","J-"&amp;TEXT(ROW()-4,"0000"))</f>
        <v/>
      </c>
      <c r="B743" s="26" t="n"/>
      <c r="C743" s="6" t="n"/>
      <c r="D743" s="6" t="n"/>
      <c r="E743" s="29" t="n"/>
      <c r="F743" s="6" t="n"/>
      <c r="G743" s="25" t="n"/>
      <c r="H743" s="27">
        <f>IF(C743="","",IF(G743&lt;&gt;"",G743,IFERROR(INDEX(Clients!$G$5:$G$304,MATCH(C743,Clients!$A$5:$A$304,0)),0)))</f>
        <v/>
      </c>
      <c r="I743" s="25" t="n"/>
      <c r="J743" s="27">
        <f>IF(C743="","",H743+N(I743))</f>
        <v/>
      </c>
      <c r="K743" s="6" t="n"/>
      <c r="L743" s="6" t="n"/>
      <c r="M743" s="25" t="n"/>
      <c r="N743" s="10" t="n"/>
      <c r="O743" s="27">
        <f>IF(C743="","",N(E743)*Settings!$B$8)</f>
        <v/>
      </c>
      <c r="P743" s="27">
        <f>IF(C743="","",N(N743)*Settings!$B$10)</f>
        <v/>
      </c>
      <c r="Q743" s="27">
        <f>IF(C743="","",J743-N(M743)-O743-P743)</f>
        <v/>
      </c>
      <c r="R743" s="6" t="n"/>
    </row>
    <row r="744">
      <c r="A744" s="17">
        <f>IF(B744="","","J-"&amp;TEXT(ROW()-4,"0000"))</f>
        <v/>
      </c>
      <c r="B744" s="26" t="n"/>
      <c r="C744" s="6" t="n"/>
      <c r="D744" s="6" t="n"/>
      <c r="E744" s="29" t="n"/>
      <c r="F744" s="6" t="n"/>
      <c r="G744" s="25" t="n"/>
      <c r="H744" s="30">
        <f>IF(C744="","",IF(G744&lt;&gt;"",G744,IFERROR(INDEX(Clients!$G$5:$G$304,MATCH(C744,Clients!$A$5:$A$304,0)),0)))</f>
        <v/>
      </c>
      <c r="I744" s="25" t="n"/>
      <c r="J744" s="30">
        <f>IF(C744="","",H744+N(I744))</f>
        <v/>
      </c>
      <c r="K744" s="6" t="n"/>
      <c r="L744" s="6" t="n"/>
      <c r="M744" s="25" t="n"/>
      <c r="N744" s="10" t="n"/>
      <c r="O744" s="30">
        <f>IF(C744="","",N(E744)*Settings!$B$8)</f>
        <v/>
      </c>
      <c r="P744" s="30">
        <f>IF(C744="","",N(N744)*Settings!$B$10)</f>
        <v/>
      </c>
      <c r="Q744" s="30">
        <f>IF(C744="","",J744-N(M744)-O744-P744)</f>
        <v/>
      </c>
      <c r="R744" s="6" t="n"/>
    </row>
    <row r="745">
      <c r="A745" s="8">
        <f>IF(B745="","","J-"&amp;TEXT(ROW()-4,"0000"))</f>
        <v/>
      </c>
      <c r="B745" s="26" t="n"/>
      <c r="C745" s="6" t="n"/>
      <c r="D745" s="6" t="n"/>
      <c r="E745" s="29" t="n"/>
      <c r="F745" s="6" t="n"/>
      <c r="G745" s="25" t="n"/>
      <c r="H745" s="27">
        <f>IF(C745="","",IF(G745&lt;&gt;"",G745,IFERROR(INDEX(Clients!$G$5:$G$304,MATCH(C745,Clients!$A$5:$A$304,0)),0)))</f>
        <v/>
      </c>
      <c r="I745" s="25" t="n"/>
      <c r="J745" s="27">
        <f>IF(C745="","",H745+N(I745))</f>
        <v/>
      </c>
      <c r="K745" s="6" t="n"/>
      <c r="L745" s="6" t="n"/>
      <c r="M745" s="25" t="n"/>
      <c r="N745" s="10" t="n"/>
      <c r="O745" s="27">
        <f>IF(C745="","",N(E745)*Settings!$B$8)</f>
        <v/>
      </c>
      <c r="P745" s="27">
        <f>IF(C745="","",N(N745)*Settings!$B$10)</f>
        <v/>
      </c>
      <c r="Q745" s="27">
        <f>IF(C745="","",J745-N(M745)-O745-P745)</f>
        <v/>
      </c>
      <c r="R745" s="6" t="n"/>
    </row>
    <row r="746">
      <c r="A746" s="17">
        <f>IF(B746="","","J-"&amp;TEXT(ROW()-4,"0000"))</f>
        <v/>
      </c>
      <c r="B746" s="26" t="n"/>
      <c r="C746" s="6" t="n"/>
      <c r="D746" s="6" t="n"/>
      <c r="E746" s="29" t="n"/>
      <c r="F746" s="6" t="n"/>
      <c r="G746" s="25" t="n"/>
      <c r="H746" s="30">
        <f>IF(C746="","",IF(G746&lt;&gt;"",G746,IFERROR(INDEX(Clients!$G$5:$G$304,MATCH(C746,Clients!$A$5:$A$304,0)),0)))</f>
        <v/>
      </c>
      <c r="I746" s="25" t="n"/>
      <c r="J746" s="30">
        <f>IF(C746="","",H746+N(I746))</f>
        <v/>
      </c>
      <c r="K746" s="6" t="n"/>
      <c r="L746" s="6" t="n"/>
      <c r="M746" s="25" t="n"/>
      <c r="N746" s="10" t="n"/>
      <c r="O746" s="30">
        <f>IF(C746="","",N(E746)*Settings!$B$8)</f>
        <v/>
      </c>
      <c r="P746" s="30">
        <f>IF(C746="","",N(N746)*Settings!$B$10)</f>
        <v/>
      </c>
      <c r="Q746" s="30">
        <f>IF(C746="","",J746-N(M746)-O746-P746)</f>
        <v/>
      </c>
      <c r="R746" s="6" t="n"/>
    </row>
    <row r="747">
      <c r="A747" s="8">
        <f>IF(B747="","","J-"&amp;TEXT(ROW()-4,"0000"))</f>
        <v/>
      </c>
      <c r="B747" s="26" t="n"/>
      <c r="C747" s="6" t="n"/>
      <c r="D747" s="6" t="n"/>
      <c r="E747" s="29" t="n"/>
      <c r="F747" s="6" t="n"/>
      <c r="G747" s="25" t="n"/>
      <c r="H747" s="27">
        <f>IF(C747="","",IF(G747&lt;&gt;"",G747,IFERROR(INDEX(Clients!$G$5:$G$304,MATCH(C747,Clients!$A$5:$A$304,0)),0)))</f>
        <v/>
      </c>
      <c r="I747" s="25" t="n"/>
      <c r="J747" s="27">
        <f>IF(C747="","",H747+N(I747))</f>
        <v/>
      </c>
      <c r="K747" s="6" t="n"/>
      <c r="L747" s="6" t="n"/>
      <c r="M747" s="25" t="n"/>
      <c r="N747" s="10" t="n"/>
      <c r="O747" s="27">
        <f>IF(C747="","",N(E747)*Settings!$B$8)</f>
        <v/>
      </c>
      <c r="P747" s="27">
        <f>IF(C747="","",N(N747)*Settings!$B$10)</f>
        <v/>
      </c>
      <c r="Q747" s="27">
        <f>IF(C747="","",J747-N(M747)-O747-P747)</f>
        <v/>
      </c>
      <c r="R747" s="6" t="n"/>
    </row>
    <row r="748">
      <c r="A748" s="17">
        <f>IF(B748="","","J-"&amp;TEXT(ROW()-4,"0000"))</f>
        <v/>
      </c>
      <c r="B748" s="26" t="n"/>
      <c r="C748" s="6" t="n"/>
      <c r="D748" s="6" t="n"/>
      <c r="E748" s="29" t="n"/>
      <c r="F748" s="6" t="n"/>
      <c r="G748" s="25" t="n"/>
      <c r="H748" s="30">
        <f>IF(C748="","",IF(G748&lt;&gt;"",G748,IFERROR(INDEX(Clients!$G$5:$G$304,MATCH(C748,Clients!$A$5:$A$304,0)),0)))</f>
        <v/>
      </c>
      <c r="I748" s="25" t="n"/>
      <c r="J748" s="30">
        <f>IF(C748="","",H748+N(I748))</f>
        <v/>
      </c>
      <c r="K748" s="6" t="n"/>
      <c r="L748" s="6" t="n"/>
      <c r="M748" s="25" t="n"/>
      <c r="N748" s="10" t="n"/>
      <c r="O748" s="30">
        <f>IF(C748="","",N(E748)*Settings!$B$8)</f>
        <v/>
      </c>
      <c r="P748" s="30">
        <f>IF(C748="","",N(N748)*Settings!$B$10)</f>
        <v/>
      </c>
      <c r="Q748" s="30">
        <f>IF(C748="","",J748-N(M748)-O748-P748)</f>
        <v/>
      </c>
      <c r="R748" s="6" t="n"/>
    </row>
    <row r="749">
      <c r="A749" s="8">
        <f>IF(B749="","","J-"&amp;TEXT(ROW()-4,"0000"))</f>
        <v/>
      </c>
      <c r="B749" s="26" t="n"/>
      <c r="C749" s="6" t="n"/>
      <c r="D749" s="6" t="n"/>
      <c r="E749" s="29" t="n"/>
      <c r="F749" s="6" t="n"/>
      <c r="G749" s="25" t="n"/>
      <c r="H749" s="27">
        <f>IF(C749="","",IF(G749&lt;&gt;"",G749,IFERROR(INDEX(Clients!$G$5:$G$304,MATCH(C749,Clients!$A$5:$A$304,0)),0)))</f>
        <v/>
      </c>
      <c r="I749" s="25" t="n"/>
      <c r="J749" s="27">
        <f>IF(C749="","",H749+N(I749))</f>
        <v/>
      </c>
      <c r="K749" s="6" t="n"/>
      <c r="L749" s="6" t="n"/>
      <c r="M749" s="25" t="n"/>
      <c r="N749" s="10" t="n"/>
      <c r="O749" s="27">
        <f>IF(C749="","",N(E749)*Settings!$B$8)</f>
        <v/>
      </c>
      <c r="P749" s="27">
        <f>IF(C749="","",N(N749)*Settings!$B$10)</f>
        <v/>
      </c>
      <c r="Q749" s="27">
        <f>IF(C749="","",J749-N(M749)-O749-P749)</f>
        <v/>
      </c>
      <c r="R749" s="6" t="n"/>
    </row>
    <row r="750">
      <c r="A750" s="17">
        <f>IF(B750="","","J-"&amp;TEXT(ROW()-4,"0000"))</f>
        <v/>
      </c>
      <c r="B750" s="26" t="n"/>
      <c r="C750" s="6" t="n"/>
      <c r="D750" s="6" t="n"/>
      <c r="E750" s="29" t="n"/>
      <c r="F750" s="6" t="n"/>
      <c r="G750" s="25" t="n"/>
      <c r="H750" s="30">
        <f>IF(C750="","",IF(G750&lt;&gt;"",G750,IFERROR(INDEX(Clients!$G$5:$G$304,MATCH(C750,Clients!$A$5:$A$304,0)),0)))</f>
        <v/>
      </c>
      <c r="I750" s="25" t="n"/>
      <c r="J750" s="30">
        <f>IF(C750="","",H750+N(I750))</f>
        <v/>
      </c>
      <c r="K750" s="6" t="n"/>
      <c r="L750" s="6" t="n"/>
      <c r="M750" s="25" t="n"/>
      <c r="N750" s="10" t="n"/>
      <c r="O750" s="30">
        <f>IF(C750="","",N(E750)*Settings!$B$8)</f>
        <v/>
      </c>
      <c r="P750" s="30">
        <f>IF(C750="","",N(N750)*Settings!$B$10)</f>
        <v/>
      </c>
      <c r="Q750" s="30">
        <f>IF(C750="","",J750-N(M750)-O750-P750)</f>
        <v/>
      </c>
      <c r="R750" s="6" t="n"/>
    </row>
    <row r="751">
      <c r="A751" s="8">
        <f>IF(B751="","","J-"&amp;TEXT(ROW()-4,"0000"))</f>
        <v/>
      </c>
      <c r="B751" s="26" t="n"/>
      <c r="C751" s="6" t="n"/>
      <c r="D751" s="6" t="n"/>
      <c r="E751" s="29" t="n"/>
      <c r="F751" s="6" t="n"/>
      <c r="G751" s="25" t="n"/>
      <c r="H751" s="27">
        <f>IF(C751="","",IF(G751&lt;&gt;"",G751,IFERROR(INDEX(Clients!$G$5:$G$304,MATCH(C751,Clients!$A$5:$A$304,0)),0)))</f>
        <v/>
      </c>
      <c r="I751" s="25" t="n"/>
      <c r="J751" s="27">
        <f>IF(C751="","",H751+N(I751))</f>
        <v/>
      </c>
      <c r="K751" s="6" t="n"/>
      <c r="L751" s="6" t="n"/>
      <c r="M751" s="25" t="n"/>
      <c r="N751" s="10" t="n"/>
      <c r="O751" s="27">
        <f>IF(C751="","",N(E751)*Settings!$B$8)</f>
        <v/>
      </c>
      <c r="P751" s="27">
        <f>IF(C751="","",N(N751)*Settings!$B$10)</f>
        <v/>
      </c>
      <c r="Q751" s="27">
        <f>IF(C751="","",J751-N(M751)-O751-P751)</f>
        <v/>
      </c>
      <c r="R751" s="6" t="n"/>
    </row>
    <row r="752">
      <c r="A752" s="17">
        <f>IF(B752="","","J-"&amp;TEXT(ROW()-4,"0000"))</f>
        <v/>
      </c>
      <c r="B752" s="26" t="n"/>
      <c r="C752" s="6" t="n"/>
      <c r="D752" s="6" t="n"/>
      <c r="E752" s="29" t="n"/>
      <c r="F752" s="6" t="n"/>
      <c r="G752" s="25" t="n"/>
      <c r="H752" s="30">
        <f>IF(C752="","",IF(G752&lt;&gt;"",G752,IFERROR(INDEX(Clients!$G$5:$G$304,MATCH(C752,Clients!$A$5:$A$304,0)),0)))</f>
        <v/>
      </c>
      <c r="I752" s="25" t="n"/>
      <c r="J752" s="30">
        <f>IF(C752="","",H752+N(I752))</f>
        <v/>
      </c>
      <c r="K752" s="6" t="n"/>
      <c r="L752" s="6" t="n"/>
      <c r="M752" s="25" t="n"/>
      <c r="N752" s="10" t="n"/>
      <c r="O752" s="30">
        <f>IF(C752="","",N(E752)*Settings!$B$8)</f>
        <v/>
      </c>
      <c r="P752" s="30">
        <f>IF(C752="","",N(N752)*Settings!$B$10)</f>
        <v/>
      </c>
      <c r="Q752" s="30">
        <f>IF(C752="","",J752-N(M752)-O752-P752)</f>
        <v/>
      </c>
      <c r="R752" s="6" t="n"/>
    </row>
    <row r="753">
      <c r="A753" s="8">
        <f>IF(B753="","","J-"&amp;TEXT(ROW()-4,"0000"))</f>
        <v/>
      </c>
      <c r="B753" s="26" t="n"/>
      <c r="C753" s="6" t="n"/>
      <c r="D753" s="6" t="n"/>
      <c r="E753" s="29" t="n"/>
      <c r="F753" s="6" t="n"/>
      <c r="G753" s="25" t="n"/>
      <c r="H753" s="27">
        <f>IF(C753="","",IF(G753&lt;&gt;"",G753,IFERROR(INDEX(Clients!$G$5:$G$304,MATCH(C753,Clients!$A$5:$A$304,0)),0)))</f>
        <v/>
      </c>
      <c r="I753" s="25" t="n"/>
      <c r="J753" s="27">
        <f>IF(C753="","",H753+N(I753))</f>
        <v/>
      </c>
      <c r="K753" s="6" t="n"/>
      <c r="L753" s="6" t="n"/>
      <c r="M753" s="25" t="n"/>
      <c r="N753" s="10" t="n"/>
      <c r="O753" s="27">
        <f>IF(C753="","",N(E753)*Settings!$B$8)</f>
        <v/>
      </c>
      <c r="P753" s="27">
        <f>IF(C753="","",N(N753)*Settings!$B$10)</f>
        <v/>
      </c>
      <c r="Q753" s="27">
        <f>IF(C753="","",J753-N(M753)-O753-P753)</f>
        <v/>
      </c>
      <c r="R753" s="6" t="n"/>
    </row>
    <row r="754">
      <c r="A754" s="17">
        <f>IF(B754="","","J-"&amp;TEXT(ROW()-4,"0000"))</f>
        <v/>
      </c>
      <c r="B754" s="26" t="n"/>
      <c r="C754" s="6" t="n"/>
      <c r="D754" s="6" t="n"/>
      <c r="E754" s="29" t="n"/>
      <c r="F754" s="6" t="n"/>
      <c r="G754" s="25" t="n"/>
      <c r="H754" s="30">
        <f>IF(C754="","",IF(G754&lt;&gt;"",G754,IFERROR(INDEX(Clients!$G$5:$G$304,MATCH(C754,Clients!$A$5:$A$304,0)),0)))</f>
        <v/>
      </c>
      <c r="I754" s="25" t="n"/>
      <c r="J754" s="30">
        <f>IF(C754="","",H754+N(I754))</f>
        <v/>
      </c>
      <c r="K754" s="6" t="n"/>
      <c r="L754" s="6" t="n"/>
      <c r="M754" s="25" t="n"/>
      <c r="N754" s="10" t="n"/>
      <c r="O754" s="30">
        <f>IF(C754="","",N(E754)*Settings!$B$8)</f>
        <v/>
      </c>
      <c r="P754" s="30">
        <f>IF(C754="","",N(N754)*Settings!$B$10)</f>
        <v/>
      </c>
      <c r="Q754" s="30">
        <f>IF(C754="","",J754-N(M754)-O754-P754)</f>
        <v/>
      </c>
      <c r="R754" s="6" t="n"/>
    </row>
    <row r="755">
      <c r="A755" s="8">
        <f>IF(B755="","","J-"&amp;TEXT(ROW()-4,"0000"))</f>
        <v/>
      </c>
      <c r="B755" s="26" t="n"/>
      <c r="C755" s="6" t="n"/>
      <c r="D755" s="6" t="n"/>
      <c r="E755" s="29" t="n"/>
      <c r="F755" s="6" t="n"/>
      <c r="G755" s="25" t="n"/>
      <c r="H755" s="27">
        <f>IF(C755="","",IF(G755&lt;&gt;"",G755,IFERROR(INDEX(Clients!$G$5:$G$304,MATCH(C755,Clients!$A$5:$A$304,0)),0)))</f>
        <v/>
      </c>
      <c r="I755" s="25" t="n"/>
      <c r="J755" s="27">
        <f>IF(C755="","",H755+N(I755))</f>
        <v/>
      </c>
      <c r="K755" s="6" t="n"/>
      <c r="L755" s="6" t="n"/>
      <c r="M755" s="25" t="n"/>
      <c r="N755" s="10" t="n"/>
      <c r="O755" s="27">
        <f>IF(C755="","",N(E755)*Settings!$B$8)</f>
        <v/>
      </c>
      <c r="P755" s="27">
        <f>IF(C755="","",N(N755)*Settings!$B$10)</f>
        <v/>
      </c>
      <c r="Q755" s="27">
        <f>IF(C755="","",J755-N(M755)-O755-P755)</f>
        <v/>
      </c>
      <c r="R755" s="6" t="n"/>
    </row>
    <row r="756">
      <c r="A756" s="17">
        <f>IF(B756="","","J-"&amp;TEXT(ROW()-4,"0000"))</f>
        <v/>
      </c>
      <c r="B756" s="26" t="n"/>
      <c r="C756" s="6" t="n"/>
      <c r="D756" s="6" t="n"/>
      <c r="E756" s="29" t="n"/>
      <c r="F756" s="6" t="n"/>
      <c r="G756" s="25" t="n"/>
      <c r="H756" s="30">
        <f>IF(C756="","",IF(G756&lt;&gt;"",G756,IFERROR(INDEX(Clients!$G$5:$G$304,MATCH(C756,Clients!$A$5:$A$304,0)),0)))</f>
        <v/>
      </c>
      <c r="I756" s="25" t="n"/>
      <c r="J756" s="30">
        <f>IF(C756="","",H756+N(I756))</f>
        <v/>
      </c>
      <c r="K756" s="6" t="n"/>
      <c r="L756" s="6" t="n"/>
      <c r="M756" s="25" t="n"/>
      <c r="N756" s="10" t="n"/>
      <c r="O756" s="30">
        <f>IF(C756="","",N(E756)*Settings!$B$8)</f>
        <v/>
      </c>
      <c r="P756" s="30">
        <f>IF(C756="","",N(N756)*Settings!$B$10)</f>
        <v/>
      </c>
      <c r="Q756" s="30">
        <f>IF(C756="","",J756-N(M756)-O756-P756)</f>
        <v/>
      </c>
      <c r="R756" s="6" t="n"/>
    </row>
    <row r="757">
      <c r="A757" s="8">
        <f>IF(B757="","","J-"&amp;TEXT(ROW()-4,"0000"))</f>
        <v/>
      </c>
      <c r="B757" s="26" t="n"/>
      <c r="C757" s="6" t="n"/>
      <c r="D757" s="6" t="n"/>
      <c r="E757" s="29" t="n"/>
      <c r="F757" s="6" t="n"/>
      <c r="G757" s="25" t="n"/>
      <c r="H757" s="27">
        <f>IF(C757="","",IF(G757&lt;&gt;"",G757,IFERROR(INDEX(Clients!$G$5:$G$304,MATCH(C757,Clients!$A$5:$A$304,0)),0)))</f>
        <v/>
      </c>
      <c r="I757" s="25" t="n"/>
      <c r="J757" s="27">
        <f>IF(C757="","",H757+N(I757))</f>
        <v/>
      </c>
      <c r="K757" s="6" t="n"/>
      <c r="L757" s="6" t="n"/>
      <c r="M757" s="25" t="n"/>
      <c r="N757" s="10" t="n"/>
      <c r="O757" s="27">
        <f>IF(C757="","",N(E757)*Settings!$B$8)</f>
        <v/>
      </c>
      <c r="P757" s="27">
        <f>IF(C757="","",N(N757)*Settings!$B$10)</f>
        <v/>
      </c>
      <c r="Q757" s="27">
        <f>IF(C757="","",J757-N(M757)-O757-P757)</f>
        <v/>
      </c>
      <c r="R757" s="6" t="n"/>
    </row>
    <row r="758">
      <c r="A758" s="17">
        <f>IF(B758="","","J-"&amp;TEXT(ROW()-4,"0000"))</f>
        <v/>
      </c>
      <c r="B758" s="26" t="n"/>
      <c r="C758" s="6" t="n"/>
      <c r="D758" s="6" t="n"/>
      <c r="E758" s="29" t="n"/>
      <c r="F758" s="6" t="n"/>
      <c r="G758" s="25" t="n"/>
      <c r="H758" s="30">
        <f>IF(C758="","",IF(G758&lt;&gt;"",G758,IFERROR(INDEX(Clients!$G$5:$G$304,MATCH(C758,Clients!$A$5:$A$304,0)),0)))</f>
        <v/>
      </c>
      <c r="I758" s="25" t="n"/>
      <c r="J758" s="30">
        <f>IF(C758="","",H758+N(I758))</f>
        <v/>
      </c>
      <c r="K758" s="6" t="n"/>
      <c r="L758" s="6" t="n"/>
      <c r="M758" s="25" t="n"/>
      <c r="N758" s="10" t="n"/>
      <c r="O758" s="30">
        <f>IF(C758="","",N(E758)*Settings!$B$8)</f>
        <v/>
      </c>
      <c r="P758" s="30">
        <f>IF(C758="","",N(N758)*Settings!$B$10)</f>
        <v/>
      </c>
      <c r="Q758" s="30">
        <f>IF(C758="","",J758-N(M758)-O758-P758)</f>
        <v/>
      </c>
      <c r="R758" s="6" t="n"/>
    </row>
    <row r="759">
      <c r="A759" s="8">
        <f>IF(B759="","","J-"&amp;TEXT(ROW()-4,"0000"))</f>
        <v/>
      </c>
      <c r="B759" s="26" t="n"/>
      <c r="C759" s="6" t="n"/>
      <c r="D759" s="6" t="n"/>
      <c r="E759" s="29" t="n"/>
      <c r="F759" s="6" t="n"/>
      <c r="G759" s="25" t="n"/>
      <c r="H759" s="27">
        <f>IF(C759="","",IF(G759&lt;&gt;"",G759,IFERROR(INDEX(Clients!$G$5:$G$304,MATCH(C759,Clients!$A$5:$A$304,0)),0)))</f>
        <v/>
      </c>
      <c r="I759" s="25" t="n"/>
      <c r="J759" s="27">
        <f>IF(C759="","",H759+N(I759))</f>
        <v/>
      </c>
      <c r="K759" s="6" t="n"/>
      <c r="L759" s="6" t="n"/>
      <c r="M759" s="25" t="n"/>
      <c r="N759" s="10" t="n"/>
      <c r="O759" s="27">
        <f>IF(C759="","",N(E759)*Settings!$B$8)</f>
        <v/>
      </c>
      <c r="P759" s="27">
        <f>IF(C759="","",N(N759)*Settings!$B$10)</f>
        <v/>
      </c>
      <c r="Q759" s="27">
        <f>IF(C759="","",J759-N(M759)-O759-P759)</f>
        <v/>
      </c>
      <c r="R759" s="6" t="n"/>
    </row>
    <row r="760">
      <c r="A760" s="17">
        <f>IF(B760="","","J-"&amp;TEXT(ROW()-4,"0000"))</f>
        <v/>
      </c>
      <c r="B760" s="26" t="n"/>
      <c r="C760" s="6" t="n"/>
      <c r="D760" s="6" t="n"/>
      <c r="E760" s="29" t="n"/>
      <c r="F760" s="6" t="n"/>
      <c r="G760" s="25" t="n"/>
      <c r="H760" s="30">
        <f>IF(C760="","",IF(G760&lt;&gt;"",G760,IFERROR(INDEX(Clients!$G$5:$G$304,MATCH(C760,Clients!$A$5:$A$304,0)),0)))</f>
        <v/>
      </c>
      <c r="I760" s="25" t="n"/>
      <c r="J760" s="30">
        <f>IF(C760="","",H760+N(I760))</f>
        <v/>
      </c>
      <c r="K760" s="6" t="n"/>
      <c r="L760" s="6" t="n"/>
      <c r="M760" s="25" t="n"/>
      <c r="N760" s="10" t="n"/>
      <c r="O760" s="30">
        <f>IF(C760="","",N(E760)*Settings!$B$8)</f>
        <v/>
      </c>
      <c r="P760" s="30">
        <f>IF(C760="","",N(N760)*Settings!$B$10)</f>
        <v/>
      </c>
      <c r="Q760" s="30">
        <f>IF(C760="","",J760-N(M760)-O760-P760)</f>
        <v/>
      </c>
      <c r="R760" s="6" t="n"/>
    </row>
    <row r="761">
      <c r="A761" s="8">
        <f>IF(B761="","","J-"&amp;TEXT(ROW()-4,"0000"))</f>
        <v/>
      </c>
      <c r="B761" s="26" t="n"/>
      <c r="C761" s="6" t="n"/>
      <c r="D761" s="6" t="n"/>
      <c r="E761" s="29" t="n"/>
      <c r="F761" s="6" t="n"/>
      <c r="G761" s="25" t="n"/>
      <c r="H761" s="27">
        <f>IF(C761="","",IF(G761&lt;&gt;"",G761,IFERROR(INDEX(Clients!$G$5:$G$304,MATCH(C761,Clients!$A$5:$A$304,0)),0)))</f>
        <v/>
      </c>
      <c r="I761" s="25" t="n"/>
      <c r="J761" s="27">
        <f>IF(C761="","",H761+N(I761))</f>
        <v/>
      </c>
      <c r="K761" s="6" t="n"/>
      <c r="L761" s="6" t="n"/>
      <c r="M761" s="25" t="n"/>
      <c r="N761" s="10" t="n"/>
      <c r="O761" s="27">
        <f>IF(C761="","",N(E761)*Settings!$B$8)</f>
        <v/>
      </c>
      <c r="P761" s="27">
        <f>IF(C761="","",N(N761)*Settings!$B$10)</f>
        <v/>
      </c>
      <c r="Q761" s="27">
        <f>IF(C761="","",J761-N(M761)-O761-P761)</f>
        <v/>
      </c>
      <c r="R761" s="6" t="n"/>
    </row>
    <row r="762">
      <c r="A762" s="17">
        <f>IF(B762="","","J-"&amp;TEXT(ROW()-4,"0000"))</f>
        <v/>
      </c>
      <c r="B762" s="26" t="n"/>
      <c r="C762" s="6" t="n"/>
      <c r="D762" s="6" t="n"/>
      <c r="E762" s="29" t="n"/>
      <c r="F762" s="6" t="n"/>
      <c r="G762" s="25" t="n"/>
      <c r="H762" s="30">
        <f>IF(C762="","",IF(G762&lt;&gt;"",G762,IFERROR(INDEX(Clients!$G$5:$G$304,MATCH(C762,Clients!$A$5:$A$304,0)),0)))</f>
        <v/>
      </c>
      <c r="I762" s="25" t="n"/>
      <c r="J762" s="30">
        <f>IF(C762="","",H762+N(I762))</f>
        <v/>
      </c>
      <c r="K762" s="6" t="n"/>
      <c r="L762" s="6" t="n"/>
      <c r="M762" s="25" t="n"/>
      <c r="N762" s="10" t="n"/>
      <c r="O762" s="30">
        <f>IF(C762="","",N(E762)*Settings!$B$8)</f>
        <v/>
      </c>
      <c r="P762" s="30">
        <f>IF(C762="","",N(N762)*Settings!$B$10)</f>
        <v/>
      </c>
      <c r="Q762" s="30">
        <f>IF(C762="","",J762-N(M762)-O762-P762)</f>
        <v/>
      </c>
      <c r="R762" s="6" t="n"/>
    </row>
    <row r="763">
      <c r="A763" s="8">
        <f>IF(B763="","","J-"&amp;TEXT(ROW()-4,"0000"))</f>
        <v/>
      </c>
      <c r="B763" s="26" t="n"/>
      <c r="C763" s="6" t="n"/>
      <c r="D763" s="6" t="n"/>
      <c r="E763" s="29" t="n"/>
      <c r="F763" s="6" t="n"/>
      <c r="G763" s="25" t="n"/>
      <c r="H763" s="27">
        <f>IF(C763="","",IF(G763&lt;&gt;"",G763,IFERROR(INDEX(Clients!$G$5:$G$304,MATCH(C763,Clients!$A$5:$A$304,0)),0)))</f>
        <v/>
      </c>
      <c r="I763" s="25" t="n"/>
      <c r="J763" s="27">
        <f>IF(C763="","",H763+N(I763))</f>
        <v/>
      </c>
      <c r="K763" s="6" t="n"/>
      <c r="L763" s="6" t="n"/>
      <c r="M763" s="25" t="n"/>
      <c r="N763" s="10" t="n"/>
      <c r="O763" s="27">
        <f>IF(C763="","",N(E763)*Settings!$B$8)</f>
        <v/>
      </c>
      <c r="P763" s="27">
        <f>IF(C763="","",N(N763)*Settings!$B$10)</f>
        <v/>
      </c>
      <c r="Q763" s="27">
        <f>IF(C763="","",J763-N(M763)-O763-P763)</f>
        <v/>
      </c>
      <c r="R763" s="6" t="n"/>
    </row>
    <row r="764">
      <c r="A764" s="17">
        <f>IF(B764="","","J-"&amp;TEXT(ROW()-4,"0000"))</f>
        <v/>
      </c>
      <c r="B764" s="26" t="n"/>
      <c r="C764" s="6" t="n"/>
      <c r="D764" s="6" t="n"/>
      <c r="E764" s="29" t="n"/>
      <c r="F764" s="6" t="n"/>
      <c r="G764" s="25" t="n"/>
      <c r="H764" s="30">
        <f>IF(C764="","",IF(G764&lt;&gt;"",G764,IFERROR(INDEX(Clients!$G$5:$G$304,MATCH(C764,Clients!$A$5:$A$304,0)),0)))</f>
        <v/>
      </c>
      <c r="I764" s="25" t="n"/>
      <c r="J764" s="30">
        <f>IF(C764="","",H764+N(I764))</f>
        <v/>
      </c>
      <c r="K764" s="6" t="n"/>
      <c r="L764" s="6" t="n"/>
      <c r="M764" s="25" t="n"/>
      <c r="N764" s="10" t="n"/>
      <c r="O764" s="30">
        <f>IF(C764="","",N(E764)*Settings!$B$8)</f>
        <v/>
      </c>
      <c r="P764" s="30">
        <f>IF(C764="","",N(N764)*Settings!$B$10)</f>
        <v/>
      </c>
      <c r="Q764" s="30">
        <f>IF(C764="","",J764-N(M764)-O764-P764)</f>
        <v/>
      </c>
      <c r="R764" s="6" t="n"/>
    </row>
    <row r="765">
      <c r="A765" s="8">
        <f>IF(B765="","","J-"&amp;TEXT(ROW()-4,"0000"))</f>
        <v/>
      </c>
      <c r="B765" s="26" t="n"/>
      <c r="C765" s="6" t="n"/>
      <c r="D765" s="6" t="n"/>
      <c r="E765" s="29" t="n"/>
      <c r="F765" s="6" t="n"/>
      <c r="G765" s="25" t="n"/>
      <c r="H765" s="27">
        <f>IF(C765="","",IF(G765&lt;&gt;"",G765,IFERROR(INDEX(Clients!$G$5:$G$304,MATCH(C765,Clients!$A$5:$A$304,0)),0)))</f>
        <v/>
      </c>
      <c r="I765" s="25" t="n"/>
      <c r="J765" s="27">
        <f>IF(C765="","",H765+N(I765))</f>
        <v/>
      </c>
      <c r="K765" s="6" t="n"/>
      <c r="L765" s="6" t="n"/>
      <c r="M765" s="25" t="n"/>
      <c r="N765" s="10" t="n"/>
      <c r="O765" s="27">
        <f>IF(C765="","",N(E765)*Settings!$B$8)</f>
        <v/>
      </c>
      <c r="P765" s="27">
        <f>IF(C765="","",N(N765)*Settings!$B$10)</f>
        <v/>
      </c>
      <c r="Q765" s="27">
        <f>IF(C765="","",J765-N(M765)-O765-P765)</f>
        <v/>
      </c>
      <c r="R765" s="6" t="n"/>
    </row>
    <row r="766">
      <c r="A766" s="17">
        <f>IF(B766="","","J-"&amp;TEXT(ROW()-4,"0000"))</f>
        <v/>
      </c>
      <c r="B766" s="26" t="n"/>
      <c r="C766" s="6" t="n"/>
      <c r="D766" s="6" t="n"/>
      <c r="E766" s="29" t="n"/>
      <c r="F766" s="6" t="n"/>
      <c r="G766" s="25" t="n"/>
      <c r="H766" s="30">
        <f>IF(C766="","",IF(G766&lt;&gt;"",G766,IFERROR(INDEX(Clients!$G$5:$G$304,MATCH(C766,Clients!$A$5:$A$304,0)),0)))</f>
        <v/>
      </c>
      <c r="I766" s="25" t="n"/>
      <c r="J766" s="30">
        <f>IF(C766="","",H766+N(I766))</f>
        <v/>
      </c>
      <c r="K766" s="6" t="n"/>
      <c r="L766" s="6" t="n"/>
      <c r="M766" s="25" t="n"/>
      <c r="N766" s="10" t="n"/>
      <c r="O766" s="30">
        <f>IF(C766="","",N(E766)*Settings!$B$8)</f>
        <v/>
      </c>
      <c r="P766" s="30">
        <f>IF(C766="","",N(N766)*Settings!$B$10)</f>
        <v/>
      </c>
      <c r="Q766" s="30">
        <f>IF(C766="","",J766-N(M766)-O766-P766)</f>
        <v/>
      </c>
      <c r="R766" s="6" t="n"/>
    </row>
    <row r="767">
      <c r="A767" s="8">
        <f>IF(B767="","","J-"&amp;TEXT(ROW()-4,"0000"))</f>
        <v/>
      </c>
      <c r="B767" s="26" t="n"/>
      <c r="C767" s="6" t="n"/>
      <c r="D767" s="6" t="n"/>
      <c r="E767" s="29" t="n"/>
      <c r="F767" s="6" t="n"/>
      <c r="G767" s="25" t="n"/>
      <c r="H767" s="27">
        <f>IF(C767="","",IF(G767&lt;&gt;"",G767,IFERROR(INDEX(Clients!$G$5:$G$304,MATCH(C767,Clients!$A$5:$A$304,0)),0)))</f>
        <v/>
      </c>
      <c r="I767" s="25" t="n"/>
      <c r="J767" s="27">
        <f>IF(C767="","",H767+N(I767))</f>
        <v/>
      </c>
      <c r="K767" s="6" t="n"/>
      <c r="L767" s="6" t="n"/>
      <c r="M767" s="25" t="n"/>
      <c r="N767" s="10" t="n"/>
      <c r="O767" s="27">
        <f>IF(C767="","",N(E767)*Settings!$B$8)</f>
        <v/>
      </c>
      <c r="P767" s="27">
        <f>IF(C767="","",N(N767)*Settings!$B$10)</f>
        <v/>
      </c>
      <c r="Q767" s="27">
        <f>IF(C767="","",J767-N(M767)-O767-P767)</f>
        <v/>
      </c>
      <c r="R767" s="6" t="n"/>
    </row>
    <row r="768">
      <c r="A768" s="17">
        <f>IF(B768="","","J-"&amp;TEXT(ROW()-4,"0000"))</f>
        <v/>
      </c>
      <c r="B768" s="26" t="n"/>
      <c r="C768" s="6" t="n"/>
      <c r="D768" s="6" t="n"/>
      <c r="E768" s="29" t="n"/>
      <c r="F768" s="6" t="n"/>
      <c r="G768" s="25" t="n"/>
      <c r="H768" s="30">
        <f>IF(C768="","",IF(G768&lt;&gt;"",G768,IFERROR(INDEX(Clients!$G$5:$G$304,MATCH(C768,Clients!$A$5:$A$304,0)),0)))</f>
        <v/>
      </c>
      <c r="I768" s="25" t="n"/>
      <c r="J768" s="30">
        <f>IF(C768="","",H768+N(I768))</f>
        <v/>
      </c>
      <c r="K768" s="6" t="n"/>
      <c r="L768" s="6" t="n"/>
      <c r="M768" s="25" t="n"/>
      <c r="N768" s="10" t="n"/>
      <c r="O768" s="30">
        <f>IF(C768="","",N(E768)*Settings!$B$8)</f>
        <v/>
      </c>
      <c r="P768" s="30">
        <f>IF(C768="","",N(N768)*Settings!$B$10)</f>
        <v/>
      </c>
      <c r="Q768" s="30">
        <f>IF(C768="","",J768-N(M768)-O768-P768)</f>
        <v/>
      </c>
      <c r="R768" s="6" t="n"/>
    </row>
    <row r="769">
      <c r="A769" s="8">
        <f>IF(B769="","","J-"&amp;TEXT(ROW()-4,"0000"))</f>
        <v/>
      </c>
      <c r="B769" s="26" t="n"/>
      <c r="C769" s="6" t="n"/>
      <c r="D769" s="6" t="n"/>
      <c r="E769" s="29" t="n"/>
      <c r="F769" s="6" t="n"/>
      <c r="G769" s="25" t="n"/>
      <c r="H769" s="27">
        <f>IF(C769="","",IF(G769&lt;&gt;"",G769,IFERROR(INDEX(Clients!$G$5:$G$304,MATCH(C769,Clients!$A$5:$A$304,0)),0)))</f>
        <v/>
      </c>
      <c r="I769" s="25" t="n"/>
      <c r="J769" s="27">
        <f>IF(C769="","",H769+N(I769))</f>
        <v/>
      </c>
      <c r="K769" s="6" t="n"/>
      <c r="L769" s="6" t="n"/>
      <c r="M769" s="25" t="n"/>
      <c r="N769" s="10" t="n"/>
      <c r="O769" s="27">
        <f>IF(C769="","",N(E769)*Settings!$B$8)</f>
        <v/>
      </c>
      <c r="P769" s="27">
        <f>IF(C769="","",N(N769)*Settings!$B$10)</f>
        <v/>
      </c>
      <c r="Q769" s="27">
        <f>IF(C769="","",J769-N(M769)-O769-P769)</f>
        <v/>
      </c>
      <c r="R769" s="6" t="n"/>
    </row>
    <row r="770">
      <c r="A770" s="17">
        <f>IF(B770="","","J-"&amp;TEXT(ROW()-4,"0000"))</f>
        <v/>
      </c>
      <c r="B770" s="26" t="n"/>
      <c r="C770" s="6" t="n"/>
      <c r="D770" s="6" t="n"/>
      <c r="E770" s="29" t="n"/>
      <c r="F770" s="6" t="n"/>
      <c r="G770" s="25" t="n"/>
      <c r="H770" s="30">
        <f>IF(C770="","",IF(G770&lt;&gt;"",G770,IFERROR(INDEX(Clients!$G$5:$G$304,MATCH(C770,Clients!$A$5:$A$304,0)),0)))</f>
        <v/>
      </c>
      <c r="I770" s="25" t="n"/>
      <c r="J770" s="30">
        <f>IF(C770="","",H770+N(I770))</f>
        <v/>
      </c>
      <c r="K770" s="6" t="n"/>
      <c r="L770" s="6" t="n"/>
      <c r="M770" s="25" t="n"/>
      <c r="N770" s="10" t="n"/>
      <c r="O770" s="30">
        <f>IF(C770="","",N(E770)*Settings!$B$8)</f>
        <v/>
      </c>
      <c r="P770" s="30">
        <f>IF(C770="","",N(N770)*Settings!$B$10)</f>
        <v/>
      </c>
      <c r="Q770" s="30">
        <f>IF(C770="","",J770-N(M770)-O770-P770)</f>
        <v/>
      </c>
      <c r="R770" s="6" t="n"/>
    </row>
    <row r="771">
      <c r="A771" s="8">
        <f>IF(B771="","","J-"&amp;TEXT(ROW()-4,"0000"))</f>
        <v/>
      </c>
      <c r="B771" s="26" t="n"/>
      <c r="C771" s="6" t="n"/>
      <c r="D771" s="6" t="n"/>
      <c r="E771" s="29" t="n"/>
      <c r="F771" s="6" t="n"/>
      <c r="G771" s="25" t="n"/>
      <c r="H771" s="27">
        <f>IF(C771="","",IF(G771&lt;&gt;"",G771,IFERROR(INDEX(Clients!$G$5:$G$304,MATCH(C771,Clients!$A$5:$A$304,0)),0)))</f>
        <v/>
      </c>
      <c r="I771" s="25" t="n"/>
      <c r="J771" s="27">
        <f>IF(C771="","",H771+N(I771))</f>
        <v/>
      </c>
      <c r="K771" s="6" t="n"/>
      <c r="L771" s="6" t="n"/>
      <c r="M771" s="25" t="n"/>
      <c r="N771" s="10" t="n"/>
      <c r="O771" s="27">
        <f>IF(C771="","",N(E771)*Settings!$B$8)</f>
        <v/>
      </c>
      <c r="P771" s="27">
        <f>IF(C771="","",N(N771)*Settings!$B$10)</f>
        <v/>
      </c>
      <c r="Q771" s="27">
        <f>IF(C771="","",J771-N(M771)-O771-P771)</f>
        <v/>
      </c>
      <c r="R771" s="6" t="n"/>
    </row>
    <row r="772">
      <c r="A772" s="17">
        <f>IF(B772="","","J-"&amp;TEXT(ROW()-4,"0000"))</f>
        <v/>
      </c>
      <c r="B772" s="26" t="n"/>
      <c r="C772" s="6" t="n"/>
      <c r="D772" s="6" t="n"/>
      <c r="E772" s="29" t="n"/>
      <c r="F772" s="6" t="n"/>
      <c r="G772" s="25" t="n"/>
      <c r="H772" s="30">
        <f>IF(C772="","",IF(G772&lt;&gt;"",G772,IFERROR(INDEX(Clients!$G$5:$G$304,MATCH(C772,Clients!$A$5:$A$304,0)),0)))</f>
        <v/>
      </c>
      <c r="I772" s="25" t="n"/>
      <c r="J772" s="30">
        <f>IF(C772="","",H772+N(I772))</f>
        <v/>
      </c>
      <c r="K772" s="6" t="n"/>
      <c r="L772" s="6" t="n"/>
      <c r="M772" s="25" t="n"/>
      <c r="N772" s="10" t="n"/>
      <c r="O772" s="30">
        <f>IF(C772="","",N(E772)*Settings!$B$8)</f>
        <v/>
      </c>
      <c r="P772" s="30">
        <f>IF(C772="","",N(N772)*Settings!$B$10)</f>
        <v/>
      </c>
      <c r="Q772" s="30">
        <f>IF(C772="","",J772-N(M772)-O772-P772)</f>
        <v/>
      </c>
      <c r="R772" s="6" t="n"/>
    </row>
    <row r="773">
      <c r="A773" s="8">
        <f>IF(B773="","","J-"&amp;TEXT(ROW()-4,"0000"))</f>
        <v/>
      </c>
      <c r="B773" s="26" t="n"/>
      <c r="C773" s="6" t="n"/>
      <c r="D773" s="6" t="n"/>
      <c r="E773" s="29" t="n"/>
      <c r="F773" s="6" t="n"/>
      <c r="G773" s="25" t="n"/>
      <c r="H773" s="27">
        <f>IF(C773="","",IF(G773&lt;&gt;"",G773,IFERROR(INDEX(Clients!$G$5:$G$304,MATCH(C773,Clients!$A$5:$A$304,0)),0)))</f>
        <v/>
      </c>
      <c r="I773" s="25" t="n"/>
      <c r="J773" s="27">
        <f>IF(C773="","",H773+N(I773))</f>
        <v/>
      </c>
      <c r="K773" s="6" t="n"/>
      <c r="L773" s="6" t="n"/>
      <c r="M773" s="25" t="n"/>
      <c r="N773" s="10" t="n"/>
      <c r="O773" s="27">
        <f>IF(C773="","",N(E773)*Settings!$B$8)</f>
        <v/>
      </c>
      <c r="P773" s="27">
        <f>IF(C773="","",N(N773)*Settings!$B$10)</f>
        <v/>
      </c>
      <c r="Q773" s="27">
        <f>IF(C773="","",J773-N(M773)-O773-P773)</f>
        <v/>
      </c>
      <c r="R773" s="6" t="n"/>
    </row>
    <row r="774">
      <c r="A774" s="17">
        <f>IF(B774="","","J-"&amp;TEXT(ROW()-4,"0000"))</f>
        <v/>
      </c>
      <c r="B774" s="26" t="n"/>
      <c r="C774" s="6" t="n"/>
      <c r="D774" s="6" t="n"/>
      <c r="E774" s="29" t="n"/>
      <c r="F774" s="6" t="n"/>
      <c r="G774" s="25" t="n"/>
      <c r="H774" s="30">
        <f>IF(C774="","",IF(G774&lt;&gt;"",G774,IFERROR(INDEX(Clients!$G$5:$G$304,MATCH(C774,Clients!$A$5:$A$304,0)),0)))</f>
        <v/>
      </c>
      <c r="I774" s="25" t="n"/>
      <c r="J774" s="30">
        <f>IF(C774="","",H774+N(I774))</f>
        <v/>
      </c>
      <c r="K774" s="6" t="n"/>
      <c r="L774" s="6" t="n"/>
      <c r="M774" s="25" t="n"/>
      <c r="N774" s="10" t="n"/>
      <c r="O774" s="30">
        <f>IF(C774="","",N(E774)*Settings!$B$8)</f>
        <v/>
      </c>
      <c r="P774" s="30">
        <f>IF(C774="","",N(N774)*Settings!$B$10)</f>
        <v/>
      </c>
      <c r="Q774" s="30">
        <f>IF(C774="","",J774-N(M774)-O774-P774)</f>
        <v/>
      </c>
      <c r="R774" s="6" t="n"/>
    </row>
    <row r="775">
      <c r="A775" s="8">
        <f>IF(B775="","","J-"&amp;TEXT(ROW()-4,"0000"))</f>
        <v/>
      </c>
      <c r="B775" s="26" t="n"/>
      <c r="C775" s="6" t="n"/>
      <c r="D775" s="6" t="n"/>
      <c r="E775" s="29" t="n"/>
      <c r="F775" s="6" t="n"/>
      <c r="G775" s="25" t="n"/>
      <c r="H775" s="27">
        <f>IF(C775="","",IF(G775&lt;&gt;"",G775,IFERROR(INDEX(Clients!$G$5:$G$304,MATCH(C775,Clients!$A$5:$A$304,0)),0)))</f>
        <v/>
      </c>
      <c r="I775" s="25" t="n"/>
      <c r="J775" s="27">
        <f>IF(C775="","",H775+N(I775))</f>
        <v/>
      </c>
      <c r="K775" s="6" t="n"/>
      <c r="L775" s="6" t="n"/>
      <c r="M775" s="25" t="n"/>
      <c r="N775" s="10" t="n"/>
      <c r="O775" s="27">
        <f>IF(C775="","",N(E775)*Settings!$B$8)</f>
        <v/>
      </c>
      <c r="P775" s="27">
        <f>IF(C775="","",N(N775)*Settings!$B$10)</f>
        <v/>
      </c>
      <c r="Q775" s="27">
        <f>IF(C775="","",J775-N(M775)-O775-P775)</f>
        <v/>
      </c>
      <c r="R775" s="6" t="n"/>
    </row>
    <row r="776">
      <c r="A776" s="17">
        <f>IF(B776="","","J-"&amp;TEXT(ROW()-4,"0000"))</f>
        <v/>
      </c>
      <c r="B776" s="26" t="n"/>
      <c r="C776" s="6" t="n"/>
      <c r="D776" s="6" t="n"/>
      <c r="E776" s="29" t="n"/>
      <c r="F776" s="6" t="n"/>
      <c r="G776" s="25" t="n"/>
      <c r="H776" s="30">
        <f>IF(C776="","",IF(G776&lt;&gt;"",G776,IFERROR(INDEX(Clients!$G$5:$G$304,MATCH(C776,Clients!$A$5:$A$304,0)),0)))</f>
        <v/>
      </c>
      <c r="I776" s="25" t="n"/>
      <c r="J776" s="30">
        <f>IF(C776="","",H776+N(I776))</f>
        <v/>
      </c>
      <c r="K776" s="6" t="n"/>
      <c r="L776" s="6" t="n"/>
      <c r="M776" s="25" t="n"/>
      <c r="N776" s="10" t="n"/>
      <c r="O776" s="30">
        <f>IF(C776="","",N(E776)*Settings!$B$8)</f>
        <v/>
      </c>
      <c r="P776" s="30">
        <f>IF(C776="","",N(N776)*Settings!$B$10)</f>
        <v/>
      </c>
      <c r="Q776" s="30">
        <f>IF(C776="","",J776-N(M776)-O776-P776)</f>
        <v/>
      </c>
      <c r="R776" s="6" t="n"/>
    </row>
    <row r="777">
      <c r="A777" s="8">
        <f>IF(B777="","","J-"&amp;TEXT(ROW()-4,"0000"))</f>
        <v/>
      </c>
      <c r="B777" s="26" t="n"/>
      <c r="C777" s="6" t="n"/>
      <c r="D777" s="6" t="n"/>
      <c r="E777" s="29" t="n"/>
      <c r="F777" s="6" t="n"/>
      <c r="G777" s="25" t="n"/>
      <c r="H777" s="27">
        <f>IF(C777="","",IF(G777&lt;&gt;"",G777,IFERROR(INDEX(Clients!$G$5:$G$304,MATCH(C777,Clients!$A$5:$A$304,0)),0)))</f>
        <v/>
      </c>
      <c r="I777" s="25" t="n"/>
      <c r="J777" s="27">
        <f>IF(C777="","",H777+N(I777))</f>
        <v/>
      </c>
      <c r="K777" s="6" t="n"/>
      <c r="L777" s="6" t="n"/>
      <c r="M777" s="25" t="n"/>
      <c r="N777" s="10" t="n"/>
      <c r="O777" s="27">
        <f>IF(C777="","",N(E777)*Settings!$B$8)</f>
        <v/>
      </c>
      <c r="P777" s="27">
        <f>IF(C777="","",N(N777)*Settings!$B$10)</f>
        <v/>
      </c>
      <c r="Q777" s="27">
        <f>IF(C777="","",J777-N(M777)-O777-P777)</f>
        <v/>
      </c>
      <c r="R777" s="6" t="n"/>
    </row>
    <row r="778">
      <c r="A778" s="17">
        <f>IF(B778="","","J-"&amp;TEXT(ROW()-4,"0000"))</f>
        <v/>
      </c>
      <c r="B778" s="26" t="n"/>
      <c r="C778" s="6" t="n"/>
      <c r="D778" s="6" t="n"/>
      <c r="E778" s="29" t="n"/>
      <c r="F778" s="6" t="n"/>
      <c r="G778" s="25" t="n"/>
      <c r="H778" s="30">
        <f>IF(C778="","",IF(G778&lt;&gt;"",G778,IFERROR(INDEX(Clients!$G$5:$G$304,MATCH(C778,Clients!$A$5:$A$304,0)),0)))</f>
        <v/>
      </c>
      <c r="I778" s="25" t="n"/>
      <c r="J778" s="30">
        <f>IF(C778="","",H778+N(I778))</f>
        <v/>
      </c>
      <c r="K778" s="6" t="n"/>
      <c r="L778" s="6" t="n"/>
      <c r="M778" s="25" t="n"/>
      <c r="N778" s="10" t="n"/>
      <c r="O778" s="30">
        <f>IF(C778="","",N(E778)*Settings!$B$8)</f>
        <v/>
      </c>
      <c r="P778" s="30">
        <f>IF(C778="","",N(N778)*Settings!$B$10)</f>
        <v/>
      </c>
      <c r="Q778" s="30">
        <f>IF(C778="","",J778-N(M778)-O778-P778)</f>
        <v/>
      </c>
      <c r="R778" s="6" t="n"/>
    </row>
    <row r="779">
      <c r="A779" s="8">
        <f>IF(B779="","","J-"&amp;TEXT(ROW()-4,"0000"))</f>
        <v/>
      </c>
      <c r="B779" s="26" t="n"/>
      <c r="C779" s="6" t="n"/>
      <c r="D779" s="6" t="n"/>
      <c r="E779" s="29" t="n"/>
      <c r="F779" s="6" t="n"/>
      <c r="G779" s="25" t="n"/>
      <c r="H779" s="27">
        <f>IF(C779="","",IF(G779&lt;&gt;"",G779,IFERROR(INDEX(Clients!$G$5:$G$304,MATCH(C779,Clients!$A$5:$A$304,0)),0)))</f>
        <v/>
      </c>
      <c r="I779" s="25" t="n"/>
      <c r="J779" s="27">
        <f>IF(C779="","",H779+N(I779))</f>
        <v/>
      </c>
      <c r="K779" s="6" t="n"/>
      <c r="L779" s="6" t="n"/>
      <c r="M779" s="25" t="n"/>
      <c r="N779" s="10" t="n"/>
      <c r="O779" s="27">
        <f>IF(C779="","",N(E779)*Settings!$B$8)</f>
        <v/>
      </c>
      <c r="P779" s="27">
        <f>IF(C779="","",N(N779)*Settings!$B$10)</f>
        <v/>
      </c>
      <c r="Q779" s="27">
        <f>IF(C779="","",J779-N(M779)-O779-P779)</f>
        <v/>
      </c>
      <c r="R779" s="6" t="n"/>
    </row>
    <row r="780">
      <c r="A780" s="17">
        <f>IF(B780="","","J-"&amp;TEXT(ROW()-4,"0000"))</f>
        <v/>
      </c>
      <c r="B780" s="26" t="n"/>
      <c r="C780" s="6" t="n"/>
      <c r="D780" s="6" t="n"/>
      <c r="E780" s="29" t="n"/>
      <c r="F780" s="6" t="n"/>
      <c r="G780" s="25" t="n"/>
      <c r="H780" s="30">
        <f>IF(C780="","",IF(G780&lt;&gt;"",G780,IFERROR(INDEX(Clients!$G$5:$G$304,MATCH(C780,Clients!$A$5:$A$304,0)),0)))</f>
        <v/>
      </c>
      <c r="I780" s="25" t="n"/>
      <c r="J780" s="30">
        <f>IF(C780="","",H780+N(I780))</f>
        <v/>
      </c>
      <c r="K780" s="6" t="n"/>
      <c r="L780" s="6" t="n"/>
      <c r="M780" s="25" t="n"/>
      <c r="N780" s="10" t="n"/>
      <c r="O780" s="30">
        <f>IF(C780="","",N(E780)*Settings!$B$8)</f>
        <v/>
      </c>
      <c r="P780" s="30">
        <f>IF(C780="","",N(N780)*Settings!$B$10)</f>
        <v/>
      </c>
      <c r="Q780" s="30">
        <f>IF(C780="","",J780-N(M780)-O780-P780)</f>
        <v/>
      </c>
      <c r="R780" s="6" t="n"/>
    </row>
    <row r="781">
      <c r="A781" s="8">
        <f>IF(B781="","","J-"&amp;TEXT(ROW()-4,"0000"))</f>
        <v/>
      </c>
      <c r="B781" s="26" t="n"/>
      <c r="C781" s="6" t="n"/>
      <c r="D781" s="6" t="n"/>
      <c r="E781" s="29" t="n"/>
      <c r="F781" s="6" t="n"/>
      <c r="G781" s="25" t="n"/>
      <c r="H781" s="27">
        <f>IF(C781="","",IF(G781&lt;&gt;"",G781,IFERROR(INDEX(Clients!$G$5:$G$304,MATCH(C781,Clients!$A$5:$A$304,0)),0)))</f>
        <v/>
      </c>
      <c r="I781" s="25" t="n"/>
      <c r="J781" s="27">
        <f>IF(C781="","",H781+N(I781))</f>
        <v/>
      </c>
      <c r="K781" s="6" t="n"/>
      <c r="L781" s="6" t="n"/>
      <c r="M781" s="25" t="n"/>
      <c r="N781" s="10" t="n"/>
      <c r="O781" s="27">
        <f>IF(C781="","",N(E781)*Settings!$B$8)</f>
        <v/>
      </c>
      <c r="P781" s="27">
        <f>IF(C781="","",N(N781)*Settings!$B$10)</f>
        <v/>
      </c>
      <c r="Q781" s="27">
        <f>IF(C781="","",J781-N(M781)-O781-P781)</f>
        <v/>
      </c>
      <c r="R781" s="6" t="n"/>
    </row>
    <row r="782">
      <c r="A782" s="17">
        <f>IF(B782="","","J-"&amp;TEXT(ROW()-4,"0000"))</f>
        <v/>
      </c>
      <c r="B782" s="26" t="n"/>
      <c r="C782" s="6" t="n"/>
      <c r="D782" s="6" t="n"/>
      <c r="E782" s="29" t="n"/>
      <c r="F782" s="6" t="n"/>
      <c r="G782" s="25" t="n"/>
      <c r="H782" s="30">
        <f>IF(C782="","",IF(G782&lt;&gt;"",G782,IFERROR(INDEX(Clients!$G$5:$G$304,MATCH(C782,Clients!$A$5:$A$304,0)),0)))</f>
        <v/>
      </c>
      <c r="I782" s="25" t="n"/>
      <c r="J782" s="30">
        <f>IF(C782="","",H782+N(I782))</f>
        <v/>
      </c>
      <c r="K782" s="6" t="n"/>
      <c r="L782" s="6" t="n"/>
      <c r="M782" s="25" t="n"/>
      <c r="N782" s="10" t="n"/>
      <c r="O782" s="30">
        <f>IF(C782="","",N(E782)*Settings!$B$8)</f>
        <v/>
      </c>
      <c r="P782" s="30">
        <f>IF(C782="","",N(N782)*Settings!$B$10)</f>
        <v/>
      </c>
      <c r="Q782" s="30">
        <f>IF(C782="","",J782-N(M782)-O782-P782)</f>
        <v/>
      </c>
      <c r="R782" s="6" t="n"/>
    </row>
    <row r="783">
      <c r="A783" s="8">
        <f>IF(B783="","","J-"&amp;TEXT(ROW()-4,"0000"))</f>
        <v/>
      </c>
      <c r="B783" s="26" t="n"/>
      <c r="C783" s="6" t="n"/>
      <c r="D783" s="6" t="n"/>
      <c r="E783" s="29" t="n"/>
      <c r="F783" s="6" t="n"/>
      <c r="G783" s="25" t="n"/>
      <c r="H783" s="27">
        <f>IF(C783="","",IF(G783&lt;&gt;"",G783,IFERROR(INDEX(Clients!$G$5:$G$304,MATCH(C783,Clients!$A$5:$A$304,0)),0)))</f>
        <v/>
      </c>
      <c r="I783" s="25" t="n"/>
      <c r="J783" s="27">
        <f>IF(C783="","",H783+N(I783))</f>
        <v/>
      </c>
      <c r="K783" s="6" t="n"/>
      <c r="L783" s="6" t="n"/>
      <c r="M783" s="25" t="n"/>
      <c r="N783" s="10" t="n"/>
      <c r="O783" s="27">
        <f>IF(C783="","",N(E783)*Settings!$B$8)</f>
        <v/>
      </c>
      <c r="P783" s="27">
        <f>IF(C783="","",N(N783)*Settings!$B$10)</f>
        <v/>
      </c>
      <c r="Q783" s="27">
        <f>IF(C783="","",J783-N(M783)-O783-P783)</f>
        <v/>
      </c>
      <c r="R783" s="6" t="n"/>
    </row>
    <row r="784">
      <c r="A784" s="17">
        <f>IF(B784="","","J-"&amp;TEXT(ROW()-4,"0000"))</f>
        <v/>
      </c>
      <c r="B784" s="26" t="n"/>
      <c r="C784" s="6" t="n"/>
      <c r="D784" s="6" t="n"/>
      <c r="E784" s="29" t="n"/>
      <c r="F784" s="6" t="n"/>
      <c r="G784" s="25" t="n"/>
      <c r="H784" s="30">
        <f>IF(C784="","",IF(G784&lt;&gt;"",G784,IFERROR(INDEX(Clients!$G$5:$G$304,MATCH(C784,Clients!$A$5:$A$304,0)),0)))</f>
        <v/>
      </c>
      <c r="I784" s="25" t="n"/>
      <c r="J784" s="30">
        <f>IF(C784="","",H784+N(I784))</f>
        <v/>
      </c>
      <c r="K784" s="6" t="n"/>
      <c r="L784" s="6" t="n"/>
      <c r="M784" s="25" t="n"/>
      <c r="N784" s="10" t="n"/>
      <c r="O784" s="30">
        <f>IF(C784="","",N(E784)*Settings!$B$8)</f>
        <v/>
      </c>
      <c r="P784" s="30">
        <f>IF(C784="","",N(N784)*Settings!$B$10)</f>
        <v/>
      </c>
      <c r="Q784" s="30">
        <f>IF(C784="","",J784-N(M784)-O784-P784)</f>
        <v/>
      </c>
      <c r="R784" s="6" t="n"/>
    </row>
    <row r="785">
      <c r="A785" s="8">
        <f>IF(B785="","","J-"&amp;TEXT(ROW()-4,"0000"))</f>
        <v/>
      </c>
      <c r="B785" s="26" t="n"/>
      <c r="C785" s="6" t="n"/>
      <c r="D785" s="6" t="n"/>
      <c r="E785" s="29" t="n"/>
      <c r="F785" s="6" t="n"/>
      <c r="G785" s="25" t="n"/>
      <c r="H785" s="27">
        <f>IF(C785="","",IF(G785&lt;&gt;"",G785,IFERROR(INDEX(Clients!$G$5:$G$304,MATCH(C785,Clients!$A$5:$A$304,0)),0)))</f>
        <v/>
      </c>
      <c r="I785" s="25" t="n"/>
      <c r="J785" s="27">
        <f>IF(C785="","",H785+N(I785))</f>
        <v/>
      </c>
      <c r="K785" s="6" t="n"/>
      <c r="L785" s="6" t="n"/>
      <c r="M785" s="25" t="n"/>
      <c r="N785" s="10" t="n"/>
      <c r="O785" s="27">
        <f>IF(C785="","",N(E785)*Settings!$B$8)</f>
        <v/>
      </c>
      <c r="P785" s="27">
        <f>IF(C785="","",N(N785)*Settings!$B$10)</f>
        <v/>
      </c>
      <c r="Q785" s="27">
        <f>IF(C785="","",J785-N(M785)-O785-P785)</f>
        <v/>
      </c>
      <c r="R785" s="6" t="n"/>
    </row>
    <row r="786">
      <c r="A786" s="17">
        <f>IF(B786="","","J-"&amp;TEXT(ROW()-4,"0000"))</f>
        <v/>
      </c>
      <c r="B786" s="26" t="n"/>
      <c r="C786" s="6" t="n"/>
      <c r="D786" s="6" t="n"/>
      <c r="E786" s="29" t="n"/>
      <c r="F786" s="6" t="n"/>
      <c r="G786" s="25" t="n"/>
      <c r="H786" s="30">
        <f>IF(C786="","",IF(G786&lt;&gt;"",G786,IFERROR(INDEX(Clients!$G$5:$G$304,MATCH(C786,Clients!$A$5:$A$304,0)),0)))</f>
        <v/>
      </c>
      <c r="I786" s="25" t="n"/>
      <c r="J786" s="30">
        <f>IF(C786="","",H786+N(I786))</f>
        <v/>
      </c>
      <c r="K786" s="6" t="n"/>
      <c r="L786" s="6" t="n"/>
      <c r="M786" s="25" t="n"/>
      <c r="N786" s="10" t="n"/>
      <c r="O786" s="30">
        <f>IF(C786="","",N(E786)*Settings!$B$8)</f>
        <v/>
      </c>
      <c r="P786" s="30">
        <f>IF(C786="","",N(N786)*Settings!$B$10)</f>
        <v/>
      </c>
      <c r="Q786" s="30">
        <f>IF(C786="","",J786-N(M786)-O786-P786)</f>
        <v/>
      </c>
      <c r="R786" s="6" t="n"/>
    </row>
    <row r="787">
      <c r="A787" s="8">
        <f>IF(B787="","","J-"&amp;TEXT(ROW()-4,"0000"))</f>
        <v/>
      </c>
      <c r="B787" s="26" t="n"/>
      <c r="C787" s="6" t="n"/>
      <c r="D787" s="6" t="n"/>
      <c r="E787" s="29" t="n"/>
      <c r="F787" s="6" t="n"/>
      <c r="G787" s="25" t="n"/>
      <c r="H787" s="27">
        <f>IF(C787="","",IF(G787&lt;&gt;"",G787,IFERROR(INDEX(Clients!$G$5:$G$304,MATCH(C787,Clients!$A$5:$A$304,0)),0)))</f>
        <v/>
      </c>
      <c r="I787" s="25" t="n"/>
      <c r="J787" s="27">
        <f>IF(C787="","",H787+N(I787))</f>
        <v/>
      </c>
      <c r="K787" s="6" t="n"/>
      <c r="L787" s="6" t="n"/>
      <c r="M787" s="25" t="n"/>
      <c r="N787" s="10" t="n"/>
      <c r="O787" s="27">
        <f>IF(C787="","",N(E787)*Settings!$B$8)</f>
        <v/>
      </c>
      <c r="P787" s="27">
        <f>IF(C787="","",N(N787)*Settings!$B$10)</f>
        <v/>
      </c>
      <c r="Q787" s="27">
        <f>IF(C787="","",J787-N(M787)-O787-P787)</f>
        <v/>
      </c>
      <c r="R787" s="6" t="n"/>
    </row>
    <row r="788">
      <c r="A788" s="17">
        <f>IF(B788="","","J-"&amp;TEXT(ROW()-4,"0000"))</f>
        <v/>
      </c>
      <c r="B788" s="26" t="n"/>
      <c r="C788" s="6" t="n"/>
      <c r="D788" s="6" t="n"/>
      <c r="E788" s="29" t="n"/>
      <c r="F788" s="6" t="n"/>
      <c r="G788" s="25" t="n"/>
      <c r="H788" s="30">
        <f>IF(C788="","",IF(G788&lt;&gt;"",G788,IFERROR(INDEX(Clients!$G$5:$G$304,MATCH(C788,Clients!$A$5:$A$304,0)),0)))</f>
        <v/>
      </c>
      <c r="I788" s="25" t="n"/>
      <c r="J788" s="30">
        <f>IF(C788="","",H788+N(I788))</f>
        <v/>
      </c>
      <c r="K788" s="6" t="n"/>
      <c r="L788" s="6" t="n"/>
      <c r="M788" s="25" t="n"/>
      <c r="N788" s="10" t="n"/>
      <c r="O788" s="30">
        <f>IF(C788="","",N(E788)*Settings!$B$8)</f>
        <v/>
      </c>
      <c r="P788" s="30">
        <f>IF(C788="","",N(N788)*Settings!$B$10)</f>
        <v/>
      </c>
      <c r="Q788" s="30">
        <f>IF(C788="","",J788-N(M788)-O788-P788)</f>
        <v/>
      </c>
      <c r="R788" s="6" t="n"/>
    </row>
    <row r="789">
      <c r="A789" s="8">
        <f>IF(B789="","","J-"&amp;TEXT(ROW()-4,"0000"))</f>
        <v/>
      </c>
      <c r="B789" s="26" t="n"/>
      <c r="C789" s="6" t="n"/>
      <c r="D789" s="6" t="n"/>
      <c r="E789" s="29" t="n"/>
      <c r="F789" s="6" t="n"/>
      <c r="G789" s="25" t="n"/>
      <c r="H789" s="27">
        <f>IF(C789="","",IF(G789&lt;&gt;"",G789,IFERROR(INDEX(Clients!$G$5:$G$304,MATCH(C789,Clients!$A$5:$A$304,0)),0)))</f>
        <v/>
      </c>
      <c r="I789" s="25" t="n"/>
      <c r="J789" s="27">
        <f>IF(C789="","",H789+N(I789))</f>
        <v/>
      </c>
      <c r="K789" s="6" t="n"/>
      <c r="L789" s="6" t="n"/>
      <c r="M789" s="25" t="n"/>
      <c r="N789" s="10" t="n"/>
      <c r="O789" s="27">
        <f>IF(C789="","",N(E789)*Settings!$B$8)</f>
        <v/>
      </c>
      <c r="P789" s="27">
        <f>IF(C789="","",N(N789)*Settings!$B$10)</f>
        <v/>
      </c>
      <c r="Q789" s="27">
        <f>IF(C789="","",J789-N(M789)-O789-P789)</f>
        <v/>
      </c>
      <c r="R789" s="6" t="n"/>
    </row>
    <row r="790">
      <c r="A790" s="17">
        <f>IF(B790="","","J-"&amp;TEXT(ROW()-4,"0000"))</f>
        <v/>
      </c>
      <c r="B790" s="26" t="n"/>
      <c r="C790" s="6" t="n"/>
      <c r="D790" s="6" t="n"/>
      <c r="E790" s="29" t="n"/>
      <c r="F790" s="6" t="n"/>
      <c r="G790" s="25" t="n"/>
      <c r="H790" s="30">
        <f>IF(C790="","",IF(G790&lt;&gt;"",G790,IFERROR(INDEX(Clients!$G$5:$G$304,MATCH(C790,Clients!$A$5:$A$304,0)),0)))</f>
        <v/>
      </c>
      <c r="I790" s="25" t="n"/>
      <c r="J790" s="30">
        <f>IF(C790="","",H790+N(I790))</f>
        <v/>
      </c>
      <c r="K790" s="6" t="n"/>
      <c r="L790" s="6" t="n"/>
      <c r="M790" s="25" t="n"/>
      <c r="N790" s="10" t="n"/>
      <c r="O790" s="30">
        <f>IF(C790="","",N(E790)*Settings!$B$8)</f>
        <v/>
      </c>
      <c r="P790" s="30">
        <f>IF(C790="","",N(N790)*Settings!$B$10)</f>
        <v/>
      </c>
      <c r="Q790" s="30">
        <f>IF(C790="","",J790-N(M790)-O790-P790)</f>
        <v/>
      </c>
      <c r="R790" s="6" t="n"/>
    </row>
    <row r="791">
      <c r="A791" s="8">
        <f>IF(B791="","","J-"&amp;TEXT(ROW()-4,"0000"))</f>
        <v/>
      </c>
      <c r="B791" s="26" t="n"/>
      <c r="C791" s="6" t="n"/>
      <c r="D791" s="6" t="n"/>
      <c r="E791" s="29" t="n"/>
      <c r="F791" s="6" t="n"/>
      <c r="G791" s="25" t="n"/>
      <c r="H791" s="27">
        <f>IF(C791="","",IF(G791&lt;&gt;"",G791,IFERROR(INDEX(Clients!$G$5:$G$304,MATCH(C791,Clients!$A$5:$A$304,0)),0)))</f>
        <v/>
      </c>
      <c r="I791" s="25" t="n"/>
      <c r="J791" s="27">
        <f>IF(C791="","",H791+N(I791))</f>
        <v/>
      </c>
      <c r="K791" s="6" t="n"/>
      <c r="L791" s="6" t="n"/>
      <c r="M791" s="25" t="n"/>
      <c r="N791" s="10" t="n"/>
      <c r="O791" s="27">
        <f>IF(C791="","",N(E791)*Settings!$B$8)</f>
        <v/>
      </c>
      <c r="P791" s="27">
        <f>IF(C791="","",N(N791)*Settings!$B$10)</f>
        <v/>
      </c>
      <c r="Q791" s="27">
        <f>IF(C791="","",J791-N(M791)-O791-P791)</f>
        <v/>
      </c>
      <c r="R791" s="6" t="n"/>
    </row>
    <row r="792">
      <c r="A792" s="17">
        <f>IF(B792="","","J-"&amp;TEXT(ROW()-4,"0000"))</f>
        <v/>
      </c>
      <c r="B792" s="26" t="n"/>
      <c r="C792" s="6" t="n"/>
      <c r="D792" s="6" t="n"/>
      <c r="E792" s="29" t="n"/>
      <c r="F792" s="6" t="n"/>
      <c r="G792" s="25" t="n"/>
      <c r="H792" s="30">
        <f>IF(C792="","",IF(G792&lt;&gt;"",G792,IFERROR(INDEX(Clients!$G$5:$G$304,MATCH(C792,Clients!$A$5:$A$304,0)),0)))</f>
        <v/>
      </c>
      <c r="I792" s="25" t="n"/>
      <c r="J792" s="30">
        <f>IF(C792="","",H792+N(I792))</f>
        <v/>
      </c>
      <c r="K792" s="6" t="n"/>
      <c r="L792" s="6" t="n"/>
      <c r="M792" s="25" t="n"/>
      <c r="N792" s="10" t="n"/>
      <c r="O792" s="30">
        <f>IF(C792="","",N(E792)*Settings!$B$8)</f>
        <v/>
      </c>
      <c r="P792" s="30">
        <f>IF(C792="","",N(N792)*Settings!$B$10)</f>
        <v/>
      </c>
      <c r="Q792" s="30">
        <f>IF(C792="","",J792-N(M792)-O792-P792)</f>
        <v/>
      </c>
      <c r="R792" s="6" t="n"/>
    </row>
    <row r="793">
      <c r="A793" s="8">
        <f>IF(B793="","","J-"&amp;TEXT(ROW()-4,"0000"))</f>
        <v/>
      </c>
      <c r="B793" s="26" t="n"/>
      <c r="C793" s="6" t="n"/>
      <c r="D793" s="6" t="n"/>
      <c r="E793" s="29" t="n"/>
      <c r="F793" s="6" t="n"/>
      <c r="G793" s="25" t="n"/>
      <c r="H793" s="27">
        <f>IF(C793="","",IF(G793&lt;&gt;"",G793,IFERROR(INDEX(Clients!$G$5:$G$304,MATCH(C793,Clients!$A$5:$A$304,0)),0)))</f>
        <v/>
      </c>
      <c r="I793" s="25" t="n"/>
      <c r="J793" s="27">
        <f>IF(C793="","",H793+N(I793))</f>
        <v/>
      </c>
      <c r="K793" s="6" t="n"/>
      <c r="L793" s="6" t="n"/>
      <c r="M793" s="25" t="n"/>
      <c r="N793" s="10" t="n"/>
      <c r="O793" s="27">
        <f>IF(C793="","",N(E793)*Settings!$B$8)</f>
        <v/>
      </c>
      <c r="P793" s="27">
        <f>IF(C793="","",N(N793)*Settings!$B$10)</f>
        <v/>
      </c>
      <c r="Q793" s="27">
        <f>IF(C793="","",J793-N(M793)-O793-P793)</f>
        <v/>
      </c>
      <c r="R793" s="6" t="n"/>
    </row>
    <row r="794">
      <c r="A794" s="17">
        <f>IF(B794="","","J-"&amp;TEXT(ROW()-4,"0000"))</f>
        <v/>
      </c>
      <c r="B794" s="26" t="n"/>
      <c r="C794" s="6" t="n"/>
      <c r="D794" s="6" t="n"/>
      <c r="E794" s="29" t="n"/>
      <c r="F794" s="6" t="n"/>
      <c r="G794" s="25" t="n"/>
      <c r="H794" s="30">
        <f>IF(C794="","",IF(G794&lt;&gt;"",G794,IFERROR(INDEX(Clients!$G$5:$G$304,MATCH(C794,Clients!$A$5:$A$304,0)),0)))</f>
        <v/>
      </c>
      <c r="I794" s="25" t="n"/>
      <c r="J794" s="30">
        <f>IF(C794="","",H794+N(I794))</f>
        <v/>
      </c>
      <c r="K794" s="6" t="n"/>
      <c r="L794" s="6" t="n"/>
      <c r="M794" s="25" t="n"/>
      <c r="N794" s="10" t="n"/>
      <c r="O794" s="30">
        <f>IF(C794="","",N(E794)*Settings!$B$8)</f>
        <v/>
      </c>
      <c r="P794" s="30">
        <f>IF(C794="","",N(N794)*Settings!$B$10)</f>
        <v/>
      </c>
      <c r="Q794" s="30">
        <f>IF(C794="","",J794-N(M794)-O794-P794)</f>
        <v/>
      </c>
      <c r="R794" s="6" t="n"/>
    </row>
    <row r="795">
      <c r="A795" s="8">
        <f>IF(B795="","","J-"&amp;TEXT(ROW()-4,"0000"))</f>
        <v/>
      </c>
      <c r="B795" s="26" t="n"/>
      <c r="C795" s="6" t="n"/>
      <c r="D795" s="6" t="n"/>
      <c r="E795" s="29" t="n"/>
      <c r="F795" s="6" t="n"/>
      <c r="G795" s="25" t="n"/>
      <c r="H795" s="27">
        <f>IF(C795="","",IF(G795&lt;&gt;"",G795,IFERROR(INDEX(Clients!$G$5:$G$304,MATCH(C795,Clients!$A$5:$A$304,0)),0)))</f>
        <v/>
      </c>
      <c r="I795" s="25" t="n"/>
      <c r="J795" s="27">
        <f>IF(C795="","",H795+N(I795))</f>
        <v/>
      </c>
      <c r="K795" s="6" t="n"/>
      <c r="L795" s="6" t="n"/>
      <c r="M795" s="25" t="n"/>
      <c r="N795" s="10" t="n"/>
      <c r="O795" s="27">
        <f>IF(C795="","",N(E795)*Settings!$B$8)</f>
        <v/>
      </c>
      <c r="P795" s="27">
        <f>IF(C795="","",N(N795)*Settings!$B$10)</f>
        <v/>
      </c>
      <c r="Q795" s="27">
        <f>IF(C795="","",J795-N(M795)-O795-P795)</f>
        <v/>
      </c>
      <c r="R795" s="6" t="n"/>
    </row>
    <row r="796">
      <c r="A796" s="17">
        <f>IF(B796="","","J-"&amp;TEXT(ROW()-4,"0000"))</f>
        <v/>
      </c>
      <c r="B796" s="26" t="n"/>
      <c r="C796" s="6" t="n"/>
      <c r="D796" s="6" t="n"/>
      <c r="E796" s="29" t="n"/>
      <c r="F796" s="6" t="n"/>
      <c r="G796" s="25" t="n"/>
      <c r="H796" s="30">
        <f>IF(C796="","",IF(G796&lt;&gt;"",G796,IFERROR(INDEX(Clients!$G$5:$G$304,MATCH(C796,Clients!$A$5:$A$304,0)),0)))</f>
        <v/>
      </c>
      <c r="I796" s="25" t="n"/>
      <c r="J796" s="30">
        <f>IF(C796="","",H796+N(I796))</f>
        <v/>
      </c>
      <c r="K796" s="6" t="n"/>
      <c r="L796" s="6" t="n"/>
      <c r="M796" s="25" t="n"/>
      <c r="N796" s="10" t="n"/>
      <c r="O796" s="30">
        <f>IF(C796="","",N(E796)*Settings!$B$8)</f>
        <v/>
      </c>
      <c r="P796" s="30">
        <f>IF(C796="","",N(N796)*Settings!$B$10)</f>
        <v/>
      </c>
      <c r="Q796" s="30">
        <f>IF(C796="","",J796-N(M796)-O796-P796)</f>
        <v/>
      </c>
      <c r="R796" s="6" t="n"/>
    </row>
    <row r="797">
      <c r="A797" s="8">
        <f>IF(B797="","","J-"&amp;TEXT(ROW()-4,"0000"))</f>
        <v/>
      </c>
      <c r="B797" s="26" t="n"/>
      <c r="C797" s="6" t="n"/>
      <c r="D797" s="6" t="n"/>
      <c r="E797" s="29" t="n"/>
      <c r="F797" s="6" t="n"/>
      <c r="G797" s="25" t="n"/>
      <c r="H797" s="27">
        <f>IF(C797="","",IF(G797&lt;&gt;"",G797,IFERROR(INDEX(Clients!$G$5:$G$304,MATCH(C797,Clients!$A$5:$A$304,0)),0)))</f>
        <v/>
      </c>
      <c r="I797" s="25" t="n"/>
      <c r="J797" s="27">
        <f>IF(C797="","",H797+N(I797))</f>
        <v/>
      </c>
      <c r="K797" s="6" t="n"/>
      <c r="L797" s="6" t="n"/>
      <c r="M797" s="25" t="n"/>
      <c r="N797" s="10" t="n"/>
      <c r="O797" s="27">
        <f>IF(C797="","",N(E797)*Settings!$B$8)</f>
        <v/>
      </c>
      <c r="P797" s="27">
        <f>IF(C797="","",N(N797)*Settings!$B$10)</f>
        <v/>
      </c>
      <c r="Q797" s="27">
        <f>IF(C797="","",J797-N(M797)-O797-P797)</f>
        <v/>
      </c>
      <c r="R797" s="6" t="n"/>
    </row>
    <row r="798">
      <c r="A798" s="17">
        <f>IF(B798="","","J-"&amp;TEXT(ROW()-4,"0000"))</f>
        <v/>
      </c>
      <c r="B798" s="26" t="n"/>
      <c r="C798" s="6" t="n"/>
      <c r="D798" s="6" t="n"/>
      <c r="E798" s="29" t="n"/>
      <c r="F798" s="6" t="n"/>
      <c r="G798" s="25" t="n"/>
      <c r="H798" s="30">
        <f>IF(C798="","",IF(G798&lt;&gt;"",G798,IFERROR(INDEX(Clients!$G$5:$G$304,MATCH(C798,Clients!$A$5:$A$304,0)),0)))</f>
        <v/>
      </c>
      <c r="I798" s="25" t="n"/>
      <c r="J798" s="30">
        <f>IF(C798="","",H798+N(I798))</f>
        <v/>
      </c>
      <c r="K798" s="6" t="n"/>
      <c r="L798" s="6" t="n"/>
      <c r="M798" s="25" t="n"/>
      <c r="N798" s="10" t="n"/>
      <c r="O798" s="30">
        <f>IF(C798="","",N(E798)*Settings!$B$8)</f>
        <v/>
      </c>
      <c r="P798" s="30">
        <f>IF(C798="","",N(N798)*Settings!$B$10)</f>
        <v/>
      </c>
      <c r="Q798" s="30">
        <f>IF(C798="","",J798-N(M798)-O798-P798)</f>
        <v/>
      </c>
      <c r="R798" s="6" t="n"/>
    </row>
    <row r="799">
      <c r="A799" s="8">
        <f>IF(B799="","","J-"&amp;TEXT(ROW()-4,"0000"))</f>
        <v/>
      </c>
      <c r="B799" s="26" t="n"/>
      <c r="C799" s="6" t="n"/>
      <c r="D799" s="6" t="n"/>
      <c r="E799" s="29" t="n"/>
      <c r="F799" s="6" t="n"/>
      <c r="G799" s="25" t="n"/>
      <c r="H799" s="27">
        <f>IF(C799="","",IF(G799&lt;&gt;"",G799,IFERROR(INDEX(Clients!$G$5:$G$304,MATCH(C799,Clients!$A$5:$A$304,0)),0)))</f>
        <v/>
      </c>
      <c r="I799" s="25" t="n"/>
      <c r="J799" s="27">
        <f>IF(C799="","",H799+N(I799))</f>
        <v/>
      </c>
      <c r="K799" s="6" t="n"/>
      <c r="L799" s="6" t="n"/>
      <c r="M799" s="25" t="n"/>
      <c r="N799" s="10" t="n"/>
      <c r="O799" s="27">
        <f>IF(C799="","",N(E799)*Settings!$B$8)</f>
        <v/>
      </c>
      <c r="P799" s="27">
        <f>IF(C799="","",N(N799)*Settings!$B$10)</f>
        <v/>
      </c>
      <c r="Q799" s="27">
        <f>IF(C799="","",J799-N(M799)-O799-P799)</f>
        <v/>
      </c>
      <c r="R799" s="6" t="n"/>
    </row>
    <row r="800">
      <c r="A800" s="17">
        <f>IF(B800="","","J-"&amp;TEXT(ROW()-4,"0000"))</f>
        <v/>
      </c>
      <c r="B800" s="26" t="n"/>
      <c r="C800" s="6" t="n"/>
      <c r="D800" s="6" t="n"/>
      <c r="E800" s="29" t="n"/>
      <c r="F800" s="6" t="n"/>
      <c r="G800" s="25" t="n"/>
      <c r="H800" s="30">
        <f>IF(C800="","",IF(G800&lt;&gt;"",G800,IFERROR(INDEX(Clients!$G$5:$G$304,MATCH(C800,Clients!$A$5:$A$304,0)),0)))</f>
        <v/>
      </c>
      <c r="I800" s="25" t="n"/>
      <c r="J800" s="30">
        <f>IF(C800="","",H800+N(I800))</f>
        <v/>
      </c>
      <c r="K800" s="6" t="n"/>
      <c r="L800" s="6" t="n"/>
      <c r="M800" s="25" t="n"/>
      <c r="N800" s="10" t="n"/>
      <c r="O800" s="30">
        <f>IF(C800="","",N(E800)*Settings!$B$8)</f>
        <v/>
      </c>
      <c r="P800" s="30">
        <f>IF(C800="","",N(N800)*Settings!$B$10)</f>
        <v/>
      </c>
      <c r="Q800" s="30">
        <f>IF(C800="","",J800-N(M800)-O800-P800)</f>
        <v/>
      </c>
      <c r="R800" s="6" t="n"/>
    </row>
    <row r="801">
      <c r="A801" s="8">
        <f>IF(B801="","","J-"&amp;TEXT(ROW()-4,"0000"))</f>
        <v/>
      </c>
      <c r="B801" s="26" t="n"/>
      <c r="C801" s="6" t="n"/>
      <c r="D801" s="6" t="n"/>
      <c r="E801" s="29" t="n"/>
      <c r="F801" s="6" t="n"/>
      <c r="G801" s="25" t="n"/>
      <c r="H801" s="27">
        <f>IF(C801="","",IF(G801&lt;&gt;"",G801,IFERROR(INDEX(Clients!$G$5:$G$304,MATCH(C801,Clients!$A$5:$A$304,0)),0)))</f>
        <v/>
      </c>
      <c r="I801" s="25" t="n"/>
      <c r="J801" s="27">
        <f>IF(C801="","",H801+N(I801))</f>
        <v/>
      </c>
      <c r="K801" s="6" t="n"/>
      <c r="L801" s="6" t="n"/>
      <c r="M801" s="25" t="n"/>
      <c r="N801" s="10" t="n"/>
      <c r="O801" s="27">
        <f>IF(C801="","",N(E801)*Settings!$B$8)</f>
        <v/>
      </c>
      <c r="P801" s="27">
        <f>IF(C801="","",N(N801)*Settings!$B$10)</f>
        <v/>
      </c>
      <c r="Q801" s="27">
        <f>IF(C801="","",J801-N(M801)-O801-P801)</f>
        <v/>
      </c>
      <c r="R801" s="6" t="n"/>
    </row>
    <row r="802">
      <c r="A802" s="17">
        <f>IF(B802="","","J-"&amp;TEXT(ROW()-4,"0000"))</f>
        <v/>
      </c>
      <c r="B802" s="26" t="n"/>
      <c r="C802" s="6" t="n"/>
      <c r="D802" s="6" t="n"/>
      <c r="E802" s="29" t="n"/>
      <c r="F802" s="6" t="n"/>
      <c r="G802" s="25" t="n"/>
      <c r="H802" s="30">
        <f>IF(C802="","",IF(G802&lt;&gt;"",G802,IFERROR(INDEX(Clients!$G$5:$G$304,MATCH(C802,Clients!$A$5:$A$304,0)),0)))</f>
        <v/>
      </c>
      <c r="I802" s="25" t="n"/>
      <c r="J802" s="30">
        <f>IF(C802="","",H802+N(I802))</f>
        <v/>
      </c>
      <c r="K802" s="6" t="n"/>
      <c r="L802" s="6" t="n"/>
      <c r="M802" s="25" t="n"/>
      <c r="N802" s="10" t="n"/>
      <c r="O802" s="30">
        <f>IF(C802="","",N(E802)*Settings!$B$8)</f>
        <v/>
      </c>
      <c r="P802" s="30">
        <f>IF(C802="","",N(N802)*Settings!$B$10)</f>
        <v/>
      </c>
      <c r="Q802" s="30">
        <f>IF(C802="","",J802-N(M802)-O802-P802)</f>
        <v/>
      </c>
      <c r="R802" s="6" t="n"/>
    </row>
    <row r="803">
      <c r="A803" s="8">
        <f>IF(B803="","","J-"&amp;TEXT(ROW()-4,"0000"))</f>
        <v/>
      </c>
      <c r="B803" s="26" t="n"/>
      <c r="C803" s="6" t="n"/>
      <c r="D803" s="6" t="n"/>
      <c r="E803" s="29" t="n"/>
      <c r="F803" s="6" t="n"/>
      <c r="G803" s="25" t="n"/>
      <c r="H803" s="27">
        <f>IF(C803="","",IF(G803&lt;&gt;"",G803,IFERROR(INDEX(Clients!$G$5:$G$304,MATCH(C803,Clients!$A$5:$A$304,0)),0)))</f>
        <v/>
      </c>
      <c r="I803" s="25" t="n"/>
      <c r="J803" s="27">
        <f>IF(C803="","",H803+N(I803))</f>
        <v/>
      </c>
      <c r="K803" s="6" t="n"/>
      <c r="L803" s="6" t="n"/>
      <c r="M803" s="25" t="n"/>
      <c r="N803" s="10" t="n"/>
      <c r="O803" s="27">
        <f>IF(C803="","",N(E803)*Settings!$B$8)</f>
        <v/>
      </c>
      <c r="P803" s="27">
        <f>IF(C803="","",N(N803)*Settings!$B$10)</f>
        <v/>
      </c>
      <c r="Q803" s="27">
        <f>IF(C803="","",J803-N(M803)-O803-P803)</f>
        <v/>
      </c>
      <c r="R803" s="6" t="n"/>
    </row>
    <row r="804">
      <c r="A804" s="17">
        <f>IF(B804="","","J-"&amp;TEXT(ROW()-4,"0000"))</f>
        <v/>
      </c>
      <c r="B804" s="26" t="n"/>
      <c r="C804" s="6" t="n"/>
      <c r="D804" s="6" t="n"/>
      <c r="E804" s="29" t="n"/>
      <c r="F804" s="6" t="n"/>
      <c r="G804" s="25" t="n"/>
      <c r="H804" s="30">
        <f>IF(C804="","",IF(G804&lt;&gt;"",G804,IFERROR(INDEX(Clients!$G$5:$G$304,MATCH(C804,Clients!$A$5:$A$304,0)),0)))</f>
        <v/>
      </c>
      <c r="I804" s="25" t="n"/>
      <c r="J804" s="30">
        <f>IF(C804="","",H804+N(I804))</f>
        <v/>
      </c>
      <c r="K804" s="6" t="n"/>
      <c r="L804" s="6" t="n"/>
      <c r="M804" s="25" t="n"/>
      <c r="N804" s="10" t="n"/>
      <c r="O804" s="30">
        <f>IF(C804="","",N(E804)*Settings!$B$8)</f>
        <v/>
      </c>
      <c r="P804" s="30">
        <f>IF(C804="","",N(N804)*Settings!$B$10)</f>
        <v/>
      </c>
      <c r="Q804" s="30">
        <f>IF(C804="","",J804-N(M804)-O804-P804)</f>
        <v/>
      </c>
      <c r="R804" s="6" t="n"/>
    </row>
    <row r="805">
      <c r="A805" s="8">
        <f>IF(B805="","","J-"&amp;TEXT(ROW()-4,"0000"))</f>
        <v/>
      </c>
      <c r="B805" s="26" t="n"/>
      <c r="C805" s="6" t="n"/>
      <c r="D805" s="6" t="n"/>
      <c r="E805" s="29" t="n"/>
      <c r="F805" s="6" t="n"/>
      <c r="G805" s="25" t="n"/>
      <c r="H805" s="27">
        <f>IF(C805="","",IF(G805&lt;&gt;"",G805,IFERROR(INDEX(Clients!$G$5:$G$304,MATCH(C805,Clients!$A$5:$A$304,0)),0)))</f>
        <v/>
      </c>
      <c r="I805" s="25" t="n"/>
      <c r="J805" s="27">
        <f>IF(C805="","",H805+N(I805))</f>
        <v/>
      </c>
      <c r="K805" s="6" t="n"/>
      <c r="L805" s="6" t="n"/>
      <c r="M805" s="25" t="n"/>
      <c r="N805" s="10" t="n"/>
      <c r="O805" s="27">
        <f>IF(C805="","",N(E805)*Settings!$B$8)</f>
        <v/>
      </c>
      <c r="P805" s="27">
        <f>IF(C805="","",N(N805)*Settings!$B$10)</f>
        <v/>
      </c>
      <c r="Q805" s="27">
        <f>IF(C805="","",J805-N(M805)-O805-P805)</f>
        <v/>
      </c>
      <c r="R805" s="6" t="n"/>
    </row>
    <row r="806">
      <c r="A806" s="17">
        <f>IF(B806="","","J-"&amp;TEXT(ROW()-4,"0000"))</f>
        <v/>
      </c>
      <c r="B806" s="26" t="n"/>
      <c r="C806" s="6" t="n"/>
      <c r="D806" s="6" t="n"/>
      <c r="E806" s="29" t="n"/>
      <c r="F806" s="6" t="n"/>
      <c r="G806" s="25" t="n"/>
      <c r="H806" s="30">
        <f>IF(C806="","",IF(G806&lt;&gt;"",G806,IFERROR(INDEX(Clients!$G$5:$G$304,MATCH(C806,Clients!$A$5:$A$304,0)),0)))</f>
        <v/>
      </c>
      <c r="I806" s="25" t="n"/>
      <c r="J806" s="30">
        <f>IF(C806="","",H806+N(I806))</f>
        <v/>
      </c>
      <c r="K806" s="6" t="n"/>
      <c r="L806" s="6" t="n"/>
      <c r="M806" s="25" t="n"/>
      <c r="N806" s="10" t="n"/>
      <c r="O806" s="30">
        <f>IF(C806="","",N(E806)*Settings!$B$8)</f>
        <v/>
      </c>
      <c r="P806" s="30">
        <f>IF(C806="","",N(N806)*Settings!$B$10)</f>
        <v/>
      </c>
      <c r="Q806" s="30">
        <f>IF(C806="","",J806-N(M806)-O806-P806)</f>
        <v/>
      </c>
      <c r="R806" s="6" t="n"/>
    </row>
    <row r="807">
      <c r="A807" s="8">
        <f>IF(B807="","","J-"&amp;TEXT(ROW()-4,"0000"))</f>
        <v/>
      </c>
      <c r="B807" s="26" t="n"/>
      <c r="C807" s="6" t="n"/>
      <c r="D807" s="6" t="n"/>
      <c r="E807" s="29" t="n"/>
      <c r="F807" s="6" t="n"/>
      <c r="G807" s="25" t="n"/>
      <c r="H807" s="27">
        <f>IF(C807="","",IF(G807&lt;&gt;"",G807,IFERROR(INDEX(Clients!$G$5:$G$304,MATCH(C807,Clients!$A$5:$A$304,0)),0)))</f>
        <v/>
      </c>
      <c r="I807" s="25" t="n"/>
      <c r="J807" s="27">
        <f>IF(C807="","",H807+N(I807))</f>
        <v/>
      </c>
      <c r="K807" s="6" t="n"/>
      <c r="L807" s="6" t="n"/>
      <c r="M807" s="25" t="n"/>
      <c r="N807" s="10" t="n"/>
      <c r="O807" s="27">
        <f>IF(C807="","",N(E807)*Settings!$B$8)</f>
        <v/>
      </c>
      <c r="P807" s="27">
        <f>IF(C807="","",N(N807)*Settings!$B$10)</f>
        <v/>
      </c>
      <c r="Q807" s="27">
        <f>IF(C807="","",J807-N(M807)-O807-P807)</f>
        <v/>
      </c>
      <c r="R807" s="6" t="n"/>
    </row>
    <row r="808">
      <c r="A808" s="17">
        <f>IF(B808="","","J-"&amp;TEXT(ROW()-4,"0000"))</f>
        <v/>
      </c>
      <c r="B808" s="26" t="n"/>
      <c r="C808" s="6" t="n"/>
      <c r="D808" s="6" t="n"/>
      <c r="E808" s="29" t="n"/>
      <c r="F808" s="6" t="n"/>
      <c r="G808" s="25" t="n"/>
      <c r="H808" s="30">
        <f>IF(C808="","",IF(G808&lt;&gt;"",G808,IFERROR(INDEX(Clients!$G$5:$G$304,MATCH(C808,Clients!$A$5:$A$304,0)),0)))</f>
        <v/>
      </c>
      <c r="I808" s="25" t="n"/>
      <c r="J808" s="30">
        <f>IF(C808="","",H808+N(I808))</f>
        <v/>
      </c>
      <c r="K808" s="6" t="n"/>
      <c r="L808" s="6" t="n"/>
      <c r="M808" s="25" t="n"/>
      <c r="N808" s="10" t="n"/>
      <c r="O808" s="30">
        <f>IF(C808="","",N(E808)*Settings!$B$8)</f>
        <v/>
      </c>
      <c r="P808" s="30">
        <f>IF(C808="","",N(N808)*Settings!$B$10)</f>
        <v/>
      </c>
      <c r="Q808" s="30">
        <f>IF(C808="","",J808-N(M808)-O808-P808)</f>
        <v/>
      </c>
      <c r="R808" s="6" t="n"/>
    </row>
    <row r="809">
      <c r="A809" s="8">
        <f>IF(B809="","","J-"&amp;TEXT(ROW()-4,"0000"))</f>
        <v/>
      </c>
      <c r="B809" s="26" t="n"/>
      <c r="C809" s="6" t="n"/>
      <c r="D809" s="6" t="n"/>
      <c r="E809" s="29" t="n"/>
      <c r="F809" s="6" t="n"/>
      <c r="G809" s="25" t="n"/>
      <c r="H809" s="27">
        <f>IF(C809="","",IF(G809&lt;&gt;"",G809,IFERROR(INDEX(Clients!$G$5:$G$304,MATCH(C809,Clients!$A$5:$A$304,0)),0)))</f>
        <v/>
      </c>
      <c r="I809" s="25" t="n"/>
      <c r="J809" s="27">
        <f>IF(C809="","",H809+N(I809))</f>
        <v/>
      </c>
      <c r="K809" s="6" t="n"/>
      <c r="L809" s="6" t="n"/>
      <c r="M809" s="25" t="n"/>
      <c r="N809" s="10" t="n"/>
      <c r="O809" s="27">
        <f>IF(C809="","",N(E809)*Settings!$B$8)</f>
        <v/>
      </c>
      <c r="P809" s="27">
        <f>IF(C809="","",N(N809)*Settings!$B$10)</f>
        <v/>
      </c>
      <c r="Q809" s="27">
        <f>IF(C809="","",J809-N(M809)-O809-P809)</f>
        <v/>
      </c>
      <c r="R809" s="6" t="n"/>
    </row>
    <row r="810">
      <c r="A810" s="17">
        <f>IF(B810="","","J-"&amp;TEXT(ROW()-4,"0000"))</f>
        <v/>
      </c>
      <c r="B810" s="26" t="n"/>
      <c r="C810" s="6" t="n"/>
      <c r="D810" s="6" t="n"/>
      <c r="E810" s="29" t="n"/>
      <c r="F810" s="6" t="n"/>
      <c r="G810" s="25" t="n"/>
      <c r="H810" s="30">
        <f>IF(C810="","",IF(G810&lt;&gt;"",G810,IFERROR(INDEX(Clients!$G$5:$G$304,MATCH(C810,Clients!$A$5:$A$304,0)),0)))</f>
        <v/>
      </c>
      <c r="I810" s="25" t="n"/>
      <c r="J810" s="30">
        <f>IF(C810="","",H810+N(I810))</f>
        <v/>
      </c>
      <c r="K810" s="6" t="n"/>
      <c r="L810" s="6" t="n"/>
      <c r="M810" s="25" t="n"/>
      <c r="N810" s="10" t="n"/>
      <c r="O810" s="30">
        <f>IF(C810="","",N(E810)*Settings!$B$8)</f>
        <v/>
      </c>
      <c r="P810" s="30">
        <f>IF(C810="","",N(N810)*Settings!$B$10)</f>
        <v/>
      </c>
      <c r="Q810" s="30">
        <f>IF(C810="","",J810-N(M810)-O810-P810)</f>
        <v/>
      </c>
      <c r="R810" s="6" t="n"/>
    </row>
    <row r="811">
      <c r="A811" s="8">
        <f>IF(B811="","","J-"&amp;TEXT(ROW()-4,"0000"))</f>
        <v/>
      </c>
      <c r="B811" s="26" t="n"/>
      <c r="C811" s="6" t="n"/>
      <c r="D811" s="6" t="n"/>
      <c r="E811" s="29" t="n"/>
      <c r="F811" s="6" t="n"/>
      <c r="G811" s="25" t="n"/>
      <c r="H811" s="27">
        <f>IF(C811="","",IF(G811&lt;&gt;"",G811,IFERROR(INDEX(Clients!$G$5:$G$304,MATCH(C811,Clients!$A$5:$A$304,0)),0)))</f>
        <v/>
      </c>
      <c r="I811" s="25" t="n"/>
      <c r="J811" s="27">
        <f>IF(C811="","",H811+N(I811))</f>
        <v/>
      </c>
      <c r="K811" s="6" t="n"/>
      <c r="L811" s="6" t="n"/>
      <c r="M811" s="25" t="n"/>
      <c r="N811" s="10" t="n"/>
      <c r="O811" s="27">
        <f>IF(C811="","",N(E811)*Settings!$B$8)</f>
        <v/>
      </c>
      <c r="P811" s="27">
        <f>IF(C811="","",N(N811)*Settings!$B$10)</f>
        <v/>
      </c>
      <c r="Q811" s="27">
        <f>IF(C811="","",J811-N(M811)-O811-P811)</f>
        <v/>
      </c>
      <c r="R811" s="6" t="n"/>
    </row>
    <row r="812">
      <c r="A812" s="17">
        <f>IF(B812="","","J-"&amp;TEXT(ROW()-4,"0000"))</f>
        <v/>
      </c>
      <c r="B812" s="26" t="n"/>
      <c r="C812" s="6" t="n"/>
      <c r="D812" s="6" t="n"/>
      <c r="E812" s="29" t="n"/>
      <c r="F812" s="6" t="n"/>
      <c r="G812" s="25" t="n"/>
      <c r="H812" s="30">
        <f>IF(C812="","",IF(G812&lt;&gt;"",G812,IFERROR(INDEX(Clients!$G$5:$G$304,MATCH(C812,Clients!$A$5:$A$304,0)),0)))</f>
        <v/>
      </c>
      <c r="I812" s="25" t="n"/>
      <c r="J812" s="30">
        <f>IF(C812="","",H812+N(I812))</f>
        <v/>
      </c>
      <c r="K812" s="6" t="n"/>
      <c r="L812" s="6" t="n"/>
      <c r="M812" s="25" t="n"/>
      <c r="N812" s="10" t="n"/>
      <c r="O812" s="30">
        <f>IF(C812="","",N(E812)*Settings!$B$8)</f>
        <v/>
      </c>
      <c r="P812" s="30">
        <f>IF(C812="","",N(N812)*Settings!$B$10)</f>
        <v/>
      </c>
      <c r="Q812" s="30">
        <f>IF(C812="","",J812-N(M812)-O812-P812)</f>
        <v/>
      </c>
      <c r="R812" s="6" t="n"/>
    </row>
    <row r="813">
      <c r="A813" s="8">
        <f>IF(B813="","","J-"&amp;TEXT(ROW()-4,"0000"))</f>
        <v/>
      </c>
      <c r="B813" s="26" t="n"/>
      <c r="C813" s="6" t="n"/>
      <c r="D813" s="6" t="n"/>
      <c r="E813" s="29" t="n"/>
      <c r="F813" s="6" t="n"/>
      <c r="G813" s="25" t="n"/>
      <c r="H813" s="27">
        <f>IF(C813="","",IF(G813&lt;&gt;"",G813,IFERROR(INDEX(Clients!$G$5:$G$304,MATCH(C813,Clients!$A$5:$A$304,0)),0)))</f>
        <v/>
      </c>
      <c r="I813" s="25" t="n"/>
      <c r="J813" s="27">
        <f>IF(C813="","",H813+N(I813))</f>
        <v/>
      </c>
      <c r="K813" s="6" t="n"/>
      <c r="L813" s="6" t="n"/>
      <c r="M813" s="25" t="n"/>
      <c r="N813" s="10" t="n"/>
      <c r="O813" s="27">
        <f>IF(C813="","",N(E813)*Settings!$B$8)</f>
        <v/>
      </c>
      <c r="P813" s="27">
        <f>IF(C813="","",N(N813)*Settings!$B$10)</f>
        <v/>
      </c>
      <c r="Q813" s="27">
        <f>IF(C813="","",J813-N(M813)-O813-P813)</f>
        <v/>
      </c>
      <c r="R813" s="6" t="n"/>
    </row>
    <row r="814">
      <c r="A814" s="17">
        <f>IF(B814="","","J-"&amp;TEXT(ROW()-4,"0000"))</f>
        <v/>
      </c>
      <c r="B814" s="26" t="n"/>
      <c r="C814" s="6" t="n"/>
      <c r="D814" s="6" t="n"/>
      <c r="E814" s="29" t="n"/>
      <c r="F814" s="6" t="n"/>
      <c r="G814" s="25" t="n"/>
      <c r="H814" s="30">
        <f>IF(C814="","",IF(G814&lt;&gt;"",G814,IFERROR(INDEX(Clients!$G$5:$G$304,MATCH(C814,Clients!$A$5:$A$304,0)),0)))</f>
        <v/>
      </c>
      <c r="I814" s="25" t="n"/>
      <c r="J814" s="30">
        <f>IF(C814="","",H814+N(I814))</f>
        <v/>
      </c>
      <c r="K814" s="6" t="n"/>
      <c r="L814" s="6" t="n"/>
      <c r="M814" s="25" t="n"/>
      <c r="N814" s="10" t="n"/>
      <c r="O814" s="30">
        <f>IF(C814="","",N(E814)*Settings!$B$8)</f>
        <v/>
      </c>
      <c r="P814" s="30">
        <f>IF(C814="","",N(N814)*Settings!$B$10)</f>
        <v/>
      </c>
      <c r="Q814" s="30">
        <f>IF(C814="","",J814-N(M814)-O814-P814)</f>
        <v/>
      </c>
      <c r="R814" s="6" t="n"/>
    </row>
    <row r="815">
      <c r="A815" s="8">
        <f>IF(B815="","","J-"&amp;TEXT(ROW()-4,"0000"))</f>
        <v/>
      </c>
      <c r="B815" s="26" t="n"/>
      <c r="C815" s="6" t="n"/>
      <c r="D815" s="6" t="n"/>
      <c r="E815" s="29" t="n"/>
      <c r="F815" s="6" t="n"/>
      <c r="G815" s="25" t="n"/>
      <c r="H815" s="27">
        <f>IF(C815="","",IF(G815&lt;&gt;"",G815,IFERROR(INDEX(Clients!$G$5:$G$304,MATCH(C815,Clients!$A$5:$A$304,0)),0)))</f>
        <v/>
      </c>
      <c r="I815" s="25" t="n"/>
      <c r="J815" s="27">
        <f>IF(C815="","",H815+N(I815))</f>
        <v/>
      </c>
      <c r="K815" s="6" t="n"/>
      <c r="L815" s="6" t="n"/>
      <c r="M815" s="25" t="n"/>
      <c r="N815" s="10" t="n"/>
      <c r="O815" s="27">
        <f>IF(C815="","",N(E815)*Settings!$B$8)</f>
        <v/>
      </c>
      <c r="P815" s="27">
        <f>IF(C815="","",N(N815)*Settings!$B$10)</f>
        <v/>
      </c>
      <c r="Q815" s="27">
        <f>IF(C815="","",J815-N(M815)-O815-P815)</f>
        <v/>
      </c>
      <c r="R815" s="6" t="n"/>
    </row>
    <row r="816">
      <c r="A816" s="17">
        <f>IF(B816="","","J-"&amp;TEXT(ROW()-4,"0000"))</f>
        <v/>
      </c>
      <c r="B816" s="26" t="n"/>
      <c r="C816" s="6" t="n"/>
      <c r="D816" s="6" t="n"/>
      <c r="E816" s="29" t="n"/>
      <c r="F816" s="6" t="n"/>
      <c r="G816" s="25" t="n"/>
      <c r="H816" s="30">
        <f>IF(C816="","",IF(G816&lt;&gt;"",G816,IFERROR(INDEX(Clients!$G$5:$G$304,MATCH(C816,Clients!$A$5:$A$304,0)),0)))</f>
        <v/>
      </c>
      <c r="I816" s="25" t="n"/>
      <c r="J816" s="30">
        <f>IF(C816="","",H816+N(I816))</f>
        <v/>
      </c>
      <c r="K816" s="6" t="n"/>
      <c r="L816" s="6" t="n"/>
      <c r="M816" s="25" t="n"/>
      <c r="N816" s="10" t="n"/>
      <c r="O816" s="30">
        <f>IF(C816="","",N(E816)*Settings!$B$8)</f>
        <v/>
      </c>
      <c r="P816" s="30">
        <f>IF(C816="","",N(N816)*Settings!$B$10)</f>
        <v/>
      </c>
      <c r="Q816" s="30">
        <f>IF(C816="","",J816-N(M816)-O816-P816)</f>
        <v/>
      </c>
      <c r="R816" s="6" t="n"/>
    </row>
    <row r="817">
      <c r="A817" s="8">
        <f>IF(B817="","","J-"&amp;TEXT(ROW()-4,"0000"))</f>
        <v/>
      </c>
      <c r="B817" s="26" t="n"/>
      <c r="C817" s="6" t="n"/>
      <c r="D817" s="6" t="n"/>
      <c r="E817" s="29" t="n"/>
      <c r="F817" s="6" t="n"/>
      <c r="G817" s="25" t="n"/>
      <c r="H817" s="27">
        <f>IF(C817="","",IF(G817&lt;&gt;"",G817,IFERROR(INDEX(Clients!$G$5:$G$304,MATCH(C817,Clients!$A$5:$A$304,0)),0)))</f>
        <v/>
      </c>
      <c r="I817" s="25" t="n"/>
      <c r="J817" s="27">
        <f>IF(C817="","",H817+N(I817))</f>
        <v/>
      </c>
      <c r="K817" s="6" t="n"/>
      <c r="L817" s="6" t="n"/>
      <c r="M817" s="25" t="n"/>
      <c r="N817" s="10" t="n"/>
      <c r="O817" s="27">
        <f>IF(C817="","",N(E817)*Settings!$B$8)</f>
        <v/>
      </c>
      <c r="P817" s="27">
        <f>IF(C817="","",N(N817)*Settings!$B$10)</f>
        <v/>
      </c>
      <c r="Q817" s="27">
        <f>IF(C817="","",J817-N(M817)-O817-P817)</f>
        <v/>
      </c>
      <c r="R817" s="6" t="n"/>
    </row>
    <row r="818">
      <c r="A818" s="17">
        <f>IF(B818="","","J-"&amp;TEXT(ROW()-4,"0000"))</f>
        <v/>
      </c>
      <c r="B818" s="26" t="n"/>
      <c r="C818" s="6" t="n"/>
      <c r="D818" s="6" t="n"/>
      <c r="E818" s="29" t="n"/>
      <c r="F818" s="6" t="n"/>
      <c r="G818" s="25" t="n"/>
      <c r="H818" s="30">
        <f>IF(C818="","",IF(G818&lt;&gt;"",G818,IFERROR(INDEX(Clients!$G$5:$G$304,MATCH(C818,Clients!$A$5:$A$304,0)),0)))</f>
        <v/>
      </c>
      <c r="I818" s="25" t="n"/>
      <c r="J818" s="30">
        <f>IF(C818="","",H818+N(I818))</f>
        <v/>
      </c>
      <c r="K818" s="6" t="n"/>
      <c r="L818" s="6" t="n"/>
      <c r="M818" s="25" t="n"/>
      <c r="N818" s="10" t="n"/>
      <c r="O818" s="30">
        <f>IF(C818="","",N(E818)*Settings!$B$8)</f>
        <v/>
      </c>
      <c r="P818" s="30">
        <f>IF(C818="","",N(N818)*Settings!$B$10)</f>
        <v/>
      </c>
      <c r="Q818" s="30">
        <f>IF(C818="","",J818-N(M818)-O818-P818)</f>
        <v/>
      </c>
      <c r="R818" s="6" t="n"/>
    </row>
    <row r="819">
      <c r="A819" s="8">
        <f>IF(B819="","","J-"&amp;TEXT(ROW()-4,"0000"))</f>
        <v/>
      </c>
      <c r="B819" s="26" t="n"/>
      <c r="C819" s="6" t="n"/>
      <c r="D819" s="6" t="n"/>
      <c r="E819" s="29" t="n"/>
      <c r="F819" s="6" t="n"/>
      <c r="G819" s="25" t="n"/>
      <c r="H819" s="27">
        <f>IF(C819="","",IF(G819&lt;&gt;"",G819,IFERROR(INDEX(Clients!$G$5:$G$304,MATCH(C819,Clients!$A$5:$A$304,0)),0)))</f>
        <v/>
      </c>
      <c r="I819" s="25" t="n"/>
      <c r="J819" s="27">
        <f>IF(C819="","",H819+N(I819))</f>
        <v/>
      </c>
      <c r="K819" s="6" t="n"/>
      <c r="L819" s="6" t="n"/>
      <c r="M819" s="25" t="n"/>
      <c r="N819" s="10" t="n"/>
      <c r="O819" s="27">
        <f>IF(C819="","",N(E819)*Settings!$B$8)</f>
        <v/>
      </c>
      <c r="P819" s="27">
        <f>IF(C819="","",N(N819)*Settings!$B$10)</f>
        <v/>
      </c>
      <c r="Q819" s="27">
        <f>IF(C819="","",J819-N(M819)-O819-P819)</f>
        <v/>
      </c>
      <c r="R819" s="6" t="n"/>
    </row>
    <row r="820">
      <c r="A820" s="17">
        <f>IF(B820="","","J-"&amp;TEXT(ROW()-4,"0000"))</f>
        <v/>
      </c>
      <c r="B820" s="26" t="n"/>
      <c r="C820" s="6" t="n"/>
      <c r="D820" s="6" t="n"/>
      <c r="E820" s="29" t="n"/>
      <c r="F820" s="6" t="n"/>
      <c r="G820" s="25" t="n"/>
      <c r="H820" s="30">
        <f>IF(C820="","",IF(G820&lt;&gt;"",G820,IFERROR(INDEX(Clients!$G$5:$G$304,MATCH(C820,Clients!$A$5:$A$304,0)),0)))</f>
        <v/>
      </c>
      <c r="I820" s="25" t="n"/>
      <c r="J820" s="30">
        <f>IF(C820="","",H820+N(I820))</f>
        <v/>
      </c>
      <c r="K820" s="6" t="n"/>
      <c r="L820" s="6" t="n"/>
      <c r="M820" s="25" t="n"/>
      <c r="N820" s="10" t="n"/>
      <c r="O820" s="30">
        <f>IF(C820="","",N(E820)*Settings!$B$8)</f>
        <v/>
      </c>
      <c r="P820" s="30">
        <f>IF(C820="","",N(N820)*Settings!$B$10)</f>
        <v/>
      </c>
      <c r="Q820" s="30">
        <f>IF(C820="","",J820-N(M820)-O820-P820)</f>
        <v/>
      </c>
      <c r="R820" s="6" t="n"/>
    </row>
    <row r="821">
      <c r="A821" s="8">
        <f>IF(B821="","","J-"&amp;TEXT(ROW()-4,"0000"))</f>
        <v/>
      </c>
      <c r="B821" s="26" t="n"/>
      <c r="C821" s="6" t="n"/>
      <c r="D821" s="6" t="n"/>
      <c r="E821" s="29" t="n"/>
      <c r="F821" s="6" t="n"/>
      <c r="G821" s="25" t="n"/>
      <c r="H821" s="27">
        <f>IF(C821="","",IF(G821&lt;&gt;"",G821,IFERROR(INDEX(Clients!$G$5:$G$304,MATCH(C821,Clients!$A$5:$A$304,0)),0)))</f>
        <v/>
      </c>
      <c r="I821" s="25" t="n"/>
      <c r="J821" s="27">
        <f>IF(C821="","",H821+N(I821))</f>
        <v/>
      </c>
      <c r="K821" s="6" t="n"/>
      <c r="L821" s="6" t="n"/>
      <c r="M821" s="25" t="n"/>
      <c r="N821" s="10" t="n"/>
      <c r="O821" s="27">
        <f>IF(C821="","",N(E821)*Settings!$B$8)</f>
        <v/>
      </c>
      <c r="P821" s="27">
        <f>IF(C821="","",N(N821)*Settings!$B$10)</f>
        <v/>
      </c>
      <c r="Q821" s="27">
        <f>IF(C821="","",J821-N(M821)-O821-P821)</f>
        <v/>
      </c>
      <c r="R821" s="6" t="n"/>
    </row>
    <row r="822">
      <c r="A822" s="17">
        <f>IF(B822="","","J-"&amp;TEXT(ROW()-4,"0000"))</f>
        <v/>
      </c>
      <c r="B822" s="26" t="n"/>
      <c r="C822" s="6" t="n"/>
      <c r="D822" s="6" t="n"/>
      <c r="E822" s="29" t="n"/>
      <c r="F822" s="6" t="n"/>
      <c r="G822" s="25" t="n"/>
      <c r="H822" s="30">
        <f>IF(C822="","",IF(G822&lt;&gt;"",G822,IFERROR(INDEX(Clients!$G$5:$G$304,MATCH(C822,Clients!$A$5:$A$304,0)),0)))</f>
        <v/>
      </c>
      <c r="I822" s="25" t="n"/>
      <c r="J822" s="30">
        <f>IF(C822="","",H822+N(I822))</f>
        <v/>
      </c>
      <c r="K822" s="6" t="n"/>
      <c r="L822" s="6" t="n"/>
      <c r="M822" s="25" t="n"/>
      <c r="N822" s="10" t="n"/>
      <c r="O822" s="30">
        <f>IF(C822="","",N(E822)*Settings!$B$8)</f>
        <v/>
      </c>
      <c r="P822" s="30">
        <f>IF(C822="","",N(N822)*Settings!$B$10)</f>
        <v/>
      </c>
      <c r="Q822" s="30">
        <f>IF(C822="","",J822-N(M822)-O822-P822)</f>
        <v/>
      </c>
      <c r="R822" s="6" t="n"/>
    </row>
    <row r="823">
      <c r="A823" s="8">
        <f>IF(B823="","","J-"&amp;TEXT(ROW()-4,"0000"))</f>
        <v/>
      </c>
      <c r="B823" s="26" t="n"/>
      <c r="C823" s="6" t="n"/>
      <c r="D823" s="6" t="n"/>
      <c r="E823" s="29" t="n"/>
      <c r="F823" s="6" t="n"/>
      <c r="G823" s="25" t="n"/>
      <c r="H823" s="27">
        <f>IF(C823="","",IF(G823&lt;&gt;"",G823,IFERROR(INDEX(Clients!$G$5:$G$304,MATCH(C823,Clients!$A$5:$A$304,0)),0)))</f>
        <v/>
      </c>
      <c r="I823" s="25" t="n"/>
      <c r="J823" s="27">
        <f>IF(C823="","",H823+N(I823))</f>
        <v/>
      </c>
      <c r="K823" s="6" t="n"/>
      <c r="L823" s="6" t="n"/>
      <c r="M823" s="25" t="n"/>
      <c r="N823" s="10" t="n"/>
      <c r="O823" s="27">
        <f>IF(C823="","",N(E823)*Settings!$B$8)</f>
        <v/>
      </c>
      <c r="P823" s="27">
        <f>IF(C823="","",N(N823)*Settings!$B$10)</f>
        <v/>
      </c>
      <c r="Q823" s="27">
        <f>IF(C823="","",J823-N(M823)-O823-P823)</f>
        <v/>
      </c>
      <c r="R823" s="6" t="n"/>
    </row>
    <row r="824">
      <c r="A824" s="17">
        <f>IF(B824="","","J-"&amp;TEXT(ROW()-4,"0000"))</f>
        <v/>
      </c>
      <c r="B824" s="26" t="n"/>
      <c r="C824" s="6" t="n"/>
      <c r="D824" s="6" t="n"/>
      <c r="E824" s="29" t="n"/>
      <c r="F824" s="6" t="n"/>
      <c r="G824" s="25" t="n"/>
      <c r="H824" s="30">
        <f>IF(C824="","",IF(G824&lt;&gt;"",G824,IFERROR(INDEX(Clients!$G$5:$G$304,MATCH(C824,Clients!$A$5:$A$304,0)),0)))</f>
        <v/>
      </c>
      <c r="I824" s="25" t="n"/>
      <c r="J824" s="30">
        <f>IF(C824="","",H824+N(I824))</f>
        <v/>
      </c>
      <c r="K824" s="6" t="n"/>
      <c r="L824" s="6" t="n"/>
      <c r="M824" s="25" t="n"/>
      <c r="N824" s="10" t="n"/>
      <c r="O824" s="30">
        <f>IF(C824="","",N(E824)*Settings!$B$8)</f>
        <v/>
      </c>
      <c r="P824" s="30">
        <f>IF(C824="","",N(N824)*Settings!$B$10)</f>
        <v/>
      </c>
      <c r="Q824" s="30">
        <f>IF(C824="","",J824-N(M824)-O824-P824)</f>
        <v/>
      </c>
      <c r="R824" s="6" t="n"/>
    </row>
    <row r="825">
      <c r="A825" s="8">
        <f>IF(B825="","","J-"&amp;TEXT(ROW()-4,"0000"))</f>
        <v/>
      </c>
      <c r="B825" s="26" t="n"/>
      <c r="C825" s="6" t="n"/>
      <c r="D825" s="6" t="n"/>
      <c r="E825" s="29" t="n"/>
      <c r="F825" s="6" t="n"/>
      <c r="G825" s="25" t="n"/>
      <c r="H825" s="27">
        <f>IF(C825="","",IF(G825&lt;&gt;"",G825,IFERROR(INDEX(Clients!$G$5:$G$304,MATCH(C825,Clients!$A$5:$A$304,0)),0)))</f>
        <v/>
      </c>
      <c r="I825" s="25" t="n"/>
      <c r="J825" s="27">
        <f>IF(C825="","",H825+N(I825))</f>
        <v/>
      </c>
      <c r="K825" s="6" t="n"/>
      <c r="L825" s="6" t="n"/>
      <c r="M825" s="25" t="n"/>
      <c r="N825" s="10" t="n"/>
      <c r="O825" s="27">
        <f>IF(C825="","",N(E825)*Settings!$B$8)</f>
        <v/>
      </c>
      <c r="P825" s="27">
        <f>IF(C825="","",N(N825)*Settings!$B$10)</f>
        <v/>
      </c>
      <c r="Q825" s="27">
        <f>IF(C825="","",J825-N(M825)-O825-P825)</f>
        <v/>
      </c>
      <c r="R825" s="6" t="n"/>
    </row>
    <row r="826">
      <c r="A826" s="17">
        <f>IF(B826="","","J-"&amp;TEXT(ROW()-4,"0000"))</f>
        <v/>
      </c>
      <c r="B826" s="26" t="n"/>
      <c r="C826" s="6" t="n"/>
      <c r="D826" s="6" t="n"/>
      <c r="E826" s="29" t="n"/>
      <c r="F826" s="6" t="n"/>
      <c r="G826" s="25" t="n"/>
      <c r="H826" s="30">
        <f>IF(C826="","",IF(G826&lt;&gt;"",G826,IFERROR(INDEX(Clients!$G$5:$G$304,MATCH(C826,Clients!$A$5:$A$304,0)),0)))</f>
        <v/>
      </c>
      <c r="I826" s="25" t="n"/>
      <c r="J826" s="30">
        <f>IF(C826="","",H826+N(I826))</f>
        <v/>
      </c>
      <c r="K826" s="6" t="n"/>
      <c r="L826" s="6" t="n"/>
      <c r="M826" s="25" t="n"/>
      <c r="N826" s="10" t="n"/>
      <c r="O826" s="30">
        <f>IF(C826="","",N(E826)*Settings!$B$8)</f>
        <v/>
      </c>
      <c r="P826" s="30">
        <f>IF(C826="","",N(N826)*Settings!$B$10)</f>
        <v/>
      </c>
      <c r="Q826" s="30">
        <f>IF(C826="","",J826-N(M826)-O826-P826)</f>
        <v/>
      </c>
      <c r="R826" s="6" t="n"/>
    </row>
    <row r="827">
      <c r="A827" s="8">
        <f>IF(B827="","","J-"&amp;TEXT(ROW()-4,"0000"))</f>
        <v/>
      </c>
      <c r="B827" s="26" t="n"/>
      <c r="C827" s="6" t="n"/>
      <c r="D827" s="6" t="n"/>
      <c r="E827" s="29" t="n"/>
      <c r="F827" s="6" t="n"/>
      <c r="G827" s="25" t="n"/>
      <c r="H827" s="27">
        <f>IF(C827="","",IF(G827&lt;&gt;"",G827,IFERROR(INDEX(Clients!$G$5:$G$304,MATCH(C827,Clients!$A$5:$A$304,0)),0)))</f>
        <v/>
      </c>
      <c r="I827" s="25" t="n"/>
      <c r="J827" s="27">
        <f>IF(C827="","",H827+N(I827))</f>
        <v/>
      </c>
      <c r="K827" s="6" t="n"/>
      <c r="L827" s="6" t="n"/>
      <c r="M827" s="25" t="n"/>
      <c r="N827" s="10" t="n"/>
      <c r="O827" s="27">
        <f>IF(C827="","",N(E827)*Settings!$B$8)</f>
        <v/>
      </c>
      <c r="P827" s="27">
        <f>IF(C827="","",N(N827)*Settings!$B$10)</f>
        <v/>
      </c>
      <c r="Q827" s="27">
        <f>IF(C827="","",J827-N(M827)-O827-P827)</f>
        <v/>
      </c>
      <c r="R827" s="6" t="n"/>
    </row>
    <row r="828">
      <c r="A828" s="17">
        <f>IF(B828="","","J-"&amp;TEXT(ROW()-4,"0000"))</f>
        <v/>
      </c>
      <c r="B828" s="26" t="n"/>
      <c r="C828" s="6" t="n"/>
      <c r="D828" s="6" t="n"/>
      <c r="E828" s="29" t="n"/>
      <c r="F828" s="6" t="n"/>
      <c r="G828" s="25" t="n"/>
      <c r="H828" s="30">
        <f>IF(C828="","",IF(G828&lt;&gt;"",G828,IFERROR(INDEX(Clients!$G$5:$G$304,MATCH(C828,Clients!$A$5:$A$304,0)),0)))</f>
        <v/>
      </c>
      <c r="I828" s="25" t="n"/>
      <c r="J828" s="30">
        <f>IF(C828="","",H828+N(I828))</f>
        <v/>
      </c>
      <c r="K828" s="6" t="n"/>
      <c r="L828" s="6" t="n"/>
      <c r="M828" s="25" t="n"/>
      <c r="N828" s="10" t="n"/>
      <c r="O828" s="30">
        <f>IF(C828="","",N(E828)*Settings!$B$8)</f>
        <v/>
      </c>
      <c r="P828" s="30">
        <f>IF(C828="","",N(N828)*Settings!$B$10)</f>
        <v/>
      </c>
      <c r="Q828" s="30">
        <f>IF(C828="","",J828-N(M828)-O828-P828)</f>
        <v/>
      </c>
      <c r="R828" s="6" t="n"/>
    </row>
    <row r="829">
      <c r="A829" s="8">
        <f>IF(B829="","","J-"&amp;TEXT(ROW()-4,"0000"))</f>
        <v/>
      </c>
      <c r="B829" s="26" t="n"/>
      <c r="C829" s="6" t="n"/>
      <c r="D829" s="6" t="n"/>
      <c r="E829" s="29" t="n"/>
      <c r="F829" s="6" t="n"/>
      <c r="G829" s="25" t="n"/>
      <c r="H829" s="27">
        <f>IF(C829="","",IF(G829&lt;&gt;"",G829,IFERROR(INDEX(Clients!$G$5:$G$304,MATCH(C829,Clients!$A$5:$A$304,0)),0)))</f>
        <v/>
      </c>
      <c r="I829" s="25" t="n"/>
      <c r="J829" s="27">
        <f>IF(C829="","",H829+N(I829))</f>
        <v/>
      </c>
      <c r="K829" s="6" t="n"/>
      <c r="L829" s="6" t="n"/>
      <c r="M829" s="25" t="n"/>
      <c r="N829" s="10" t="n"/>
      <c r="O829" s="27">
        <f>IF(C829="","",N(E829)*Settings!$B$8)</f>
        <v/>
      </c>
      <c r="P829" s="27">
        <f>IF(C829="","",N(N829)*Settings!$B$10)</f>
        <v/>
      </c>
      <c r="Q829" s="27">
        <f>IF(C829="","",J829-N(M829)-O829-P829)</f>
        <v/>
      </c>
      <c r="R829" s="6" t="n"/>
    </row>
    <row r="830">
      <c r="A830" s="17">
        <f>IF(B830="","","J-"&amp;TEXT(ROW()-4,"0000"))</f>
        <v/>
      </c>
      <c r="B830" s="26" t="n"/>
      <c r="C830" s="6" t="n"/>
      <c r="D830" s="6" t="n"/>
      <c r="E830" s="29" t="n"/>
      <c r="F830" s="6" t="n"/>
      <c r="G830" s="25" t="n"/>
      <c r="H830" s="30">
        <f>IF(C830="","",IF(G830&lt;&gt;"",G830,IFERROR(INDEX(Clients!$G$5:$G$304,MATCH(C830,Clients!$A$5:$A$304,0)),0)))</f>
        <v/>
      </c>
      <c r="I830" s="25" t="n"/>
      <c r="J830" s="30">
        <f>IF(C830="","",H830+N(I830))</f>
        <v/>
      </c>
      <c r="K830" s="6" t="n"/>
      <c r="L830" s="6" t="n"/>
      <c r="M830" s="25" t="n"/>
      <c r="N830" s="10" t="n"/>
      <c r="O830" s="30">
        <f>IF(C830="","",N(E830)*Settings!$B$8)</f>
        <v/>
      </c>
      <c r="P830" s="30">
        <f>IF(C830="","",N(N830)*Settings!$B$10)</f>
        <v/>
      </c>
      <c r="Q830" s="30">
        <f>IF(C830="","",J830-N(M830)-O830-P830)</f>
        <v/>
      </c>
      <c r="R830" s="6" t="n"/>
    </row>
    <row r="831">
      <c r="A831" s="8">
        <f>IF(B831="","","J-"&amp;TEXT(ROW()-4,"0000"))</f>
        <v/>
      </c>
      <c r="B831" s="26" t="n"/>
      <c r="C831" s="6" t="n"/>
      <c r="D831" s="6" t="n"/>
      <c r="E831" s="29" t="n"/>
      <c r="F831" s="6" t="n"/>
      <c r="G831" s="25" t="n"/>
      <c r="H831" s="27">
        <f>IF(C831="","",IF(G831&lt;&gt;"",G831,IFERROR(INDEX(Clients!$G$5:$G$304,MATCH(C831,Clients!$A$5:$A$304,0)),0)))</f>
        <v/>
      </c>
      <c r="I831" s="25" t="n"/>
      <c r="J831" s="27">
        <f>IF(C831="","",H831+N(I831))</f>
        <v/>
      </c>
      <c r="K831" s="6" t="n"/>
      <c r="L831" s="6" t="n"/>
      <c r="M831" s="25" t="n"/>
      <c r="N831" s="10" t="n"/>
      <c r="O831" s="27">
        <f>IF(C831="","",N(E831)*Settings!$B$8)</f>
        <v/>
      </c>
      <c r="P831" s="27">
        <f>IF(C831="","",N(N831)*Settings!$B$10)</f>
        <v/>
      </c>
      <c r="Q831" s="27">
        <f>IF(C831="","",J831-N(M831)-O831-P831)</f>
        <v/>
      </c>
      <c r="R831" s="6" t="n"/>
    </row>
    <row r="832">
      <c r="A832" s="17">
        <f>IF(B832="","","J-"&amp;TEXT(ROW()-4,"0000"))</f>
        <v/>
      </c>
      <c r="B832" s="26" t="n"/>
      <c r="C832" s="6" t="n"/>
      <c r="D832" s="6" t="n"/>
      <c r="E832" s="29" t="n"/>
      <c r="F832" s="6" t="n"/>
      <c r="G832" s="25" t="n"/>
      <c r="H832" s="30">
        <f>IF(C832="","",IF(G832&lt;&gt;"",G832,IFERROR(INDEX(Clients!$G$5:$G$304,MATCH(C832,Clients!$A$5:$A$304,0)),0)))</f>
        <v/>
      </c>
      <c r="I832" s="25" t="n"/>
      <c r="J832" s="30">
        <f>IF(C832="","",H832+N(I832))</f>
        <v/>
      </c>
      <c r="K832" s="6" t="n"/>
      <c r="L832" s="6" t="n"/>
      <c r="M832" s="25" t="n"/>
      <c r="N832" s="10" t="n"/>
      <c r="O832" s="30">
        <f>IF(C832="","",N(E832)*Settings!$B$8)</f>
        <v/>
      </c>
      <c r="P832" s="30">
        <f>IF(C832="","",N(N832)*Settings!$B$10)</f>
        <v/>
      </c>
      <c r="Q832" s="30">
        <f>IF(C832="","",J832-N(M832)-O832-P832)</f>
        <v/>
      </c>
      <c r="R832" s="6" t="n"/>
    </row>
    <row r="833">
      <c r="A833" s="8">
        <f>IF(B833="","","J-"&amp;TEXT(ROW()-4,"0000"))</f>
        <v/>
      </c>
      <c r="B833" s="26" t="n"/>
      <c r="C833" s="6" t="n"/>
      <c r="D833" s="6" t="n"/>
      <c r="E833" s="29" t="n"/>
      <c r="F833" s="6" t="n"/>
      <c r="G833" s="25" t="n"/>
      <c r="H833" s="27">
        <f>IF(C833="","",IF(G833&lt;&gt;"",G833,IFERROR(INDEX(Clients!$G$5:$G$304,MATCH(C833,Clients!$A$5:$A$304,0)),0)))</f>
        <v/>
      </c>
      <c r="I833" s="25" t="n"/>
      <c r="J833" s="27">
        <f>IF(C833="","",H833+N(I833))</f>
        <v/>
      </c>
      <c r="K833" s="6" t="n"/>
      <c r="L833" s="6" t="n"/>
      <c r="M833" s="25" t="n"/>
      <c r="N833" s="10" t="n"/>
      <c r="O833" s="27">
        <f>IF(C833="","",N(E833)*Settings!$B$8)</f>
        <v/>
      </c>
      <c r="P833" s="27">
        <f>IF(C833="","",N(N833)*Settings!$B$10)</f>
        <v/>
      </c>
      <c r="Q833" s="27">
        <f>IF(C833="","",J833-N(M833)-O833-P833)</f>
        <v/>
      </c>
      <c r="R833" s="6" t="n"/>
    </row>
    <row r="834">
      <c r="A834" s="17">
        <f>IF(B834="","","J-"&amp;TEXT(ROW()-4,"0000"))</f>
        <v/>
      </c>
      <c r="B834" s="26" t="n"/>
      <c r="C834" s="6" t="n"/>
      <c r="D834" s="6" t="n"/>
      <c r="E834" s="29" t="n"/>
      <c r="F834" s="6" t="n"/>
      <c r="G834" s="25" t="n"/>
      <c r="H834" s="30">
        <f>IF(C834="","",IF(G834&lt;&gt;"",G834,IFERROR(INDEX(Clients!$G$5:$G$304,MATCH(C834,Clients!$A$5:$A$304,0)),0)))</f>
        <v/>
      </c>
      <c r="I834" s="25" t="n"/>
      <c r="J834" s="30">
        <f>IF(C834="","",H834+N(I834))</f>
        <v/>
      </c>
      <c r="K834" s="6" t="n"/>
      <c r="L834" s="6" t="n"/>
      <c r="M834" s="25" t="n"/>
      <c r="N834" s="10" t="n"/>
      <c r="O834" s="30">
        <f>IF(C834="","",N(E834)*Settings!$B$8)</f>
        <v/>
      </c>
      <c r="P834" s="30">
        <f>IF(C834="","",N(N834)*Settings!$B$10)</f>
        <v/>
      </c>
      <c r="Q834" s="30">
        <f>IF(C834="","",J834-N(M834)-O834-P834)</f>
        <v/>
      </c>
      <c r="R834" s="6" t="n"/>
    </row>
    <row r="835">
      <c r="A835" s="8">
        <f>IF(B835="","","J-"&amp;TEXT(ROW()-4,"0000"))</f>
        <v/>
      </c>
      <c r="B835" s="26" t="n"/>
      <c r="C835" s="6" t="n"/>
      <c r="D835" s="6" t="n"/>
      <c r="E835" s="29" t="n"/>
      <c r="F835" s="6" t="n"/>
      <c r="G835" s="25" t="n"/>
      <c r="H835" s="27">
        <f>IF(C835="","",IF(G835&lt;&gt;"",G835,IFERROR(INDEX(Clients!$G$5:$G$304,MATCH(C835,Clients!$A$5:$A$304,0)),0)))</f>
        <v/>
      </c>
      <c r="I835" s="25" t="n"/>
      <c r="J835" s="27">
        <f>IF(C835="","",H835+N(I835))</f>
        <v/>
      </c>
      <c r="K835" s="6" t="n"/>
      <c r="L835" s="6" t="n"/>
      <c r="M835" s="25" t="n"/>
      <c r="N835" s="10" t="n"/>
      <c r="O835" s="27">
        <f>IF(C835="","",N(E835)*Settings!$B$8)</f>
        <v/>
      </c>
      <c r="P835" s="27">
        <f>IF(C835="","",N(N835)*Settings!$B$10)</f>
        <v/>
      </c>
      <c r="Q835" s="27">
        <f>IF(C835="","",J835-N(M835)-O835-P835)</f>
        <v/>
      </c>
      <c r="R835" s="6" t="n"/>
    </row>
    <row r="836">
      <c r="A836" s="17">
        <f>IF(B836="","","J-"&amp;TEXT(ROW()-4,"0000"))</f>
        <v/>
      </c>
      <c r="B836" s="26" t="n"/>
      <c r="C836" s="6" t="n"/>
      <c r="D836" s="6" t="n"/>
      <c r="E836" s="29" t="n"/>
      <c r="F836" s="6" t="n"/>
      <c r="G836" s="25" t="n"/>
      <c r="H836" s="30">
        <f>IF(C836="","",IF(G836&lt;&gt;"",G836,IFERROR(INDEX(Clients!$G$5:$G$304,MATCH(C836,Clients!$A$5:$A$304,0)),0)))</f>
        <v/>
      </c>
      <c r="I836" s="25" t="n"/>
      <c r="J836" s="30">
        <f>IF(C836="","",H836+N(I836))</f>
        <v/>
      </c>
      <c r="K836" s="6" t="n"/>
      <c r="L836" s="6" t="n"/>
      <c r="M836" s="25" t="n"/>
      <c r="N836" s="10" t="n"/>
      <c r="O836" s="30">
        <f>IF(C836="","",N(E836)*Settings!$B$8)</f>
        <v/>
      </c>
      <c r="P836" s="30">
        <f>IF(C836="","",N(N836)*Settings!$B$10)</f>
        <v/>
      </c>
      <c r="Q836" s="30">
        <f>IF(C836="","",J836-N(M836)-O836-P836)</f>
        <v/>
      </c>
      <c r="R836" s="6" t="n"/>
    </row>
    <row r="837">
      <c r="A837" s="8">
        <f>IF(B837="","","J-"&amp;TEXT(ROW()-4,"0000"))</f>
        <v/>
      </c>
      <c r="B837" s="26" t="n"/>
      <c r="C837" s="6" t="n"/>
      <c r="D837" s="6" t="n"/>
      <c r="E837" s="29" t="n"/>
      <c r="F837" s="6" t="n"/>
      <c r="G837" s="25" t="n"/>
      <c r="H837" s="27">
        <f>IF(C837="","",IF(G837&lt;&gt;"",G837,IFERROR(INDEX(Clients!$G$5:$G$304,MATCH(C837,Clients!$A$5:$A$304,0)),0)))</f>
        <v/>
      </c>
      <c r="I837" s="25" t="n"/>
      <c r="J837" s="27">
        <f>IF(C837="","",H837+N(I837))</f>
        <v/>
      </c>
      <c r="K837" s="6" t="n"/>
      <c r="L837" s="6" t="n"/>
      <c r="M837" s="25" t="n"/>
      <c r="N837" s="10" t="n"/>
      <c r="O837" s="27">
        <f>IF(C837="","",N(E837)*Settings!$B$8)</f>
        <v/>
      </c>
      <c r="P837" s="27">
        <f>IF(C837="","",N(N837)*Settings!$B$10)</f>
        <v/>
      </c>
      <c r="Q837" s="27">
        <f>IF(C837="","",J837-N(M837)-O837-P837)</f>
        <v/>
      </c>
      <c r="R837" s="6" t="n"/>
    </row>
    <row r="838">
      <c r="A838" s="17">
        <f>IF(B838="","","J-"&amp;TEXT(ROW()-4,"0000"))</f>
        <v/>
      </c>
      <c r="B838" s="26" t="n"/>
      <c r="C838" s="6" t="n"/>
      <c r="D838" s="6" t="n"/>
      <c r="E838" s="29" t="n"/>
      <c r="F838" s="6" t="n"/>
      <c r="G838" s="25" t="n"/>
      <c r="H838" s="30">
        <f>IF(C838="","",IF(G838&lt;&gt;"",G838,IFERROR(INDEX(Clients!$G$5:$G$304,MATCH(C838,Clients!$A$5:$A$304,0)),0)))</f>
        <v/>
      </c>
      <c r="I838" s="25" t="n"/>
      <c r="J838" s="30">
        <f>IF(C838="","",H838+N(I838))</f>
        <v/>
      </c>
      <c r="K838" s="6" t="n"/>
      <c r="L838" s="6" t="n"/>
      <c r="M838" s="25" t="n"/>
      <c r="N838" s="10" t="n"/>
      <c r="O838" s="30">
        <f>IF(C838="","",N(E838)*Settings!$B$8)</f>
        <v/>
      </c>
      <c r="P838" s="30">
        <f>IF(C838="","",N(N838)*Settings!$B$10)</f>
        <v/>
      </c>
      <c r="Q838" s="30">
        <f>IF(C838="","",J838-N(M838)-O838-P838)</f>
        <v/>
      </c>
      <c r="R838" s="6" t="n"/>
    </row>
    <row r="839">
      <c r="A839" s="8">
        <f>IF(B839="","","J-"&amp;TEXT(ROW()-4,"0000"))</f>
        <v/>
      </c>
      <c r="B839" s="26" t="n"/>
      <c r="C839" s="6" t="n"/>
      <c r="D839" s="6" t="n"/>
      <c r="E839" s="29" t="n"/>
      <c r="F839" s="6" t="n"/>
      <c r="G839" s="25" t="n"/>
      <c r="H839" s="27">
        <f>IF(C839="","",IF(G839&lt;&gt;"",G839,IFERROR(INDEX(Clients!$G$5:$G$304,MATCH(C839,Clients!$A$5:$A$304,0)),0)))</f>
        <v/>
      </c>
      <c r="I839" s="25" t="n"/>
      <c r="J839" s="27">
        <f>IF(C839="","",H839+N(I839))</f>
        <v/>
      </c>
      <c r="K839" s="6" t="n"/>
      <c r="L839" s="6" t="n"/>
      <c r="M839" s="25" t="n"/>
      <c r="N839" s="10" t="n"/>
      <c r="O839" s="27">
        <f>IF(C839="","",N(E839)*Settings!$B$8)</f>
        <v/>
      </c>
      <c r="P839" s="27">
        <f>IF(C839="","",N(N839)*Settings!$B$10)</f>
        <v/>
      </c>
      <c r="Q839" s="27">
        <f>IF(C839="","",J839-N(M839)-O839-P839)</f>
        <v/>
      </c>
      <c r="R839" s="6" t="n"/>
    </row>
    <row r="840">
      <c r="A840" s="17">
        <f>IF(B840="","","J-"&amp;TEXT(ROW()-4,"0000"))</f>
        <v/>
      </c>
      <c r="B840" s="26" t="n"/>
      <c r="C840" s="6" t="n"/>
      <c r="D840" s="6" t="n"/>
      <c r="E840" s="29" t="n"/>
      <c r="F840" s="6" t="n"/>
      <c r="G840" s="25" t="n"/>
      <c r="H840" s="30">
        <f>IF(C840="","",IF(G840&lt;&gt;"",G840,IFERROR(INDEX(Clients!$G$5:$G$304,MATCH(C840,Clients!$A$5:$A$304,0)),0)))</f>
        <v/>
      </c>
      <c r="I840" s="25" t="n"/>
      <c r="J840" s="30">
        <f>IF(C840="","",H840+N(I840))</f>
        <v/>
      </c>
      <c r="K840" s="6" t="n"/>
      <c r="L840" s="6" t="n"/>
      <c r="M840" s="25" t="n"/>
      <c r="N840" s="10" t="n"/>
      <c r="O840" s="30">
        <f>IF(C840="","",N(E840)*Settings!$B$8)</f>
        <v/>
      </c>
      <c r="P840" s="30">
        <f>IF(C840="","",N(N840)*Settings!$B$10)</f>
        <v/>
      </c>
      <c r="Q840" s="30">
        <f>IF(C840="","",J840-N(M840)-O840-P840)</f>
        <v/>
      </c>
      <c r="R840" s="6" t="n"/>
    </row>
    <row r="841">
      <c r="A841" s="8">
        <f>IF(B841="","","J-"&amp;TEXT(ROW()-4,"0000"))</f>
        <v/>
      </c>
      <c r="B841" s="26" t="n"/>
      <c r="C841" s="6" t="n"/>
      <c r="D841" s="6" t="n"/>
      <c r="E841" s="29" t="n"/>
      <c r="F841" s="6" t="n"/>
      <c r="G841" s="25" t="n"/>
      <c r="H841" s="27">
        <f>IF(C841="","",IF(G841&lt;&gt;"",G841,IFERROR(INDEX(Clients!$G$5:$G$304,MATCH(C841,Clients!$A$5:$A$304,0)),0)))</f>
        <v/>
      </c>
      <c r="I841" s="25" t="n"/>
      <c r="J841" s="27">
        <f>IF(C841="","",H841+N(I841))</f>
        <v/>
      </c>
      <c r="K841" s="6" t="n"/>
      <c r="L841" s="6" t="n"/>
      <c r="M841" s="25" t="n"/>
      <c r="N841" s="10" t="n"/>
      <c r="O841" s="27">
        <f>IF(C841="","",N(E841)*Settings!$B$8)</f>
        <v/>
      </c>
      <c r="P841" s="27">
        <f>IF(C841="","",N(N841)*Settings!$B$10)</f>
        <v/>
      </c>
      <c r="Q841" s="27">
        <f>IF(C841="","",J841-N(M841)-O841-P841)</f>
        <v/>
      </c>
      <c r="R841" s="6" t="n"/>
    </row>
    <row r="842">
      <c r="A842" s="17">
        <f>IF(B842="","","J-"&amp;TEXT(ROW()-4,"0000"))</f>
        <v/>
      </c>
      <c r="B842" s="26" t="n"/>
      <c r="C842" s="6" t="n"/>
      <c r="D842" s="6" t="n"/>
      <c r="E842" s="29" t="n"/>
      <c r="F842" s="6" t="n"/>
      <c r="G842" s="25" t="n"/>
      <c r="H842" s="30">
        <f>IF(C842="","",IF(G842&lt;&gt;"",G842,IFERROR(INDEX(Clients!$G$5:$G$304,MATCH(C842,Clients!$A$5:$A$304,0)),0)))</f>
        <v/>
      </c>
      <c r="I842" s="25" t="n"/>
      <c r="J842" s="30">
        <f>IF(C842="","",H842+N(I842))</f>
        <v/>
      </c>
      <c r="K842" s="6" t="n"/>
      <c r="L842" s="6" t="n"/>
      <c r="M842" s="25" t="n"/>
      <c r="N842" s="10" t="n"/>
      <c r="O842" s="30">
        <f>IF(C842="","",N(E842)*Settings!$B$8)</f>
        <v/>
      </c>
      <c r="P842" s="30">
        <f>IF(C842="","",N(N842)*Settings!$B$10)</f>
        <v/>
      </c>
      <c r="Q842" s="30">
        <f>IF(C842="","",J842-N(M842)-O842-P842)</f>
        <v/>
      </c>
      <c r="R842" s="6" t="n"/>
    </row>
    <row r="843">
      <c r="A843" s="8">
        <f>IF(B843="","","J-"&amp;TEXT(ROW()-4,"0000"))</f>
        <v/>
      </c>
      <c r="B843" s="26" t="n"/>
      <c r="C843" s="6" t="n"/>
      <c r="D843" s="6" t="n"/>
      <c r="E843" s="29" t="n"/>
      <c r="F843" s="6" t="n"/>
      <c r="G843" s="25" t="n"/>
      <c r="H843" s="27">
        <f>IF(C843="","",IF(G843&lt;&gt;"",G843,IFERROR(INDEX(Clients!$G$5:$G$304,MATCH(C843,Clients!$A$5:$A$304,0)),0)))</f>
        <v/>
      </c>
      <c r="I843" s="25" t="n"/>
      <c r="J843" s="27">
        <f>IF(C843="","",H843+N(I843))</f>
        <v/>
      </c>
      <c r="K843" s="6" t="n"/>
      <c r="L843" s="6" t="n"/>
      <c r="M843" s="25" t="n"/>
      <c r="N843" s="10" t="n"/>
      <c r="O843" s="27">
        <f>IF(C843="","",N(E843)*Settings!$B$8)</f>
        <v/>
      </c>
      <c r="P843" s="27">
        <f>IF(C843="","",N(N843)*Settings!$B$10)</f>
        <v/>
      </c>
      <c r="Q843" s="27">
        <f>IF(C843="","",J843-N(M843)-O843-P843)</f>
        <v/>
      </c>
      <c r="R843" s="6" t="n"/>
    </row>
    <row r="844">
      <c r="A844" s="17">
        <f>IF(B844="","","J-"&amp;TEXT(ROW()-4,"0000"))</f>
        <v/>
      </c>
      <c r="B844" s="26" t="n"/>
      <c r="C844" s="6" t="n"/>
      <c r="D844" s="6" t="n"/>
      <c r="E844" s="29" t="n"/>
      <c r="F844" s="6" t="n"/>
      <c r="G844" s="25" t="n"/>
      <c r="H844" s="30">
        <f>IF(C844="","",IF(G844&lt;&gt;"",G844,IFERROR(INDEX(Clients!$G$5:$G$304,MATCH(C844,Clients!$A$5:$A$304,0)),0)))</f>
        <v/>
      </c>
      <c r="I844" s="25" t="n"/>
      <c r="J844" s="30">
        <f>IF(C844="","",H844+N(I844))</f>
        <v/>
      </c>
      <c r="K844" s="6" t="n"/>
      <c r="L844" s="6" t="n"/>
      <c r="M844" s="25" t="n"/>
      <c r="N844" s="10" t="n"/>
      <c r="O844" s="30">
        <f>IF(C844="","",N(E844)*Settings!$B$8)</f>
        <v/>
      </c>
      <c r="P844" s="30">
        <f>IF(C844="","",N(N844)*Settings!$B$10)</f>
        <v/>
      </c>
      <c r="Q844" s="30">
        <f>IF(C844="","",J844-N(M844)-O844-P844)</f>
        <v/>
      </c>
      <c r="R844" s="6" t="n"/>
    </row>
    <row r="845">
      <c r="A845" s="8">
        <f>IF(B845="","","J-"&amp;TEXT(ROW()-4,"0000"))</f>
        <v/>
      </c>
      <c r="B845" s="26" t="n"/>
      <c r="C845" s="6" t="n"/>
      <c r="D845" s="6" t="n"/>
      <c r="E845" s="29" t="n"/>
      <c r="F845" s="6" t="n"/>
      <c r="G845" s="25" t="n"/>
      <c r="H845" s="27">
        <f>IF(C845="","",IF(G845&lt;&gt;"",G845,IFERROR(INDEX(Clients!$G$5:$G$304,MATCH(C845,Clients!$A$5:$A$304,0)),0)))</f>
        <v/>
      </c>
      <c r="I845" s="25" t="n"/>
      <c r="J845" s="27">
        <f>IF(C845="","",H845+N(I845))</f>
        <v/>
      </c>
      <c r="K845" s="6" t="n"/>
      <c r="L845" s="6" t="n"/>
      <c r="M845" s="25" t="n"/>
      <c r="N845" s="10" t="n"/>
      <c r="O845" s="27">
        <f>IF(C845="","",N(E845)*Settings!$B$8)</f>
        <v/>
      </c>
      <c r="P845" s="27">
        <f>IF(C845="","",N(N845)*Settings!$B$10)</f>
        <v/>
      </c>
      <c r="Q845" s="27">
        <f>IF(C845="","",J845-N(M845)-O845-P845)</f>
        <v/>
      </c>
      <c r="R845" s="6" t="n"/>
    </row>
    <row r="846">
      <c r="A846" s="17">
        <f>IF(B846="","","J-"&amp;TEXT(ROW()-4,"0000"))</f>
        <v/>
      </c>
      <c r="B846" s="26" t="n"/>
      <c r="C846" s="6" t="n"/>
      <c r="D846" s="6" t="n"/>
      <c r="E846" s="29" t="n"/>
      <c r="F846" s="6" t="n"/>
      <c r="G846" s="25" t="n"/>
      <c r="H846" s="30">
        <f>IF(C846="","",IF(G846&lt;&gt;"",G846,IFERROR(INDEX(Clients!$G$5:$G$304,MATCH(C846,Clients!$A$5:$A$304,0)),0)))</f>
        <v/>
      </c>
      <c r="I846" s="25" t="n"/>
      <c r="J846" s="30">
        <f>IF(C846="","",H846+N(I846))</f>
        <v/>
      </c>
      <c r="K846" s="6" t="n"/>
      <c r="L846" s="6" t="n"/>
      <c r="M846" s="25" t="n"/>
      <c r="N846" s="10" t="n"/>
      <c r="O846" s="30">
        <f>IF(C846="","",N(E846)*Settings!$B$8)</f>
        <v/>
      </c>
      <c r="P846" s="30">
        <f>IF(C846="","",N(N846)*Settings!$B$10)</f>
        <v/>
      </c>
      <c r="Q846" s="30">
        <f>IF(C846="","",J846-N(M846)-O846-P846)</f>
        <v/>
      </c>
      <c r="R846" s="6" t="n"/>
    </row>
    <row r="847">
      <c r="A847" s="8">
        <f>IF(B847="","","J-"&amp;TEXT(ROW()-4,"0000"))</f>
        <v/>
      </c>
      <c r="B847" s="26" t="n"/>
      <c r="C847" s="6" t="n"/>
      <c r="D847" s="6" t="n"/>
      <c r="E847" s="29" t="n"/>
      <c r="F847" s="6" t="n"/>
      <c r="G847" s="25" t="n"/>
      <c r="H847" s="27">
        <f>IF(C847="","",IF(G847&lt;&gt;"",G847,IFERROR(INDEX(Clients!$G$5:$G$304,MATCH(C847,Clients!$A$5:$A$304,0)),0)))</f>
        <v/>
      </c>
      <c r="I847" s="25" t="n"/>
      <c r="J847" s="27">
        <f>IF(C847="","",H847+N(I847))</f>
        <v/>
      </c>
      <c r="K847" s="6" t="n"/>
      <c r="L847" s="6" t="n"/>
      <c r="M847" s="25" t="n"/>
      <c r="N847" s="10" t="n"/>
      <c r="O847" s="27">
        <f>IF(C847="","",N(E847)*Settings!$B$8)</f>
        <v/>
      </c>
      <c r="P847" s="27">
        <f>IF(C847="","",N(N847)*Settings!$B$10)</f>
        <v/>
      </c>
      <c r="Q847" s="27">
        <f>IF(C847="","",J847-N(M847)-O847-P847)</f>
        <v/>
      </c>
      <c r="R847" s="6" t="n"/>
    </row>
    <row r="848">
      <c r="A848" s="17">
        <f>IF(B848="","","J-"&amp;TEXT(ROW()-4,"0000"))</f>
        <v/>
      </c>
      <c r="B848" s="26" t="n"/>
      <c r="C848" s="6" t="n"/>
      <c r="D848" s="6" t="n"/>
      <c r="E848" s="29" t="n"/>
      <c r="F848" s="6" t="n"/>
      <c r="G848" s="25" t="n"/>
      <c r="H848" s="30">
        <f>IF(C848="","",IF(G848&lt;&gt;"",G848,IFERROR(INDEX(Clients!$G$5:$G$304,MATCH(C848,Clients!$A$5:$A$304,0)),0)))</f>
        <v/>
      </c>
      <c r="I848" s="25" t="n"/>
      <c r="J848" s="30">
        <f>IF(C848="","",H848+N(I848))</f>
        <v/>
      </c>
      <c r="K848" s="6" t="n"/>
      <c r="L848" s="6" t="n"/>
      <c r="M848" s="25" t="n"/>
      <c r="N848" s="10" t="n"/>
      <c r="O848" s="30">
        <f>IF(C848="","",N(E848)*Settings!$B$8)</f>
        <v/>
      </c>
      <c r="P848" s="30">
        <f>IF(C848="","",N(N848)*Settings!$B$10)</f>
        <v/>
      </c>
      <c r="Q848" s="30">
        <f>IF(C848="","",J848-N(M848)-O848-P848)</f>
        <v/>
      </c>
      <c r="R848" s="6" t="n"/>
    </row>
    <row r="849">
      <c r="A849" s="8">
        <f>IF(B849="","","J-"&amp;TEXT(ROW()-4,"0000"))</f>
        <v/>
      </c>
      <c r="B849" s="26" t="n"/>
      <c r="C849" s="6" t="n"/>
      <c r="D849" s="6" t="n"/>
      <c r="E849" s="29" t="n"/>
      <c r="F849" s="6" t="n"/>
      <c r="G849" s="25" t="n"/>
      <c r="H849" s="27">
        <f>IF(C849="","",IF(G849&lt;&gt;"",G849,IFERROR(INDEX(Clients!$G$5:$G$304,MATCH(C849,Clients!$A$5:$A$304,0)),0)))</f>
        <v/>
      </c>
      <c r="I849" s="25" t="n"/>
      <c r="J849" s="27">
        <f>IF(C849="","",H849+N(I849))</f>
        <v/>
      </c>
      <c r="K849" s="6" t="n"/>
      <c r="L849" s="6" t="n"/>
      <c r="M849" s="25" t="n"/>
      <c r="N849" s="10" t="n"/>
      <c r="O849" s="27">
        <f>IF(C849="","",N(E849)*Settings!$B$8)</f>
        <v/>
      </c>
      <c r="P849" s="27">
        <f>IF(C849="","",N(N849)*Settings!$B$10)</f>
        <v/>
      </c>
      <c r="Q849" s="27">
        <f>IF(C849="","",J849-N(M849)-O849-P849)</f>
        <v/>
      </c>
      <c r="R849" s="6" t="n"/>
    </row>
    <row r="850">
      <c r="A850" s="17">
        <f>IF(B850="","","J-"&amp;TEXT(ROW()-4,"0000"))</f>
        <v/>
      </c>
      <c r="B850" s="26" t="n"/>
      <c r="C850" s="6" t="n"/>
      <c r="D850" s="6" t="n"/>
      <c r="E850" s="29" t="n"/>
      <c r="F850" s="6" t="n"/>
      <c r="G850" s="25" t="n"/>
      <c r="H850" s="30">
        <f>IF(C850="","",IF(G850&lt;&gt;"",G850,IFERROR(INDEX(Clients!$G$5:$G$304,MATCH(C850,Clients!$A$5:$A$304,0)),0)))</f>
        <v/>
      </c>
      <c r="I850" s="25" t="n"/>
      <c r="J850" s="30">
        <f>IF(C850="","",H850+N(I850))</f>
        <v/>
      </c>
      <c r="K850" s="6" t="n"/>
      <c r="L850" s="6" t="n"/>
      <c r="M850" s="25" t="n"/>
      <c r="N850" s="10" t="n"/>
      <c r="O850" s="30">
        <f>IF(C850="","",N(E850)*Settings!$B$8)</f>
        <v/>
      </c>
      <c r="P850" s="30">
        <f>IF(C850="","",N(N850)*Settings!$B$10)</f>
        <v/>
      </c>
      <c r="Q850" s="30">
        <f>IF(C850="","",J850-N(M850)-O850-P850)</f>
        <v/>
      </c>
      <c r="R850" s="6" t="n"/>
    </row>
    <row r="851">
      <c r="A851" s="8">
        <f>IF(B851="","","J-"&amp;TEXT(ROW()-4,"0000"))</f>
        <v/>
      </c>
      <c r="B851" s="26" t="n"/>
      <c r="C851" s="6" t="n"/>
      <c r="D851" s="6" t="n"/>
      <c r="E851" s="29" t="n"/>
      <c r="F851" s="6" t="n"/>
      <c r="G851" s="25" t="n"/>
      <c r="H851" s="27">
        <f>IF(C851="","",IF(G851&lt;&gt;"",G851,IFERROR(INDEX(Clients!$G$5:$G$304,MATCH(C851,Clients!$A$5:$A$304,0)),0)))</f>
        <v/>
      </c>
      <c r="I851" s="25" t="n"/>
      <c r="J851" s="27">
        <f>IF(C851="","",H851+N(I851))</f>
        <v/>
      </c>
      <c r="K851" s="6" t="n"/>
      <c r="L851" s="6" t="n"/>
      <c r="M851" s="25" t="n"/>
      <c r="N851" s="10" t="n"/>
      <c r="O851" s="27">
        <f>IF(C851="","",N(E851)*Settings!$B$8)</f>
        <v/>
      </c>
      <c r="P851" s="27">
        <f>IF(C851="","",N(N851)*Settings!$B$10)</f>
        <v/>
      </c>
      <c r="Q851" s="27">
        <f>IF(C851="","",J851-N(M851)-O851-P851)</f>
        <v/>
      </c>
      <c r="R851" s="6" t="n"/>
    </row>
    <row r="852">
      <c r="A852" s="17">
        <f>IF(B852="","","J-"&amp;TEXT(ROW()-4,"0000"))</f>
        <v/>
      </c>
      <c r="B852" s="26" t="n"/>
      <c r="C852" s="6" t="n"/>
      <c r="D852" s="6" t="n"/>
      <c r="E852" s="29" t="n"/>
      <c r="F852" s="6" t="n"/>
      <c r="G852" s="25" t="n"/>
      <c r="H852" s="30">
        <f>IF(C852="","",IF(G852&lt;&gt;"",G852,IFERROR(INDEX(Clients!$G$5:$G$304,MATCH(C852,Clients!$A$5:$A$304,0)),0)))</f>
        <v/>
      </c>
      <c r="I852" s="25" t="n"/>
      <c r="J852" s="30">
        <f>IF(C852="","",H852+N(I852))</f>
        <v/>
      </c>
      <c r="K852" s="6" t="n"/>
      <c r="L852" s="6" t="n"/>
      <c r="M852" s="25" t="n"/>
      <c r="N852" s="10" t="n"/>
      <c r="O852" s="30">
        <f>IF(C852="","",N(E852)*Settings!$B$8)</f>
        <v/>
      </c>
      <c r="P852" s="30">
        <f>IF(C852="","",N(N852)*Settings!$B$10)</f>
        <v/>
      </c>
      <c r="Q852" s="30">
        <f>IF(C852="","",J852-N(M852)-O852-P852)</f>
        <v/>
      </c>
      <c r="R852" s="6" t="n"/>
    </row>
    <row r="853">
      <c r="A853" s="8">
        <f>IF(B853="","","J-"&amp;TEXT(ROW()-4,"0000"))</f>
        <v/>
      </c>
      <c r="B853" s="26" t="n"/>
      <c r="C853" s="6" t="n"/>
      <c r="D853" s="6" t="n"/>
      <c r="E853" s="29" t="n"/>
      <c r="F853" s="6" t="n"/>
      <c r="G853" s="25" t="n"/>
      <c r="H853" s="27">
        <f>IF(C853="","",IF(G853&lt;&gt;"",G853,IFERROR(INDEX(Clients!$G$5:$G$304,MATCH(C853,Clients!$A$5:$A$304,0)),0)))</f>
        <v/>
      </c>
      <c r="I853" s="25" t="n"/>
      <c r="J853" s="27">
        <f>IF(C853="","",H853+N(I853))</f>
        <v/>
      </c>
      <c r="K853" s="6" t="n"/>
      <c r="L853" s="6" t="n"/>
      <c r="M853" s="25" t="n"/>
      <c r="N853" s="10" t="n"/>
      <c r="O853" s="27">
        <f>IF(C853="","",N(E853)*Settings!$B$8)</f>
        <v/>
      </c>
      <c r="P853" s="27">
        <f>IF(C853="","",N(N853)*Settings!$B$10)</f>
        <v/>
      </c>
      <c r="Q853" s="27">
        <f>IF(C853="","",J853-N(M853)-O853-P853)</f>
        <v/>
      </c>
      <c r="R853" s="6" t="n"/>
    </row>
    <row r="854">
      <c r="A854" s="17">
        <f>IF(B854="","","J-"&amp;TEXT(ROW()-4,"0000"))</f>
        <v/>
      </c>
      <c r="B854" s="26" t="n"/>
      <c r="C854" s="6" t="n"/>
      <c r="D854" s="6" t="n"/>
      <c r="E854" s="29" t="n"/>
      <c r="F854" s="6" t="n"/>
      <c r="G854" s="25" t="n"/>
      <c r="H854" s="30">
        <f>IF(C854="","",IF(G854&lt;&gt;"",G854,IFERROR(INDEX(Clients!$G$5:$G$304,MATCH(C854,Clients!$A$5:$A$304,0)),0)))</f>
        <v/>
      </c>
      <c r="I854" s="25" t="n"/>
      <c r="J854" s="30">
        <f>IF(C854="","",H854+N(I854))</f>
        <v/>
      </c>
      <c r="K854" s="6" t="n"/>
      <c r="L854" s="6" t="n"/>
      <c r="M854" s="25" t="n"/>
      <c r="N854" s="10" t="n"/>
      <c r="O854" s="30">
        <f>IF(C854="","",N(E854)*Settings!$B$8)</f>
        <v/>
      </c>
      <c r="P854" s="30">
        <f>IF(C854="","",N(N854)*Settings!$B$10)</f>
        <v/>
      </c>
      <c r="Q854" s="30">
        <f>IF(C854="","",J854-N(M854)-O854-P854)</f>
        <v/>
      </c>
      <c r="R854" s="6" t="n"/>
    </row>
    <row r="855">
      <c r="A855" s="8">
        <f>IF(B855="","","J-"&amp;TEXT(ROW()-4,"0000"))</f>
        <v/>
      </c>
      <c r="B855" s="26" t="n"/>
      <c r="C855" s="6" t="n"/>
      <c r="D855" s="6" t="n"/>
      <c r="E855" s="29" t="n"/>
      <c r="F855" s="6" t="n"/>
      <c r="G855" s="25" t="n"/>
      <c r="H855" s="27">
        <f>IF(C855="","",IF(G855&lt;&gt;"",G855,IFERROR(INDEX(Clients!$G$5:$G$304,MATCH(C855,Clients!$A$5:$A$304,0)),0)))</f>
        <v/>
      </c>
      <c r="I855" s="25" t="n"/>
      <c r="J855" s="27">
        <f>IF(C855="","",H855+N(I855))</f>
        <v/>
      </c>
      <c r="K855" s="6" t="n"/>
      <c r="L855" s="6" t="n"/>
      <c r="M855" s="25" t="n"/>
      <c r="N855" s="10" t="n"/>
      <c r="O855" s="27">
        <f>IF(C855="","",N(E855)*Settings!$B$8)</f>
        <v/>
      </c>
      <c r="P855" s="27">
        <f>IF(C855="","",N(N855)*Settings!$B$10)</f>
        <v/>
      </c>
      <c r="Q855" s="27">
        <f>IF(C855="","",J855-N(M855)-O855-P855)</f>
        <v/>
      </c>
      <c r="R855" s="6" t="n"/>
    </row>
    <row r="856">
      <c r="A856" s="17">
        <f>IF(B856="","","J-"&amp;TEXT(ROW()-4,"0000"))</f>
        <v/>
      </c>
      <c r="B856" s="26" t="n"/>
      <c r="C856" s="6" t="n"/>
      <c r="D856" s="6" t="n"/>
      <c r="E856" s="29" t="n"/>
      <c r="F856" s="6" t="n"/>
      <c r="G856" s="25" t="n"/>
      <c r="H856" s="30">
        <f>IF(C856="","",IF(G856&lt;&gt;"",G856,IFERROR(INDEX(Clients!$G$5:$G$304,MATCH(C856,Clients!$A$5:$A$304,0)),0)))</f>
        <v/>
      </c>
      <c r="I856" s="25" t="n"/>
      <c r="J856" s="30">
        <f>IF(C856="","",H856+N(I856))</f>
        <v/>
      </c>
      <c r="K856" s="6" t="n"/>
      <c r="L856" s="6" t="n"/>
      <c r="M856" s="25" t="n"/>
      <c r="N856" s="10" t="n"/>
      <c r="O856" s="30">
        <f>IF(C856="","",N(E856)*Settings!$B$8)</f>
        <v/>
      </c>
      <c r="P856" s="30">
        <f>IF(C856="","",N(N856)*Settings!$B$10)</f>
        <v/>
      </c>
      <c r="Q856" s="30">
        <f>IF(C856="","",J856-N(M856)-O856-P856)</f>
        <v/>
      </c>
      <c r="R856" s="6" t="n"/>
    </row>
    <row r="857">
      <c r="A857" s="8">
        <f>IF(B857="","","J-"&amp;TEXT(ROW()-4,"0000"))</f>
        <v/>
      </c>
      <c r="B857" s="26" t="n"/>
      <c r="C857" s="6" t="n"/>
      <c r="D857" s="6" t="n"/>
      <c r="E857" s="29" t="n"/>
      <c r="F857" s="6" t="n"/>
      <c r="G857" s="25" t="n"/>
      <c r="H857" s="27">
        <f>IF(C857="","",IF(G857&lt;&gt;"",G857,IFERROR(INDEX(Clients!$G$5:$G$304,MATCH(C857,Clients!$A$5:$A$304,0)),0)))</f>
        <v/>
      </c>
      <c r="I857" s="25" t="n"/>
      <c r="J857" s="27">
        <f>IF(C857="","",H857+N(I857))</f>
        <v/>
      </c>
      <c r="K857" s="6" t="n"/>
      <c r="L857" s="6" t="n"/>
      <c r="M857" s="25" t="n"/>
      <c r="N857" s="10" t="n"/>
      <c r="O857" s="27">
        <f>IF(C857="","",N(E857)*Settings!$B$8)</f>
        <v/>
      </c>
      <c r="P857" s="27">
        <f>IF(C857="","",N(N857)*Settings!$B$10)</f>
        <v/>
      </c>
      <c r="Q857" s="27">
        <f>IF(C857="","",J857-N(M857)-O857-P857)</f>
        <v/>
      </c>
      <c r="R857" s="6" t="n"/>
    </row>
    <row r="858">
      <c r="A858" s="17">
        <f>IF(B858="","","J-"&amp;TEXT(ROW()-4,"0000"))</f>
        <v/>
      </c>
      <c r="B858" s="26" t="n"/>
      <c r="C858" s="6" t="n"/>
      <c r="D858" s="6" t="n"/>
      <c r="E858" s="29" t="n"/>
      <c r="F858" s="6" t="n"/>
      <c r="G858" s="25" t="n"/>
      <c r="H858" s="30">
        <f>IF(C858="","",IF(G858&lt;&gt;"",G858,IFERROR(INDEX(Clients!$G$5:$G$304,MATCH(C858,Clients!$A$5:$A$304,0)),0)))</f>
        <v/>
      </c>
      <c r="I858" s="25" t="n"/>
      <c r="J858" s="30">
        <f>IF(C858="","",H858+N(I858))</f>
        <v/>
      </c>
      <c r="K858" s="6" t="n"/>
      <c r="L858" s="6" t="n"/>
      <c r="M858" s="25" t="n"/>
      <c r="N858" s="10" t="n"/>
      <c r="O858" s="30">
        <f>IF(C858="","",N(E858)*Settings!$B$8)</f>
        <v/>
      </c>
      <c r="P858" s="30">
        <f>IF(C858="","",N(N858)*Settings!$B$10)</f>
        <v/>
      </c>
      <c r="Q858" s="30">
        <f>IF(C858="","",J858-N(M858)-O858-P858)</f>
        <v/>
      </c>
      <c r="R858" s="6" t="n"/>
    </row>
    <row r="859">
      <c r="A859" s="8">
        <f>IF(B859="","","J-"&amp;TEXT(ROW()-4,"0000"))</f>
        <v/>
      </c>
      <c r="B859" s="26" t="n"/>
      <c r="C859" s="6" t="n"/>
      <c r="D859" s="6" t="n"/>
      <c r="E859" s="29" t="n"/>
      <c r="F859" s="6" t="n"/>
      <c r="G859" s="25" t="n"/>
      <c r="H859" s="27">
        <f>IF(C859="","",IF(G859&lt;&gt;"",G859,IFERROR(INDEX(Clients!$G$5:$G$304,MATCH(C859,Clients!$A$5:$A$304,0)),0)))</f>
        <v/>
      </c>
      <c r="I859" s="25" t="n"/>
      <c r="J859" s="27">
        <f>IF(C859="","",H859+N(I859))</f>
        <v/>
      </c>
      <c r="K859" s="6" t="n"/>
      <c r="L859" s="6" t="n"/>
      <c r="M859" s="25" t="n"/>
      <c r="N859" s="10" t="n"/>
      <c r="O859" s="27">
        <f>IF(C859="","",N(E859)*Settings!$B$8)</f>
        <v/>
      </c>
      <c r="P859" s="27">
        <f>IF(C859="","",N(N859)*Settings!$B$10)</f>
        <v/>
      </c>
      <c r="Q859" s="27">
        <f>IF(C859="","",J859-N(M859)-O859-P859)</f>
        <v/>
      </c>
      <c r="R859" s="6" t="n"/>
    </row>
    <row r="860">
      <c r="A860" s="17">
        <f>IF(B860="","","J-"&amp;TEXT(ROW()-4,"0000"))</f>
        <v/>
      </c>
      <c r="B860" s="26" t="n"/>
      <c r="C860" s="6" t="n"/>
      <c r="D860" s="6" t="n"/>
      <c r="E860" s="29" t="n"/>
      <c r="F860" s="6" t="n"/>
      <c r="G860" s="25" t="n"/>
      <c r="H860" s="30">
        <f>IF(C860="","",IF(G860&lt;&gt;"",G860,IFERROR(INDEX(Clients!$G$5:$G$304,MATCH(C860,Clients!$A$5:$A$304,0)),0)))</f>
        <v/>
      </c>
      <c r="I860" s="25" t="n"/>
      <c r="J860" s="30">
        <f>IF(C860="","",H860+N(I860))</f>
        <v/>
      </c>
      <c r="K860" s="6" t="n"/>
      <c r="L860" s="6" t="n"/>
      <c r="M860" s="25" t="n"/>
      <c r="N860" s="10" t="n"/>
      <c r="O860" s="30">
        <f>IF(C860="","",N(E860)*Settings!$B$8)</f>
        <v/>
      </c>
      <c r="P860" s="30">
        <f>IF(C860="","",N(N860)*Settings!$B$10)</f>
        <v/>
      </c>
      <c r="Q860" s="30">
        <f>IF(C860="","",J860-N(M860)-O860-P860)</f>
        <v/>
      </c>
      <c r="R860" s="6" t="n"/>
    </row>
    <row r="861">
      <c r="A861" s="8">
        <f>IF(B861="","","J-"&amp;TEXT(ROW()-4,"0000"))</f>
        <v/>
      </c>
      <c r="B861" s="26" t="n"/>
      <c r="C861" s="6" t="n"/>
      <c r="D861" s="6" t="n"/>
      <c r="E861" s="29" t="n"/>
      <c r="F861" s="6" t="n"/>
      <c r="G861" s="25" t="n"/>
      <c r="H861" s="27">
        <f>IF(C861="","",IF(G861&lt;&gt;"",G861,IFERROR(INDEX(Clients!$G$5:$G$304,MATCH(C861,Clients!$A$5:$A$304,0)),0)))</f>
        <v/>
      </c>
      <c r="I861" s="25" t="n"/>
      <c r="J861" s="27">
        <f>IF(C861="","",H861+N(I861))</f>
        <v/>
      </c>
      <c r="K861" s="6" t="n"/>
      <c r="L861" s="6" t="n"/>
      <c r="M861" s="25" t="n"/>
      <c r="N861" s="10" t="n"/>
      <c r="O861" s="27">
        <f>IF(C861="","",N(E861)*Settings!$B$8)</f>
        <v/>
      </c>
      <c r="P861" s="27">
        <f>IF(C861="","",N(N861)*Settings!$B$10)</f>
        <v/>
      </c>
      <c r="Q861" s="27">
        <f>IF(C861="","",J861-N(M861)-O861-P861)</f>
        <v/>
      </c>
      <c r="R861" s="6" t="n"/>
    </row>
    <row r="862">
      <c r="A862" s="17">
        <f>IF(B862="","","J-"&amp;TEXT(ROW()-4,"0000"))</f>
        <v/>
      </c>
      <c r="B862" s="26" t="n"/>
      <c r="C862" s="6" t="n"/>
      <c r="D862" s="6" t="n"/>
      <c r="E862" s="29" t="n"/>
      <c r="F862" s="6" t="n"/>
      <c r="G862" s="25" t="n"/>
      <c r="H862" s="30">
        <f>IF(C862="","",IF(G862&lt;&gt;"",G862,IFERROR(INDEX(Clients!$G$5:$G$304,MATCH(C862,Clients!$A$5:$A$304,0)),0)))</f>
        <v/>
      </c>
      <c r="I862" s="25" t="n"/>
      <c r="J862" s="30">
        <f>IF(C862="","",H862+N(I862))</f>
        <v/>
      </c>
      <c r="K862" s="6" t="n"/>
      <c r="L862" s="6" t="n"/>
      <c r="M862" s="25" t="n"/>
      <c r="N862" s="10" t="n"/>
      <c r="O862" s="30">
        <f>IF(C862="","",N(E862)*Settings!$B$8)</f>
        <v/>
      </c>
      <c r="P862" s="30">
        <f>IF(C862="","",N(N862)*Settings!$B$10)</f>
        <v/>
      </c>
      <c r="Q862" s="30">
        <f>IF(C862="","",J862-N(M862)-O862-P862)</f>
        <v/>
      </c>
      <c r="R862" s="6" t="n"/>
    </row>
    <row r="863">
      <c r="A863" s="8">
        <f>IF(B863="","","J-"&amp;TEXT(ROW()-4,"0000"))</f>
        <v/>
      </c>
      <c r="B863" s="26" t="n"/>
      <c r="C863" s="6" t="n"/>
      <c r="D863" s="6" t="n"/>
      <c r="E863" s="29" t="n"/>
      <c r="F863" s="6" t="n"/>
      <c r="G863" s="25" t="n"/>
      <c r="H863" s="27">
        <f>IF(C863="","",IF(G863&lt;&gt;"",G863,IFERROR(INDEX(Clients!$G$5:$G$304,MATCH(C863,Clients!$A$5:$A$304,0)),0)))</f>
        <v/>
      </c>
      <c r="I863" s="25" t="n"/>
      <c r="J863" s="27">
        <f>IF(C863="","",H863+N(I863))</f>
        <v/>
      </c>
      <c r="K863" s="6" t="n"/>
      <c r="L863" s="6" t="n"/>
      <c r="M863" s="25" t="n"/>
      <c r="N863" s="10" t="n"/>
      <c r="O863" s="27">
        <f>IF(C863="","",N(E863)*Settings!$B$8)</f>
        <v/>
      </c>
      <c r="P863" s="27">
        <f>IF(C863="","",N(N863)*Settings!$B$10)</f>
        <v/>
      </c>
      <c r="Q863" s="27">
        <f>IF(C863="","",J863-N(M863)-O863-P863)</f>
        <v/>
      </c>
      <c r="R863" s="6" t="n"/>
    </row>
    <row r="864">
      <c r="A864" s="17">
        <f>IF(B864="","","J-"&amp;TEXT(ROW()-4,"0000"))</f>
        <v/>
      </c>
      <c r="B864" s="26" t="n"/>
      <c r="C864" s="6" t="n"/>
      <c r="D864" s="6" t="n"/>
      <c r="E864" s="29" t="n"/>
      <c r="F864" s="6" t="n"/>
      <c r="G864" s="25" t="n"/>
      <c r="H864" s="30">
        <f>IF(C864="","",IF(G864&lt;&gt;"",G864,IFERROR(INDEX(Clients!$G$5:$G$304,MATCH(C864,Clients!$A$5:$A$304,0)),0)))</f>
        <v/>
      </c>
      <c r="I864" s="25" t="n"/>
      <c r="J864" s="30">
        <f>IF(C864="","",H864+N(I864))</f>
        <v/>
      </c>
      <c r="K864" s="6" t="n"/>
      <c r="L864" s="6" t="n"/>
      <c r="M864" s="25" t="n"/>
      <c r="N864" s="10" t="n"/>
      <c r="O864" s="30">
        <f>IF(C864="","",N(E864)*Settings!$B$8)</f>
        <v/>
      </c>
      <c r="P864" s="30">
        <f>IF(C864="","",N(N864)*Settings!$B$10)</f>
        <v/>
      </c>
      <c r="Q864" s="30">
        <f>IF(C864="","",J864-N(M864)-O864-P864)</f>
        <v/>
      </c>
      <c r="R864" s="6" t="n"/>
    </row>
    <row r="865">
      <c r="A865" s="8">
        <f>IF(B865="","","J-"&amp;TEXT(ROW()-4,"0000"))</f>
        <v/>
      </c>
      <c r="B865" s="26" t="n"/>
      <c r="C865" s="6" t="n"/>
      <c r="D865" s="6" t="n"/>
      <c r="E865" s="29" t="n"/>
      <c r="F865" s="6" t="n"/>
      <c r="G865" s="25" t="n"/>
      <c r="H865" s="27">
        <f>IF(C865="","",IF(G865&lt;&gt;"",G865,IFERROR(INDEX(Clients!$G$5:$G$304,MATCH(C865,Clients!$A$5:$A$304,0)),0)))</f>
        <v/>
      </c>
      <c r="I865" s="25" t="n"/>
      <c r="J865" s="27">
        <f>IF(C865="","",H865+N(I865))</f>
        <v/>
      </c>
      <c r="K865" s="6" t="n"/>
      <c r="L865" s="6" t="n"/>
      <c r="M865" s="25" t="n"/>
      <c r="N865" s="10" t="n"/>
      <c r="O865" s="27">
        <f>IF(C865="","",N(E865)*Settings!$B$8)</f>
        <v/>
      </c>
      <c r="P865" s="27">
        <f>IF(C865="","",N(N865)*Settings!$B$10)</f>
        <v/>
      </c>
      <c r="Q865" s="27">
        <f>IF(C865="","",J865-N(M865)-O865-P865)</f>
        <v/>
      </c>
      <c r="R865" s="6" t="n"/>
    </row>
    <row r="866">
      <c r="A866" s="17">
        <f>IF(B866="","","J-"&amp;TEXT(ROW()-4,"0000"))</f>
        <v/>
      </c>
      <c r="B866" s="26" t="n"/>
      <c r="C866" s="6" t="n"/>
      <c r="D866" s="6" t="n"/>
      <c r="E866" s="29" t="n"/>
      <c r="F866" s="6" t="n"/>
      <c r="G866" s="25" t="n"/>
      <c r="H866" s="30">
        <f>IF(C866="","",IF(G866&lt;&gt;"",G866,IFERROR(INDEX(Clients!$G$5:$G$304,MATCH(C866,Clients!$A$5:$A$304,0)),0)))</f>
        <v/>
      </c>
      <c r="I866" s="25" t="n"/>
      <c r="J866" s="30">
        <f>IF(C866="","",H866+N(I866))</f>
        <v/>
      </c>
      <c r="K866" s="6" t="n"/>
      <c r="L866" s="6" t="n"/>
      <c r="M866" s="25" t="n"/>
      <c r="N866" s="10" t="n"/>
      <c r="O866" s="30">
        <f>IF(C866="","",N(E866)*Settings!$B$8)</f>
        <v/>
      </c>
      <c r="P866" s="30">
        <f>IF(C866="","",N(N866)*Settings!$B$10)</f>
        <v/>
      </c>
      <c r="Q866" s="30">
        <f>IF(C866="","",J866-N(M866)-O866-P866)</f>
        <v/>
      </c>
      <c r="R866" s="6" t="n"/>
    </row>
    <row r="867">
      <c r="A867" s="8">
        <f>IF(B867="","","J-"&amp;TEXT(ROW()-4,"0000"))</f>
        <v/>
      </c>
      <c r="B867" s="26" t="n"/>
      <c r="C867" s="6" t="n"/>
      <c r="D867" s="6" t="n"/>
      <c r="E867" s="29" t="n"/>
      <c r="F867" s="6" t="n"/>
      <c r="G867" s="25" t="n"/>
      <c r="H867" s="27">
        <f>IF(C867="","",IF(G867&lt;&gt;"",G867,IFERROR(INDEX(Clients!$G$5:$G$304,MATCH(C867,Clients!$A$5:$A$304,0)),0)))</f>
        <v/>
      </c>
      <c r="I867" s="25" t="n"/>
      <c r="J867" s="27">
        <f>IF(C867="","",H867+N(I867))</f>
        <v/>
      </c>
      <c r="K867" s="6" t="n"/>
      <c r="L867" s="6" t="n"/>
      <c r="M867" s="25" t="n"/>
      <c r="N867" s="10" t="n"/>
      <c r="O867" s="27">
        <f>IF(C867="","",N(E867)*Settings!$B$8)</f>
        <v/>
      </c>
      <c r="P867" s="27">
        <f>IF(C867="","",N(N867)*Settings!$B$10)</f>
        <v/>
      </c>
      <c r="Q867" s="27">
        <f>IF(C867="","",J867-N(M867)-O867-P867)</f>
        <v/>
      </c>
      <c r="R867" s="6" t="n"/>
    </row>
    <row r="868">
      <c r="A868" s="17">
        <f>IF(B868="","","J-"&amp;TEXT(ROW()-4,"0000"))</f>
        <v/>
      </c>
      <c r="B868" s="26" t="n"/>
      <c r="C868" s="6" t="n"/>
      <c r="D868" s="6" t="n"/>
      <c r="E868" s="29" t="n"/>
      <c r="F868" s="6" t="n"/>
      <c r="G868" s="25" t="n"/>
      <c r="H868" s="30">
        <f>IF(C868="","",IF(G868&lt;&gt;"",G868,IFERROR(INDEX(Clients!$G$5:$G$304,MATCH(C868,Clients!$A$5:$A$304,0)),0)))</f>
        <v/>
      </c>
      <c r="I868" s="25" t="n"/>
      <c r="J868" s="30">
        <f>IF(C868="","",H868+N(I868))</f>
        <v/>
      </c>
      <c r="K868" s="6" t="n"/>
      <c r="L868" s="6" t="n"/>
      <c r="M868" s="25" t="n"/>
      <c r="N868" s="10" t="n"/>
      <c r="O868" s="30">
        <f>IF(C868="","",N(E868)*Settings!$B$8)</f>
        <v/>
      </c>
      <c r="P868" s="30">
        <f>IF(C868="","",N(N868)*Settings!$B$10)</f>
        <v/>
      </c>
      <c r="Q868" s="30">
        <f>IF(C868="","",J868-N(M868)-O868-P868)</f>
        <v/>
      </c>
      <c r="R868" s="6" t="n"/>
    </row>
    <row r="869">
      <c r="A869" s="8">
        <f>IF(B869="","","J-"&amp;TEXT(ROW()-4,"0000"))</f>
        <v/>
      </c>
      <c r="B869" s="26" t="n"/>
      <c r="C869" s="6" t="n"/>
      <c r="D869" s="6" t="n"/>
      <c r="E869" s="29" t="n"/>
      <c r="F869" s="6" t="n"/>
      <c r="G869" s="25" t="n"/>
      <c r="H869" s="27">
        <f>IF(C869="","",IF(G869&lt;&gt;"",G869,IFERROR(INDEX(Clients!$G$5:$G$304,MATCH(C869,Clients!$A$5:$A$304,0)),0)))</f>
        <v/>
      </c>
      <c r="I869" s="25" t="n"/>
      <c r="J869" s="27">
        <f>IF(C869="","",H869+N(I869))</f>
        <v/>
      </c>
      <c r="K869" s="6" t="n"/>
      <c r="L869" s="6" t="n"/>
      <c r="M869" s="25" t="n"/>
      <c r="N869" s="10" t="n"/>
      <c r="O869" s="27">
        <f>IF(C869="","",N(E869)*Settings!$B$8)</f>
        <v/>
      </c>
      <c r="P869" s="27">
        <f>IF(C869="","",N(N869)*Settings!$B$10)</f>
        <v/>
      </c>
      <c r="Q869" s="27">
        <f>IF(C869="","",J869-N(M869)-O869-P869)</f>
        <v/>
      </c>
      <c r="R869" s="6" t="n"/>
    </row>
    <row r="870">
      <c r="A870" s="17">
        <f>IF(B870="","","J-"&amp;TEXT(ROW()-4,"0000"))</f>
        <v/>
      </c>
      <c r="B870" s="26" t="n"/>
      <c r="C870" s="6" t="n"/>
      <c r="D870" s="6" t="n"/>
      <c r="E870" s="29" t="n"/>
      <c r="F870" s="6" t="n"/>
      <c r="G870" s="25" t="n"/>
      <c r="H870" s="30">
        <f>IF(C870="","",IF(G870&lt;&gt;"",G870,IFERROR(INDEX(Clients!$G$5:$G$304,MATCH(C870,Clients!$A$5:$A$304,0)),0)))</f>
        <v/>
      </c>
      <c r="I870" s="25" t="n"/>
      <c r="J870" s="30">
        <f>IF(C870="","",H870+N(I870))</f>
        <v/>
      </c>
      <c r="K870" s="6" t="n"/>
      <c r="L870" s="6" t="n"/>
      <c r="M870" s="25" t="n"/>
      <c r="N870" s="10" t="n"/>
      <c r="O870" s="30">
        <f>IF(C870="","",N(E870)*Settings!$B$8)</f>
        <v/>
      </c>
      <c r="P870" s="30">
        <f>IF(C870="","",N(N870)*Settings!$B$10)</f>
        <v/>
      </c>
      <c r="Q870" s="30">
        <f>IF(C870="","",J870-N(M870)-O870-P870)</f>
        <v/>
      </c>
      <c r="R870" s="6" t="n"/>
    </row>
    <row r="871">
      <c r="A871" s="8">
        <f>IF(B871="","","J-"&amp;TEXT(ROW()-4,"0000"))</f>
        <v/>
      </c>
      <c r="B871" s="26" t="n"/>
      <c r="C871" s="6" t="n"/>
      <c r="D871" s="6" t="n"/>
      <c r="E871" s="29" t="n"/>
      <c r="F871" s="6" t="n"/>
      <c r="G871" s="25" t="n"/>
      <c r="H871" s="27">
        <f>IF(C871="","",IF(G871&lt;&gt;"",G871,IFERROR(INDEX(Clients!$G$5:$G$304,MATCH(C871,Clients!$A$5:$A$304,0)),0)))</f>
        <v/>
      </c>
      <c r="I871" s="25" t="n"/>
      <c r="J871" s="27">
        <f>IF(C871="","",H871+N(I871))</f>
        <v/>
      </c>
      <c r="K871" s="6" t="n"/>
      <c r="L871" s="6" t="n"/>
      <c r="M871" s="25" t="n"/>
      <c r="N871" s="10" t="n"/>
      <c r="O871" s="27">
        <f>IF(C871="","",N(E871)*Settings!$B$8)</f>
        <v/>
      </c>
      <c r="P871" s="27">
        <f>IF(C871="","",N(N871)*Settings!$B$10)</f>
        <v/>
      </c>
      <c r="Q871" s="27">
        <f>IF(C871="","",J871-N(M871)-O871-P871)</f>
        <v/>
      </c>
      <c r="R871" s="6" t="n"/>
    </row>
    <row r="872">
      <c r="A872" s="17">
        <f>IF(B872="","","J-"&amp;TEXT(ROW()-4,"0000"))</f>
        <v/>
      </c>
      <c r="B872" s="26" t="n"/>
      <c r="C872" s="6" t="n"/>
      <c r="D872" s="6" t="n"/>
      <c r="E872" s="29" t="n"/>
      <c r="F872" s="6" t="n"/>
      <c r="G872" s="25" t="n"/>
      <c r="H872" s="30">
        <f>IF(C872="","",IF(G872&lt;&gt;"",G872,IFERROR(INDEX(Clients!$G$5:$G$304,MATCH(C872,Clients!$A$5:$A$304,0)),0)))</f>
        <v/>
      </c>
      <c r="I872" s="25" t="n"/>
      <c r="J872" s="30">
        <f>IF(C872="","",H872+N(I872))</f>
        <v/>
      </c>
      <c r="K872" s="6" t="n"/>
      <c r="L872" s="6" t="n"/>
      <c r="M872" s="25" t="n"/>
      <c r="N872" s="10" t="n"/>
      <c r="O872" s="30">
        <f>IF(C872="","",N(E872)*Settings!$B$8)</f>
        <v/>
      </c>
      <c r="P872" s="30">
        <f>IF(C872="","",N(N872)*Settings!$B$10)</f>
        <v/>
      </c>
      <c r="Q872" s="30">
        <f>IF(C872="","",J872-N(M872)-O872-P872)</f>
        <v/>
      </c>
      <c r="R872" s="6" t="n"/>
    </row>
    <row r="873">
      <c r="A873" s="8">
        <f>IF(B873="","","J-"&amp;TEXT(ROW()-4,"0000"))</f>
        <v/>
      </c>
      <c r="B873" s="26" t="n"/>
      <c r="C873" s="6" t="n"/>
      <c r="D873" s="6" t="n"/>
      <c r="E873" s="29" t="n"/>
      <c r="F873" s="6" t="n"/>
      <c r="G873" s="25" t="n"/>
      <c r="H873" s="27">
        <f>IF(C873="","",IF(G873&lt;&gt;"",G873,IFERROR(INDEX(Clients!$G$5:$G$304,MATCH(C873,Clients!$A$5:$A$304,0)),0)))</f>
        <v/>
      </c>
      <c r="I873" s="25" t="n"/>
      <c r="J873" s="27">
        <f>IF(C873="","",H873+N(I873))</f>
        <v/>
      </c>
      <c r="K873" s="6" t="n"/>
      <c r="L873" s="6" t="n"/>
      <c r="M873" s="25" t="n"/>
      <c r="N873" s="10" t="n"/>
      <c r="O873" s="27">
        <f>IF(C873="","",N(E873)*Settings!$B$8)</f>
        <v/>
      </c>
      <c r="P873" s="27">
        <f>IF(C873="","",N(N873)*Settings!$B$10)</f>
        <v/>
      </c>
      <c r="Q873" s="27">
        <f>IF(C873="","",J873-N(M873)-O873-P873)</f>
        <v/>
      </c>
      <c r="R873" s="6" t="n"/>
    </row>
    <row r="874">
      <c r="A874" s="17">
        <f>IF(B874="","","J-"&amp;TEXT(ROW()-4,"0000"))</f>
        <v/>
      </c>
      <c r="B874" s="26" t="n"/>
      <c r="C874" s="6" t="n"/>
      <c r="D874" s="6" t="n"/>
      <c r="E874" s="29" t="n"/>
      <c r="F874" s="6" t="n"/>
      <c r="G874" s="25" t="n"/>
      <c r="H874" s="30">
        <f>IF(C874="","",IF(G874&lt;&gt;"",G874,IFERROR(INDEX(Clients!$G$5:$G$304,MATCH(C874,Clients!$A$5:$A$304,0)),0)))</f>
        <v/>
      </c>
      <c r="I874" s="25" t="n"/>
      <c r="J874" s="30">
        <f>IF(C874="","",H874+N(I874))</f>
        <v/>
      </c>
      <c r="K874" s="6" t="n"/>
      <c r="L874" s="6" t="n"/>
      <c r="M874" s="25" t="n"/>
      <c r="N874" s="10" t="n"/>
      <c r="O874" s="30">
        <f>IF(C874="","",N(E874)*Settings!$B$8)</f>
        <v/>
      </c>
      <c r="P874" s="30">
        <f>IF(C874="","",N(N874)*Settings!$B$10)</f>
        <v/>
      </c>
      <c r="Q874" s="30">
        <f>IF(C874="","",J874-N(M874)-O874-P874)</f>
        <v/>
      </c>
      <c r="R874" s="6" t="n"/>
    </row>
    <row r="875">
      <c r="A875" s="8">
        <f>IF(B875="","","J-"&amp;TEXT(ROW()-4,"0000"))</f>
        <v/>
      </c>
      <c r="B875" s="26" t="n"/>
      <c r="C875" s="6" t="n"/>
      <c r="D875" s="6" t="n"/>
      <c r="E875" s="29" t="n"/>
      <c r="F875" s="6" t="n"/>
      <c r="G875" s="25" t="n"/>
      <c r="H875" s="27">
        <f>IF(C875="","",IF(G875&lt;&gt;"",G875,IFERROR(INDEX(Clients!$G$5:$G$304,MATCH(C875,Clients!$A$5:$A$304,0)),0)))</f>
        <v/>
      </c>
      <c r="I875" s="25" t="n"/>
      <c r="J875" s="27">
        <f>IF(C875="","",H875+N(I875))</f>
        <v/>
      </c>
      <c r="K875" s="6" t="n"/>
      <c r="L875" s="6" t="n"/>
      <c r="M875" s="25" t="n"/>
      <c r="N875" s="10" t="n"/>
      <c r="O875" s="27">
        <f>IF(C875="","",N(E875)*Settings!$B$8)</f>
        <v/>
      </c>
      <c r="P875" s="27">
        <f>IF(C875="","",N(N875)*Settings!$B$10)</f>
        <v/>
      </c>
      <c r="Q875" s="27">
        <f>IF(C875="","",J875-N(M875)-O875-P875)</f>
        <v/>
      </c>
      <c r="R875" s="6" t="n"/>
    </row>
    <row r="876">
      <c r="A876" s="17">
        <f>IF(B876="","","J-"&amp;TEXT(ROW()-4,"0000"))</f>
        <v/>
      </c>
      <c r="B876" s="26" t="n"/>
      <c r="C876" s="6" t="n"/>
      <c r="D876" s="6" t="n"/>
      <c r="E876" s="29" t="n"/>
      <c r="F876" s="6" t="n"/>
      <c r="G876" s="25" t="n"/>
      <c r="H876" s="30">
        <f>IF(C876="","",IF(G876&lt;&gt;"",G876,IFERROR(INDEX(Clients!$G$5:$G$304,MATCH(C876,Clients!$A$5:$A$304,0)),0)))</f>
        <v/>
      </c>
      <c r="I876" s="25" t="n"/>
      <c r="J876" s="30">
        <f>IF(C876="","",H876+N(I876))</f>
        <v/>
      </c>
      <c r="K876" s="6" t="n"/>
      <c r="L876" s="6" t="n"/>
      <c r="M876" s="25" t="n"/>
      <c r="N876" s="10" t="n"/>
      <c r="O876" s="30">
        <f>IF(C876="","",N(E876)*Settings!$B$8)</f>
        <v/>
      </c>
      <c r="P876" s="30">
        <f>IF(C876="","",N(N876)*Settings!$B$10)</f>
        <v/>
      </c>
      <c r="Q876" s="30">
        <f>IF(C876="","",J876-N(M876)-O876-P876)</f>
        <v/>
      </c>
      <c r="R876" s="6" t="n"/>
    </row>
    <row r="877">
      <c r="A877" s="8">
        <f>IF(B877="","","J-"&amp;TEXT(ROW()-4,"0000"))</f>
        <v/>
      </c>
      <c r="B877" s="26" t="n"/>
      <c r="C877" s="6" t="n"/>
      <c r="D877" s="6" t="n"/>
      <c r="E877" s="29" t="n"/>
      <c r="F877" s="6" t="n"/>
      <c r="G877" s="25" t="n"/>
      <c r="H877" s="27">
        <f>IF(C877="","",IF(G877&lt;&gt;"",G877,IFERROR(INDEX(Clients!$G$5:$G$304,MATCH(C877,Clients!$A$5:$A$304,0)),0)))</f>
        <v/>
      </c>
      <c r="I877" s="25" t="n"/>
      <c r="J877" s="27">
        <f>IF(C877="","",H877+N(I877))</f>
        <v/>
      </c>
      <c r="K877" s="6" t="n"/>
      <c r="L877" s="6" t="n"/>
      <c r="M877" s="25" t="n"/>
      <c r="N877" s="10" t="n"/>
      <c r="O877" s="27">
        <f>IF(C877="","",N(E877)*Settings!$B$8)</f>
        <v/>
      </c>
      <c r="P877" s="27">
        <f>IF(C877="","",N(N877)*Settings!$B$10)</f>
        <v/>
      </c>
      <c r="Q877" s="27">
        <f>IF(C877="","",J877-N(M877)-O877-P877)</f>
        <v/>
      </c>
      <c r="R877" s="6" t="n"/>
    </row>
    <row r="878">
      <c r="A878" s="17">
        <f>IF(B878="","","J-"&amp;TEXT(ROW()-4,"0000"))</f>
        <v/>
      </c>
      <c r="B878" s="26" t="n"/>
      <c r="C878" s="6" t="n"/>
      <c r="D878" s="6" t="n"/>
      <c r="E878" s="29" t="n"/>
      <c r="F878" s="6" t="n"/>
      <c r="G878" s="25" t="n"/>
      <c r="H878" s="30">
        <f>IF(C878="","",IF(G878&lt;&gt;"",G878,IFERROR(INDEX(Clients!$G$5:$G$304,MATCH(C878,Clients!$A$5:$A$304,0)),0)))</f>
        <v/>
      </c>
      <c r="I878" s="25" t="n"/>
      <c r="J878" s="30">
        <f>IF(C878="","",H878+N(I878))</f>
        <v/>
      </c>
      <c r="K878" s="6" t="n"/>
      <c r="L878" s="6" t="n"/>
      <c r="M878" s="25" t="n"/>
      <c r="N878" s="10" t="n"/>
      <c r="O878" s="30">
        <f>IF(C878="","",N(E878)*Settings!$B$8)</f>
        <v/>
      </c>
      <c r="P878" s="30">
        <f>IF(C878="","",N(N878)*Settings!$B$10)</f>
        <v/>
      </c>
      <c r="Q878" s="30">
        <f>IF(C878="","",J878-N(M878)-O878-P878)</f>
        <v/>
      </c>
      <c r="R878" s="6" t="n"/>
    </row>
    <row r="879">
      <c r="A879" s="8">
        <f>IF(B879="","","J-"&amp;TEXT(ROW()-4,"0000"))</f>
        <v/>
      </c>
      <c r="B879" s="26" t="n"/>
      <c r="C879" s="6" t="n"/>
      <c r="D879" s="6" t="n"/>
      <c r="E879" s="29" t="n"/>
      <c r="F879" s="6" t="n"/>
      <c r="G879" s="25" t="n"/>
      <c r="H879" s="27">
        <f>IF(C879="","",IF(G879&lt;&gt;"",G879,IFERROR(INDEX(Clients!$G$5:$G$304,MATCH(C879,Clients!$A$5:$A$304,0)),0)))</f>
        <v/>
      </c>
      <c r="I879" s="25" t="n"/>
      <c r="J879" s="27">
        <f>IF(C879="","",H879+N(I879))</f>
        <v/>
      </c>
      <c r="K879" s="6" t="n"/>
      <c r="L879" s="6" t="n"/>
      <c r="M879" s="25" t="n"/>
      <c r="N879" s="10" t="n"/>
      <c r="O879" s="27">
        <f>IF(C879="","",N(E879)*Settings!$B$8)</f>
        <v/>
      </c>
      <c r="P879" s="27">
        <f>IF(C879="","",N(N879)*Settings!$B$10)</f>
        <v/>
      </c>
      <c r="Q879" s="27">
        <f>IF(C879="","",J879-N(M879)-O879-P879)</f>
        <v/>
      </c>
      <c r="R879" s="6" t="n"/>
    </row>
    <row r="880">
      <c r="A880" s="17">
        <f>IF(B880="","","J-"&amp;TEXT(ROW()-4,"0000"))</f>
        <v/>
      </c>
      <c r="B880" s="26" t="n"/>
      <c r="C880" s="6" t="n"/>
      <c r="D880" s="6" t="n"/>
      <c r="E880" s="29" t="n"/>
      <c r="F880" s="6" t="n"/>
      <c r="G880" s="25" t="n"/>
      <c r="H880" s="30">
        <f>IF(C880="","",IF(G880&lt;&gt;"",G880,IFERROR(INDEX(Clients!$G$5:$G$304,MATCH(C880,Clients!$A$5:$A$304,0)),0)))</f>
        <v/>
      </c>
      <c r="I880" s="25" t="n"/>
      <c r="J880" s="30">
        <f>IF(C880="","",H880+N(I880))</f>
        <v/>
      </c>
      <c r="K880" s="6" t="n"/>
      <c r="L880" s="6" t="n"/>
      <c r="M880" s="25" t="n"/>
      <c r="N880" s="10" t="n"/>
      <c r="O880" s="30">
        <f>IF(C880="","",N(E880)*Settings!$B$8)</f>
        <v/>
      </c>
      <c r="P880" s="30">
        <f>IF(C880="","",N(N880)*Settings!$B$10)</f>
        <v/>
      </c>
      <c r="Q880" s="30">
        <f>IF(C880="","",J880-N(M880)-O880-P880)</f>
        <v/>
      </c>
      <c r="R880" s="6" t="n"/>
    </row>
    <row r="881">
      <c r="A881" s="8">
        <f>IF(B881="","","J-"&amp;TEXT(ROW()-4,"0000"))</f>
        <v/>
      </c>
      <c r="B881" s="26" t="n"/>
      <c r="C881" s="6" t="n"/>
      <c r="D881" s="6" t="n"/>
      <c r="E881" s="29" t="n"/>
      <c r="F881" s="6" t="n"/>
      <c r="G881" s="25" t="n"/>
      <c r="H881" s="27">
        <f>IF(C881="","",IF(G881&lt;&gt;"",G881,IFERROR(INDEX(Clients!$G$5:$G$304,MATCH(C881,Clients!$A$5:$A$304,0)),0)))</f>
        <v/>
      </c>
      <c r="I881" s="25" t="n"/>
      <c r="J881" s="27">
        <f>IF(C881="","",H881+N(I881))</f>
        <v/>
      </c>
      <c r="K881" s="6" t="n"/>
      <c r="L881" s="6" t="n"/>
      <c r="M881" s="25" t="n"/>
      <c r="N881" s="10" t="n"/>
      <c r="O881" s="27">
        <f>IF(C881="","",N(E881)*Settings!$B$8)</f>
        <v/>
      </c>
      <c r="P881" s="27">
        <f>IF(C881="","",N(N881)*Settings!$B$10)</f>
        <v/>
      </c>
      <c r="Q881" s="27">
        <f>IF(C881="","",J881-N(M881)-O881-P881)</f>
        <v/>
      </c>
      <c r="R881" s="6" t="n"/>
    </row>
    <row r="882">
      <c r="A882" s="17">
        <f>IF(B882="","","J-"&amp;TEXT(ROW()-4,"0000"))</f>
        <v/>
      </c>
      <c r="B882" s="26" t="n"/>
      <c r="C882" s="6" t="n"/>
      <c r="D882" s="6" t="n"/>
      <c r="E882" s="29" t="n"/>
      <c r="F882" s="6" t="n"/>
      <c r="G882" s="25" t="n"/>
      <c r="H882" s="30">
        <f>IF(C882="","",IF(G882&lt;&gt;"",G882,IFERROR(INDEX(Clients!$G$5:$G$304,MATCH(C882,Clients!$A$5:$A$304,0)),0)))</f>
        <v/>
      </c>
      <c r="I882" s="25" t="n"/>
      <c r="J882" s="30">
        <f>IF(C882="","",H882+N(I882))</f>
        <v/>
      </c>
      <c r="K882" s="6" t="n"/>
      <c r="L882" s="6" t="n"/>
      <c r="M882" s="25" t="n"/>
      <c r="N882" s="10" t="n"/>
      <c r="O882" s="30">
        <f>IF(C882="","",N(E882)*Settings!$B$8)</f>
        <v/>
      </c>
      <c r="P882" s="30">
        <f>IF(C882="","",N(N882)*Settings!$B$10)</f>
        <v/>
      </c>
      <c r="Q882" s="30">
        <f>IF(C882="","",J882-N(M882)-O882-P882)</f>
        <v/>
      </c>
      <c r="R882" s="6" t="n"/>
    </row>
    <row r="883">
      <c r="A883" s="8">
        <f>IF(B883="","","J-"&amp;TEXT(ROW()-4,"0000"))</f>
        <v/>
      </c>
      <c r="B883" s="26" t="n"/>
      <c r="C883" s="6" t="n"/>
      <c r="D883" s="6" t="n"/>
      <c r="E883" s="29" t="n"/>
      <c r="F883" s="6" t="n"/>
      <c r="G883" s="25" t="n"/>
      <c r="H883" s="27">
        <f>IF(C883="","",IF(G883&lt;&gt;"",G883,IFERROR(INDEX(Clients!$G$5:$G$304,MATCH(C883,Clients!$A$5:$A$304,0)),0)))</f>
        <v/>
      </c>
      <c r="I883" s="25" t="n"/>
      <c r="J883" s="27">
        <f>IF(C883="","",H883+N(I883))</f>
        <v/>
      </c>
      <c r="K883" s="6" t="n"/>
      <c r="L883" s="6" t="n"/>
      <c r="M883" s="25" t="n"/>
      <c r="N883" s="10" t="n"/>
      <c r="O883" s="27">
        <f>IF(C883="","",N(E883)*Settings!$B$8)</f>
        <v/>
      </c>
      <c r="P883" s="27">
        <f>IF(C883="","",N(N883)*Settings!$B$10)</f>
        <v/>
      </c>
      <c r="Q883" s="27">
        <f>IF(C883="","",J883-N(M883)-O883-P883)</f>
        <v/>
      </c>
      <c r="R883" s="6" t="n"/>
    </row>
    <row r="884">
      <c r="A884" s="17">
        <f>IF(B884="","","J-"&amp;TEXT(ROW()-4,"0000"))</f>
        <v/>
      </c>
      <c r="B884" s="26" t="n"/>
      <c r="C884" s="6" t="n"/>
      <c r="D884" s="6" t="n"/>
      <c r="E884" s="29" t="n"/>
      <c r="F884" s="6" t="n"/>
      <c r="G884" s="25" t="n"/>
      <c r="H884" s="30">
        <f>IF(C884="","",IF(G884&lt;&gt;"",G884,IFERROR(INDEX(Clients!$G$5:$G$304,MATCH(C884,Clients!$A$5:$A$304,0)),0)))</f>
        <v/>
      </c>
      <c r="I884" s="25" t="n"/>
      <c r="J884" s="30">
        <f>IF(C884="","",H884+N(I884))</f>
        <v/>
      </c>
      <c r="K884" s="6" t="n"/>
      <c r="L884" s="6" t="n"/>
      <c r="M884" s="25" t="n"/>
      <c r="N884" s="10" t="n"/>
      <c r="O884" s="30">
        <f>IF(C884="","",N(E884)*Settings!$B$8)</f>
        <v/>
      </c>
      <c r="P884" s="30">
        <f>IF(C884="","",N(N884)*Settings!$B$10)</f>
        <v/>
      </c>
      <c r="Q884" s="30">
        <f>IF(C884="","",J884-N(M884)-O884-P884)</f>
        <v/>
      </c>
      <c r="R884" s="6" t="n"/>
    </row>
    <row r="885">
      <c r="A885" s="8">
        <f>IF(B885="","","J-"&amp;TEXT(ROW()-4,"0000"))</f>
        <v/>
      </c>
      <c r="B885" s="26" t="n"/>
      <c r="C885" s="6" t="n"/>
      <c r="D885" s="6" t="n"/>
      <c r="E885" s="29" t="n"/>
      <c r="F885" s="6" t="n"/>
      <c r="G885" s="25" t="n"/>
      <c r="H885" s="27">
        <f>IF(C885="","",IF(G885&lt;&gt;"",G885,IFERROR(INDEX(Clients!$G$5:$G$304,MATCH(C885,Clients!$A$5:$A$304,0)),0)))</f>
        <v/>
      </c>
      <c r="I885" s="25" t="n"/>
      <c r="J885" s="27">
        <f>IF(C885="","",H885+N(I885))</f>
        <v/>
      </c>
      <c r="K885" s="6" t="n"/>
      <c r="L885" s="6" t="n"/>
      <c r="M885" s="25" t="n"/>
      <c r="N885" s="10" t="n"/>
      <c r="O885" s="27">
        <f>IF(C885="","",N(E885)*Settings!$B$8)</f>
        <v/>
      </c>
      <c r="P885" s="27">
        <f>IF(C885="","",N(N885)*Settings!$B$10)</f>
        <v/>
      </c>
      <c r="Q885" s="27">
        <f>IF(C885="","",J885-N(M885)-O885-P885)</f>
        <v/>
      </c>
      <c r="R885" s="6" t="n"/>
    </row>
    <row r="886">
      <c r="A886" s="17">
        <f>IF(B886="","","J-"&amp;TEXT(ROW()-4,"0000"))</f>
        <v/>
      </c>
      <c r="B886" s="26" t="n"/>
      <c r="C886" s="6" t="n"/>
      <c r="D886" s="6" t="n"/>
      <c r="E886" s="29" t="n"/>
      <c r="F886" s="6" t="n"/>
      <c r="G886" s="25" t="n"/>
      <c r="H886" s="30">
        <f>IF(C886="","",IF(G886&lt;&gt;"",G886,IFERROR(INDEX(Clients!$G$5:$G$304,MATCH(C886,Clients!$A$5:$A$304,0)),0)))</f>
        <v/>
      </c>
      <c r="I886" s="25" t="n"/>
      <c r="J886" s="30">
        <f>IF(C886="","",H886+N(I886))</f>
        <v/>
      </c>
      <c r="K886" s="6" t="n"/>
      <c r="L886" s="6" t="n"/>
      <c r="M886" s="25" t="n"/>
      <c r="N886" s="10" t="n"/>
      <c r="O886" s="30">
        <f>IF(C886="","",N(E886)*Settings!$B$8)</f>
        <v/>
      </c>
      <c r="P886" s="30">
        <f>IF(C886="","",N(N886)*Settings!$B$10)</f>
        <v/>
      </c>
      <c r="Q886" s="30">
        <f>IF(C886="","",J886-N(M886)-O886-P886)</f>
        <v/>
      </c>
      <c r="R886" s="6" t="n"/>
    </row>
    <row r="887">
      <c r="A887" s="8">
        <f>IF(B887="","","J-"&amp;TEXT(ROW()-4,"0000"))</f>
        <v/>
      </c>
      <c r="B887" s="26" t="n"/>
      <c r="C887" s="6" t="n"/>
      <c r="D887" s="6" t="n"/>
      <c r="E887" s="29" t="n"/>
      <c r="F887" s="6" t="n"/>
      <c r="G887" s="25" t="n"/>
      <c r="H887" s="27">
        <f>IF(C887="","",IF(G887&lt;&gt;"",G887,IFERROR(INDEX(Clients!$G$5:$G$304,MATCH(C887,Clients!$A$5:$A$304,0)),0)))</f>
        <v/>
      </c>
      <c r="I887" s="25" t="n"/>
      <c r="J887" s="27">
        <f>IF(C887="","",H887+N(I887))</f>
        <v/>
      </c>
      <c r="K887" s="6" t="n"/>
      <c r="L887" s="6" t="n"/>
      <c r="M887" s="25" t="n"/>
      <c r="N887" s="10" t="n"/>
      <c r="O887" s="27">
        <f>IF(C887="","",N(E887)*Settings!$B$8)</f>
        <v/>
      </c>
      <c r="P887" s="27">
        <f>IF(C887="","",N(N887)*Settings!$B$10)</f>
        <v/>
      </c>
      <c r="Q887" s="27">
        <f>IF(C887="","",J887-N(M887)-O887-P887)</f>
        <v/>
      </c>
      <c r="R887" s="6" t="n"/>
    </row>
    <row r="888">
      <c r="A888" s="17">
        <f>IF(B888="","","J-"&amp;TEXT(ROW()-4,"0000"))</f>
        <v/>
      </c>
      <c r="B888" s="26" t="n"/>
      <c r="C888" s="6" t="n"/>
      <c r="D888" s="6" t="n"/>
      <c r="E888" s="29" t="n"/>
      <c r="F888" s="6" t="n"/>
      <c r="G888" s="25" t="n"/>
      <c r="H888" s="30">
        <f>IF(C888="","",IF(G888&lt;&gt;"",G888,IFERROR(INDEX(Clients!$G$5:$G$304,MATCH(C888,Clients!$A$5:$A$304,0)),0)))</f>
        <v/>
      </c>
      <c r="I888" s="25" t="n"/>
      <c r="J888" s="30">
        <f>IF(C888="","",H888+N(I888))</f>
        <v/>
      </c>
      <c r="K888" s="6" t="n"/>
      <c r="L888" s="6" t="n"/>
      <c r="M888" s="25" t="n"/>
      <c r="N888" s="10" t="n"/>
      <c r="O888" s="30">
        <f>IF(C888="","",N(E888)*Settings!$B$8)</f>
        <v/>
      </c>
      <c r="P888" s="30">
        <f>IF(C888="","",N(N888)*Settings!$B$10)</f>
        <v/>
      </c>
      <c r="Q888" s="30">
        <f>IF(C888="","",J888-N(M888)-O888-P888)</f>
        <v/>
      </c>
      <c r="R888" s="6" t="n"/>
    </row>
    <row r="889">
      <c r="A889" s="8">
        <f>IF(B889="","","J-"&amp;TEXT(ROW()-4,"0000"))</f>
        <v/>
      </c>
      <c r="B889" s="26" t="n"/>
      <c r="C889" s="6" t="n"/>
      <c r="D889" s="6" t="n"/>
      <c r="E889" s="29" t="n"/>
      <c r="F889" s="6" t="n"/>
      <c r="G889" s="25" t="n"/>
      <c r="H889" s="27">
        <f>IF(C889="","",IF(G889&lt;&gt;"",G889,IFERROR(INDEX(Clients!$G$5:$G$304,MATCH(C889,Clients!$A$5:$A$304,0)),0)))</f>
        <v/>
      </c>
      <c r="I889" s="25" t="n"/>
      <c r="J889" s="27">
        <f>IF(C889="","",H889+N(I889))</f>
        <v/>
      </c>
      <c r="K889" s="6" t="n"/>
      <c r="L889" s="6" t="n"/>
      <c r="M889" s="25" t="n"/>
      <c r="N889" s="10" t="n"/>
      <c r="O889" s="27">
        <f>IF(C889="","",N(E889)*Settings!$B$8)</f>
        <v/>
      </c>
      <c r="P889" s="27">
        <f>IF(C889="","",N(N889)*Settings!$B$10)</f>
        <v/>
      </c>
      <c r="Q889" s="27">
        <f>IF(C889="","",J889-N(M889)-O889-P889)</f>
        <v/>
      </c>
      <c r="R889" s="6" t="n"/>
    </row>
    <row r="890">
      <c r="A890" s="17">
        <f>IF(B890="","","J-"&amp;TEXT(ROW()-4,"0000"))</f>
        <v/>
      </c>
      <c r="B890" s="26" t="n"/>
      <c r="C890" s="6" t="n"/>
      <c r="D890" s="6" t="n"/>
      <c r="E890" s="29" t="n"/>
      <c r="F890" s="6" t="n"/>
      <c r="G890" s="25" t="n"/>
      <c r="H890" s="30">
        <f>IF(C890="","",IF(G890&lt;&gt;"",G890,IFERROR(INDEX(Clients!$G$5:$G$304,MATCH(C890,Clients!$A$5:$A$304,0)),0)))</f>
        <v/>
      </c>
      <c r="I890" s="25" t="n"/>
      <c r="J890" s="30">
        <f>IF(C890="","",H890+N(I890))</f>
        <v/>
      </c>
      <c r="K890" s="6" t="n"/>
      <c r="L890" s="6" t="n"/>
      <c r="M890" s="25" t="n"/>
      <c r="N890" s="10" t="n"/>
      <c r="O890" s="30">
        <f>IF(C890="","",N(E890)*Settings!$B$8)</f>
        <v/>
      </c>
      <c r="P890" s="30">
        <f>IF(C890="","",N(N890)*Settings!$B$10)</f>
        <v/>
      </c>
      <c r="Q890" s="30">
        <f>IF(C890="","",J890-N(M890)-O890-P890)</f>
        <v/>
      </c>
      <c r="R890" s="6" t="n"/>
    </row>
    <row r="891">
      <c r="A891" s="8">
        <f>IF(B891="","","J-"&amp;TEXT(ROW()-4,"0000"))</f>
        <v/>
      </c>
      <c r="B891" s="26" t="n"/>
      <c r="C891" s="6" t="n"/>
      <c r="D891" s="6" t="n"/>
      <c r="E891" s="29" t="n"/>
      <c r="F891" s="6" t="n"/>
      <c r="G891" s="25" t="n"/>
      <c r="H891" s="27">
        <f>IF(C891="","",IF(G891&lt;&gt;"",G891,IFERROR(INDEX(Clients!$G$5:$G$304,MATCH(C891,Clients!$A$5:$A$304,0)),0)))</f>
        <v/>
      </c>
      <c r="I891" s="25" t="n"/>
      <c r="J891" s="27">
        <f>IF(C891="","",H891+N(I891))</f>
        <v/>
      </c>
      <c r="K891" s="6" t="n"/>
      <c r="L891" s="6" t="n"/>
      <c r="M891" s="25" t="n"/>
      <c r="N891" s="10" t="n"/>
      <c r="O891" s="27">
        <f>IF(C891="","",N(E891)*Settings!$B$8)</f>
        <v/>
      </c>
      <c r="P891" s="27">
        <f>IF(C891="","",N(N891)*Settings!$B$10)</f>
        <v/>
      </c>
      <c r="Q891" s="27">
        <f>IF(C891="","",J891-N(M891)-O891-P891)</f>
        <v/>
      </c>
      <c r="R891" s="6" t="n"/>
    </row>
    <row r="892">
      <c r="A892" s="17">
        <f>IF(B892="","","J-"&amp;TEXT(ROW()-4,"0000"))</f>
        <v/>
      </c>
      <c r="B892" s="26" t="n"/>
      <c r="C892" s="6" t="n"/>
      <c r="D892" s="6" t="n"/>
      <c r="E892" s="29" t="n"/>
      <c r="F892" s="6" t="n"/>
      <c r="G892" s="25" t="n"/>
      <c r="H892" s="30">
        <f>IF(C892="","",IF(G892&lt;&gt;"",G892,IFERROR(INDEX(Clients!$G$5:$G$304,MATCH(C892,Clients!$A$5:$A$304,0)),0)))</f>
        <v/>
      </c>
      <c r="I892" s="25" t="n"/>
      <c r="J892" s="30">
        <f>IF(C892="","",H892+N(I892))</f>
        <v/>
      </c>
      <c r="K892" s="6" t="n"/>
      <c r="L892" s="6" t="n"/>
      <c r="M892" s="25" t="n"/>
      <c r="N892" s="10" t="n"/>
      <c r="O892" s="30">
        <f>IF(C892="","",N(E892)*Settings!$B$8)</f>
        <v/>
      </c>
      <c r="P892" s="30">
        <f>IF(C892="","",N(N892)*Settings!$B$10)</f>
        <v/>
      </c>
      <c r="Q892" s="30">
        <f>IF(C892="","",J892-N(M892)-O892-P892)</f>
        <v/>
      </c>
      <c r="R892" s="6" t="n"/>
    </row>
    <row r="893">
      <c r="A893" s="8">
        <f>IF(B893="","","J-"&amp;TEXT(ROW()-4,"0000"))</f>
        <v/>
      </c>
      <c r="B893" s="26" t="n"/>
      <c r="C893" s="6" t="n"/>
      <c r="D893" s="6" t="n"/>
      <c r="E893" s="29" t="n"/>
      <c r="F893" s="6" t="n"/>
      <c r="G893" s="25" t="n"/>
      <c r="H893" s="27">
        <f>IF(C893="","",IF(G893&lt;&gt;"",G893,IFERROR(INDEX(Clients!$G$5:$G$304,MATCH(C893,Clients!$A$5:$A$304,0)),0)))</f>
        <v/>
      </c>
      <c r="I893" s="25" t="n"/>
      <c r="J893" s="27">
        <f>IF(C893="","",H893+N(I893))</f>
        <v/>
      </c>
      <c r="K893" s="6" t="n"/>
      <c r="L893" s="6" t="n"/>
      <c r="M893" s="25" t="n"/>
      <c r="N893" s="10" t="n"/>
      <c r="O893" s="27">
        <f>IF(C893="","",N(E893)*Settings!$B$8)</f>
        <v/>
      </c>
      <c r="P893" s="27">
        <f>IF(C893="","",N(N893)*Settings!$B$10)</f>
        <v/>
      </c>
      <c r="Q893" s="27">
        <f>IF(C893="","",J893-N(M893)-O893-P893)</f>
        <v/>
      </c>
      <c r="R893" s="6" t="n"/>
    </row>
    <row r="894">
      <c r="A894" s="17">
        <f>IF(B894="","","J-"&amp;TEXT(ROW()-4,"0000"))</f>
        <v/>
      </c>
      <c r="B894" s="26" t="n"/>
      <c r="C894" s="6" t="n"/>
      <c r="D894" s="6" t="n"/>
      <c r="E894" s="29" t="n"/>
      <c r="F894" s="6" t="n"/>
      <c r="G894" s="25" t="n"/>
      <c r="H894" s="30">
        <f>IF(C894="","",IF(G894&lt;&gt;"",G894,IFERROR(INDEX(Clients!$G$5:$G$304,MATCH(C894,Clients!$A$5:$A$304,0)),0)))</f>
        <v/>
      </c>
      <c r="I894" s="25" t="n"/>
      <c r="J894" s="30">
        <f>IF(C894="","",H894+N(I894))</f>
        <v/>
      </c>
      <c r="K894" s="6" t="n"/>
      <c r="L894" s="6" t="n"/>
      <c r="M894" s="25" t="n"/>
      <c r="N894" s="10" t="n"/>
      <c r="O894" s="30">
        <f>IF(C894="","",N(E894)*Settings!$B$8)</f>
        <v/>
      </c>
      <c r="P894" s="30">
        <f>IF(C894="","",N(N894)*Settings!$B$10)</f>
        <v/>
      </c>
      <c r="Q894" s="30">
        <f>IF(C894="","",J894-N(M894)-O894-P894)</f>
        <v/>
      </c>
      <c r="R894" s="6" t="n"/>
    </row>
    <row r="895">
      <c r="A895" s="8">
        <f>IF(B895="","","J-"&amp;TEXT(ROW()-4,"0000"))</f>
        <v/>
      </c>
      <c r="B895" s="26" t="n"/>
      <c r="C895" s="6" t="n"/>
      <c r="D895" s="6" t="n"/>
      <c r="E895" s="29" t="n"/>
      <c r="F895" s="6" t="n"/>
      <c r="G895" s="25" t="n"/>
      <c r="H895" s="27">
        <f>IF(C895="","",IF(G895&lt;&gt;"",G895,IFERROR(INDEX(Clients!$G$5:$G$304,MATCH(C895,Clients!$A$5:$A$304,0)),0)))</f>
        <v/>
      </c>
      <c r="I895" s="25" t="n"/>
      <c r="J895" s="27">
        <f>IF(C895="","",H895+N(I895))</f>
        <v/>
      </c>
      <c r="K895" s="6" t="n"/>
      <c r="L895" s="6" t="n"/>
      <c r="M895" s="25" t="n"/>
      <c r="N895" s="10" t="n"/>
      <c r="O895" s="27">
        <f>IF(C895="","",N(E895)*Settings!$B$8)</f>
        <v/>
      </c>
      <c r="P895" s="27">
        <f>IF(C895="","",N(N895)*Settings!$B$10)</f>
        <v/>
      </c>
      <c r="Q895" s="27">
        <f>IF(C895="","",J895-N(M895)-O895-P895)</f>
        <v/>
      </c>
      <c r="R895" s="6" t="n"/>
    </row>
    <row r="896">
      <c r="A896" s="17">
        <f>IF(B896="","","J-"&amp;TEXT(ROW()-4,"0000"))</f>
        <v/>
      </c>
      <c r="B896" s="26" t="n"/>
      <c r="C896" s="6" t="n"/>
      <c r="D896" s="6" t="n"/>
      <c r="E896" s="29" t="n"/>
      <c r="F896" s="6" t="n"/>
      <c r="G896" s="25" t="n"/>
      <c r="H896" s="30">
        <f>IF(C896="","",IF(G896&lt;&gt;"",G896,IFERROR(INDEX(Clients!$G$5:$G$304,MATCH(C896,Clients!$A$5:$A$304,0)),0)))</f>
        <v/>
      </c>
      <c r="I896" s="25" t="n"/>
      <c r="J896" s="30">
        <f>IF(C896="","",H896+N(I896))</f>
        <v/>
      </c>
      <c r="K896" s="6" t="n"/>
      <c r="L896" s="6" t="n"/>
      <c r="M896" s="25" t="n"/>
      <c r="N896" s="10" t="n"/>
      <c r="O896" s="30">
        <f>IF(C896="","",N(E896)*Settings!$B$8)</f>
        <v/>
      </c>
      <c r="P896" s="30">
        <f>IF(C896="","",N(N896)*Settings!$B$10)</f>
        <v/>
      </c>
      <c r="Q896" s="30">
        <f>IF(C896="","",J896-N(M896)-O896-P896)</f>
        <v/>
      </c>
      <c r="R896" s="6" t="n"/>
    </row>
    <row r="897">
      <c r="A897" s="8">
        <f>IF(B897="","","J-"&amp;TEXT(ROW()-4,"0000"))</f>
        <v/>
      </c>
      <c r="B897" s="26" t="n"/>
      <c r="C897" s="6" t="n"/>
      <c r="D897" s="6" t="n"/>
      <c r="E897" s="29" t="n"/>
      <c r="F897" s="6" t="n"/>
      <c r="G897" s="25" t="n"/>
      <c r="H897" s="27">
        <f>IF(C897="","",IF(G897&lt;&gt;"",G897,IFERROR(INDEX(Clients!$G$5:$G$304,MATCH(C897,Clients!$A$5:$A$304,0)),0)))</f>
        <v/>
      </c>
      <c r="I897" s="25" t="n"/>
      <c r="J897" s="27">
        <f>IF(C897="","",H897+N(I897))</f>
        <v/>
      </c>
      <c r="K897" s="6" t="n"/>
      <c r="L897" s="6" t="n"/>
      <c r="M897" s="25" t="n"/>
      <c r="N897" s="10" t="n"/>
      <c r="O897" s="27">
        <f>IF(C897="","",N(E897)*Settings!$B$8)</f>
        <v/>
      </c>
      <c r="P897" s="27">
        <f>IF(C897="","",N(N897)*Settings!$B$10)</f>
        <v/>
      </c>
      <c r="Q897" s="27">
        <f>IF(C897="","",J897-N(M897)-O897-P897)</f>
        <v/>
      </c>
      <c r="R897" s="6" t="n"/>
    </row>
    <row r="898">
      <c r="A898" s="17">
        <f>IF(B898="","","J-"&amp;TEXT(ROW()-4,"0000"))</f>
        <v/>
      </c>
      <c r="B898" s="26" t="n"/>
      <c r="C898" s="6" t="n"/>
      <c r="D898" s="6" t="n"/>
      <c r="E898" s="29" t="n"/>
      <c r="F898" s="6" t="n"/>
      <c r="G898" s="25" t="n"/>
      <c r="H898" s="30">
        <f>IF(C898="","",IF(G898&lt;&gt;"",G898,IFERROR(INDEX(Clients!$G$5:$G$304,MATCH(C898,Clients!$A$5:$A$304,0)),0)))</f>
        <v/>
      </c>
      <c r="I898" s="25" t="n"/>
      <c r="J898" s="30">
        <f>IF(C898="","",H898+N(I898))</f>
        <v/>
      </c>
      <c r="K898" s="6" t="n"/>
      <c r="L898" s="6" t="n"/>
      <c r="M898" s="25" t="n"/>
      <c r="N898" s="10" t="n"/>
      <c r="O898" s="30">
        <f>IF(C898="","",N(E898)*Settings!$B$8)</f>
        <v/>
      </c>
      <c r="P898" s="30">
        <f>IF(C898="","",N(N898)*Settings!$B$10)</f>
        <v/>
      </c>
      <c r="Q898" s="30">
        <f>IF(C898="","",J898-N(M898)-O898-P898)</f>
        <v/>
      </c>
      <c r="R898" s="6" t="n"/>
    </row>
    <row r="899">
      <c r="A899" s="8">
        <f>IF(B899="","","J-"&amp;TEXT(ROW()-4,"0000"))</f>
        <v/>
      </c>
      <c r="B899" s="26" t="n"/>
      <c r="C899" s="6" t="n"/>
      <c r="D899" s="6" t="n"/>
      <c r="E899" s="29" t="n"/>
      <c r="F899" s="6" t="n"/>
      <c r="G899" s="25" t="n"/>
      <c r="H899" s="27">
        <f>IF(C899="","",IF(G899&lt;&gt;"",G899,IFERROR(INDEX(Clients!$G$5:$G$304,MATCH(C899,Clients!$A$5:$A$304,0)),0)))</f>
        <v/>
      </c>
      <c r="I899" s="25" t="n"/>
      <c r="J899" s="27">
        <f>IF(C899="","",H899+N(I899))</f>
        <v/>
      </c>
      <c r="K899" s="6" t="n"/>
      <c r="L899" s="6" t="n"/>
      <c r="M899" s="25" t="n"/>
      <c r="N899" s="10" t="n"/>
      <c r="O899" s="27">
        <f>IF(C899="","",N(E899)*Settings!$B$8)</f>
        <v/>
      </c>
      <c r="P899" s="27">
        <f>IF(C899="","",N(N899)*Settings!$B$10)</f>
        <v/>
      </c>
      <c r="Q899" s="27">
        <f>IF(C899="","",J899-N(M899)-O899-P899)</f>
        <v/>
      </c>
      <c r="R899" s="6" t="n"/>
    </row>
    <row r="900">
      <c r="A900" s="17">
        <f>IF(B900="","","J-"&amp;TEXT(ROW()-4,"0000"))</f>
        <v/>
      </c>
      <c r="B900" s="26" t="n"/>
      <c r="C900" s="6" t="n"/>
      <c r="D900" s="6" t="n"/>
      <c r="E900" s="29" t="n"/>
      <c r="F900" s="6" t="n"/>
      <c r="G900" s="25" t="n"/>
      <c r="H900" s="30">
        <f>IF(C900="","",IF(G900&lt;&gt;"",G900,IFERROR(INDEX(Clients!$G$5:$G$304,MATCH(C900,Clients!$A$5:$A$304,0)),0)))</f>
        <v/>
      </c>
      <c r="I900" s="25" t="n"/>
      <c r="J900" s="30">
        <f>IF(C900="","",H900+N(I900))</f>
        <v/>
      </c>
      <c r="K900" s="6" t="n"/>
      <c r="L900" s="6" t="n"/>
      <c r="M900" s="25" t="n"/>
      <c r="N900" s="10" t="n"/>
      <c r="O900" s="30">
        <f>IF(C900="","",N(E900)*Settings!$B$8)</f>
        <v/>
      </c>
      <c r="P900" s="30">
        <f>IF(C900="","",N(N900)*Settings!$B$10)</f>
        <v/>
      </c>
      <c r="Q900" s="30">
        <f>IF(C900="","",J900-N(M900)-O900-P900)</f>
        <v/>
      </c>
      <c r="R900" s="6" t="n"/>
    </row>
    <row r="901">
      <c r="A901" s="8">
        <f>IF(B901="","","J-"&amp;TEXT(ROW()-4,"0000"))</f>
        <v/>
      </c>
      <c r="B901" s="26" t="n"/>
      <c r="C901" s="6" t="n"/>
      <c r="D901" s="6" t="n"/>
      <c r="E901" s="29" t="n"/>
      <c r="F901" s="6" t="n"/>
      <c r="G901" s="25" t="n"/>
      <c r="H901" s="27">
        <f>IF(C901="","",IF(G901&lt;&gt;"",G901,IFERROR(INDEX(Clients!$G$5:$G$304,MATCH(C901,Clients!$A$5:$A$304,0)),0)))</f>
        <v/>
      </c>
      <c r="I901" s="25" t="n"/>
      <c r="J901" s="27">
        <f>IF(C901="","",H901+N(I901))</f>
        <v/>
      </c>
      <c r="K901" s="6" t="n"/>
      <c r="L901" s="6" t="n"/>
      <c r="M901" s="25" t="n"/>
      <c r="N901" s="10" t="n"/>
      <c r="O901" s="27">
        <f>IF(C901="","",N(E901)*Settings!$B$8)</f>
        <v/>
      </c>
      <c r="P901" s="27">
        <f>IF(C901="","",N(N901)*Settings!$B$10)</f>
        <v/>
      </c>
      <c r="Q901" s="27">
        <f>IF(C901="","",J901-N(M901)-O901-P901)</f>
        <v/>
      </c>
      <c r="R901" s="6" t="n"/>
    </row>
    <row r="902">
      <c r="A902" s="17">
        <f>IF(B902="","","J-"&amp;TEXT(ROW()-4,"0000"))</f>
        <v/>
      </c>
      <c r="B902" s="26" t="n"/>
      <c r="C902" s="6" t="n"/>
      <c r="D902" s="6" t="n"/>
      <c r="E902" s="29" t="n"/>
      <c r="F902" s="6" t="n"/>
      <c r="G902" s="25" t="n"/>
      <c r="H902" s="30">
        <f>IF(C902="","",IF(G902&lt;&gt;"",G902,IFERROR(INDEX(Clients!$G$5:$G$304,MATCH(C902,Clients!$A$5:$A$304,0)),0)))</f>
        <v/>
      </c>
      <c r="I902" s="25" t="n"/>
      <c r="J902" s="30">
        <f>IF(C902="","",H902+N(I902))</f>
        <v/>
      </c>
      <c r="K902" s="6" t="n"/>
      <c r="L902" s="6" t="n"/>
      <c r="M902" s="25" t="n"/>
      <c r="N902" s="10" t="n"/>
      <c r="O902" s="30">
        <f>IF(C902="","",N(E902)*Settings!$B$8)</f>
        <v/>
      </c>
      <c r="P902" s="30">
        <f>IF(C902="","",N(N902)*Settings!$B$10)</f>
        <v/>
      </c>
      <c r="Q902" s="30">
        <f>IF(C902="","",J902-N(M902)-O902-P902)</f>
        <v/>
      </c>
      <c r="R902" s="6" t="n"/>
    </row>
    <row r="903">
      <c r="A903" s="8">
        <f>IF(B903="","","J-"&amp;TEXT(ROW()-4,"0000"))</f>
        <v/>
      </c>
      <c r="B903" s="26" t="n"/>
      <c r="C903" s="6" t="n"/>
      <c r="D903" s="6" t="n"/>
      <c r="E903" s="29" t="n"/>
      <c r="F903" s="6" t="n"/>
      <c r="G903" s="25" t="n"/>
      <c r="H903" s="27">
        <f>IF(C903="","",IF(G903&lt;&gt;"",G903,IFERROR(INDEX(Clients!$G$5:$G$304,MATCH(C903,Clients!$A$5:$A$304,0)),0)))</f>
        <v/>
      </c>
      <c r="I903" s="25" t="n"/>
      <c r="J903" s="27">
        <f>IF(C903="","",H903+N(I903))</f>
        <v/>
      </c>
      <c r="K903" s="6" t="n"/>
      <c r="L903" s="6" t="n"/>
      <c r="M903" s="25" t="n"/>
      <c r="N903" s="10" t="n"/>
      <c r="O903" s="27">
        <f>IF(C903="","",N(E903)*Settings!$B$8)</f>
        <v/>
      </c>
      <c r="P903" s="27">
        <f>IF(C903="","",N(N903)*Settings!$B$10)</f>
        <v/>
      </c>
      <c r="Q903" s="27">
        <f>IF(C903="","",J903-N(M903)-O903-P903)</f>
        <v/>
      </c>
      <c r="R903" s="6" t="n"/>
    </row>
    <row r="904">
      <c r="A904" s="17">
        <f>IF(B904="","","J-"&amp;TEXT(ROW()-4,"0000"))</f>
        <v/>
      </c>
      <c r="B904" s="26" t="n"/>
      <c r="C904" s="6" t="n"/>
      <c r="D904" s="6" t="n"/>
      <c r="E904" s="29" t="n"/>
      <c r="F904" s="6" t="n"/>
      <c r="G904" s="25" t="n"/>
      <c r="H904" s="30">
        <f>IF(C904="","",IF(G904&lt;&gt;"",G904,IFERROR(INDEX(Clients!$G$5:$G$304,MATCH(C904,Clients!$A$5:$A$304,0)),0)))</f>
        <v/>
      </c>
      <c r="I904" s="25" t="n"/>
      <c r="J904" s="30">
        <f>IF(C904="","",H904+N(I904))</f>
        <v/>
      </c>
      <c r="K904" s="6" t="n"/>
      <c r="L904" s="6" t="n"/>
      <c r="M904" s="25" t="n"/>
      <c r="N904" s="10" t="n"/>
      <c r="O904" s="30">
        <f>IF(C904="","",N(E904)*Settings!$B$8)</f>
        <v/>
      </c>
      <c r="P904" s="30">
        <f>IF(C904="","",N(N904)*Settings!$B$10)</f>
        <v/>
      </c>
      <c r="Q904" s="30">
        <f>IF(C904="","",J904-N(M904)-O904-P904)</f>
        <v/>
      </c>
      <c r="R904" s="6" t="n"/>
    </row>
    <row r="905">
      <c r="A905" s="8">
        <f>IF(B905="","","J-"&amp;TEXT(ROW()-4,"0000"))</f>
        <v/>
      </c>
      <c r="B905" s="26" t="n"/>
      <c r="C905" s="6" t="n"/>
      <c r="D905" s="6" t="n"/>
      <c r="E905" s="29" t="n"/>
      <c r="F905" s="6" t="n"/>
      <c r="G905" s="25" t="n"/>
      <c r="H905" s="27">
        <f>IF(C905="","",IF(G905&lt;&gt;"",G905,IFERROR(INDEX(Clients!$G$5:$G$304,MATCH(C905,Clients!$A$5:$A$304,0)),0)))</f>
        <v/>
      </c>
      <c r="I905" s="25" t="n"/>
      <c r="J905" s="27">
        <f>IF(C905="","",H905+N(I905))</f>
        <v/>
      </c>
      <c r="K905" s="6" t="n"/>
      <c r="L905" s="6" t="n"/>
      <c r="M905" s="25" t="n"/>
      <c r="N905" s="10" t="n"/>
      <c r="O905" s="27">
        <f>IF(C905="","",N(E905)*Settings!$B$8)</f>
        <v/>
      </c>
      <c r="P905" s="27">
        <f>IF(C905="","",N(N905)*Settings!$B$10)</f>
        <v/>
      </c>
      <c r="Q905" s="27">
        <f>IF(C905="","",J905-N(M905)-O905-P905)</f>
        <v/>
      </c>
      <c r="R905" s="6" t="n"/>
    </row>
    <row r="906">
      <c r="A906" s="17">
        <f>IF(B906="","","J-"&amp;TEXT(ROW()-4,"0000"))</f>
        <v/>
      </c>
      <c r="B906" s="26" t="n"/>
      <c r="C906" s="6" t="n"/>
      <c r="D906" s="6" t="n"/>
      <c r="E906" s="29" t="n"/>
      <c r="F906" s="6" t="n"/>
      <c r="G906" s="25" t="n"/>
      <c r="H906" s="30">
        <f>IF(C906="","",IF(G906&lt;&gt;"",G906,IFERROR(INDEX(Clients!$G$5:$G$304,MATCH(C906,Clients!$A$5:$A$304,0)),0)))</f>
        <v/>
      </c>
      <c r="I906" s="25" t="n"/>
      <c r="J906" s="30">
        <f>IF(C906="","",H906+N(I906))</f>
        <v/>
      </c>
      <c r="K906" s="6" t="n"/>
      <c r="L906" s="6" t="n"/>
      <c r="M906" s="25" t="n"/>
      <c r="N906" s="10" t="n"/>
      <c r="O906" s="30">
        <f>IF(C906="","",N(E906)*Settings!$B$8)</f>
        <v/>
      </c>
      <c r="P906" s="30">
        <f>IF(C906="","",N(N906)*Settings!$B$10)</f>
        <v/>
      </c>
      <c r="Q906" s="30">
        <f>IF(C906="","",J906-N(M906)-O906-P906)</f>
        <v/>
      </c>
      <c r="R906" s="6" t="n"/>
    </row>
    <row r="907">
      <c r="A907" s="8">
        <f>IF(B907="","","J-"&amp;TEXT(ROW()-4,"0000"))</f>
        <v/>
      </c>
      <c r="B907" s="26" t="n"/>
      <c r="C907" s="6" t="n"/>
      <c r="D907" s="6" t="n"/>
      <c r="E907" s="29" t="n"/>
      <c r="F907" s="6" t="n"/>
      <c r="G907" s="25" t="n"/>
      <c r="H907" s="27">
        <f>IF(C907="","",IF(G907&lt;&gt;"",G907,IFERROR(INDEX(Clients!$G$5:$G$304,MATCH(C907,Clients!$A$5:$A$304,0)),0)))</f>
        <v/>
      </c>
      <c r="I907" s="25" t="n"/>
      <c r="J907" s="27">
        <f>IF(C907="","",H907+N(I907))</f>
        <v/>
      </c>
      <c r="K907" s="6" t="n"/>
      <c r="L907" s="6" t="n"/>
      <c r="M907" s="25" t="n"/>
      <c r="N907" s="10" t="n"/>
      <c r="O907" s="27">
        <f>IF(C907="","",N(E907)*Settings!$B$8)</f>
        <v/>
      </c>
      <c r="P907" s="27">
        <f>IF(C907="","",N(N907)*Settings!$B$10)</f>
        <v/>
      </c>
      <c r="Q907" s="27">
        <f>IF(C907="","",J907-N(M907)-O907-P907)</f>
        <v/>
      </c>
      <c r="R907" s="6" t="n"/>
    </row>
    <row r="908">
      <c r="A908" s="17">
        <f>IF(B908="","","J-"&amp;TEXT(ROW()-4,"0000"))</f>
        <v/>
      </c>
      <c r="B908" s="26" t="n"/>
      <c r="C908" s="6" t="n"/>
      <c r="D908" s="6" t="n"/>
      <c r="E908" s="29" t="n"/>
      <c r="F908" s="6" t="n"/>
      <c r="G908" s="25" t="n"/>
      <c r="H908" s="30">
        <f>IF(C908="","",IF(G908&lt;&gt;"",G908,IFERROR(INDEX(Clients!$G$5:$G$304,MATCH(C908,Clients!$A$5:$A$304,0)),0)))</f>
        <v/>
      </c>
      <c r="I908" s="25" t="n"/>
      <c r="J908" s="30">
        <f>IF(C908="","",H908+N(I908))</f>
        <v/>
      </c>
      <c r="K908" s="6" t="n"/>
      <c r="L908" s="6" t="n"/>
      <c r="M908" s="25" t="n"/>
      <c r="N908" s="10" t="n"/>
      <c r="O908" s="30">
        <f>IF(C908="","",N(E908)*Settings!$B$8)</f>
        <v/>
      </c>
      <c r="P908" s="30">
        <f>IF(C908="","",N(N908)*Settings!$B$10)</f>
        <v/>
      </c>
      <c r="Q908" s="30">
        <f>IF(C908="","",J908-N(M908)-O908-P908)</f>
        <v/>
      </c>
      <c r="R908" s="6" t="n"/>
    </row>
    <row r="909">
      <c r="A909" s="8">
        <f>IF(B909="","","J-"&amp;TEXT(ROW()-4,"0000"))</f>
        <v/>
      </c>
      <c r="B909" s="26" t="n"/>
      <c r="C909" s="6" t="n"/>
      <c r="D909" s="6" t="n"/>
      <c r="E909" s="29" t="n"/>
      <c r="F909" s="6" t="n"/>
      <c r="G909" s="25" t="n"/>
      <c r="H909" s="27">
        <f>IF(C909="","",IF(G909&lt;&gt;"",G909,IFERROR(INDEX(Clients!$G$5:$G$304,MATCH(C909,Clients!$A$5:$A$304,0)),0)))</f>
        <v/>
      </c>
      <c r="I909" s="25" t="n"/>
      <c r="J909" s="27">
        <f>IF(C909="","",H909+N(I909))</f>
        <v/>
      </c>
      <c r="K909" s="6" t="n"/>
      <c r="L909" s="6" t="n"/>
      <c r="M909" s="25" t="n"/>
      <c r="N909" s="10" t="n"/>
      <c r="O909" s="27">
        <f>IF(C909="","",N(E909)*Settings!$B$8)</f>
        <v/>
      </c>
      <c r="P909" s="27">
        <f>IF(C909="","",N(N909)*Settings!$B$10)</f>
        <v/>
      </c>
      <c r="Q909" s="27">
        <f>IF(C909="","",J909-N(M909)-O909-P909)</f>
        <v/>
      </c>
      <c r="R909" s="6" t="n"/>
    </row>
    <row r="910">
      <c r="A910" s="17">
        <f>IF(B910="","","J-"&amp;TEXT(ROW()-4,"0000"))</f>
        <v/>
      </c>
      <c r="B910" s="26" t="n"/>
      <c r="C910" s="6" t="n"/>
      <c r="D910" s="6" t="n"/>
      <c r="E910" s="29" t="n"/>
      <c r="F910" s="6" t="n"/>
      <c r="G910" s="25" t="n"/>
      <c r="H910" s="30">
        <f>IF(C910="","",IF(G910&lt;&gt;"",G910,IFERROR(INDEX(Clients!$G$5:$G$304,MATCH(C910,Clients!$A$5:$A$304,0)),0)))</f>
        <v/>
      </c>
      <c r="I910" s="25" t="n"/>
      <c r="J910" s="30">
        <f>IF(C910="","",H910+N(I910))</f>
        <v/>
      </c>
      <c r="K910" s="6" t="n"/>
      <c r="L910" s="6" t="n"/>
      <c r="M910" s="25" t="n"/>
      <c r="N910" s="10" t="n"/>
      <c r="O910" s="30">
        <f>IF(C910="","",N(E910)*Settings!$B$8)</f>
        <v/>
      </c>
      <c r="P910" s="30">
        <f>IF(C910="","",N(N910)*Settings!$B$10)</f>
        <v/>
      </c>
      <c r="Q910" s="30">
        <f>IF(C910="","",J910-N(M910)-O910-P910)</f>
        <v/>
      </c>
      <c r="R910" s="6" t="n"/>
    </row>
    <row r="911">
      <c r="A911" s="8">
        <f>IF(B911="","","J-"&amp;TEXT(ROW()-4,"0000"))</f>
        <v/>
      </c>
      <c r="B911" s="26" t="n"/>
      <c r="C911" s="6" t="n"/>
      <c r="D911" s="6" t="n"/>
      <c r="E911" s="29" t="n"/>
      <c r="F911" s="6" t="n"/>
      <c r="G911" s="25" t="n"/>
      <c r="H911" s="27">
        <f>IF(C911="","",IF(G911&lt;&gt;"",G911,IFERROR(INDEX(Clients!$G$5:$G$304,MATCH(C911,Clients!$A$5:$A$304,0)),0)))</f>
        <v/>
      </c>
      <c r="I911" s="25" t="n"/>
      <c r="J911" s="27">
        <f>IF(C911="","",H911+N(I911))</f>
        <v/>
      </c>
      <c r="K911" s="6" t="n"/>
      <c r="L911" s="6" t="n"/>
      <c r="M911" s="25" t="n"/>
      <c r="N911" s="10" t="n"/>
      <c r="O911" s="27">
        <f>IF(C911="","",N(E911)*Settings!$B$8)</f>
        <v/>
      </c>
      <c r="P911" s="27">
        <f>IF(C911="","",N(N911)*Settings!$B$10)</f>
        <v/>
      </c>
      <c r="Q911" s="27">
        <f>IF(C911="","",J911-N(M911)-O911-P911)</f>
        <v/>
      </c>
      <c r="R911" s="6" t="n"/>
    </row>
    <row r="912">
      <c r="A912" s="17">
        <f>IF(B912="","","J-"&amp;TEXT(ROW()-4,"0000"))</f>
        <v/>
      </c>
      <c r="B912" s="26" t="n"/>
      <c r="C912" s="6" t="n"/>
      <c r="D912" s="6" t="n"/>
      <c r="E912" s="29" t="n"/>
      <c r="F912" s="6" t="n"/>
      <c r="G912" s="25" t="n"/>
      <c r="H912" s="30">
        <f>IF(C912="","",IF(G912&lt;&gt;"",G912,IFERROR(INDEX(Clients!$G$5:$G$304,MATCH(C912,Clients!$A$5:$A$304,0)),0)))</f>
        <v/>
      </c>
      <c r="I912" s="25" t="n"/>
      <c r="J912" s="30">
        <f>IF(C912="","",H912+N(I912))</f>
        <v/>
      </c>
      <c r="K912" s="6" t="n"/>
      <c r="L912" s="6" t="n"/>
      <c r="M912" s="25" t="n"/>
      <c r="N912" s="10" t="n"/>
      <c r="O912" s="30">
        <f>IF(C912="","",N(E912)*Settings!$B$8)</f>
        <v/>
      </c>
      <c r="P912" s="30">
        <f>IF(C912="","",N(N912)*Settings!$B$10)</f>
        <v/>
      </c>
      <c r="Q912" s="30">
        <f>IF(C912="","",J912-N(M912)-O912-P912)</f>
        <v/>
      </c>
      <c r="R912" s="6" t="n"/>
    </row>
    <row r="913">
      <c r="A913" s="8">
        <f>IF(B913="","","J-"&amp;TEXT(ROW()-4,"0000"))</f>
        <v/>
      </c>
      <c r="B913" s="26" t="n"/>
      <c r="C913" s="6" t="n"/>
      <c r="D913" s="6" t="n"/>
      <c r="E913" s="29" t="n"/>
      <c r="F913" s="6" t="n"/>
      <c r="G913" s="25" t="n"/>
      <c r="H913" s="27">
        <f>IF(C913="","",IF(G913&lt;&gt;"",G913,IFERROR(INDEX(Clients!$G$5:$G$304,MATCH(C913,Clients!$A$5:$A$304,0)),0)))</f>
        <v/>
      </c>
      <c r="I913" s="25" t="n"/>
      <c r="J913" s="27">
        <f>IF(C913="","",H913+N(I913))</f>
        <v/>
      </c>
      <c r="K913" s="6" t="n"/>
      <c r="L913" s="6" t="n"/>
      <c r="M913" s="25" t="n"/>
      <c r="N913" s="10" t="n"/>
      <c r="O913" s="27">
        <f>IF(C913="","",N(E913)*Settings!$B$8)</f>
        <v/>
      </c>
      <c r="P913" s="27">
        <f>IF(C913="","",N(N913)*Settings!$B$10)</f>
        <v/>
      </c>
      <c r="Q913" s="27">
        <f>IF(C913="","",J913-N(M913)-O913-P913)</f>
        <v/>
      </c>
      <c r="R913" s="6" t="n"/>
    </row>
    <row r="914">
      <c r="A914" s="17">
        <f>IF(B914="","","J-"&amp;TEXT(ROW()-4,"0000"))</f>
        <v/>
      </c>
      <c r="B914" s="26" t="n"/>
      <c r="C914" s="6" t="n"/>
      <c r="D914" s="6" t="n"/>
      <c r="E914" s="29" t="n"/>
      <c r="F914" s="6" t="n"/>
      <c r="G914" s="25" t="n"/>
      <c r="H914" s="30">
        <f>IF(C914="","",IF(G914&lt;&gt;"",G914,IFERROR(INDEX(Clients!$G$5:$G$304,MATCH(C914,Clients!$A$5:$A$304,0)),0)))</f>
        <v/>
      </c>
      <c r="I914" s="25" t="n"/>
      <c r="J914" s="30">
        <f>IF(C914="","",H914+N(I914))</f>
        <v/>
      </c>
      <c r="K914" s="6" t="n"/>
      <c r="L914" s="6" t="n"/>
      <c r="M914" s="25" t="n"/>
      <c r="N914" s="10" t="n"/>
      <c r="O914" s="30">
        <f>IF(C914="","",N(E914)*Settings!$B$8)</f>
        <v/>
      </c>
      <c r="P914" s="30">
        <f>IF(C914="","",N(N914)*Settings!$B$10)</f>
        <v/>
      </c>
      <c r="Q914" s="30">
        <f>IF(C914="","",J914-N(M914)-O914-P914)</f>
        <v/>
      </c>
      <c r="R914" s="6" t="n"/>
    </row>
    <row r="915">
      <c r="A915" s="8">
        <f>IF(B915="","","J-"&amp;TEXT(ROW()-4,"0000"))</f>
        <v/>
      </c>
      <c r="B915" s="26" t="n"/>
      <c r="C915" s="6" t="n"/>
      <c r="D915" s="6" t="n"/>
      <c r="E915" s="29" t="n"/>
      <c r="F915" s="6" t="n"/>
      <c r="G915" s="25" t="n"/>
      <c r="H915" s="27">
        <f>IF(C915="","",IF(G915&lt;&gt;"",G915,IFERROR(INDEX(Clients!$G$5:$G$304,MATCH(C915,Clients!$A$5:$A$304,0)),0)))</f>
        <v/>
      </c>
      <c r="I915" s="25" t="n"/>
      <c r="J915" s="27">
        <f>IF(C915="","",H915+N(I915))</f>
        <v/>
      </c>
      <c r="K915" s="6" t="n"/>
      <c r="L915" s="6" t="n"/>
      <c r="M915" s="25" t="n"/>
      <c r="N915" s="10" t="n"/>
      <c r="O915" s="27">
        <f>IF(C915="","",N(E915)*Settings!$B$8)</f>
        <v/>
      </c>
      <c r="P915" s="27">
        <f>IF(C915="","",N(N915)*Settings!$B$10)</f>
        <v/>
      </c>
      <c r="Q915" s="27">
        <f>IF(C915="","",J915-N(M915)-O915-P915)</f>
        <v/>
      </c>
      <c r="R915" s="6" t="n"/>
    </row>
    <row r="916">
      <c r="A916" s="17">
        <f>IF(B916="","","J-"&amp;TEXT(ROW()-4,"0000"))</f>
        <v/>
      </c>
      <c r="B916" s="26" t="n"/>
      <c r="C916" s="6" t="n"/>
      <c r="D916" s="6" t="n"/>
      <c r="E916" s="29" t="n"/>
      <c r="F916" s="6" t="n"/>
      <c r="G916" s="25" t="n"/>
      <c r="H916" s="30">
        <f>IF(C916="","",IF(G916&lt;&gt;"",G916,IFERROR(INDEX(Clients!$G$5:$G$304,MATCH(C916,Clients!$A$5:$A$304,0)),0)))</f>
        <v/>
      </c>
      <c r="I916" s="25" t="n"/>
      <c r="J916" s="30">
        <f>IF(C916="","",H916+N(I916))</f>
        <v/>
      </c>
      <c r="K916" s="6" t="n"/>
      <c r="L916" s="6" t="n"/>
      <c r="M916" s="25" t="n"/>
      <c r="N916" s="10" t="n"/>
      <c r="O916" s="30">
        <f>IF(C916="","",N(E916)*Settings!$B$8)</f>
        <v/>
      </c>
      <c r="P916" s="30">
        <f>IF(C916="","",N(N916)*Settings!$B$10)</f>
        <v/>
      </c>
      <c r="Q916" s="30">
        <f>IF(C916="","",J916-N(M916)-O916-P916)</f>
        <v/>
      </c>
      <c r="R916" s="6" t="n"/>
    </row>
    <row r="917">
      <c r="A917" s="8">
        <f>IF(B917="","","J-"&amp;TEXT(ROW()-4,"0000"))</f>
        <v/>
      </c>
      <c r="B917" s="26" t="n"/>
      <c r="C917" s="6" t="n"/>
      <c r="D917" s="6" t="n"/>
      <c r="E917" s="29" t="n"/>
      <c r="F917" s="6" t="n"/>
      <c r="G917" s="25" t="n"/>
      <c r="H917" s="27">
        <f>IF(C917="","",IF(G917&lt;&gt;"",G917,IFERROR(INDEX(Clients!$G$5:$G$304,MATCH(C917,Clients!$A$5:$A$304,0)),0)))</f>
        <v/>
      </c>
      <c r="I917" s="25" t="n"/>
      <c r="J917" s="27">
        <f>IF(C917="","",H917+N(I917))</f>
        <v/>
      </c>
      <c r="K917" s="6" t="n"/>
      <c r="L917" s="6" t="n"/>
      <c r="M917" s="25" t="n"/>
      <c r="N917" s="10" t="n"/>
      <c r="O917" s="27">
        <f>IF(C917="","",N(E917)*Settings!$B$8)</f>
        <v/>
      </c>
      <c r="P917" s="27">
        <f>IF(C917="","",N(N917)*Settings!$B$10)</f>
        <v/>
      </c>
      <c r="Q917" s="27">
        <f>IF(C917="","",J917-N(M917)-O917-P917)</f>
        <v/>
      </c>
      <c r="R917" s="6" t="n"/>
    </row>
    <row r="918">
      <c r="A918" s="17">
        <f>IF(B918="","","J-"&amp;TEXT(ROW()-4,"0000"))</f>
        <v/>
      </c>
      <c r="B918" s="26" t="n"/>
      <c r="C918" s="6" t="n"/>
      <c r="D918" s="6" t="n"/>
      <c r="E918" s="29" t="n"/>
      <c r="F918" s="6" t="n"/>
      <c r="G918" s="25" t="n"/>
      <c r="H918" s="30">
        <f>IF(C918="","",IF(G918&lt;&gt;"",G918,IFERROR(INDEX(Clients!$G$5:$G$304,MATCH(C918,Clients!$A$5:$A$304,0)),0)))</f>
        <v/>
      </c>
      <c r="I918" s="25" t="n"/>
      <c r="J918" s="30">
        <f>IF(C918="","",H918+N(I918))</f>
        <v/>
      </c>
      <c r="K918" s="6" t="n"/>
      <c r="L918" s="6" t="n"/>
      <c r="M918" s="25" t="n"/>
      <c r="N918" s="10" t="n"/>
      <c r="O918" s="30">
        <f>IF(C918="","",N(E918)*Settings!$B$8)</f>
        <v/>
      </c>
      <c r="P918" s="30">
        <f>IF(C918="","",N(N918)*Settings!$B$10)</f>
        <v/>
      </c>
      <c r="Q918" s="30">
        <f>IF(C918="","",J918-N(M918)-O918-P918)</f>
        <v/>
      </c>
      <c r="R918" s="6" t="n"/>
    </row>
    <row r="919">
      <c r="A919" s="8">
        <f>IF(B919="","","J-"&amp;TEXT(ROW()-4,"0000"))</f>
        <v/>
      </c>
      <c r="B919" s="26" t="n"/>
      <c r="C919" s="6" t="n"/>
      <c r="D919" s="6" t="n"/>
      <c r="E919" s="29" t="n"/>
      <c r="F919" s="6" t="n"/>
      <c r="G919" s="25" t="n"/>
      <c r="H919" s="27">
        <f>IF(C919="","",IF(G919&lt;&gt;"",G919,IFERROR(INDEX(Clients!$G$5:$G$304,MATCH(C919,Clients!$A$5:$A$304,0)),0)))</f>
        <v/>
      </c>
      <c r="I919" s="25" t="n"/>
      <c r="J919" s="27">
        <f>IF(C919="","",H919+N(I919))</f>
        <v/>
      </c>
      <c r="K919" s="6" t="n"/>
      <c r="L919" s="6" t="n"/>
      <c r="M919" s="25" t="n"/>
      <c r="N919" s="10" t="n"/>
      <c r="O919" s="27">
        <f>IF(C919="","",N(E919)*Settings!$B$8)</f>
        <v/>
      </c>
      <c r="P919" s="27">
        <f>IF(C919="","",N(N919)*Settings!$B$10)</f>
        <v/>
      </c>
      <c r="Q919" s="27">
        <f>IF(C919="","",J919-N(M919)-O919-P919)</f>
        <v/>
      </c>
      <c r="R919" s="6" t="n"/>
    </row>
    <row r="920">
      <c r="A920" s="17">
        <f>IF(B920="","","J-"&amp;TEXT(ROW()-4,"0000"))</f>
        <v/>
      </c>
      <c r="B920" s="26" t="n"/>
      <c r="C920" s="6" t="n"/>
      <c r="D920" s="6" t="n"/>
      <c r="E920" s="29" t="n"/>
      <c r="F920" s="6" t="n"/>
      <c r="G920" s="25" t="n"/>
      <c r="H920" s="30">
        <f>IF(C920="","",IF(G920&lt;&gt;"",G920,IFERROR(INDEX(Clients!$G$5:$G$304,MATCH(C920,Clients!$A$5:$A$304,0)),0)))</f>
        <v/>
      </c>
      <c r="I920" s="25" t="n"/>
      <c r="J920" s="30">
        <f>IF(C920="","",H920+N(I920))</f>
        <v/>
      </c>
      <c r="K920" s="6" t="n"/>
      <c r="L920" s="6" t="n"/>
      <c r="M920" s="25" t="n"/>
      <c r="N920" s="10" t="n"/>
      <c r="O920" s="30">
        <f>IF(C920="","",N(E920)*Settings!$B$8)</f>
        <v/>
      </c>
      <c r="P920" s="30">
        <f>IF(C920="","",N(N920)*Settings!$B$10)</f>
        <v/>
      </c>
      <c r="Q920" s="30">
        <f>IF(C920="","",J920-N(M920)-O920-P920)</f>
        <v/>
      </c>
      <c r="R920" s="6" t="n"/>
    </row>
    <row r="921">
      <c r="A921" s="8">
        <f>IF(B921="","","J-"&amp;TEXT(ROW()-4,"0000"))</f>
        <v/>
      </c>
      <c r="B921" s="26" t="n"/>
      <c r="C921" s="6" t="n"/>
      <c r="D921" s="6" t="n"/>
      <c r="E921" s="29" t="n"/>
      <c r="F921" s="6" t="n"/>
      <c r="G921" s="25" t="n"/>
      <c r="H921" s="27">
        <f>IF(C921="","",IF(G921&lt;&gt;"",G921,IFERROR(INDEX(Clients!$G$5:$G$304,MATCH(C921,Clients!$A$5:$A$304,0)),0)))</f>
        <v/>
      </c>
      <c r="I921" s="25" t="n"/>
      <c r="J921" s="27">
        <f>IF(C921="","",H921+N(I921))</f>
        <v/>
      </c>
      <c r="K921" s="6" t="n"/>
      <c r="L921" s="6" t="n"/>
      <c r="M921" s="25" t="n"/>
      <c r="N921" s="10" t="n"/>
      <c r="O921" s="27">
        <f>IF(C921="","",N(E921)*Settings!$B$8)</f>
        <v/>
      </c>
      <c r="P921" s="27">
        <f>IF(C921="","",N(N921)*Settings!$B$10)</f>
        <v/>
      </c>
      <c r="Q921" s="27">
        <f>IF(C921="","",J921-N(M921)-O921-P921)</f>
        <v/>
      </c>
      <c r="R921" s="6" t="n"/>
    </row>
    <row r="922">
      <c r="A922" s="17">
        <f>IF(B922="","","J-"&amp;TEXT(ROW()-4,"0000"))</f>
        <v/>
      </c>
      <c r="B922" s="26" t="n"/>
      <c r="C922" s="6" t="n"/>
      <c r="D922" s="6" t="n"/>
      <c r="E922" s="29" t="n"/>
      <c r="F922" s="6" t="n"/>
      <c r="G922" s="25" t="n"/>
      <c r="H922" s="30">
        <f>IF(C922="","",IF(G922&lt;&gt;"",G922,IFERROR(INDEX(Clients!$G$5:$G$304,MATCH(C922,Clients!$A$5:$A$304,0)),0)))</f>
        <v/>
      </c>
      <c r="I922" s="25" t="n"/>
      <c r="J922" s="30">
        <f>IF(C922="","",H922+N(I922))</f>
        <v/>
      </c>
      <c r="K922" s="6" t="n"/>
      <c r="L922" s="6" t="n"/>
      <c r="M922" s="25" t="n"/>
      <c r="N922" s="10" t="n"/>
      <c r="O922" s="30">
        <f>IF(C922="","",N(E922)*Settings!$B$8)</f>
        <v/>
      </c>
      <c r="P922" s="30">
        <f>IF(C922="","",N(N922)*Settings!$B$10)</f>
        <v/>
      </c>
      <c r="Q922" s="30">
        <f>IF(C922="","",J922-N(M922)-O922-P922)</f>
        <v/>
      </c>
      <c r="R922" s="6" t="n"/>
    </row>
    <row r="923">
      <c r="A923" s="8">
        <f>IF(B923="","","J-"&amp;TEXT(ROW()-4,"0000"))</f>
        <v/>
      </c>
      <c r="B923" s="26" t="n"/>
      <c r="C923" s="6" t="n"/>
      <c r="D923" s="6" t="n"/>
      <c r="E923" s="29" t="n"/>
      <c r="F923" s="6" t="n"/>
      <c r="G923" s="25" t="n"/>
      <c r="H923" s="27">
        <f>IF(C923="","",IF(G923&lt;&gt;"",G923,IFERROR(INDEX(Clients!$G$5:$G$304,MATCH(C923,Clients!$A$5:$A$304,0)),0)))</f>
        <v/>
      </c>
      <c r="I923" s="25" t="n"/>
      <c r="J923" s="27">
        <f>IF(C923="","",H923+N(I923))</f>
        <v/>
      </c>
      <c r="K923" s="6" t="n"/>
      <c r="L923" s="6" t="n"/>
      <c r="M923" s="25" t="n"/>
      <c r="N923" s="10" t="n"/>
      <c r="O923" s="27">
        <f>IF(C923="","",N(E923)*Settings!$B$8)</f>
        <v/>
      </c>
      <c r="P923" s="27">
        <f>IF(C923="","",N(N923)*Settings!$B$10)</f>
        <v/>
      </c>
      <c r="Q923" s="27">
        <f>IF(C923="","",J923-N(M923)-O923-P923)</f>
        <v/>
      </c>
      <c r="R923" s="6" t="n"/>
    </row>
    <row r="924">
      <c r="A924" s="17">
        <f>IF(B924="","","J-"&amp;TEXT(ROW()-4,"0000"))</f>
        <v/>
      </c>
      <c r="B924" s="26" t="n"/>
      <c r="C924" s="6" t="n"/>
      <c r="D924" s="6" t="n"/>
      <c r="E924" s="29" t="n"/>
      <c r="F924" s="6" t="n"/>
      <c r="G924" s="25" t="n"/>
      <c r="H924" s="30">
        <f>IF(C924="","",IF(G924&lt;&gt;"",G924,IFERROR(INDEX(Clients!$G$5:$G$304,MATCH(C924,Clients!$A$5:$A$304,0)),0)))</f>
        <v/>
      </c>
      <c r="I924" s="25" t="n"/>
      <c r="J924" s="30">
        <f>IF(C924="","",H924+N(I924))</f>
        <v/>
      </c>
      <c r="K924" s="6" t="n"/>
      <c r="L924" s="6" t="n"/>
      <c r="M924" s="25" t="n"/>
      <c r="N924" s="10" t="n"/>
      <c r="O924" s="30">
        <f>IF(C924="","",N(E924)*Settings!$B$8)</f>
        <v/>
      </c>
      <c r="P924" s="30">
        <f>IF(C924="","",N(N924)*Settings!$B$10)</f>
        <v/>
      </c>
      <c r="Q924" s="30">
        <f>IF(C924="","",J924-N(M924)-O924-P924)</f>
        <v/>
      </c>
      <c r="R924" s="6" t="n"/>
    </row>
    <row r="925">
      <c r="A925" s="8">
        <f>IF(B925="","","J-"&amp;TEXT(ROW()-4,"0000"))</f>
        <v/>
      </c>
      <c r="B925" s="26" t="n"/>
      <c r="C925" s="6" t="n"/>
      <c r="D925" s="6" t="n"/>
      <c r="E925" s="29" t="n"/>
      <c r="F925" s="6" t="n"/>
      <c r="G925" s="25" t="n"/>
      <c r="H925" s="27">
        <f>IF(C925="","",IF(G925&lt;&gt;"",G925,IFERROR(INDEX(Clients!$G$5:$G$304,MATCH(C925,Clients!$A$5:$A$304,0)),0)))</f>
        <v/>
      </c>
      <c r="I925" s="25" t="n"/>
      <c r="J925" s="27">
        <f>IF(C925="","",H925+N(I925))</f>
        <v/>
      </c>
      <c r="K925" s="6" t="n"/>
      <c r="L925" s="6" t="n"/>
      <c r="M925" s="25" t="n"/>
      <c r="N925" s="10" t="n"/>
      <c r="O925" s="27">
        <f>IF(C925="","",N(E925)*Settings!$B$8)</f>
        <v/>
      </c>
      <c r="P925" s="27">
        <f>IF(C925="","",N(N925)*Settings!$B$10)</f>
        <v/>
      </c>
      <c r="Q925" s="27">
        <f>IF(C925="","",J925-N(M925)-O925-P925)</f>
        <v/>
      </c>
      <c r="R925" s="6" t="n"/>
    </row>
    <row r="926">
      <c r="A926" s="17">
        <f>IF(B926="","","J-"&amp;TEXT(ROW()-4,"0000"))</f>
        <v/>
      </c>
      <c r="B926" s="26" t="n"/>
      <c r="C926" s="6" t="n"/>
      <c r="D926" s="6" t="n"/>
      <c r="E926" s="29" t="n"/>
      <c r="F926" s="6" t="n"/>
      <c r="G926" s="25" t="n"/>
      <c r="H926" s="30">
        <f>IF(C926="","",IF(G926&lt;&gt;"",G926,IFERROR(INDEX(Clients!$G$5:$G$304,MATCH(C926,Clients!$A$5:$A$304,0)),0)))</f>
        <v/>
      </c>
      <c r="I926" s="25" t="n"/>
      <c r="J926" s="30">
        <f>IF(C926="","",H926+N(I926))</f>
        <v/>
      </c>
      <c r="K926" s="6" t="n"/>
      <c r="L926" s="6" t="n"/>
      <c r="M926" s="25" t="n"/>
      <c r="N926" s="10" t="n"/>
      <c r="O926" s="30">
        <f>IF(C926="","",N(E926)*Settings!$B$8)</f>
        <v/>
      </c>
      <c r="P926" s="30">
        <f>IF(C926="","",N(N926)*Settings!$B$10)</f>
        <v/>
      </c>
      <c r="Q926" s="30">
        <f>IF(C926="","",J926-N(M926)-O926-P926)</f>
        <v/>
      </c>
      <c r="R926" s="6" t="n"/>
    </row>
    <row r="927">
      <c r="A927" s="8">
        <f>IF(B927="","","J-"&amp;TEXT(ROW()-4,"0000"))</f>
        <v/>
      </c>
      <c r="B927" s="26" t="n"/>
      <c r="C927" s="6" t="n"/>
      <c r="D927" s="6" t="n"/>
      <c r="E927" s="29" t="n"/>
      <c r="F927" s="6" t="n"/>
      <c r="G927" s="25" t="n"/>
      <c r="H927" s="27">
        <f>IF(C927="","",IF(G927&lt;&gt;"",G927,IFERROR(INDEX(Clients!$G$5:$G$304,MATCH(C927,Clients!$A$5:$A$304,0)),0)))</f>
        <v/>
      </c>
      <c r="I927" s="25" t="n"/>
      <c r="J927" s="27">
        <f>IF(C927="","",H927+N(I927))</f>
        <v/>
      </c>
      <c r="K927" s="6" t="n"/>
      <c r="L927" s="6" t="n"/>
      <c r="M927" s="25" t="n"/>
      <c r="N927" s="10" t="n"/>
      <c r="O927" s="27">
        <f>IF(C927="","",N(E927)*Settings!$B$8)</f>
        <v/>
      </c>
      <c r="P927" s="27">
        <f>IF(C927="","",N(N927)*Settings!$B$10)</f>
        <v/>
      </c>
      <c r="Q927" s="27">
        <f>IF(C927="","",J927-N(M927)-O927-P927)</f>
        <v/>
      </c>
      <c r="R927" s="6" t="n"/>
    </row>
    <row r="928">
      <c r="A928" s="17">
        <f>IF(B928="","","J-"&amp;TEXT(ROW()-4,"0000"))</f>
        <v/>
      </c>
      <c r="B928" s="26" t="n"/>
      <c r="C928" s="6" t="n"/>
      <c r="D928" s="6" t="n"/>
      <c r="E928" s="29" t="n"/>
      <c r="F928" s="6" t="n"/>
      <c r="G928" s="25" t="n"/>
      <c r="H928" s="30">
        <f>IF(C928="","",IF(G928&lt;&gt;"",G928,IFERROR(INDEX(Clients!$G$5:$G$304,MATCH(C928,Clients!$A$5:$A$304,0)),0)))</f>
        <v/>
      </c>
      <c r="I928" s="25" t="n"/>
      <c r="J928" s="30">
        <f>IF(C928="","",H928+N(I928))</f>
        <v/>
      </c>
      <c r="K928" s="6" t="n"/>
      <c r="L928" s="6" t="n"/>
      <c r="M928" s="25" t="n"/>
      <c r="N928" s="10" t="n"/>
      <c r="O928" s="30">
        <f>IF(C928="","",N(E928)*Settings!$B$8)</f>
        <v/>
      </c>
      <c r="P928" s="30">
        <f>IF(C928="","",N(N928)*Settings!$B$10)</f>
        <v/>
      </c>
      <c r="Q928" s="30">
        <f>IF(C928="","",J928-N(M928)-O928-P928)</f>
        <v/>
      </c>
      <c r="R928" s="6" t="n"/>
    </row>
    <row r="929">
      <c r="A929" s="8">
        <f>IF(B929="","","J-"&amp;TEXT(ROW()-4,"0000"))</f>
        <v/>
      </c>
      <c r="B929" s="26" t="n"/>
      <c r="C929" s="6" t="n"/>
      <c r="D929" s="6" t="n"/>
      <c r="E929" s="29" t="n"/>
      <c r="F929" s="6" t="n"/>
      <c r="G929" s="25" t="n"/>
      <c r="H929" s="27">
        <f>IF(C929="","",IF(G929&lt;&gt;"",G929,IFERROR(INDEX(Clients!$G$5:$G$304,MATCH(C929,Clients!$A$5:$A$304,0)),0)))</f>
        <v/>
      </c>
      <c r="I929" s="25" t="n"/>
      <c r="J929" s="27">
        <f>IF(C929="","",H929+N(I929))</f>
        <v/>
      </c>
      <c r="K929" s="6" t="n"/>
      <c r="L929" s="6" t="n"/>
      <c r="M929" s="25" t="n"/>
      <c r="N929" s="10" t="n"/>
      <c r="O929" s="27">
        <f>IF(C929="","",N(E929)*Settings!$B$8)</f>
        <v/>
      </c>
      <c r="P929" s="27">
        <f>IF(C929="","",N(N929)*Settings!$B$10)</f>
        <v/>
      </c>
      <c r="Q929" s="27">
        <f>IF(C929="","",J929-N(M929)-O929-P929)</f>
        <v/>
      </c>
      <c r="R929" s="6" t="n"/>
    </row>
    <row r="930">
      <c r="A930" s="17">
        <f>IF(B930="","","J-"&amp;TEXT(ROW()-4,"0000"))</f>
        <v/>
      </c>
      <c r="B930" s="26" t="n"/>
      <c r="C930" s="6" t="n"/>
      <c r="D930" s="6" t="n"/>
      <c r="E930" s="29" t="n"/>
      <c r="F930" s="6" t="n"/>
      <c r="G930" s="25" t="n"/>
      <c r="H930" s="30">
        <f>IF(C930="","",IF(G930&lt;&gt;"",G930,IFERROR(INDEX(Clients!$G$5:$G$304,MATCH(C930,Clients!$A$5:$A$304,0)),0)))</f>
        <v/>
      </c>
      <c r="I930" s="25" t="n"/>
      <c r="J930" s="30">
        <f>IF(C930="","",H930+N(I930))</f>
        <v/>
      </c>
      <c r="K930" s="6" t="n"/>
      <c r="L930" s="6" t="n"/>
      <c r="M930" s="25" t="n"/>
      <c r="N930" s="10" t="n"/>
      <c r="O930" s="30">
        <f>IF(C930="","",N(E930)*Settings!$B$8)</f>
        <v/>
      </c>
      <c r="P930" s="30">
        <f>IF(C930="","",N(N930)*Settings!$B$10)</f>
        <v/>
      </c>
      <c r="Q930" s="30">
        <f>IF(C930="","",J930-N(M930)-O930-P930)</f>
        <v/>
      </c>
      <c r="R930" s="6" t="n"/>
    </row>
    <row r="931">
      <c r="A931" s="8">
        <f>IF(B931="","","J-"&amp;TEXT(ROW()-4,"0000"))</f>
        <v/>
      </c>
      <c r="B931" s="26" t="n"/>
      <c r="C931" s="6" t="n"/>
      <c r="D931" s="6" t="n"/>
      <c r="E931" s="29" t="n"/>
      <c r="F931" s="6" t="n"/>
      <c r="G931" s="25" t="n"/>
      <c r="H931" s="27">
        <f>IF(C931="","",IF(G931&lt;&gt;"",G931,IFERROR(INDEX(Clients!$G$5:$G$304,MATCH(C931,Clients!$A$5:$A$304,0)),0)))</f>
        <v/>
      </c>
      <c r="I931" s="25" t="n"/>
      <c r="J931" s="27">
        <f>IF(C931="","",H931+N(I931))</f>
        <v/>
      </c>
      <c r="K931" s="6" t="n"/>
      <c r="L931" s="6" t="n"/>
      <c r="M931" s="25" t="n"/>
      <c r="N931" s="10" t="n"/>
      <c r="O931" s="27">
        <f>IF(C931="","",N(E931)*Settings!$B$8)</f>
        <v/>
      </c>
      <c r="P931" s="27">
        <f>IF(C931="","",N(N931)*Settings!$B$10)</f>
        <v/>
      </c>
      <c r="Q931" s="27">
        <f>IF(C931="","",J931-N(M931)-O931-P931)</f>
        <v/>
      </c>
      <c r="R931" s="6" t="n"/>
    </row>
    <row r="932">
      <c r="A932" s="17">
        <f>IF(B932="","","J-"&amp;TEXT(ROW()-4,"0000"))</f>
        <v/>
      </c>
      <c r="B932" s="26" t="n"/>
      <c r="C932" s="6" t="n"/>
      <c r="D932" s="6" t="n"/>
      <c r="E932" s="29" t="n"/>
      <c r="F932" s="6" t="n"/>
      <c r="G932" s="25" t="n"/>
      <c r="H932" s="30">
        <f>IF(C932="","",IF(G932&lt;&gt;"",G932,IFERROR(INDEX(Clients!$G$5:$G$304,MATCH(C932,Clients!$A$5:$A$304,0)),0)))</f>
        <v/>
      </c>
      <c r="I932" s="25" t="n"/>
      <c r="J932" s="30">
        <f>IF(C932="","",H932+N(I932))</f>
        <v/>
      </c>
      <c r="K932" s="6" t="n"/>
      <c r="L932" s="6" t="n"/>
      <c r="M932" s="25" t="n"/>
      <c r="N932" s="10" t="n"/>
      <c r="O932" s="30">
        <f>IF(C932="","",N(E932)*Settings!$B$8)</f>
        <v/>
      </c>
      <c r="P932" s="30">
        <f>IF(C932="","",N(N932)*Settings!$B$10)</f>
        <v/>
      </c>
      <c r="Q932" s="30">
        <f>IF(C932="","",J932-N(M932)-O932-P932)</f>
        <v/>
      </c>
      <c r="R932" s="6" t="n"/>
    </row>
    <row r="933">
      <c r="A933" s="8">
        <f>IF(B933="","","J-"&amp;TEXT(ROW()-4,"0000"))</f>
        <v/>
      </c>
      <c r="B933" s="26" t="n"/>
      <c r="C933" s="6" t="n"/>
      <c r="D933" s="6" t="n"/>
      <c r="E933" s="29" t="n"/>
      <c r="F933" s="6" t="n"/>
      <c r="G933" s="25" t="n"/>
      <c r="H933" s="27">
        <f>IF(C933="","",IF(G933&lt;&gt;"",G933,IFERROR(INDEX(Clients!$G$5:$G$304,MATCH(C933,Clients!$A$5:$A$304,0)),0)))</f>
        <v/>
      </c>
      <c r="I933" s="25" t="n"/>
      <c r="J933" s="27">
        <f>IF(C933="","",H933+N(I933))</f>
        <v/>
      </c>
      <c r="K933" s="6" t="n"/>
      <c r="L933" s="6" t="n"/>
      <c r="M933" s="25" t="n"/>
      <c r="N933" s="10" t="n"/>
      <c r="O933" s="27">
        <f>IF(C933="","",N(E933)*Settings!$B$8)</f>
        <v/>
      </c>
      <c r="P933" s="27">
        <f>IF(C933="","",N(N933)*Settings!$B$10)</f>
        <v/>
      </c>
      <c r="Q933" s="27">
        <f>IF(C933="","",J933-N(M933)-O933-P933)</f>
        <v/>
      </c>
      <c r="R933" s="6" t="n"/>
    </row>
    <row r="934">
      <c r="A934" s="17">
        <f>IF(B934="","","J-"&amp;TEXT(ROW()-4,"0000"))</f>
        <v/>
      </c>
      <c r="B934" s="26" t="n"/>
      <c r="C934" s="6" t="n"/>
      <c r="D934" s="6" t="n"/>
      <c r="E934" s="29" t="n"/>
      <c r="F934" s="6" t="n"/>
      <c r="G934" s="25" t="n"/>
      <c r="H934" s="30">
        <f>IF(C934="","",IF(G934&lt;&gt;"",G934,IFERROR(INDEX(Clients!$G$5:$G$304,MATCH(C934,Clients!$A$5:$A$304,0)),0)))</f>
        <v/>
      </c>
      <c r="I934" s="25" t="n"/>
      <c r="J934" s="30">
        <f>IF(C934="","",H934+N(I934))</f>
        <v/>
      </c>
      <c r="K934" s="6" t="n"/>
      <c r="L934" s="6" t="n"/>
      <c r="M934" s="25" t="n"/>
      <c r="N934" s="10" t="n"/>
      <c r="O934" s="30">
        <f>IF(C934="","",N(E934)*Settings!$B$8)</f>
        <v/>
      </c>
      <c r="P934" s="30">
        <f>IF(C934="","",N(N934)*Settings!$B$10)</f>
        <v/>
      </c>
      <c r="Q934" s="30">
        <f>IF(C934="","",J934-N(M934)-O934-P934)</f>
        <v/>
      </c>
      <c r="R934" s="6" t="n"/>
    </row>
    <row r="935">
      <c r="A935" s="8">
        <f>IF(B935="","","J-"&amp;TEXT(ROW()-4,"0000"))</f>
        <v/>
      </c>
      <c r="B935" s="26" t="n"/>
      <c r="C935" s="6" t="n"/>
      <c r="D935" s="6" t="n"/>
      <c r="E935" s="29" t="n"/>
      <c r="F935" s="6" t="n"/>
      <c r="G935" s="25" t="n"/>
      <c r="H935" s="27">
        <f>IF(C935="","",IF(G935&lt;&gt;"",G935,IFERROR(INDEX(Clients!$G$5:$G$304,MATCH(C935,Clients!$A$5:$A$304,0)),0)))</f>
        <v/>
      </c>
      <c r="I935" s="25" t="n"/>
      <c r="J935" s="27">
        <f>IF(C935="","",H935+N(I935))</f>
        <v/>
      </c>
      <c r="K935" s="6" t="n"/>
      <c r="L935" s="6" t="n"/>
      <c r="M935" s="25" t="n"/>
      <c r="N935" s="10" t="n"/>
      <c r="O935" s="27">
        <f>IF(C935="","",N(E935)*Settings!$B$8)</f>
        <v/>
      </c>
      <c r="P935" s="27">
        <f>IF(C935="","",N(N935)*Settings!$B$10)</f>
        <v/>
      </c>
      <c r="Q935" s="27">
        <f>IF(C935="","",J935-N(M935)-O935-P935)</f>
        <v/>
      </c>
      <c r="R935" s="6" t="n"/>
    </row>
    <row r="936">
      <c r="A936" s="17">
        <f>IF(B936="","","J-"&amp;TEXT(ROW()-4,"0000"))</f>
        <v/>
      </c>
      <c r="B936" s="26" t="n"/>
      <c r="C936" s="6" t="n"/>
      <c r="D936" s="6" t="n"/>
      <c r="E936" s="29" t="n"/>
      <c r="F936" s="6" t="n"/>
      <c r="G936" s="25" t="n"/>
      <c r="H936" s="30">
        <f>IF(C936="","",IF(G936&lt;&gt;"",G936,IFERROR(INDEX(Clients!$G$5:$G$304,MATCH(C936,Clients!$A$5:$A$304,0)),0)))</f>
        <v/>
      </c>
      <c r="I936" s="25" t="n"/>
      <c r="J936" s="30">
        <f>IF(C936="","",H936+N(I936))</f>
        <v/>
      </c>
      <c r="K936" s="6" t="n"/>
      <c r="L936" s="6" t="n"/>
      <c r="M936" s="25" t="n"/>
      <c r="N936" s="10" t="n"/>
      <c r="O936" s="30">
        <f>IF(C936="","",N(E936)*Settings!$B$8)</f>
        <v/>
      </c>
      <c r="P936" s="30">
        <f>IF(C936="","",N(N936)*Settings!$B$10)</f>
        <v/>
      </c>
      <c r="Q936" s="30">
        <f>IF(C936="","",J936-N(M936)-O936-P936)</f>
        <v/>
      </c>
      <c r="R936" s="6" t="n"/>
    </row>
    <row r="937">
      <c r="A937" s="8">
        <f>IF(B937="","","J-"&amp;TEXT(ROW()-4,"0000"))</f>
        <v/>
      </c>
      <c r="B937" s="26" t="n"/>
      <c r="C937" s="6" t="n"/>
      <c r="D937" s="6" t="n"/>
      <c r="E937" s="29" t="n"/>
      <c r="F937" s="6" t="n"/>
      <c r="G937" s="25" t="n"/>
      <c r="H937" s="27">
        <f>IF(C937="","",IF(G937&lt;&gt;"",G937,IFERROR(INDEX(Clients!$G$5:$G$304,MATCH(C937,Clients!$A$5:$A$304,0)),0)))</f>
        <v/>
      </c>
      <c r="I937" s="25" t="n"/>
      <c r="J937" s="27">
        <f>IF(C937="","",H937+N(I937))</f>
        <v/>
      </c>
      <c r="K937" s="6" t="n"/>
      <c r="L937" s="6" t="n"/>
      <c r="M937" s="25" t="n"/>
      <c r="N937" s="10" t="n"/>
      <c r="O937" s="27">
        <f>IF(C937="","",N(E937)*Settings!$B$8)</f>
        <v/>
      </c>
      <c r="P937" s="27">
        <f>IF(C937="","",N(N937)*Settings!$B$10)</f>
        <v/>
      </c>
      <c r="Q937" s="27">
        <f>IF(C937="","",J937-N(M937)-O937-P937)</f>
        <v/>
      </c>
      <c r="R937" s="6" t="n"/>
    </row>
    <row r="938">
      <c r="A938" s="17">
        <f>IF(B938="","","J-"&amp;TEXT(ROW()-4,"0000"))</f>
        <v/>
      </c>
      <c r="B938" s="26" t="n"/>
      <c r="C938" s="6" t="n"/>
      <c r="D938" s="6" t="n"/>
      <c r="E938" s="29" t="n"/>
      <c r="F938" s="6" t="n"/>
      <c r="G938" s="25" t="n"/>
      <c r="H938" s="30">
        <f>IF(C938="","",IF(G938&lt;&gt;"",G938,IFERROR(INDEX(Clients!$G$5:$G$304,MATCH(C938,Clients!$A$5:$A$304,0)),0)))</f>
        <v/>
      </c>
      <c r="I938" s="25" t="n"/>
      <c r="J938" s="30">
        <f>IF(C938="","",H938+N(I938))</f>
        <v/>
      </c>
      <c r="K938" s="6" t="n"/>
      <c r="L938" s="6" t="n"/>
      <c r="M938" s="25" t="n"/>
      <c r="N938" s="10" t="n"/>
      <c r="O938" s="30">
        <f>IF(C938="","",N(E938)*Settings!$B$8)</f>
        <v/>
      </c>
      <c r="P938" s="30">
        <f>IF(C938="","",N(N938)*Settings!$B$10)</f>
        <v/>
      </c>
      <c r="Q938" s="30">
        <f>IF(C938="","",J938-N(M938)-O938-P938)</f>
        <v/>
      </c>
      <c r="R938" s="6" t="n"/>
    </row>
    <row r="939">
      <c r="A939" s="8">
        <f>IF(B939="","","J-"&amp;TEXT(ROW()-4,"0000"))</f>
        <v/>
      </c>
      <c r="B939" s="26" t="n"/>
      <c r="C939" s="6" t="n"/>
      <c r="D939" s="6" t="n"/>
      <c r="E939" s="29" t="n"/>
      <c r="F939" s="6" t="n"/>
      <c r="G939" s="25" t="n"/>
      <c r="H939" s="27">
        <f>IF(C939="","",IF(G939&lt;&gt;"",G939,IFERROR(INDEX(Clients!$G$5:$G$304,MATCH(C939,Clients!$A$5:$A$304,0)),0)))</f>
        <v/>
      </c>
      <c r="I939" s="25" t="n"/>
      <c r="J939" s="27">
        <f>IF(C939="","",H939+N(I939))</f>
        <v/>
      </c>
      <c r="K939" s="6" t="n"/>
      <c r="L939" s="6" t="n"/>
      <c r="M939" s="25" t="n"/>
      <c r="N939" s="10" t="n"/>
      <c r="O939" s="27">
        <f>IF(C939="","",N(E939)*Settings!$B$8)</f>
        <v/>
      </c>
      <c r="P939" s="27">
        <f>IF(C939="","",N(N939)*Settings!$B$10)</f>
        <v/>
      </c>
      <c r="Q939" s="27">
        <f>IF(C939="","",J939-N(M939)-O939-P939)</f>
        <v/>
      </c>
      <c r="R939" s="6" t="n"/>
    </row>
    <row r="940">
      <c r="A940" s="17">
        <f>IF(B940="","","J-"&amp;TEXT(ROW()-4,"0000"))</f>
        <v/>
      </c>
      <c r="B940" s="26" t="n"/>
      <c r="C940" s="6" t="n"/>
      <c r="D940" s="6" t="n"/>
      <c r="E940" s="29" t="n"/>
      <c r="F940" s="6" t="n"/>
      <c r="G940" s="25" t="n"/>
      <c r="H940" s="30">
        <f>IF(C940="","",IF(G940&lt;&gt;"",G940,IFERROR(INDEX(Clients!$G$5:$G$304,MATCH(C940,Clients!$A$5:$A$304,0)),0)))</f>
        <v/>
      </c>
      <c r="I940" s="25" t="n"/>
      <c r="J940" s="30">
        <f>IF(C940="","",H940+N(I940))</f>
        <v/>
      </c>
      <c r="K940" s="6" t="n"/>
      <c r="L940" s="6" t="n"/>
      <c r="M940" s="25" t="n"/>
      <c r="N940" s="10" t="n"/>
      <c r="O940" s="30">
        <f>IF(C940="","",N(E940)*Settings!$B$8)</f>
        <v/>
      </c>
      <c r="P940" s="30">
        <f>IF(C940="","",N(N940)*Settings!$B$10)</f>
        <v/>
      </c>
      <c r="Q940" s="30">
        <f>IF(C940="","",J940-N(M940)-O940-P940)</f>
        <v/>
      </c>
      <c r="R940" s="6" t="n"/>
    </row>
    <row r="941">
      <c r="A941" s="8">
        <f>IF(B941="","","J-"&amp;TEXT(ROW()-4,"0000"))</f>
        <v/>
      </c>
      <c r="B941" s="26" t="n"/>
      <c r="C941" s="6" t="n"/>
      <c r="D941" s="6" t="n"/>
      <c r="E941" s="29" t="n"/>
      <c r="F941" s="6" t="n"/>
      <c r="G941" s="25" t="n"/>
      <c r="H941" s="27">
        <f>IF(C941="","",IF(G941&lt;&gt;"",G941,IFERROR(INDEX(Clients!$G$5:$G$304,MATCH(C941,Clients!$A$5:$A$304,0)),0)))</f>
        <v/>
      </c>
      <c r="I941" s="25" t="n"/>
      <c r="J941" s="27">
        <f>IF(C941="","",H941+N(I941))</f>
        <v/>
      </c>
      <c r="K941" s="6" t="n"/>
      <c r="L941" s="6" t="n"/>
      <c r="M941" s="25" t="n"/>
      <c r="N941" s="10" t="n"/>
      <c r="O941" s="27">
        <f>IF(C941="","",N(E941)*Settings!$B$8)</f>
        <v/>
      </c>
      <c r="P941" s="27">
        <f>IF(C941="","",N(N941)*Settings!$B$10)</f>
        <v/>
      </c>
      <c r="Q941" s="27">
        <f>IF(C941="","",J941-N(M941)-O941-P941)</f>
        <v/>
      </c>
      <c r="R941" s="6" t="n"/>
    </row>
    <row r="942">
      <c r="A942" s="17">
        <f>IF(B942="","","J-"&amp;TEXT(ROW()-4,"0000"))</f>
        <v/>
      </c>
      <c r="B942" s="26" t="n"/>
      <c r="C942" s="6" t="n"/>
      <c r="D942" s="6" t="n"/>
      <c r="E942" s="29" t="n"/>
      <c r="F942" s="6" t="n"/>
      <c r="G942" s="25" t="n"/>
      <c r="H942" s="30">
        <f>IF(C942="","",IF(G942&lt;&gt;"",G942,IFERROR(INDEX(Clients!$G$5:$G$304,MATCH(C942,Clients!$A$5:$A$304,0)),0)))</f>
        <v/>
      </c>
      <c r="I942" s="25" t="n"/>
      <c r="J942" s="30">
        <f>IF(C942="","",H942+N(I942))</f>
        <v/>
      </c>
      <c r="K942" s="6" t="n"/>
      <c r="L942" s="6" t="n"/>
      <c r="M942" s="25" t="n"/>
      <c r="N942" s="10" t="n"/>
      <c r="O942" s="30">
        <f>IF(C942="","",N(E942)*Settings!$B$8)</f>
        <v/>
      </c>
      <c r="P942" s="30">
        <f>IF(C942="","",N(N942)*Settings!$B$10)</f>
        <v/>
      </c>
      <c r="Q942" s="30">
        <f>IF(C942="","",J942-N(M942)-O942-P942)</f>
        <v/>
      </c>
      <c r="R942" s="6" t="n"/>
    </row>
    <row r="943">
      <c r="A943" s="8">
        <f>IF(B943="","","J-"&amp;TEXT(ROW()-4,"0000"))</f>
        <v/>
      </c>
      <c r="B943" s="26" t="n"/>
      <c r="C943" s="6" t="n"/>
      <c r="D943" s="6" t="n"/>
      <c r="E943" s="29" t="n"/>
      <c r="F943" s="6" t="n"/>
      <c r="G943" s="25" t="n"/>
      <c r="H943" s="27">
        <f>IF(C943="","",IF(G943&lt;&gt;"",G943,IFERROR(INDEX(Clients!$G$5:$G$304,MATCH(C943,Clients!$A$5:$A$304,0)),0)))</f>
        <v/>
      </c>
      <c r="I943" s="25" t="n"/>
      <c r="J943" s="27">
        <f>IF(C943="","",H943+N(I943))</f>
        <v/>
      </c>
      <c r="K943" s="6" t="n"/>
      <c r="L943" s="6" t="n"/>
      <c r="M943" s="25" t="n"/>
      <c r="N943" s="10" t="n"/>
      <c r="O943" s="27">
        <f>IF(C943="","",N(E943)*Settings!$B$8)</f>
        <v/>
      </c>
      <c r="P943" s="27">
        <f>IF(C943="","",N(N943)*Settings!$B$10)</f>
        <v/>
      </c>
      <c r="Q943" s="27">
        <f>IF(C943="","",J943-N(M943)-O943-P943)</f>
        <v/>
      </c>
      <c r="R943" s="6" t="n"/>
    </row>
    <row r="944">
      <c r="A944" s="17">
        <f>IF(B944="","","J-"&amp;TEXT(ROW()-4,"0000"))</f>
        <v/>
      </c>
      <c r="B944" s="26" t="n"/>
      <c r="C944" s="6" t="n"/>
      <c r="D944" s="6" t="n"/>
      <c r="E944" s="29" t="n"/>
      <c r="F944" s="6" t="n"/>
      <c r="G944" s="25" t="n"/>
      <c r="H944" s="30">
        <f>IF(C944="","",IF(G944&lt;&gt;"",G944,IFERROR(INDEX(Clients!$G$5:$G$304,MATCH(C944,Clients!$A$5:$A$304,0)),0)))</f>
        <v/>
      </c>
      <c r="I944" s="25" t="n"/>
      <c r="J944" s="30">
        <f>IF(C944="","",H944+N(I944))</f>
        <v/>
      </c>
      <c r="K944" s="6" t="n"/>
      <c r="L944" s="6" t="n"/>
      <c r="M944" s="25" t="n"/>
      <c r="N944" s="10" t="n"/>
      <c r="O944" s="30">
        <f>IF(C944="","",N(E944)*Settings!$B$8)</f>
        <v/>
      </c>
      <c r="P944" s="30">
        <f>IF(C944="","",N(N944)*Settings!$B$10)</f>
        <v/>
      </c>
      <c r="Q944" s="30">
        <f>IF(C944="","",J944-N(M944)-O944-P944)</f>
        <v/>
      </c>
      <c r="R944" s="6" t="n"/>
    </row>
    <row r="945">
      <c r="A945" s="8">
        <f>IF(B945="","","J-"&amp;TEXT(ROW()-4,"0000"))</f>
        <v/>
      </c>
      <c r="B945" s="26" t="n"/>
      <c r="C945" s="6" t="n"/>
      <c r="D945" s="6" t="n"/>
      <c r="E945" s="29" t="n"/>
      <c r="F945" s="6" t="n"/>
      <c r="G945" s="25" t="n"/>
      <c r="H945" s="27">
        <f>IF(C945="","",IF(G945&lt;&gt;"",G945,IFERROR(INDEX(Clients!$G$5:$G$304,MATCH(C945,Clients!$A$5:$A$304,0)),0)))</f>
        <v/>
      </c>
      <c r="I945" s="25" t="n"/>
      <c r="J945" s="27">
        <f>IF(C945="","",H945+N(I945))</f>
        <v/>
      </c>
      <c r="K945" s="6" t="n"/>
      <c r="L945" s="6" t="n"/>
      <c r="M945" s="25" t="n"/>
      <c r="N945" s="10" t="n"/>
      <c r="O945" s="27">
        <f>IF(C945="","",N(E945)*Settings!$B$8)</f>
        <v/>
      </c>
      <c r="P945" s="27">
        <f>IF(C945="","",N(N945)*Settings!$B$10)</f>
        <v/>
      </c>
      <c r="Q945" s="27">
        <f>IF(C945="","",J945-N(M945)-O945-P945)</f>
        <v/>
      </c>
      <c r="R945" s="6" t="n"/>
    </row>
    <row r="946">
      <c r="A946" s="17">
        <f>IF(B946="","","J-"&amp;TEXT(ROW()-4,"0000"))</f>
        <v/>
      </c>
      <c r="B946" s="26" t="n"/>
      <c r="C946" s="6" t="n"/>
      <c r="D946" s="6" t="n"/>
      <c r="E946" s="29" t="n"/>
      <c r="F946" s="6" t="n"/>
      <c r="G946" s="25" t="n"/>
      <c r="H946" s="30">
        <f>IF(C946="","",IF(G946&lt;&gt;"",G946,IFERROR(INDEX(Clients!$G$5:$G$304,MATCH(C946,Clients!$A$5:$A$304,0)),0)))</f>
        <v/>
      </c>
      <c r="I946" s="25" t="n"/>
      <c r="J946" s="30">
        <f>IF(C946="","",H946+N(I946))</f>
        <v/>
      </c>
      <c r="K946" s="6" t="n"/>
      <c r="L946" s="6" t="n"/>
      <c r="M946" s="25" t="n"/>
      <c r="N946" s="10" t="n"/>
      <c r="O946" s="30">
        <f>IF(C946="","",N(E946)*Settings!$B$8)</f>
        <v/>
      </c>
      <c r="P946" s="30">
        <f>IF(C946="","",N(N946)*Settings!$B$10)</f>
        <v/>
      </c>
      <c r="Q946" s="30">
        <f>IF(C946="","",J946-N(M946)-O946-P946)</f>
        <v/>
      </c>
      <c r="R946" s="6" t="n"/>
    </row>
    <row r="947">
      <c r="A947" s="8">
        <f>IF(B947="","","J-"&amp;TEXT(ROW()-4,"0000"))</f>
        <v/>
      </c>
      <c r="B947" s="26" t="n"/>
      <c r="C947" s="6" t="n"/>
      <c r="D947" s="6" t="n"/>
      <c r="E947" s="29" t="n"/>
      <c r="F947" s="6" t="n"/>
      <c r="G947" s="25" t="n"/>
      <c r="H947" s="27">
        <f>IF(C947="","",IF(G947&lt;&gt;"",G947,IFERROR(INDEX(Clients!$G$5:$G$304,MATCH(C947,Clients!$A$5:$A$304,0)),0)))</f>
        <v/>
      </c>
      <c r="I947" s="25" t="n"/>
      <c r="J947" s="27">
        <f>IF(C947="","",H947+N(I947))</f>
        <v/>
      </c>
      <c r="K947" s="6" t="n"/>
      <c r="L947" s="6" t="n"/>
      <c r="M947" s="25" t="n"/>
      <c r="N947" s="10" t="n"/>
      <c r="O947" s="27">
        <f>IF(C947="","",N(E947)*Settings!$B$8)</f>
        <v/>
      </c>
      <c r="P947" s="27">
        <f>IF(C947="","",N(N947)*Settings!$B$10)</f>
        <v/>
      </c>
      <c r="Q947" s="27">
        <f>IF(C947="","",J947-N(M947)-O947-P947)</f>
        <v/>
      </c>
      <c r="R947" s="6" t="n"/>
    </row>
    <row r="948">
      <c r="A948" s="17">
        <f>IF(B948="","","J-"&amp;TEXT(ROW()-4,"0000"))</f>
        <v/>
      </c>
      <c r="B948" s="26" t="n"/>
      <c r="C948" s="6" t="n"/>
      <c r="D948" s="6" t="n"/>
      <c r="E948" s="29" t="n"/>
      <c r="F948" s="6" t="n"/>
      <c r="G948" s="25" t="n"/>
      <c r="H948" s="30">
        <f>IF(C948="","",IF(G948&lt;&gt;"",G948,IFERROR(INDEX(Clients!$G$5:$G$304,MATCH(C948,Clients!$A$5:$A$304,0)),0)))</f>
        <v/>
      </c>
      <c r="I948" s="25" t="n"/>
      <c r="J948" s="30">
        <f>IF(C948="","",H948+N(I948))</f>
        <v/>
      </c>
      <c r="K948" s="6" t="n"/>
      <c r="L948" s="6" t="n"/>
      <c r="M948" s="25" t="n"/>
      <c r="N948" s="10" t="n"/>
      <c r="O948" s="30">
        <f>IF(C948="","",N(E948)*Settings!$B$8)</f>
        <v/>
      </c>
      <c r="P948" s="30">
        <f>IF(C948="","",N(N948)*Settings!$B$10)</f>
        <v/>
      </c>
      <c r="Q948" s="30">
        <f>IF(C948="","",J948-N(M948)-O948-P948)</f>
        <v/>
      </c>
      <c r="R948" s="6" t="n"/>
    </row>
    <row r="949">
      <c r="A949" s="8">
        <f>IF(B949="","","J-"&amp;TEXT(ROW()-4,"0000"))</f>
        <v/>
      </c>
      <c r="B949" s="26" t="n"/>
      <c r="C949" s="6" t="n"/>
      <c r="D949" s="6" t="n"/>
      <c r="E949" s="29" t="n"/>
      <c r="F949" s="6" t="n"/>
      <c r="G949" s="25" t="n"/>
      <c r="H949" s="27">
        <f>IF(C949="","",IF(G949&lt;&gt;"",G949,IFERROR(INDEX(Clients!$G$5:$G$304,MATCH(C949,Clients!$A$5:$A$304,0)),0)))</f>
        <v/>
      </c>
      <c r="I949" s="25" t="n"/>
      <c r="J949" s="27">
        <f>IF(C949="","",H949+N(I949))</f>
        <v/>
      </c>
      <c r="K949" s="6" t="n"/>
      <c r="L949" s="6" t="n"/>
      <c r="M949" s="25" t="n"/>
      <c r="N949" s="10" t="n"/>
      <c r="O949" s="27">
        <f>IF(C949="","",N(E949)*Settings!$B$8)</f>
        <v/>
      </c>
      <c r="P949" s="27">
        <f>IF(C949="","",N(N949)*Settings!$B$10)</f>
        <v/>
      </c>
      <c r="Q949" s="27">
        <f>IF(C949="","",J949-N(M949)-O949-P949)</f>
        <v/>
      </c>
      <c r="R949" s="6" t="n"/>
    </row>
    <row r="950">
      <c r="A950" s="17">
        <f>IF(B950="","","J-"&amp;TEXT(ROW()-4,"0000"))</f>
        <v/>
      </c>
      <c r="B950" s="26" t="n"/>
      <c r="C950" s="6" t="n"/>
      <c r="D950" s="6" t="n"/>
      <c r="E950" s="29" t="n"/>
      <c r="F950" s="6" t="n"/>
      <c r="G950" s="25" t="n"/>
      <c r="H950" s="30">
        <f>IF(C950="","",IF(G950&lt;&gt;"",G950,IFERROR(INDEX(Clients!$G$5:$G$304,MATCH(C950,Clients!$A$5:$A$304,0)),0)))</f>
        <v/>
      </c>
      <c r="I950" s="25" t="n"/>
      <c r="J950" s="30">
        <f>IF(C950="","",H950+N(I950))</f>
        <v/>
      </c>
      <c r="K950" s="6" t="n"/>
      <c r="L950" s="6" t="n"/>
      <c r="M950" s="25" t="n"/>
      <c r="N950" s="10" t="n"/>
      <c r="O950" s="30">
        <f>IF(C950="","",N(E950)*Settings!$B$8)</f>
        <v/>
      </c>
      <c r="P950" s="30">
        <f>IF(C950="","",N(N950)*Settings!$B$10)</f>
        <v/>
      </c>
      <c r="Q950" s="30">
        <f>IF(C950="","",J950-N(M950)-O950-P950)</f>
        <v/>
      </c>
      <c r="R950" s="6" t="n"/>
    </row>
    <row r="951">
      <c r="A951" s="8">
        <f>IF(B951="","","J-"&amp;TEXT(ROW()-4,"0000"))</f>
        <v/>
      </c>
      <c r="B951" s="26" t="n"/>
      <c r="C951" s="6" t="n"/>
      <c r="D951" s="6" t="n"/>
      <c r="E951" s="29" t="n"/>
      <c r="F951" s="6" t="n"/>
      <c r="G951" s="25" t="n"/>
      <c r="H951" s="27">
        <f>IF(C951="","",IF(G951&lt;&gt;"",G951,IFERROR(INDEX(Clients!$G$5:$G$304,MATCH(C951,Clients!$A$5:$A$304,0)),0)))</f>
        <v/>
      </c>
      <c r="I951" s="25" t="n"/>
      <c r="J951" s="27">
        <f>IF(C951="","",H951+N(I951))</f>
        <v/>
      </c>
      <c r="K951" s="6" t="n"/>
      <c r="L951" s="6" t="n"/>
      <c r="M951" s="25" t="n"/>
      <c r="N951" s="10" t="n"/>
      <c r="O951" s="27">
        <f>IF(C951="","",N(E951)*Settings!$B$8)</f>
        <v/>
      </c>
      <c r="P951" s="27">
        <f>IF(C951="","",N(N951)*Settings!$B$10)</f>
        <v/>
      </c>
      <c r="Q951" s="27">
        <f>IF(C951="","",J951-N(M951)-O951-P951)</f>
        <v/>
      </c>
      <c r="R951" s="6" t="n"/>
    </row>
    <row r="952">
      <c r="A952" s="17">
        <f>IF(B952="","","J-"&amp;TEXT(ROW()-4,"0000"))</f>
        <v/>
      </c>
      <c r="B952" s="26" t="n"/>
      <c r="C952" s="6" t="n"/>
      <c r="D952" s="6" t="n"/>
      <c r="E952" s="29" t="n"/>
      <c r="F952" s="6" t="n"/>
      <c r="G952" s="25" t="n"/>
      <c r="H952" s="30">
        <f>IF(C952="","",IF(G952&lt;&gt;"",G952,IFERROR(INDEX(Clients!$G$5:$G$304,MATCH(C952,Clients!$A$5:$A$304,0)),0)))</f>
        <v/>
      </c>
      <c r="I952" s="25" t="n"/>
      <c r="J952" s="30">
        <f>IF(C952="","",H952+N(I952))</f>
        <v/>
      </c>
      <c r="K952" s="6" t="n"/>
      <c r="L952" s="6" t="n"/>
      <c r="M952" s="25" t="n"/>
      <c r="N952" s="10" t="n"/>
      <c r="O952" s="30">
        <f>IF(C952="","",N(E952)*Settings!$B$8)</f>
        <v/>
      </c>
      <c r="P952" s="30">
        <f>IF(C952="","",N(N952)*Settings!$B$10)</f>
        <v/>
      </c>
      <c r="Q952" s="30">
        <f>IF(C952="","",J952-N(M952)-O952-P952)</f>
        <v/>
      </c>
      <c r="R952" s="6" t="n"/>
    </row>
    <row r="953">
      <c r="A953" s="8">
        <f>IF(B953="","","J-"&amp;TEXT(ROW()-4,"0000"))</f>
        <v/>
      </c>
      <c r="B953" s="26" t="n"/>
      <c r="C953" s="6" t="n"/>
      <c r="D953" s="6" t="n"/>
      <c r="E953" s="29" t="n"/>
      <c r="F953" s="6" t="n"/>
      <c r="G953" s="25" t="n"/>
      <c r="H953" s="27">
        <f>IF(C953="","",IF(G953&lt;&gt;"",G953,IFERROR(INDEX(Clients!$G$5:$G$304,MATCH(C953,Clients!$A$5:$A$304,0)),0)))</f>
        <v/>
      </c>
      <c r="I953" s="25" t="n"/>
      <c r="J953" s="27">
        <f>IF(C953="","",H953+N(I953))</f>
        <v/>
      </c>
      <c r="K953" s="6" t="n"/>
      <c r="L953" s="6" t="n"/>
      <c r="M953" s="25" t="n"/>
      <c r="N953" s="10" t="n"/>
      <c r="O953" s="27">
        <f>IF(C953="","",N(E953)*Settings!$B$8)</f>
        <v/>
      </c>
      <c r="P953" s="27">
        <f>IF(C953="","",N(N953)*Settings!$B$10)</f>
        <v/>
      </c>
      <c r="Q953" s="27">
        <f>IF(C953="","",J953-N(M953)-O953-P953)</f>
        <v/>
      </c>
      <c r="R953" s="6" t="n"/>
    </row>
    <row r="954">
      <c r="A954" s="17">
        <f>IF(B954="","","J-"&amp;TEXT(ROW()-4,"0000"))</f>
        <v/>
      </c>
      <c r="B954" s="26" t="n"/>
      <c r="C954" s="6" t="n"/>
      <c r="D954" s="6" t="n"/>
      <c r="E954" s="29" t="n"/>
      <c r="F954" s="6" t="n"/>
      <c r="G954" s="25" t="n"/>
      <c r="H954" s="30">
        <f>IF(C954="","",IF(G954&lt;&gt;"",G954,IFERROR(INDEX(Clients!$G$5:$G$304,MATCH(C954,Clients!$A$5:$A$304,0)),0)))</f>
        <v/>
      </c>
      <c r="I954" s="25" t="n"/>
      <c r="J954" s="30">
        <f>IF(C954="","",H954+N(I954))</f>
        <v/>
      </c>
      <c r="K954" s="6" t="n"/>
      <c r="L954" s="6" t="n"/>
      <c r="M954" s="25" t="n"/>
      <c r="N954" s="10" t="n"/>
      <c r="O954" s="30">
        <f>IF(C954="","",N(E954)*Settings!$B$8)</f>
        <v/>
      </c>
      <c r="P954" s="30">
        <f>IF(C954="","",N(N954)*Settings!$B$10)</f>
        <v/>
      </c>
      <c r="Q954" s="30">
        <f>IF(C954="","",J954-N(M954)-O954-P954)</f>
        <v/>
      </c>
      <c r="R954" s="6" t="n"/>
    </row>
    <row r="955">
      <c r="A955" s="8">
        <f>IF(B955="","","J-"&amp;TEXT(ROW()-4,"0000"))</f>
        <v/>
      </c>
      <c r="B955" s="26" t="n"/>
      <c r="C955" s="6" t="n"/>
      <c r="D955" s="6" t="n"/>
      <c r="E955" s="29" t="n"/>
      <c r="F955" s="6" t="n"/>
      <c r="G955" s="25" t="n"/>
      <c r="H955" s="27">
        <f>IF(C955="","",IF(G955&lt;&gt;"",G955,IFERROR(INDEX(Clients!$G$5:$G$304,MATCH(C955,Clients!$A$5:$A$304,0)),0)))</f>
        <v/>
      </c>
      <c r="I955" s="25" t="n"/>
      <c r="J955" s="27">
        <f>IF(C955="","",H955+N(I955))</f>
        <v/>
      </c>
      <c r="K955" s="6" t="n"/>
      <c r="L955" s="6" t="n"/>
      <c r="M955" s="25" t="n"/>
      <c r="N955" s="10" t="n"/>
      <c r="O955" s="27">
        <f>IF(C955="","",N(E955)*Settings!$B$8)</f>
        <v/>
      </c>
      <c r="P955" s="27">
        <f>IF(C955="","",N(N955)*Settings!$B$10)</f>
        <v/>
      </c>
      <c r="Q955" s="27">
        <f>IF(C955="","",J955-N(M955)-O955-P955)</f>
        <v/>
      </c>
      <c r="R955" s="6" t="n"/>
    </row>
    <row r="956">
      <c r="A956" s="17">
        <f>IF(B956="","","J-"&amp;TEXT(ROW()-4,"0000"))</f>
        <v/>
      </c>
      <c r="B956" s="26" t="n"/>
      <c r="C956" s="6" t="n"/>
      <c r="D956" s="6" t="n"/>
      <c r="E956" s="29" t="n"/>
      <c r="F956" s="6" t="n"/>
      <c r="G956" s="25" t="n"/>
      <c r="H956" s="30">
        <f>IF(C956="","",IF(G956&lt;&gt;"",G956,IFERROR(INDEX(Clients!$G$5:$G$304,MATCH(C956,Clients!$A$5:$A$304,0)),0)))</f>
        <v/>
      </c>
      <c r="I956" s="25" t="n"/>
      <c r="J956" s="30">
        <f>IF(C956="","",H956+N(I956))</f>
        <v/>
      </c>
      <c r="K956" s="6" t="n"/>
      <c r="L956" s="6" t="n"/>
      <c r="M956" s="25" t="n"/>
      <c r="N956" s="10" t="n"/>
      <c r="O956" s="30">
        <f>IF(C956="","",N(E956)*Settings!$B$8)</f>
        <v/>
      </c>
      <c r="P956" s="30">
        <f>IF(C956="","",N(N956)*Settings!$B$10)</f>
        <v/>
      </c>
      <c r="Q956" s="30">
        <f>IF(C956="","",J956-N(M956)-O956-P956)</f>
        <v/>
      </c>
      <c r="R956" s="6" t="n"/>
    </row>
    <row r="957">
      <c r="A957" s="8">
        <f>IF(B957="","","J-"&amp;TEXT(ROW()-4,"0000"))</f>
        <v/>
      </c>
      <c r="B957" s="26" t="n"/>
      <c r="C957" s="6" t="n"/>
      <c r="D957" s="6" t="n"/>
      <c r="E957" s="29" t="n"/>
      <c r="F957" s="6" t="n"/>
      <c r="G957" s="25" t="n"/>
      <c r="H957" s="27">
        <f>IF(C957="","",IF(G957&lt;&gt;"",G957,IFERROR(INDEX(Clients!$G$5:$G$304,MATCH(C957,Clients!$A$5:$A$304,0)),0)))</f>
        <v/>
      </c>
      <c r="I957" s="25" t="n"/>
      <c r="J957" s="27">
        <f>IF(C957="","",H957+N(I957))</f>
        <v/>
      </c>
      <c r="K957" s="6" t="n"/>
      <c r="L957" s="6" t="n"/>
      <c r="M957" s="25" t="n"/>
      <c r="N957" s="10" t="n"/>
      <c r="O957" s="27">
        <f>IF(C957="","",N(E957)*Settings!$B$8)</f>
        <v/>
      </c>
      <c r="P957" s="27">
        <f>IF(C957="","",N(N957)*Settings!$B$10)</f>
        <v/>
      </c>
      <c r="Q957" s="27">
        <f>IF(C957="","",J957-N(M957)-O957-P957)</f>
        <v/>
      </c>
      <c r="R957" s="6" t="n"/>
    </row>
    <row r="958">
      <c r="A958" s="17">
        <f>IF(B958="","","J-"&amp;TEXT(ROW()-4,"0000"))</f>
        <v/>
      </c>
      <c r="B958" s="26" t="n"/>
      <c r="C958" s="6" t="n"/>
      <c r="D958" s="6" t="n"/>
      <c r="E958" s="29" t="n"/>
      <c r="F958" s="6" t="n"/>
      <c r="G958" s="25" t="n"/>
      <c r="H958" s="30">
        <f>IF(C958="","",IF(G958&lt;&gt;"",G958,IFERROR(INDEX(Clients!$G$5:$G$304,MATCH(C958,Clients!$A$5:$A$304,0)),0)))</f>
        <v/>
      </c>
      <c r="I958" s="25" t="n"/>
      <c r="J958" s="30">
        <f>IF(C958="","",H958+N(I958))</f>
        <v/>
      </c>
      <c r="K958" s="6" t="n"/>
      <c r="L958" s="6" t="n"/>
      <c r="M958" s="25" t="n"/>
      <c r="N958" s="10" t="n"/>
      <c r="O958" s="30">
        <f>IF(C958="","",N(E958)*Settings!$B$8)</f>
        <v/>
      </c>
      <c r="P958" s="30">
        <f>IF(C958="","",N(N958)*Settings!$B$10)</f>
        <v/>
      </c>
      <c r="Q958" s="30">
        <f>IF(C958="","",J958-N(M958)-O958-P958)</f>
        <v/>
      </c>
      <c r="R958" s="6" t="n"/>
    </row>
    <row r="959">
      <c r="A959" s="8">
        <f>IF(B959="","","J-"&amp;TEXT(ROW()-4,"0000"))</f>
        <v/>
      </c>
      <c r="B959" s="26" t="n"/>
      <c r="C959" s="6" t="n"/>
      <c r="D959" s="6" t="n"/>
      <c r="E959" s="29" t="n"/>
      <c r="F959" s="6" t="n"/>
      <c r="G959" s="25" t="n"/>
      <c r="H959" s="27">
        <f>IF(C959="","",IF(G959&lt;&gt;"",G959,IFERROR(INDEX(Clients!$G$5:$G$304,MATCH(C959,Clients!$A$5:$A$304,0)),0)))</f>
        <v/>
      </c>
      <c r="I959" s="25" t="n"/>
      <c r="J959" s="27">
        <f>IF(C959="","",H959+N(I959))</f>
        <v/>
      </c>
      <c r="K959" s="6" t="n"/>
      <c r="L959" s="6" t="n"/>
      <c r="M959" s="25" t="n"/>
      <c r="N959" s="10" t="n"/>
      <c r="O959" s="27">
        <f>IF(C959="","",N(E959)*Settings!$B$8)</f>
        <v/>
      </c>
      <c r="P959" s="27">
        <f>IF(C959="","",N(N959)*Settings!$B$10)</f>
        <v/>
      </c>
      <c r="Q959" s="27">
        <f>IF(C959="","",J959-N(M959)-O959-P959)</f>
        <v/>
      </c>
      <c r="R959" s="6" t="n"/>
    </row>
    <row r="960">
      <c r="A960" s="17">
        <f>IF(B960="","","J-"&amp;TEXT(ROW()-4,"0000"))</f>
        <v/>
      </c>
      <c r="B960" s="26" t="n"/>
      <c r="C960" s="6" t="n"/>
      <c r="D960" s="6" t="n"/>
      <c r="E960" s="29" t="n"/>
      <c r="F960" s="6" t="n"/>
      <c r="G960" s="25" t="n"/>
      <c r="H960" s="30">
        <f>IF(C960="","",IF(G960&lt;&gt;"",G960,IFERROR(INDEX(Clients!$G$5:$G$304,MATCH(C960,Clients!$A$5:$A$304,0)),0)))</f>
        <v/>
      </c>
      <c r="I960" s="25" t="n"/>
      <c r="J960" s="30">
        <f>IF(C960="","",H960+N(I960))</f>
        <v/>
      </c>
      <c r="K960" s="6" t="n"/>
      <c r="L960" s="6" t="n"/>
      <c r="M960" s="25" t="n"/>
      <c r="N960" s="10" t="n"/>
      <c r="O960" s="30">
        <f>IF(C960="","",N(E960)*Settings!$B$8)</f>
        <v/>
      </c>
      <c r="P960" s="30">
        <f>IF(C960="","",N(N960)*Settings!$B$10)</f>
        <v/>
      </c>
      <c r="Q960" s="30">
        <f>IF(C960="","",J960-N(M960)-O960-P960)</f>
        <v/>
      </c>
      <c r="R960" s="6" t="n"/>
    </row>
    <row r="961">
      <c r="A961" s="8">
        <f>IF(B961="","","J-"&amp;TEXT(ROW()-4,"0000"))</f>
        <v/>
      </c>
      <c r="B961" s="26" t="n"/>
      <c r="C961" s="6" t="n"/>
      <c r="D961" s="6" t="n"/>
      <c r="E961" s="29" t="n"/>
      <c r="F961" s="6" t="n"/>
      <c r="G961" s="25" t="n"/>
      <c r="H961" s="27">
        <f>IF(C961="","",IF(G961&lt;&gt;"",G961,IFERROR(INDEX(Clients!$G$5:$G$304,MATCH(C961,Clients!$A$5:$A$304,0)),0)))</f>
        <v/>
      </c>
      <c r="I961" s="25" t="n"/>
      <c r="J961" s="27">
        <f>IF(C961="","",H961+N(I961))</f>
        <v/>
      </c>
      <c r="K961" s="6" t="n"/>
      <c r="L961" s="6" t="n"/>
      <c r="M961" s="25" t="n"/>
      <c r="N961" s="10" t="n"/>
      <c r="O961" s="27">
        <f>IF(C961="","",N(E961)*Settings!$B$8)</f>
        <v/>
      </c>
      <c r="P961" s="27">
        <f>IF(C961="","",N(N961)*Settings!$B$10)</f>
        <v/>
      </c>
      <c r="Q961" s="27">
        <f>IF(C961="","",J961-N(M961)-O961-P961)</f>
        <v/>
      </c>
      <c r="R961" s="6" t="n"/>
    </row>
    <row r="962">
      <c r="A962" s="17">
        <f>IF(B962="","","J-"&amp;TEXT(ROW()-4,"0000"))</f>
        <v/>
      </c>
      <c r="B962" s="26" t="n"/>
      <c r="C962" s="6" t="n"/>
      <c r="D962" s="6" t="n"/>
      <c r="E962" s="29" t="n"/>
      <c r="F962" s="6" t="n"/>
      <c r="G962" s="25" t="n"/>
      <c r="H962" s="30">
        <f>IF(C962="","",IF(G962&lt;&gt;"",G962,IFERROR(INDEX(Clients!$G$5:$G$304,MATCH(C962,Clients!$A$5:$A$304,0)),0)))</f>
        <v/>
      </c>
      <c r="I962" s="25" t="n"/>
      <c r="J962" s="30">
        <f>IF(C962="","",H962+N(I962))</f>
        <v/>
      </c>
      <c r="K962" s="6" t="n"/>
      <c r="L962" s="6" t="n"/>
      <c r="M962" s="25" t="n"/>
      <c r="N962" s="10" t="n"/>
      <c r="O962" s="30">
        <f>IF(C962="","",N(E962)*Settings!$B$8)</f>
        <v/>
      </c>
      <c r="P962" s="30">
        <f>IF(C962="","",N(N962)*Settings!$B$10)</f>
        <v/>
      </c>
      <c r="Q962" s="30">
        <f>IF(C962="","",J962-N(M962)-O962-P962)</f>
        <v/>
      </c>
      <c r="R962" s="6" t="n"/>
    </row>
    <row r="963">
      <c r="A963" s="8">
        <f>IF(B963="","","J-"&amp;TEXT(ROW()-4,"0000"))</f>
        <v/>
      </c>
      <c r="B963" s="26" t="n"/>
      <c r="C963" s="6" t="n"/>
      <c r="D963" s="6" t="n"/>
      <c r="E963" s="29" t="n"/>
      <c r="F963" s="6" t="n"/>
      <c r="G963" s="25" t="n"/>
      <c r="H963" s="27">
        <f>IF(C963="","",IF(G963&lt;&gt;"",G963,IFERROR(INDEX(Clients!$G$5:$G$304,MATCH(C963,Clients!$A$5:$A$304,0)),0)))</f>
        <v/>
      </c>
      <c r="I963" s="25" t="n"/>
      <c r="J963" s="27">
        <f>IF(C963="","",H963+N(I963))</f>
        <v/>
      </c>
      <c r="K963" s="6" t="n"/>
      <c r="L963" s="6" t="n"/>
      <c r="M963" s="25" t="n"/>
      <c r="N963" s="10" t="n"/>
      <c r="O963" s="27">
        <f>IF(C963="","",N(E963)*Settings!$B$8)</f>
        <v/>
      </c>
      <c r="P963" s="27">
        <f>IF(C963="","",N(N963)*Settings!$B$10)</f>
        <v/>
      </c>
      <c r="Q963" s="27">
        <f>IF(C963="","",J963-N(M963)-O963-P963)</f>
        <v/>
      </c>
      <c r="R963" s="6" t="n"/>
    </row>
    <row r="964">
      <c r="A964" s="17">
        <f>IF(B964="","","J-"&amp;TEXT(ROW()-4,"0000"))</f>
        <v/>
      </c>
      <c r="B964" s="26" t="n"/>
      <c r="C964" s="6" t="n"/>
      <c r="D964" s="6" t="n"/>
      <c r="E964" s="29" t="n"/>
      <c r="F964" s="6" t="n"/>
      <c r="G964" s="25" t="n"/>
      <c r="H964" s="30">
        <f>IF(C964="","",IF(G964&lt;&gt;"",G964,IFERROR(INDEX(Clients!$G$5:$G$304,MATCH(C964,Clients!$A$5:$A$304,0)),0)))</f>
        <v/>
      </c>
      <c r="I964" s="25" t="n"/>
      <c r="J964" s="30">
        <f>IF(C964="","",H964+N(I964))</f>
        <v/>
      </c>
      <c r="K964" s="6" t="n"/>
      <c r="L964" s="6" t="n"/>
      <c r="M964" s="25" t="n"/>
      <c r="N964" s="10" t="n"/>
      <c r="O964" s="30">
        <f>IF(C964="","",N(E964)*Settings!$B$8)</f>
        <v/>
      </c>
      <c r="P964" s="30">
        <f>IF(C964="","",N(N964)*Settings!$B$10)</f>
        <v/>
      </c>
      <c r="Q964" s="30">
        <f>IF(C964="","",J964-N(M964)-O964-P964)</f>
        <v/>
      </c>
      <c r="R964" s="6" t="n"/>
    </row>
    <row r="965">
      <c r="A965" s="8">
        <f>IF(B965="","","J-"&amp;TEXT(ROW()-4,"0000"))</f>
        <v/>
      </c>
      <c r="B965" s="26" t="n"/>
      <c r="C965" s="6" t="n"/>
      <c r="D965" s="6" t="n"/>
      <c r="E965" s="29" t="n"/>
      <c r="F965" s="6" t="n"/>
      <c r="G965" s="25" t="n"/>
      <c r="H965" s="27">
        <f>IF(C965="","",IF(G965&lt;&gt;"",G965,IFERROR(INDEX(Clients!$G$5:$G$304,MATCH(C965,Clients!$A$5:$A$304,0)),0)))</f>
        <v/>
      </c>
      <c r="I965" s="25" t="n"/>
      <c r="J965" s="27">
        <f>IF(C965="","",H965+N(I965))</f>
        <v/>
      </c>
      <c r="K965" s="6" t="n"/>
      <c r="L965" s="6" t="n"/>
      <c r="M965" s="25" t="n"/>
      <c r="N965" s="10" t="n"/>
      <c r="O965" s="27">
        <f>IF(C965="","",N(E965)*Settings!$B$8)</f>
        <v/>
      </c>
      <c r="P965" s="27">
        <f>IF(C965="","",N(N965)*Settings!$B$10)</f>
        <v/>
      </c>
      <c r="Q965" s="27">
        <f>IF(C965="","",J965-N(M965)-O965-P965)</f>
        <v/>
      </c>
      <c r="R965" s="6" t="n"/>
    </row>
    <row r="966">
      <c r="A966" s="17">
        <f>IF(B966="","","J-"&amp;TEXT(ROW()-4,"0000"))</f>
        <v/>
      </c>
      <c r="B966" s="26" t="n"/>
      <c r="C966" s="6" t="n"/>
      <c r="D966" s="6" t="n"/>
      <c r="E966" s="29" t="n"/>
      <c r="F966" s="6" t="n"/>
      <c r="G966" s="25" t="n"/>
      <c r="H966" s="30">
        <f>IF(C966="","",IF(G966&lt;&gt;"",G966,IFERROR(INDEX(Clients!$G$5:$G$304,MATCH(C966,Clients!$A$5:$A$304,0)),0)))</f>
        <v/>
      </c>
      <c r="I966" s="25" t="n"/>
      <c r="J966" s="30">
        <f>IF(C966="","",H966+N(I966))</f>
        <v/>
      </c>
      <c r="K966" s="6" t="n"/>
      <c r="L966" s="6" t="n"/>
      <c r="M966" s="25" t="n"/>
      <c r="N966" s="10" t="n"/>
      <c r="O966" s="30">
        <f>IF(C966="","",N(E966)*Settings!$B$8)</f>
        <v/>
      </c>
      <c r="P966" s="30">
        <f>IF(C966="","",N(N966)*Settings!$B$10)</f>
        <v/>
      </c>
      <c r="Q966" s="30">
        <f>IF(C966="","",J966-N(M966)-O966-P966)</f>
        <v/>
      </c>
      <c r="R966" s="6" t="n"/>
    </row>
    <row r="967">
      <c r="A967" s="8">
        <f>IF(B967="","","J-"&amp;TEXT(ROW()-4,"0000"))</f>
        <v/>
      </c>
      <c r="B967" s="26" t="n"/>
      <c r="C967" s="6" t="n"/>
      <c r="D967" s="6" t="n"/>
      <c r="E967" s="29" t="n"/>
      <c r="F967" s="6" t="n"/>
      <c r="G967" s="25" t="n"/>
      <c r="H967" s="27">
        <f>IF(C967="","",IF(G967&lt;&gt;"",G967,IFERROR(INDEX(Clients!$G$5:$G$304,MATCH(C967,Clients!$A$5:$A$304,0)),0)))</f>
        <v/>
      </c>
      <c r="I967" s="25" t="n"/>
      <c r="J967" s="27">
        <f>IF(C967="","",H967+N(I967))</f>
        <v/>
      </c>
      <c r="K967" s="6" t="n"/>
      <c r="L967" s="6" t="n"/>
      <c r="M967" s="25" t="n"/>
      <c r="N967" s="10" t="n"/>
      <c r="O967" s="27">
        <f>IF(C967="","",N(E967)*Settings!$B$8)</f>
        <v/>
      </c>
      <c r="P967" s="27">
        <f>IF(C967="","",N(N967)*Settings!$B$10)</f>
        <v/>
      </c>
      <c r="Q967" s="27">
        <f>IF(C967="","",J967-N(M967)-O967-P967)</f>
        <v/>
      </c>
      <c r="R967" s="6" t="n"/>
    </row>
    <row r="968">
      <c r="A968" s="17">
        <f>IF(B968="","","J-"&amp;TEXT(ROW()-4,"0000"))</f>
        <v/>
      </c>
      <c r="B968" s="26" t="n"/>
      <c r="C968" s="6" t="n"/>
      <c r="D968" s="6" t="n"/>
      <c r="E968" s="29" t="n"/>
      <c r="F968" s="6" t="n"/>
      <c r="G968" s="25" t="n"/>
      <c r="H968" s="30">
        <f>IF(C968="","",IF(G968&lt;&gt;"",G968,IFERROR(INDEX(Clients!$G$5:$G$304,MATCH(C968,Clients!$A$5:$A$304,0)),0)))</f>
        <v/>
      </c>
      <c r="I968" s="25" t="n"/>
      <c r="J968" s="30">
        <f>IF(C968="","",H968+N(I968))</f>
        <v/>
      </c>
      <c r="K968" s="6" t="n"/>
      <c r="L968" s="6" t="n"/>
      <c r="M968" s="25" t="n"/>
      <c r="N968" s="10" t="n"/>
      <c r="O968" s="30">
        <f>IF(C968="","",N(E968)*Settings!$B$8)</f>
        <v/>
      </c>
      <c r="P968" s="30">
        <f>IF(C968="","",N(N968)*Settings!$B$10)</f>
        <v/>
      </c>
      <c r="Q968" s="30">
        <f>IF(C968="","",J968-N(M968)-O968-P968)</f>
        <v/>
      </c>
      <c r="R968" s="6" t="n"/>
    </row>
    <row r="969">
      <c r="A969" s="8">
        <f>IF(B969="","","J-"&amp;TEXT(ROW()-4,"0000"))</f>
        <v/>
      </c>
      <c r="B969" s="26" t="n"/>
      <c r="C969" s="6" t="n"/>
      <c r="D969" s="6" t="n"/>
      <c r="E969" s="29" t="n"/>
      <c r="F969" s="6" t="n"/>
      <c r="G969" s="25" t="n"/>
      <c r="H969" s="27">
        <f>IF(C969="","",IF(G969&lt;&gt;"",G969,IFERROR(INDEX(Clients!$G$5:$G$304,MATCH(C969,Clients!$A$5:$A$304,0)),0)))</f>
        <v/>
      </c>
      <c r="I969" s="25" t="n"/>
      <c r="J969" s="27">
        <f>IF(C969="","",H969+N(I969))</f>
        <v/>
      </c>
      <c r="K969" s="6" t="n"/>
      <c r="L969" s="6" t="n"/>
      <c r="M969" s="25" t="n"/>
      <c r="N969" s="10" t="n"/>
      <c r="O969" s="27">
        <f>IF(C969="","",N(E969)*Settings!$B$8)</f>
        <v/>
      </c>
      <c r="P969" s="27">
        <f>IF(C969="","",N(N969)*Settings!$B$10)</f>
        <v/>
      </c>
      <c r="Q969" s="27">
        <f>IF(C969="","",J969-N(M969)-O969-P969)</f>
        <v/>
      </c>
      <c r="R969" s="6" t="n"/>
    </row>
    <row r="970">
      <c r="A970" s="17">
        <f>IF(B970="","","J-"&amp;TEXT(ROW()-4,"0000"))</f>
        <v/>
      </c>
      <c r="B970" s="26" t="n"/>
      <c r="C970" s="6" t="n"/>
      <c r="D970" s="6" t="n"/>
      <c r="E970" s="29" t="n"/>
      <c r="F970" s="6" t="n"/>
      <c r="G970" s="25" t="n"/>
      <c r="H970" s="30">
        <f>IF(C970="","",IF(G970&lt;&gt;"",G970,IFERROR(INDEX(Clients!$G$5:$G$304,MATCH(C970,Clients!$A$5:$A$304,0)),0)))</f>
        <v/>
      </c>
      <c r="I970" s="25" t="n"/>
      <c r="J970" s="30">
        <f>IF(C970="","",H970+N(I970))</f>
        <v/>
      </c>
      <c r="K970" s="6" t="n"/>
      <c r="L970" s="6" t="n"/>
      <c r="M970" s="25" t="n"/>
      <c r="N970" s="10" t="n"/>
      <c r="O970" s="30">
        <f>IF(C970="","",N(E970)*Settings!$B$8)</f>
        <v/>
      </c>
      <c r="P970" s="30">
        <f>IF(C970="","",N(N970)*Settings!$B$10)</f>
        <v/>
      </c>
      <c r="Q970" s="30">
        <f>IF(C970="","",J970-N(M970)-O970-P970)</f>
        <v/>
      </c>
      <c r="R970" s="6" t="n"/>
    </row>
    <row r="971">
      <c r="A971" s="8">
        <f>IF(B971="","","J-"&amp;TEXT(ROW()-4,"0000"))</f>
        <v/>
      </c>
      <c r="B971" s="26" t="n"/>
      <c r="C971" s="6" t="n"/>
      <c r="D971" s="6" t="n"/>
      <c r="E971" s="29" t="n"/>
      <c r="F971" s="6" t="n"/>
      <c r="G971" s="25" t="n"/>
      <c r="H971" s="27">
        <f>IF(C971="","",IF(G971&lt;&gt;"",G971,IFERROR(INDEX(Clients!$G$5:$G$304,MATCH(C971,Clients!$A$5:$A$304,0)),0)))</f>
        <v/>
      </c>
      <c r="I971" s="25" t="n"/>
      <c r="J971" s="27">
        <f>IF(C971="","",H971+N(I971))</f>
        <v/>
      </c>
      <c r="K971" s="6" t="n"/>
      <c r="L971" s="6" t="n"/>
      <c r="M971" s="25" t="n"/>
      <c r="N971" s="10" t="n"/>
      <c r="O971" s="27">
        <f>IF(C971="","",N(E971)*Settings!$B$8)</f>
        <v/>
      </c>
      <c r="P971" s="27">
        <f>IF(C971="","",N(N971)*Settings!$B$10)</f>
        <v/>
      </c>
      <c r="Q971" s="27">
        <f>IF(C971="","",J971-N(M971)-O971-P971)</f>
        <v/>
      </c>
      <c r="R971" s="6" t="n"/>
    </row>
    <row r="972">
      <c r="A972" s="17">
        <f>IF(B972="","","J-"&amp;TEXT(ROW()-4,"0000"))</f>
        <v/>
      </c>
      <c r="B972" s="26" t="n"/>
      <c r="C972" s="6" t="n"/>
      <c r="D972" s="6" t="n"/>
      <c r="E972" s="29" t="n"/>
      <c r="F972" s="6" t="n"/>
      <c r="G972" s="25" t="n"/>
      <c r="H972" s="30">
        <f>IF(C972="","",IF(G972&lt;&gt;"",G972,IFERROR(INDEX(Clients!$G$5:$G$304,MATCH(C972,Clients!$A$5:$A$304,0)),0)))</f>
        <v/>
      </c>
      <c r="I972" s="25" t="n"/>
      <c r="J972" s="30">
        <f>IF(C972="","",H972+N(I972))</f>
        <v/>
      </c>
      <c r="K972" s="6" t="n"/>
      <c r="L972" s="6" t="n"/>
      <c r="M972" s="25" t="n"/>
      <c r="N972" s="10" t="n"/>
      <c r="O972" s="30">
        <f>IF(C972="","",N(E972)*Settings!$B$8)</f>
        <v/>
      </c>
      <c r="P972" s="30">
        <f>IF(C972="","",N(N972)*Settings!$B$10)</f>
        <v/>
      </c>
      <c r="Q972" s="30">
        <f>IF(C972="","",J972-N(M972)-O972-P972)</f>
        <v/>
      </c>
      <c r="R972" s="6" t="n"/>
    </row>
    <row r="973">
      <c r="A973" s="8">
        <f>IF(B973="","","J-"&amp;TEXT(ROW()-4,"0000"))</f>
        <v/>
      </c>
      <c r="B973" s="26" t="n"/>
      <c r="C973" s="6" t="n"/>
      <c r="D973" s="6" t="n"/>
      <c r="E973" s="29" t="n"/>
      <c r="F973" s="6" t="n"/>
      <c r="G973" s="25" t="n"/>
      <c r="H973" s="27">
        <f>IF(C973="","",IF(G973&lt;&gt;"",G973,IFERROR(INDEX(Clients!$G$5:$G$304,MATCH(C973,Clients!$A$5:$A$304,0)),0)))</f>
        <v/>
      </c>
      <c r="I973" s="25" t="n"/>
      <c r="J973" s="27">
        <f>IF(C973="","",H973+N(I973))</f>
        <v/>
      </c>
      <c r="K973" s="6" t="n"/>
      <c r="L973" s="6" t="n"/>
      <c r="M973" s="25" t="n"/>
      <c r="N973" s="10" t="n"/>
      <c r="O973" s="27">
        <f>IF(C973="","",N(E973)*Settings!$B$8)</f>
        <v/>
      </c>
      <c r="P973" s="27">
        <f>IF(C973="","",N(N973)*Settings!$B$10)</f>
        <v/>
      </c>
      <c r="Q973" s="27">
        <f>IF(C973="","",J973-N(M973)-O973-P973)</f>
        <v/>
      </c>
      <c r="R973" s="6" t="n"/>
    </row>
    <row r="974">
      <c r="A974" s="17">
        <f>IF(B974="","","J-"&amp;TEXT(ROW()-4,"0000"))</f>
        <v/>
      </c>
      <c r="B974" s="26" t="n"/>
      <c r="C974" s="6" t="n"/>
      <c r="D974" s="6" t="n"/>
      <c r="E974" s="29" t="n"/>
      <c r="F974" s="6" t="n"/>
      <c r="G974" s="25" t="n"/>
      <c r="H974" s="30">
        <f>IF(C974="","",IF(G974&lt;&gt;"",G974,IFERROR(INDEX(Clients!$G$5:$G$304,MATCH(C974,Clients!$A$5:$A$304,0)),0)))</f>
        <v/>
      </c>
      <c r="I974" s="25" t="n"/>
      <c r="J974" s="30">
        <f>IF(C974="","",H974+N(I974))</f>
        <v/>
      </c>
      <c r="K974" s="6" t="n"/>
      <c r="L974" s="6" t="n"/>
      <c r="M974" s="25" t="n"/>
      <c r="N974" s="10" t="n"/>
      <c r="O974" s="30">
        <f>IF(C974="","",N(E974)*Settings!$B$8)</f>
        <v/>
      </c>
      <c r="P974" s="30">
        <f>IF(C974="","",N(N974)*Settings!$B$10)</f>
        <v/>
      </c>
      <c r="Q974" s="30">
        <f>IF(C974="","",J974-N(M974)-O974-P974)</f>
        <v/>
      </c>
      <c r="R974" s="6" t="n"/>
    </row>
    <row r="975">
      <c r="A975" s="8">
        <f>IF(B975="","","J-"&amp;TEXT(ROW()-4,"0000"))</f>
        <v/>
      </c>
      <c r="B975" s="26" t="n"/>
      <c r="C975" s="6" t="n"/>
      <c r="D975" s="6" t="n"/>
      <c r="E975" s="29" t="n"/>
      <c r="F975" s="6" t="n"/>
      <c r="G975" s="25" t="n"/>
      <c r="H975" s="27">
        <f>IF(C975="","",IF(G975&lt;&gt;"",G975,IFERROR(INDEX(Clients!$G$5:$G$304,MATCH(C975,Clients!$A$5:$A$304,0)),0)))</f>
        <v/>
      </c>
      <c r="I975" s="25" t="n"/>
      <c r="J975" s="27">
        <f>IF(C975="","",H975+N(I975))</f>
        <v/>
      </c>
      <c r="K975" s="6" t="n"/>
      <c r="L975" s="6" t="n"/>
      <c r="M975" s="25" t="n"/>
      <c r="N975" s="10" t="n"/>
      <c r="O975" s="27">
        <f>IF(C975="","",N(E975)*Settings!$B$8)</f>
        <v/>
      </c>
      <c r="P975" s="27">
        <f>IF(C975="","",N(N975)*Settings!$B$10)</f>
        <v/>
      </c>
      <c r="Q975" s="27">
        <f>IF(C975="","",J975-N(M975)-O975-P975)</f>
        <v/>
      </c>
      <c r="R975" s="6" t="n"/>
    </row>
    <row r="976">
      <c r="A976" s="17">
        <f>IF(B976="","","J-"&amp;TEXT(ROW()-4,"0000"))</f>
        <v/>
      </c>
      <c r="B976" s="26" t="n"/>
      <c r="C976" s="6" t="n"/>
      <c r="D976" s="6" t="n"/>
      <c r="E976" s="29" t="n"/>
      <c r="F976" s="6" t="n"/>
      <c r="G976" s="25" t="n"/>
      <c r="H976" s="30">
        <f>IF(C976="","",IF(G976&lt;&gt;"",G976,IFERROR(INDEX(Clients!$G$5:$G$304,MATCH(C976,Clients!$A$5:$A$304,0)),0)))</f>
        <v/>
      </c>
      <c r="I976" s="25" t="n"/>
      <c r="J976" s="30">
        <f>IF(C976="","",H976+N(I976))</f>
        <v/>
      </c>
      <c r="K976" s="6" t="n"/>
      <c r="L976" s="6" t="n"/>
      <c r="M976" s="25" t="n"/>
      <c r="N976" s="10" t="n"/>
      <c r="O976" s="30">
        <f>IF(C976="","",N(E976)*Settings!$B$8)</f>
        <v/>
      </c>
      <c r="P976" s="30">
        <f>IF(C976="","",N(N976)*Settings!$B$10)</f>
        <v/>
      </c>
      <c r="Q976" s="30">
        <f>IF(C976="","",J976-N(M976)-O976-P976)</f>
        <v/>
      </c>
      <c r="R976" s="6" t="n"/>
    </row>
    <row r="977">
      <c r="A977" s="8">
        <f>IF(B977="","","J-"&amp;TEXT(ROW()-4,"0000"))</f>
        <v/>
      </c>
      <c r="B977" s="26" t="n"/>
      <c r="C977" s="6" t="n"/>
      <c r="D977" s="6" t="n"/>
      <c r="E977" s="29" t="n"/>
      <c r="F977" s="6" t="n"/>
      <c r="G977" s="25" t="n"/>
      <c r="H977" s="27">
        <f>IF(C977="","",IF(G977&lt;&gt;"",G977,IFERROR(INDEX(Clients!$G$5:$G$304,MATCH(C977,Clients!$A$5:$A$304,0)),0)))</f>
        <v/>
      </c>
      <c r="I977" s="25" t="n"/>
      <c r="J977" s="27">
        <f>IF(C977="","",H977+N(I977))</f>
        <v/>
      </c>
      <c r="K977" s="6" t="n"/>
      <c r="L977" s="6" t="n"/>
      <c r="M977" s="25" t="n"/>
      <c r="N977" s="10" t="n"/>
      <c r="O977" s="27">
        <f>IF(C977="","",N(E977)*Settings!$B$8)</f>
        <v/>
      </c>
      <c r="P977" s="27">
        <f>IF(C977="","",N(N977)*Settings!$B$10)</f>
        <v/>
      </c>
      <c r="Q977" s="27">
        <f>IF(C977="","",J977-N(M977)-O977-P977)</f>
        <v/>
      </c>
      <c r="R977" s="6" t="n"/>
    </row>
    <row r="978">
      <c r="A978" s="17">
        <f>IF(B978="","","J-"&amp;TEXT(ROW()-4,"0000"))</f>
        <v/>
      </c>
      <c r="B978" s="26" t="n"/>
      <c r="C978" s="6" t="n"/>
      <c r="D978" s="6" t="n"/>
      <c r="E978" s="29" t="n"/>
      <c r="F978" s="6" t="n"/>
      <c r="G978" s="25" t="n"/>
      <c r="H978" s="30">
        <f>IF(C978="","",IF(G978&lt;&gt;"",G978,IFERROR(INDEX(Clients!$G$5:$G$304,MATCH(C978,Clients!$A$5:$A$304,0)),0)))</f>
        <v/>
      </c>
      <c r="I978" s="25" t="n"/>
      <c r="J978" s="30">
        <f>IF(C978="","",H978+N(I978))</f>
        <v/>
      </c>
      <c r="K978" s="6" t="n"/>
      <c r="L978" s="6" t="n"/>
      <c r="M978" s="25" t="n"/>
      <c r="N978" s="10" t="n"/>
      <c r="O978" s="30">
        <f>IF(C978="","",N(E978)*Settings!$B$8)</f>
        <v/>
      </c>
      <c r="P978" s="30">
        <f>IF(C978="","",N(N978)*Settings!$B$10)</f>
        <v/>
      </c>
      <c r="Q978" s="30">
        <f>IF(C978="","",J978-N(M978)-O978-P978)</f>
        <v/>
      </c>
      <c r="R978" s="6" t="n"/>
    </row>
    <row r="979">
      <c r="A979" s="8">
        <f>IF(B979="","","J-"&amp;TEXT(ROW()-4,"0000"))</f>
        <v/>
      </c>
      <c r="B979" s="26" t="n"/>
      <c r="C979" s="6" t="n"/>
      <c r="D979" s="6" t="n"/>
      <c r="E979" s="29" t="n"/>
      <c r="F979" s="6" t="n"/>
      <c r="G979" s="25" t="n"/>
      <c r="H979" s="27">
        <f>IF(C979="","",IF(G979&lt;&gt;"",G979,IFERROR(INDEX(Clients!$G$5:$G$304,MATCH(C979,Clients!$A$5:$A$304,0)),0)))</f>
        <v/>
      </c>
      <c r="I979" s="25" t="n"/>
      <c r="J979" s="27">
        <f>IF(C979="","",H979+N(I979))</f>
        <v/>
      </c>
      <c r="K979" s="6" t="n"/>
      <c r="L979" s="6" t="n"/>
      <c r="M979" s="25" t="n"/>
      <c r="N979" s="10" t="n"/>
      <c r="O979" s="27">
        <f>IF(C979="","",N(E979)*Settings!$B$8)</f>
        <v/>
      </c>
      <c r="P979" s="27">
        <f>IF(C979="","",N(N979)*Settings!$B$10)</f>
        <v/>
      </c>
      <c r="Q979" s="27">
        <f>IF(C979="","",J979-N(M979)-O979-P979)</f>
        <v/>
      </c>
      <c r="R979" s="6" t="n"/>
    </row>
    <row r="980">
      <c r="A980" s="17">
        <f>IF(B980="","","J-"&amp;TEXT(ROW()-4,"0000"))</f>
        <v/>
      </c>
      <c r="B980" s="26" t="n"/>
      <c r="C980" s="6" t="n"/>
      <c r="D980" s="6" t="n"/>
      <c r="E980" s="29" t="n"/>
      <c r="F980" s="6" t="n"/>
      <c r="G980" s="25" t="n"/>
      <c r="H980" s="30">
        <f>IF(C980="","",IF(G980&lt;&gt;"",G980,IFERROR(INDEX(Clients!$G$5:$G$304,MATCH(C980,Clients!$A$5:$A$304,0)),0)))</f>
        <v/>
      </c>
      <c r="I980" s="25" t="n"/>
      <c r="J980" s="30">
        <f>IF(C980="","",H980+N(I980))</f>
        <v/>
      </c>
      <c r="K980" s="6" t="n"/>
      <c r="L980" s="6" t="n"/>
      <c r="M980" s="25" t="n"/>
      <c r="N980" s="10" t="n"/>
      <c r="O980" s="30">
        <f>IF(C980="","",N(E980)*Settings!$B$8)</f>
        <v/>
      </c>
      <c r="P980" s="30">
        <f>IF(C980="","",N(N980)*Settings!$B$10)</f>
        <v/>
      </c>
      <c r="Q980" s="30">
        <f>IF(C980="","",J980-N(M980)-O980-P980)</f>
        <v/>
      </c>
      <c r="R980" s="6" t="n"/>
    </row>
    <row r="981">
      <c r="A981" s="8">
        <f>IF(B981="","","J-"&amp;TEXT(ROW()-4,"0000"))</f>
        <v/>
      </c>
      <c r="B981" s="26" t="n"/>
      <c r="C981" s="6" t="n"/>
      <c r="D981" s="6" t="n"/>
      <c r="E981" s="29" t="n"/>
      <c r="F981" s="6" t="n"/>
      <c r="G981" s="25" t="n"/>
      <c r="H981" s="27">
        <f>IF(C981="","",IF(G981&lt;&gt;"",G981,IFERROR(INDEX(Clients!$G$5:$G$304,MATCH(C981,Clients!$A$5:$A$304,0)),0)))</f>
        <v/>
      </c>
      <c r="I981" s="25" t="n"/>
      <c r="J981" s="27">
        <f>IF(C981="","",H981+N(I981))</f>
        <v/>
      </c>
      <c r="K981" s="6" t="n"/>
      <c r="L981" s="6" t="n"/>
      <c r="M981" s="25" t="n"/>
      <c r="N981" s="10" t="n"/>
      <c r="O981" s="27">
        <f>IF(C981="","",N(E981)*Settings!$B$8)</f>
        <v/>
      </c>
      <c r="P981" s="27">
        <f>IF(C981="","",N(N981)*Settings!$B$10)</f>
        <v/>
      </c>
      <c r="Q981" s="27">
        <f>IF(C981="","",J981-N(M981)-O981-P981)</f>
        <v/>
      </c>
      <c r="R981" s="6" t="n"/>
    </row>
    <row r="982">
      <c r="A982" s="17">
        <f>IF(B982="","","J-"&amp;TEXT(ROW()-4,"0000"))</f>
        <v/>
      </c>
      <c r="B982" s="26" t="n"/>
      <c r="C982" s="6" t="n"/>
      <c r="D982" s="6" t="n"/>
      <c r="E982" s="29" t="n"/>
      <c r="F982" s="6" t="n"/>
      <c r="G982" s="25" t="n"/>
      <c r="H982" s="30">
        <f>IF(C982="","",IF(G982&lt;&gt;"",G982,IFERROR(INDEX(Clients!$G$5:$G$304,MATCH(C982,Clients!$A$5:$A$304,0)),0)))</f>
        <v/>
      </c>
      <c r="I982" s="25" t="n"/>
      <c r="J982" s="30">
        <f>IF(C982="","",H982+N(I982))</f>
        <v/>
      </c>
      <c r="K982" s="6" t="n"/>
      <c r="L982" s="6" t="n"/>
      <c r="M982" s="25" t="n"/>
      <c r="N982" s="10" t="n"/>
      <c r="O982" s="30">
        <f>IF(C982="","",N(E982)*Settings!$B$8)</f>
        <v/>
      </c>
      <c r="P982" s="30">
        <f>IF(C982="","",N(N982)*Settings!$B$10)</f>
        <v/>
      </c>
      <c r="Q982" s="30">
        <f>IF(C982="","",J982-N(M982)-O982-P982)</f>
        <v/>
      </c>
      <c r="R982" s="6" t="n"/>
    </row>
    <row r="983">
      <c r="A983" s="8">
        <f>IF(B983="","","J-"&amp;TEXT(ROW()-4,"0000"))</f>
        <v/>
      </c>
      <c r="B983" s="26" t="n"/>
      <c r="C983" s="6" t="n"/>
      <c r="D983" s="6" t="n"/>
      <c r="E983" s="29" t="n"/>
      <c r="F983" s="6" t="n"/>
      <c r="G983" s="25" t="n"/>
      <c r="H983" s="27">
        <f>IF(C983="","",IF(G983&lt;&gt;"",G983,IFERROR(INDEX(Clients!$G$5:$G$304,MATCH(C983,Clients!$A$5:$A$304,0)),0)))</f>
        <v/>
      </c>
      <c r="I983" s="25" t="n"/>
      <c r="J983" s="27">
        <f>IF(C983="","",H983+N(I983))</f>
        <v/>
      </c>
      <c r="K983" s="6" t="n"/>
      <c r="L983" s="6" t="n"/>
      <c r="M983" s="25" t="n"/>
      <c r="N983" s="10" t="n"/>
      <c r="O983" s="27">
        <f>IF(C983="","",N(E983)*Settings!$B$8)</f>
        <v/>
      </c>
      <c r="P983" s="27">
        <f>IF(C983="","",N(N983)*Settings!$B$10)</f>
        <v/>
      </c>
      <c r="Q983" s="27">
        <f>IF(C983="","",J983-N(M983)-O983-P983)</f>
        <v/>
      </c>
      <c r="R983" s="6" t="n"/>
    </row>
    <row r="984">
      <c r="A984" s="17">
        <f>IF(B984="","","J-"&amp;TEXT(ROW()-4,"0000"))</f>
        <v/>
      </c>
      <c r="B984" s="26" t="n"/>
      <c r="C984" s="6" t="n"/>
      <c r="D984" s="6" t="n"/>
      <c r="E984" s="29" t="n"/>
      <c r="F984" s="6" t="n"/>
      <c r="G984" s="25" t="n"/>
      <c r="H984" s="30">
        <f>IF(C984="","",IF(G984&lt;&gt;"",G984,IFERROR(INDEX(Clients!$G$5:$G$304,MATCH(C984,Clients!$A$5:$A$304,0)),0)))</f>
        <v/>
      </c>
      <c r="I984" s="25" t="n"/>
      <c r="J984" s="30">
        <f>IF(C984="","",H984+N(I984))</f>
        <v/>
      </c>
      <c r="K984" s="6" t="n"/>
      <c r="L984" s="6" t="n"/>
      <c r="M984" s="25" t="n"/>
      <c r="N984" s="10" t="n"/>
      <c r="O984" s="30">
        <f>IF(C984="","",N(E984)*Settings!$B$8)</f>
        <v/>
      </c>
      <c r="P984" s="30">
        <f>IF(C984="","",N(N984)*Settings!$B$10)</f>
        <v/>
      </c>
      <c r="Q984" s="30">
        <f>IF(C984="","",J984-N(M984)-O984-P984)</f>
        <v/>
      </c>
      <c r="R984" s="6" t="n"/>
    </row>
    <row r="985">
      <c r="A985" s="8">
        <f>IF(B985="","","J-"&amp;TEXT(ROW()-4,"0000"))</f>
        <v/>
      </c>
      <c r="B985" s="26" t="n"/>
      <c r="C985" s="6" t="n"/>
      <c r="D985" s="6" t="n"/>
      <c r="E985" s="29" t="n"/>
      <c r="F985" s="6" t="n"/>
      <c r="G985" s="25" t="n"/>
      <c r="H985" s="27">
        <f>IF(C985="","",IF(G985&lt;&gt;"",G985,IFERROR(INDEX(Clients!$G$5:$G$304,MATCH(C985,Clients!$A$5:$A$304,0)),0)))</f>
        <v/>
      </c>
      <c r="I985" s="25" t="n"/>
      <c r="J985" s="27">
        <f>IF(C985="","",H985+N(I985))</f>
        <v/>
      </c>
      <c r="K985" s="6" t="n"/>
      <c r="L985" s="6" t="n"/>
      <c r="M985" s="25" t="n"/>
      <c r="N985" s="10" t="n"/>
      <c r="O985" s="27">
        <f>IF(C985="","",N(E985)*Settings!$B$8)</f>
        <v/>
      </c>
      <c r="P985" s="27">
        <f>IF(C985="","",N(N985)*Settings!$B$10)</f>
        <v/>
      </c>
      <c r="Q985" s="27">
        <f>IF(C985="","",J985-N(M985)-O985-P985)</f>
        <v/>
      </c>
      <c r="R985" s="6" t="n"/>
    </row>
    <row r="986">
      <c r="A986" s="17">
        <f>IF(B986="","","J-"&amp;TEXT(ROW()-4,"0000"))</f>
        <v/>
      </c>
      <c r="B986" s="26" t="n"/>
      <c r="C986" s="6" t="n"/>
      <c r="D986" s="6" t="n"/>
      <c r="E986" s="29" t="n"/>
      <c r="F986" s="6" t="n"/>
      <c r="G986" s="25" t="n"/>
      <c r="H986" s="30">
        <f>IF(C986="","",IF(G986&lt;&gt;"",G986,IFERROR(INDEX(Clients!$G$5:$G$304,MATCH(C986,Clients!$A$5:$A$304,0)),0)))</f>
        <v/>
      </c>
      <c r="I986" s="25" t="n"/>
      <c r="J986" s="30">
        <f>IF(C986="","",H986+N(I986))</f>
        <v/>
      </c>
      <c r="K986" s="6" t="n"/>
      <c r="L986" s="6" t="n"/>
      <c r="M986" s="25" t="n"/>
      <c r="N986" s="10" t="n"/>
      <c r="O986" s="30">
        <f>IF(C986="","",N(E986)*Settings!$B$8)</f>
        <v/>
      </c>
      <c r="P986" s="30">
        <f>IF(C986="","",N(N986)*Settings!$B$10)</f>
        <v/>
      </c>
      <c r="Q986" s="30">
        <f>IF(C986="","",J986-N(M986)-O986-P986)</f>
        <v/>
      </c>
      <c r="R986" s="6" t="n"/>
    </row>
    <row r="987">
      <c r="A987" s="8">
        <f>IF(B987="","","J-"&amp;TEXT(ROW()-4,"0000"))</f>
        <v/>
      </c>
      <c r="B987" s="26" t="n"/>
      <c r="C987" s="6" t="n"/>
      <c r="D987" s="6" t="n"/>
      <c r="E987" s="29" t="n"/>
      <c r="F987" s="6" t="n"/>
      <c r="G987" s="25" t="n"/>
      <c r="H987" s="27">
        <f>IF(C987="","",IF(G987&lt;&gt;"",G987,IFERROR(INDEX(Clients!$G$5:$G$304,MATCH(C987,Clients!$A$5:$A$304,0)),0)))</f>
        <v/>
      </c>
      <c r="I987" s="25" t="n"/>
      <c r="J987" s="27">
        <f>IF(C987="","",H987+N(I987))</f>
        <v/>
      </c>
      <c r="K987" s="6" t="n"/>
      <c r="L987" s="6" t="n"/>
      <c r="M987" s="25" t="n"/>
      <c r="N987" s="10" t="n"/>
      <c r="O987" s="27">
        <f>IF(C987="","",N(E987)*Settings!$B$8)</f>
        <v/>
      </c>
      <c r="P987" s="27">
        <f>IF(C987="","",N(N987)*Settings!$B$10)</f>
        <v/>
      </c>
      <c r="Q987" s="27">
        <f>IF(C987="","",J987-N(M987)-O987-P987)</f>
        <v/>
      </c>
      <c r="R987" s="6" t="n"/>
    </row>
    <row r="988">
      <c r="A988" s="17">
        <f>IF(B988="","","J-"&amp;TEXT(ROW()-4,"0000"))</f>
        <v/>
      </c>
      <c r="B988" s="26" t="n"/>
      <c r="C988" s="6" t="n"/>
      <c r="D988" s="6" t="n"/>
      <c r="E988" s="29" t="n"/>
      <c r="F988" s="6" t="n"/>
      <c r="G988" s="25" t="n"/>
      <c r="H988" s="30">
        <f>IF(C988="","",IF(G988&lt;&gt;"",G988,IFERROR(INDEX(Clients!$G$5:$G$304,MATCH(C988,Clients!$A$5:$A$304,0)),0)))</f>
        <v/>
      </c>
      <c r="I988" s="25" t="n"/>
      <c r="J988" s="30">
        <f>IF(C988="","",H988+N(I988))</f>
        <v/>
      </c>
      <c r="K988" s="6" t="n"/>
      <c r="L988" s="6" t="n"/>
      <c r="M988" s="25" t="n"/>
      <c r="N988" s="10" t="n"/>
      <c r="O988" s="30">
        <f>IF(C988="","",N(E988)*Settings!$B$8)</f>
        <v/>
      </c>
      <c r="P988" s="30">
        <f>IF(C988="","",N(N988)*Settings!$B$10)</f>
        <v/>
      </c>
      <c r="Q988" s="30">
        <f>IF(C988="","",J988-N(M988)-O988-P988)</f>
        <v/>
      </c>
      <c r="R988" s="6" t="n"/>
    </row>
    <row r="989">
      <c r="A989" s="8">
        <f>IF(B989="","","J-"&amp;TEXT(ROW()-4,"0000"))</f>
        <v/>
      </c>
      <c r="B989" s="26" t="n"/>
      <c r="C989" s="6" t="n"/>
      <c r="D989" s="6" t="n"/>
      <c r="E989" s="29" t="n"/>
      <c r="F989" s="6" t="n"/>
      <c r="G989" s="25" t="n"/>
      <c r="H989" s="27">
        <f>IF(C989="","",IF(G989&lt;&gt;"",G989,IFERROR(INDEX(Clients!$G$5:$G$304,MATCH(C989,Clients!$A$5:$A$304,0)),0)))</f>
        <v/>
      </c>
      <c r="I989" s="25" t="n"/>
      <c r="J989" s="27">
        <f>IF(C989="","",H989+N(I989))</f>
        <v/>
      </c>
      <c r="K989" s="6" t="n"/>
      <c r="L989" s="6" t="n"/>
      <c r="M989" s="25" t="n"/>
      <c r="N989" s="10" t="n"/>
      <c r="O989" s="27">
        <f>IF(C989="","",N(E989)*Settings!$B$8)</f>
        <v/>
      </c>
      <c r="P989" s="27">
        <f>IF(C989="","",N(N989)*Settings!$B$10)</f>
        <v/>
      </c>
      <c r="Q989" s="27">
        <f>IF(C989="","",J989-N(M989)-O989-P989)</f>
        <v/>
      </c>
      <c r="R989" s="6" t="n"/>
    </row>
    <row r="990">
      <c r="A990" s="17">
        <f>IF(B990="","","J-"&amp;TEXT(ROW()-4,"0000"))</f>
        <v/>
      </c>
      <c r="B990" s="26" t="n"/>
      <c r="C990" s="6" t="n"/>
      <c r="D990" s="6" t="n"/>
      <c r="E990" s="29" t="n"/>
      <c r="F990" s="6" t="n"/>
      <c r="G990" s="25" t="n"/>
      <c r="H990" s="30">
        <f>IF(C990="","",IF(G990&lt;&gt;"",G990,IFERROR(INDEX(Clients!$G$5:$G$304,MATCH(C990,Clients!$A$5:$A$304,0)),0)))</f>
        <v/>
      </c>
      <c r="I990" s="25" t="n"/>
      <c r="J990" s="30">
        <f>IF(C990="","",H990+N(I990))</f>
        <v/>
      </c>
      <c r="K990" s="6" t="n"/>
      <c r="L990" s="6" t="n"/>
      <c r="M990" s="25" t="n"/>
      <c r="N990" s="10" t="n"/>
      <c r="O990" s="30">
        <f>IF(C990="","",N(E990)*Settings!$B$8)</f>
        <v/>
      </c>
      <c r="P990" s="30">
        <f>IF(C990="","",N(N990)*Settings!$B$10)</f>
        <v/>
      </c>
      <c r="Q990" s="30">
        <f>IF(C990="","",J990-N(M990)-O990-P990)</f>
        <v/>
      </c>
      <c r="R990" s="6" t="n"/>
    </row>
    <row r="991">
      <c r="A991" s="8">
        <f>IF(B991="","","J-"&amp;TEXT(ROW()-4,"0000"))</f>
        <v/>
      </c>
      <c r="B991" s="26" t="n"/>
      <c r="C991" s="6" t="n"/>
      <c r="D991" s="6" t="n"/>
      <c r="E991" s="29" t="n"/>
      <c r="F991" s="6" t="n"/>
      <c r="G991" s="25" t="n"/>
      <c r="H991" s="27">
        <f>IF(C991="","",IF(G991&lt;&gt;"",G991,IFERROR(INDEX(Clients!$G$5:$G$304,MATCH(C991,Clients!$A$5:$A$304,0)),0)))</f>
        <v/>
      </c>
      <c r="I991" s="25" t="n"/>
      <c r="J991" s="27">
        <f>IF(C991="","",H991+N(I991))</f>
        <v/>
      </c>
      <c r="K991" s="6" t="n"/>
      <c r="L991" s="6" t="n"/>
      <c r="M991" s="25" t="n"/>
      <c r="N991" s="10" t="n"/>
      <c r="O991" s="27">
        <f>IF(C991="","",N(E991)*Settings!$B$8)</f>
        <v/>
      </c>
      <c r="P991" s="27">
        <f>IF(C991="","",N(N991)*Settings!$B$10)</f>
        <v/>
      </c>
      <c r="Q991" s="27">
        <f>IF(C991="","",J991-N(M991)-O991-P991)</f>
        <v/>
      </c>
      <c r="R991" s="6" t="n"/>
    </row>
    <row r="992">
      <c r="A992" s="17">
        <f>IF(B992="","","J-"&amp;TEXT(ROW()-4,"0000"))</f>
        <v/>
      </c>
      <c r="B992" s="26" t="n"/>
      <c r="C992" s="6" t="n"/>
      <c r="D992" s="6" t="n"/>
      <c r="E992" s="29" t="n"/>
      <c r="F992" s="6" t="n"/>
      <c r="G992" s="25" t="n"/>
      <c r="H992" s="30">
        <f>IF(C992="","",IF(G992&lt;&gt;"",G992,IFERROR(INDEX(Clients!$G$5:$G$304,MATCH(C992,Clients!$A$5:$A$304,0)),0)))</f>
        <v/>
      </c>
      <c r="I992" s="25" t="n"/>
      <c r="J992" s="30">
        <f>IF(C992="","",H992+N(I992))</f>
        <v/>
      </c>
      <c r="K992" s="6" t="n"/>
      <c r="L992" s="6" t="n"/>
      <c r="M992" s="25" t="n"/>
      <c r="N992" s="10" t="n"/>
      <c r="O992" s="30">
        <f>IF(C992="","",N(E992)*Settings!$B$8)</f>
        <v/>
      </c>
      <c r="P992" s="30">
        <f>IF(C992="","",N(N992)*Settings!$B$10)</f>
        <v/>
      </c>
      <c r="Q992" s="30">
        <f>IF(C992="","",J992-N(M992)-O992-P992)</f>
        <v/>
      </c>
      <c r="R992" s="6" t="n"/>
    </row>
    <row r="993">
      <c r="A993" s="8">
        <f>IF(B993="","","J-"&amp;TEXT(ROW()-4,"0000"))</f>
        <v/>
      </c>
      <c r="B993" s="26" t="n"/>
      <c r="C993" s="6" t="n"/>
      <c r="D993" s="6" t="n"/>
      <c r="E993" s="29" t="n"/>
      <c r="F993" s="6" t="n"/>
      <c r="G993" s="25" t="n"/>
      <c r="H993" s="27">
        <f>IF(C993="","",IF(G993&lt;&gt;"",G993,IFERROR(INDEX(Clients!$G$5:$G$304,MATCH(C993,Clients!$A$5:$A$304,0)),0)))</f>
        <v/>
      </c>
      <c r="I993" s="25" t="n"/>
      <c r="J993" s="27">
        <f>IF(C993="","",H993+N(I993))</f>
        <v/>
      </c>
      <c r="K993" s="6" t="n"/>
      <c r="L993" s="6" t="n"/>
      <c r="M993" s="25" t="n"/>
      <c r="N993" s="10" t="n"/>
      <c r="O993" s="27">
        <f>IF(C993="","",N(E993)*Settings!$B$8)</f>
        <v/>
      </c>
      <c r="P993" s="27">
        <f>IF(C993="","",N(N993)*Settings!$B$10)</f>
        <v/>
      </c>
      <c r="Q993" s="27">
        <f>IF(C993="","",J993-N(M993)-O993-P993)</f>
        <v/>
      </c>
      <c r="R993" s="6" t="n"/>
    </row>
    <row r="994">
      <c r="A994" s="17">
        <f>IF(B994="","","J-"&amp;TEXT(ROW()-4,"0000"))</f>
        <v/>
      </c>
      <c r="B994" s="26" t="n"/>
      <c r="C994" s="6" t="n"/>
      <c r="D994" s="6" t="n"/>
      <c r="E994" s="29" t="n"/>
      <c r="F994" s="6" t="n"/>
      <c r="G994" s="25" t="n"/>
      <c r="H994" s="30">
        <f>IF(C994="","",IF(G994&lt;&gt;"",G994,IFERROR(INDEX(Clients!$G$5:$G$304,MATCH(C994,Clients!$A$5:$A$304,0)),0)))</f>
        <v/>
      </c>
      <c r="I994" s="25" t="n"/>
      <c r="J994" s="30">
        <f>IF(C994="","",H994+N(I994))</f>
        <v/>
      </c>
      <c r="K994" s="6" t="n"/>
      <c r="L994" s="6" t="n"/>
      <c r="M994" s="25" t="n"/>
      <c r="N994" s="10" t="n"/>
      <c r="O994" s="30">
        <f>IF(C994="","",N(E994)*Settings!$B$8)</f>
        <v/>
      </c>
      <c r="P994" s="30">
        <f>IF(C994="","",N(N994)*Settings!$B$10)</f>
        <v/>
      </c>
      <c r="Q994" s="30">
        <f>IF(C994="","",J994-N(M994)-O994-P994)</f>
        <v/>
      </c>
      <c r="R994" s="6" t="n"/>
    </row>
    <row r="995">
      <c r="A995" s="8">
        <f>IF(B995="","","J-"&amp;TEXT(ROW()-4,"0000"))</f>
        <v/>
      </c>
      <c r="B995" s="26" t="n"/>
      <c r="C995" s="6" t="n"/>
      <c r="D995" s="6" t="n"/>
      <c r="E995" s="29" t="n"/>
      <c r="F995" s="6" t="n"/>
      <c r="G995" s="25" t="n"/>
      <c r="H995" s="27">
        <f>IF(C995="","",IF(G995&lt;&gt;"",G995,IFERROR(INDEX(Clients!$G$5:$G$304,MATCH(C995,Clients!$A$5:$A$304,0)),0)))</f>
        <v/>
      </c>
      <c r="I995" s="25" t="n"/>
      <c r="J995" s="27">
        <f>IF(C995="","",H995+N(I995))</f>
        <v/>
      </c>
      <c r="K995" s="6" t="n"/>
      <c r="L995" s="6" t="n"/>
      <c r="M995" s="25" t="n"/>
      <c r="N995" s="10" t="n"/>
      <c r="O995" s="27">
        <f>IF(C995="","",N(E995)*Settings!$B$8)</f>
        <v/>
      </c>
      <c r="P995" s="27">
        <f>IF(C995="","",N(N995)*Settings!$B$10)</f>
        <v/>
      </c>
      <c r="Q995" s="27">
        <f>IF(C995="","",J995-N(M995)-O995-P995)</f>
        <v/>
      </c>
      <c r="R995" s="6" t="n"/>
    </row>
    <row r="996">
      <c r="A996" s="17">
        <f>IF(B996="","","J-"&amp;TEXT(ROW()-4,"0000"))</f>
        <v/>
      </c>
      <c r="B996" s="26" t="n"/>
      <c r="C996" s="6" t="n"/>
      <c r="D996" s="6" t="n"/>
      <c r="E996" s="29" t="n"/>
      <c r="F996" s="6" t="n"/>
      <c r="G996" s="25" t="n"/>
      <c r="H996" s="30">
        <f>IF(C996="","",IF(G996&lt;&gt;"",G996,IFERROR(INDEX(Clients!$G$5:$G$304,MATCH(C996,Clients!$A$5:$A$304,0)),0)))</f>
        <v/>
      </c>
      <c r="I996" s="25" t="n"/>
      <c r="J996" s="30">
        <f>IF(C996="","",H996+N(I996))</f>
        <v/>
      </c>
      <c r="K996" s="6" t="n"/>
      <c r="L996" s="6" t="n"/>
      <c r="M996" s="25" t="n"/>
      <c r="N996" s="10" t="n"/>
      <c r="O996" s="30">
        <f>IF(C996="","",N(E996)*Settings!$B$8)</f>
        <v/>
      </c>
      <c r="P996" s="30">
        <f>IF(C996="","",N(N996)*Settings!$B$10)</f>
        <v/>
      </c>
      <c r="Q996" s="30">
        <f>IF(C996="","",J996-N(M996)-O996-P996)</f>
        <v/>
      </c>
      <c r="R996" s="6" t="n"/>
    </row>
    <row r="997">
      <c r="A997" s="8">
        <f>IF(B997="","","J-"&amp;TEXT(ROW()-4,"0000"))</f>
        <v/>
      </c>
      <c r="B997" s="26" t="n"/>
      <c r="C997" s="6" t="n"/>
      <c r="D997" s="6" t="n"/>
      <c r="E997" s="29" t="n"/>
      <c r="F997" s="6" t="n"/>
      <c r="G997" s="25" t="n"/>
      <c r="H997" s="27">
        <f>IF(C997="","",IF(G997&lt;&gt;"",G997,IFERROR(INDEX(Clients!$G$5:$G$304,MATCH(C997,Clients!$A$5:$A$304,0)),0)))</f>
        <v/>
      </c>
      <c r="I997" s="25" t="n"/>
      <c r="J997" s="27">
        <f>IF(C997="","",H997+N(I997))</f>
        <v/>
      </c>
      <c r="K997" s="6" t="n"/>
      <c r="L997" s="6" t="n"/>
      <c r="M997" s="25" t="n"/>
      <c r="N997" s="10" t="n"/>
      <c r="O997" s="27">
        <f>IF(C997="","",N(E997)*Settings!$B$8)</f>
        <v/>
      </c>
      <c r="P997" s="27">
        <f>IF(C997="","",N(N997)*Settings!$B$10)</f>
        <v/>
      </c>
      <c r="Q997" s="27">
        <f>IF(C997="","",J997-N(M997)-O997-P997)</f>
        <v/>
      </c>
      <c r="R997" s="6" t="n"/>
    </row>
    <row r="998">
      <c r="A998" s="17">
        <f>IF(B998="","","J-"&amp;TEXT(ROW()-4,"0000"))</f>
        <v/>
      </c>
      <c r="B998" s="26" t="n"/>
      <c r="C998" s="6" t="n"/>
      <c r="D998" s="6" t="n"/>
      <c r="E998" s="29" t="n"/>
      <c r="F998" s="6" t="n"/>
      <c r="G998" s="25" t="n"/>
      <c r="H998" s="30">
        <f>IF(C998="","",IF(G998&lt;&gt;"",G998,IFERROR(INDEX(Clients!$G$5:$G$304,MATCH(C998,Clients!$A$5:$A$304,0)),0)))</f>
        <v/>
      </c>
      <c r="I998" s="25" t="n"/>
      <c r="J998" s="30">
        <f>IF(C998="","",H998+N(I998))</f>
        <v/>
      </c>
      <c r="K998" s="6" t="n"/>
      <c r="L998" s="6" t="n"/>
      <c r="M998" s="25" t="n"/>
      <c r="N998" s="10" t="n"/>
      <c r="O998" s="30">
        <f>IF(C998="","",N(E998)*Settings!$B$8)</f>
        <v/>
      </c>
      <c r="P998" s="30">
        <f>IF(C998="","",N(N998)*Settings!$B$10)</f>
        <v/>
      </c>
      <c r="Q998" s="30">
        <f>IF(C998="","",J998-N(M998)-O998-P998)</f>
        <v/>
      </c>
      <c r="R998" s="6" t="n"/>
    </row>
    <row r="999">
      <c r="A999" s="8">
        <f>IF(B999="","","J-"&amp;TEXT(ROW()-4,"0000"))</f>
        <v/>
      </c>
      <c r="B999" s="26" t="n"/>
      <c r="C999" s="6" t="n"/>
      <c r="D999" s="6" t="n"/>
      <c r="E999" s="29" t="n"/>
      <c r="F999" s="6" t="n"/>
      <c r="G999" s="25" t="n"/>
      <c r="H999" s="27">
        <f>IF(C999="","",IF(G999&lt;&gt;"",G999,IFERROR(INDEX(Clients!$G$5:$G$304,MATCH(C999,Clients!$A$5:$A$304,0)),0)))</f>
        <v/>
      </c>
      <c r="I999" s="25" t="n"/>
      <c r="J999" s="27">
        <f>IF(C999="","",H999+N(I999))</f>
        <v/>
      </c>
      <c r="K999" s="6" t="n"/>
      <c r="L999" s="6" t="n"/>
      <c r="M999" s="25" t="n"/>
      <c r="N999" s="10" t="n"/>
      <c r="O999" s="27">
        <f>IF(C999="","",N(E999)*Settings!$B$8)</f>
        <v/>
      </c>
      <c r="P999" s="27">
        <f>IF(C999="","",N(N999)*Settings!$B$10)</f>
        <v/>
      </c>
      <c r="Q999" s="27">
        <f>IF(C999="","",J999-N(M999)-O999-P999)</f>
        <v/>
      </c>
      <c r="R999" s="6" t="n"/>
    </row>
    <row r="1000">
      <c r="A1000" s="17">
        <f>IF(B1000="","","J-"&amp;TEXT(ROW()-4,"0000"))</f>
        <v/>
      </c>
      <c r="B1000" s="26" t="n"/>
      <c r="C1000" s="6" t="n"/>
      <c r="D1000" s="6" t="n"/>
      <c r="E1000" s="29" t="n"/>
      <c r="F1000" s="6" t="n"/>
      <c r="G1000" s="25" t="n"/>
      <c r="H1000" s="30">
        <f>IF(C1000="","",IF(G1000&lt;&gt;"",G1000,IFERROR(INDEX(Clients!$G$5:$G$304,MATCH(C1000,Clients!$A$5:$A$304,0)),0)))</f>
        <v/>
      </c>
      <c r="I1000" s="25" t="n"/>
      <c r="J1000" s="30">
        <f>IF(C1000="","",H1000+N(I1000))</f>
        <v/>
      </c>
      <c r="K1000" s="6" t="n"/>
      <c r="L1000" s="6" t="n"/>
      <c r="M1000" s="25" t="n"/>
      <c r="N1000" s="10" t="n"/>
      <c r="O1000" s="30">
        <f>IF(C1000="","",N(E1000)*Settings!$B$8)</f>
        <v/>
      </c>
      <c r="P1000" s="30">
        <f>IF(C1000="","",N(N1000)*Settings!$B$10)</f>
        <v/>
      </c>
      <c r="Q1000" s="30">
        <f>IF(C1000="","",J1000-N(M1000)-O1000-P1000)</f>
        <v/>
      </c>
      <c r="R1000" s="6" t="n"/>
    </row>
    <row r="1001">
      <c r="A1001" s="8">
        <f>IF(B1001="","","J-"&amp;TEXT(ROW()-4,"0000"))</f>
        <v/>
      </c>
      <c r="B1001" s="26" t="n"/>
      <c r="C1001" s="6" t="n"/>
      <c r="D1001" s="6" t="n"/>
      <c r="E1001" s="29" t="n"/>
      <c r="F1001" s="6" t="n"/>
      <c r="G1001" s="25" t="n"/>
      <c r="H1001" s="27">
        <f>IF(C1001="","",IF(G1001&lt;&gt;"",G1001,IFERROR(INDEX(Clients!$G$5:$G$304,MATCH(C1001,Clients!$A$5:$A$304,0)),0)))</f>
        <v/>
      </c>
      <c r="I1001" s="25" t="n"/>
      <c r="J1001" s="27">
        <f>IF(C1001="","",H1001+N(I1001))</f>
        <v/>
      </c>
      <c r="K1001" s="6" t="n"/>
      <c r="L1001" s="6" t="n"/>
      <c r="M1001" s="25" t="n"/>
      <c r="N1001" s="10" t="n"/>
      <c r="O1001" s="27">
        <f>IF(C1001="","",N(E1001)*Settings!$B$8)</f>
        <v/>
      </c>
      <c r="P1001" s="27">
        <f>IF(C1001="","",N(N1001)*Settings!$B$10)</f>
        <v/>
      </c>
      <c r="Q1001" s="27">
        <f>IF(C1001="","",J1001-N(M1001)-O1001-P1001)</f>
        <v/>
      </c>
      <c r="R1001" s="6" t="n"/>
    </row>
    <row r="1002">
      <c r="A1002" s="17">
        <f>IF(B1002="","","J-"&amp;TEXT(ROW()-4,"0000"))</f>
        <v/>
      </c>
      <c r="B1002" s="26" t="n"/>
      <c r="C1002" s="6" t="n"/>
      <c r="D1002" s="6" t="n"/>
      <c r="E1002" s="29" t="n"/>
      <c r="F1002" s="6" t="n"/>
      <c r="G1002" s="25" t="n"/>
      <c r="H1002" s="30">
        <f>IF(C1002="","",IF(G1002&lt;&gt;"",G1002,IFERROR(INDEX(Clients!$G$5:$G$304,MATCH(C1002,Clients!$A$5:$A$304,0)),0)))</f>
        <v/>
      </c>
      <c r="I1002" s="25" t="n"/>
      <c r="J1002" s="30">
        <f>IF(C1002="","",H1002+N(I1002))</f>
        <v/>
      </c>
      <c r="K1002" s="6" t="n"/>
      <c r="L1002" s="6" t="n"/>
      <c r="M1002" s="25" t="n"/>
      <c r="N1002" s="10" t="n"/>
      <c r="O1002" s="30">
        <f>IF(C1002="","",N(E1002)*Settings!$B$8)</f>
        <v/>
      </c>
      <c r="P1002" s="30">
        <f>IF(C1002="","",N(N1002)*Settings!$B$10)</f>
        <v/>
      </c>
      <c r="Q1002" s="30">
        <f>IF(C1002="","",J1002-N(M1002)-O1002-P1002)</f>
        <v/>
      </c>
      <c r="R1002" s="6" t="n"/>
    </row>
    <row r="1003">
      <c r="A1003" s="8">
        <f>IF(B1003="","","J-"&amp;TEXT(ROW()-4,"0000"))</f>
        <v/>
      </c>
      <c r="B1003" s="26" t="n"/>
      <c r="C1003" s="6" t="n"/>
      <c r="D1003" s="6" t="n"/>
      <c r="E1003" s="29" t="n"/>
      <c r="F1003" s="6" t="n"/>
      <c r="G1003" s="25" t="n"/>
      <c r="H1003" s="27">
        <f>IF(C1003="","",IF(G1003&lt;&gt;"",G1003,IFERROR(INDEX(Clients!$G$5:$G$304,MATCH(C1003,Clients!$A$5:$A$304,0)),0)))</f>
        <v/>
      </c>
      <c r="I1003" s="25" t="n"/>
      <c r="J1003" s="27">
        <f>IF(C1003="","",H1003+N(I1003))</f>
        <v/>
      </c>
      <c r="K1003" s="6" t="n"/>
      <c r="L1003" s="6" t="n"/>
      <c r="M1003" s="25" t="n"/>
      <c r="N1003" s="10" t="n"/>
      <c r="O1003" s="27">
        <f>IF(C1003="","",N(E1003)*Settings!$B$8)</f>
        <v/>
      </c>
      <c r="P1003" s="27">
        <f>IF(C1003="","",N(N1003)*Settings!$B$10)</f>
        <v/>
      </c>
      <c r="Q1003" s="27">
        <f>IF(C1003="","",J1003-N(M1003)-O1003-P1003)</f>
        <v/>
      </c>
      <c r="R1003" s="6" t="n"/>
    </row>
    <row r="1004">
      <c r="A1004" s="17">
        <f>IF(B1004="","","J-"&amp;TEXT(ROW()-4,"0000"))</f>
        <v/>
      </c>
      <c r="B1004" s="26" t="n"/>
      <c r="C1004" s="6" t="n"/>
      <c r="D1004" s="6" t="n"/>
      <c r="E1004" s="29" t="n"/>
      <c r="F1004" s="6" t="n"/>
      <c r="G1004" s="25" t="n"/>
      <c r="H1004" s="30">
        <f>IF(C1004="","",IF(G1004&lt;&gt;"",G1004,IFERROR(INDEX(Clients!$G$5:$G$304,MATCH(C1004,Clients!$A$5:$A$304,0)),0)))</f>
        <v/>
      </c>
      <c r="I1004" s="25" t="n"/>
      <c r="J1004" s="30">
        <f>IF(C1004="","",H1004+N(I1004))</f>
        <v/>
      </c>
      <c r="K1004" s="6" t="n"/>
      <c r="L1004" s="6" t="n"/>
      <c r="M1004" s="25" t="n"/>
      <c r="N1004" s="10" t="n"/>
      <c r="O1004" s="30">
        <f>IF(C1004="","",N(E1004)*Settings!$B$8)</f>
        <v/>
      </c>
      <c r="P1004" s="30">
        <f>IF(C1004="","",N(N1004)*Settings!$B$10)</f>
        <v/>
      </c>
      <c r="Q1004" s="30">
        <f>IF(C1004="","",J1004-N(M1004)-O1004-P1004)</f>
        <v/>
      </c>
      <c r="R1004" s="6" t="n"/>
    </row>
  </sheetData>
  <autoFilter ref="A4:R1004"/>
  <conditionalFormatting sqref="K5:K1004">
    <cfRule type="cellIs" priority="1" operator="equal" dxfId="0">
      <formula>"No"</formula>
    </cfRule>
  </conditionalFormatting>
  <conditionalFormatting sqref="Q5:Q1004">
    <cfRule type="cellIs" priority="2" operator="lessThan" dxfId="2">
      <formula>0</formula>
    </cfRule>
  </conditionalFormatting>
  <dataValidations count="5">
    <dataValidation sqref="C5:C1004" showDropDown="0" showInputMessage="0" showErrorMessage="0" allowBlank="1" type="list">
      <formula1>Clients!$A$5:$A$304</formula1>
    </dataValidation>
    <dataValidation sqref="D5:D1004" showDropDown="0" showInputMessage="0" showErrorMessage="0" allowBlank="1" type="list">
      <formula1>Settings!$D$5:$D$12</formula1>
    </dataValidation>
    <dataValidation sqref="F5:F1004" showDropDown="0" showInputMessage="0" showErrorMessage="0" allowBlank="1" type="list">
      <formula1>Settings!$H$28:$H$33</formula1>
    </dataValidation>
    <dataValidation sqref="K5:K1004" showDropDown="0" showInputMessage="0" showErrorMessage="0" allowBlank="1" type="list">
      <formula1>"Yes,No"</formula1>
    </dataValidation>
    <dataValidation sqref="L5:L1004" showDropDown="0" showInputMessage="0" showErrorMessage="0" allowBlank="1" type="list">
      <formula1>Settings!$H$18:$H$24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474F"/>
    <outlinePr summaryBelow="1" summaryRight="1"/>
    <pageSetUpPr/>
  </sheetPr>
  <dimension ref="A1:G1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32" customWidth="1" min="4" max="4"/>
    <col width="12" customWidth="1" min="5" max="5"/>
    <col width="15" customWidth="1" min="6" max="6"/>
    <col width="14" customWidth="1" min="7" max="7"/>
  </cols>
  <sheetData>
    <row r="1" ht="30" customHeight="1">
      <c r="A1" s="1" t="inlineStr">
        <is>
          <t>Expenses</t>
        </is>
      </c>
    </row>
    <row r="2">
      <c r="A2" s="2" t="inlineStr">
        <is>
          <t>Every business cost that isn't already on a job (supplies on a job go in the Jobs tab).</t>
        </is>
      </c>
    </row>
    <row r="4" ht="32" customHeight="1">
      <c r="A4" s="13" t="inlineStr">
        <is>
          <t>Date</t>
        </is>
      </c>
      <c r="B4" s="13" t="inlineStr">
        <is>
          <t>Category</t>
        </is>
      </c>
      <c r="C4" s="13" t="inlineStr">
        <is>
          <t>Vendor</t>
        </is>
      </c>
      <c r="D4" s="13" t="inlineStr">
        <is>
          <t>Description</t>
        </is>
      </c>
      <c r="E4" s="13" t="inlineStr">
        <is>
          <t>Amount</t>
        </is>
      </c>
      <c r="F4" s="13" t="inlineStr">
        <is>
          <t>Paid with</t>
        </is>
      </c>
      <c r="G4" s="13" t="inlineStr">
        <is>
          <t>Receipt saved?</t>
        </is>
      </c>
    </row>
    <row r="5">
      <c r="A5" s="26" t="n">
        <v>46298</v>
      </c>
      <c r="B5" s="6" t="inlineStr">
        <is>
          <t>Salt &amp; ice melt</t>
        </is>
      </c>
      <c r="C5" s="6" t="inlineStr">
        <is>
          <t>Landscape supply yard</t>
        </is>
      </c>
      <c r="D5" s="6" t="inlineStr">
        <is>
          <t>EXAMPLE – Bulk rock salt, 1 ton</t>
        </is>
      </c>
      <c r="E5" s="25" t="n">
        <v>64.2</v>
      </c>
      <c r="F5" s="6" t="inlineStr">
        <is>
          <t>Card</t>
        </is>
      </c>
      <c r="G5" s="6" t="inlineStr">
        <is>
          <t>Yes</t>
        </is>
      </c>
    </row>
    <row r="6">
      <c r="A6" s="26" t="n">
        <v>46300</v>
      </c>
      <c r="B6" s="6" t="inlineStr">
        <is>
          <t>Insurance</t>
        </is>
      </c>
      <c r="C6" s="6" t="inlineStr">
        <is>
          <t>Next Insurance</t>
        </is>
      </c>
      <c r="D6" s="6" t="inlineStr">
        <is>
          <t>EXAMPLE – Monthly liability policy</t>
        </is>
      </c>
      <c r="E6" s="25" t="n">
        <v>48</v>
      </c>
      <c r="F6" s="6" t="inlineStr">
        <is>
          <t>Card</t>
        </is>
      </c>
      <c r="G6" s="6" t="inlineStr">
        <is>
          <t>Yes</t>
        </is>
      </c>
    </row>
    <row r="7">
      <c r="A7" s="26" t="n"/>
      <c r="B7" s="6" t="n"/>
      <c r="C7" s="6" t="n"/>
      <c r="D7" s="6" t="n"/>
      <c r="E7" s="25" t="n"/>
      <c r="F7" s="6" t="n"/>
      <c r="G7" s="6" t="n"/>
    </row>
    <row r="8">
      <c r="A8" s="26" t="n"/>
      <c r="B8" s="6" t="n"/>
      <c r="C8" s="6" t="n"/>
      <c r="D8" s="6" t="n"/>
      <c r="E8" s="25" t="n"/>
      <c r="F8" s="6" t="n"/>
      <c r="G8" s="6" t="n"/>
    </row>
    <row r="9">
      <c r="A9" s="26" t="n"/>
      <c r="B9" s="6" t="n"/>
      <c r="C9" s="6" t="n"/>
      <c r="D9" s="6" t="n"/>
      <c r="E9" s="25" t="n"/>
      <c r="F9" s="6" t="n"/>
      <c r="G9" s="6" t="n"/>
    </row>
    <row r="10">
      <c r="A10" s="26" t="n"/>
      <c r="B10" s="6" t="n"/>
      <c r="C10" s="6" t="n"/>
      <c r="D10" s="6" t="n"/>
      <c r="E10" s="25" t="n"/>
      <c r="F10" s="6" t="n"/>
      <c r="G10" s="6" t="n"/>
    </row>
    <row r="11">
      <c r="A11" s="26" t="n"/>
      <c r="B11" s="6" t="n"/>
      <c r="C11" s="6" t="n"/>
      <c r="D11" s="6" t="n"/>
      <c r="E11" s="25" t="n"/>
      <c r="F11" s="6" t="n"/>
      <c r="G11" s="6" t="n"/>
    </row>
    <row r="12">
      <c r="A12" s="26" t="n"/>
      <c r="B12" s="6" t="n"/>
      <c r="C12" s="6" t="n"/>
      <c r="D12" s="6" t="n"/>
      <c r="E12" s="25" t="n"/>
      <c r="F12" s="6" t="n"/>
      <c r="G12" s="6" t="n"/>
    </row>
    <row r="13">
      <c r="A13" s="26" t="n"/>
      <c r="B13" s="6" t="n"/>
      <c r="C13" s="6" t="n"/>
      <c r="D13" s="6" t="n"/>
      <c r="E13" s="25" t="n"/>
      <c r="F13" s="6" t="n"/>
      <c r="G13" s="6" t="n"/>
    </row>
    <row r="14">
      <c r="A14" s="26" t="n"/>
      <c r="B14" s="6" t="n"/>
      <c r="C14" s="6" t="n"/>
      <c r="D14" s="6" t="n"/>
      <c r="E14" s="25" t="n"/>
      <c r="F14" s="6" t="n"/>
      <c r="G14" s="6" t="n"/>
    </row>
    <row r="15">
      <c r="A15" s="26" t="n"/>
      <c r="B15" s="6" t="n"/>
      <c r="C15" s="6" t="n"/>
      <c r="D15" s="6" t="n"/>
      <c r="E15" s="25" t="n"/>
      <c r="F15" s="6" t="n"/>
      <c r="G15" s="6" t="n"/>
    </row>
    <row r="16">
      <c r="A16" s="26" t="n"/>
      <c r="B16" s="6" t="n"/>
      <c r="C16" s="6" t="n"/>
      <c r="D16" s="6" t="n"/>
      <c r="E16" s="25" t="n"/>
      <c r="F16" s="6" t="n"/>
      <c r="G16" s="6" t="n"/>
    </row>
    <row r="17">
      <c r="A17" s="26" t="n"/>
      <c r="B17" s="6" t="n"/>
      <c r="C17" s="6" t="n"/>
      <c r="D17" s="6" t="n"/>
      <c r="E17" s="25" t="n"/>
      <c r="F17" s="6" t="n"/>
      <c r="G17" s="6" t="n"/>
    </row>
    <row r="18">
      <c r="A18" s="26" t="n"/>
      <c r="B18" s="6" t="n"/>
      <c r="C18" s="6" t="n"/>
      <c r="D18" s="6" t="n"/>
      <c r="E18" s="25" t="n"/>
      <c r="F18" s="6" t="n"/>
      <c r="G18" s="6" t="n"/>
    </row>
    <row r="19">
      <c r="A19" s="26" t="n"/>
      <c r="B19" s="6" t="n"/>
      <c r="C19" s="6" t="n"/>
      <c r="D19" s="6" t="n"/>
      <c r="E19" s="25" t="n"/>
      <c r="F19" s="6" t="n"/>
      <c r="G19" s="6" t="n"/>
    </row>
    <row r="20">
      <c r="A20" s="26" t="n"/>
      <c r="B20" s="6" t="n"/>
      <c r="C20" s="6" t="n"/>
      <c r="D20" s="6" t="n"/>
      <c r="E20" s="25" t="n"/>
      <c r="F20" s="6" t="n"/>
      <c r="G20" s="6" t="n"/>
    </row>
    <row r="21">
      <c r="A21" s="26" t="n"/>
      <c r="B21" s="6" t="n"/>
      <c r="C21" s="6" t="n"/>
      <c r="D21" s="6" t="n"/>
      <c r="E21" s="25" t="n"/>
      <c r="F21" s="6" t="n"/>
      <c r="G21" s="6" t="n"/>
    </row>
    <row r="22">
      <c r="A22" s="26" t="n"/>
      <c r="B22" s="6" t="n"/>
      <c r="C22" s="6" t="n"/>
      <c r="D22" s="6" t="n"/>
      <c r="E22" s="25" t="n"/>
      <c r="F22" s="6" t="n"/>
      <c r="G22" s="6" t="n"/>
    </row>
    <row r="23">
      <c r="A23" s="26" t="n"/>
      <c r="B23" s="6" t="n"/>
      <c r="C23" s="6" t="n"/>
      <c r="D23" s="6" t="n"/>
      <c r="E23" s="25" t="n"/>
      <c r="F23" s="6" t="n"/>
      <c r="G23" s="6" t="n"/>
    </row>
    <row r="24">
      <c r="A24" s="26" t="n"/>
      <c r="B24" s="6" t="n"/>
      <c r="C24" s="6" t="n"/>
      <c r="D24" s="6" t="n"/>
      <c r="E24" s="25" t="n"/>
      <c r="F24" s="6" t="n"/>
      <c r="G24" s="6" t="n"/>
    </row>
    <row r="25">
      <c r="A25" s="26" t="n"/>
      <c r="B25" s="6" t="n"/>
      <c r="C25" s="6" t="n"/>
      <c r="D25" s="6" t="n"/>
      <c r="E25" s="25" t="n"/>
      <c r="F25" s="6" t="n"/>
      <c r="G25" s="6" t="n"/>
    </row>
    <row r="26">
      <c r="A26" s="26" t="n"/>
      <c r="B26" s="6" t="n"/>
      <c r="C26" s="6" t="n"/>
      <c r="D26" s="6" t="n"/>
      <c r="E26" s="25" t="n"/>
      <c r="F26" s="6" t="n"/>
      <c r="G26" s="6" t="n"/>
    </row>
    <row r="27">
      <c r="A27" s="26" t="n"/>
      <c r="B27" s="6" t="n"/>
      <c r="C27" s="6" t="n"/>
      <c r="D27" s="6" t="n"/>
      <c r="E27" s="25" t="n"/>
      <c r="F27" s="6" t="n"/>
      <c r="G27" s="6" t="n"/>
    </row>
    <row r="28">
      <c r="A28" s="26" t="n"/>
      <c r="B28" s="6" t="n"/>
      <c r="C28" s="6" t="n"/>
      <c r="D28" s="6" t="n"/>
      <c r="E28" s="25" t="n"/>
      <c r="F28" s="6" t="n"/>
      <c r="G28" s="6" t="n"/>
    </row>
    <row r="29">
      <c r="A29" s="26" t="n"/>
      <c r="B29" s="6" t="n"/>
      <c r="C29" s="6" t="n"/>
      <c r="D29" s="6" t="n"/>
      <c r="E29" s="25" t="n"/>
      <c r="F29" s="6" t="n"/>
      <c r="G29" s="6" t="n"/>
    </row>
    <row r="30">
      <c r="A30" s="26" t="n"/>
      <c r="B30" s="6" t="n"/>
      <c r="C30" s="6" t="n"/>
      <c r="D30" s="6" t="n"/>
      <c r="E30" s="25" t="n"/>
      <c r="F30" s="6" t="n"/>
      <c r="G30" s="6" t="n"/>
    </row>
    <row r="31">
      <c r="A31" s="26" t="n"/>
      <c r="B31" s="6" t="n"/>
      <c r="C31" s="6" t="n"/>
      <c r="D31" s="6" t="n"/>
      <c r="E31" s="25" t="n"/>
      <c r="F31" s="6" t="n"/>
      <c r="G31" s="6" t="n"/>
    </row>
    <row r="32">
      <c r="A32" s="26" t="n"/>
      <c r="B32" s="6" t="n"/>
      <c r="C32" s="6" t="n"/>
      <c r="D32" s="6" t="n"/>
      <c r="E32" s="25" t="n"/>
      <c r="F32" s="6" t="n"/>
      <c r="G32" s="6" t="n"/>
    </row>
    <row r="33">
      <c r="A33" s="26" t="n"/>
      <c r="B33" s="6" t="n"/>
      <c r="C33" s="6" t="n"/>
      <c r="D33" s="6" t="n"/>
      <c r="E33" s="25" t="n"/>
      <c r="F33" s="6" t="n"/>
      <c r="G33" s="6" t="n"/>
    </row>
    <row r="34">
      <c r="A34" s="26" t="n"/>
      <c r="B34" s="6" t="n"/>
      <c r="C34" s="6" t="n"/>
      <c r="D34" s="6" t="n"/>
      <c r="E34" s="25" t="n"/>
      <c r="F34" s="6" t="n"/>
      <c r="G34" s="6" t="n"/>
    </row>
    <row r="35">
      <c r="A35" s="26" t="n"/>
      <c r="B35" s="6" t="n"/>
      <c r="C35" s="6" t="n"/>
      <c r="D35" s="6" t="n"/>
      <c r="E35" s="25" t="n"/>
      <c r="F35" s="6" t="n"/>
      <c r="G35" s="6" t="n"/>
    </row>
    <row r="36">
      <c r="A36" s="26" t="n"/>
      <c r="B36" s="6" t="n"/>
      <c r="C36" s="6" t="n"/>
      <c r="D36" s="6" t="n"/>
      <c r="E36" s="25" t="n"/>
      <c r="F36" s="6" t="n"/>
      <c r="G36" s="6" t="n"/>
    </row>
    <row r="37">
      <c r="A37" s="26" t="n"/>
      <c r="B37" s="6" t="n"/>
      <c r="C37" s="6" t="n"/>
      <c r="D37" s="6" t="n"/>
      <c r="E37" s="25" t="n"/>
      <c r="F37" s="6" t="n"/>
      <c r="G37" s="6" t="n"/>
    </row>
    <row r="38">
      <c r="A38" s="26" t="n"/>
      <c r="B38" s="6" t="n"/>
      <c r="C38" s="6" t="n"/>
      <c r="D38" s="6" t="n"/>
      <c r="E38" s="25" t="n"/>
      <c r="F38" s="6" t="n"/>
      <c r="G38" s="6" t="n"/>
    </row>
    <row r="39">
      <c r="A39" s="26" t="n"/>
      <c r="B39" s="6" t="n"/>
      <c r="C39" s="6" t="n"/>
      <c r="D39" s="6" t="n"/>
      <c r="E39" s="25" t="n"/>
      <c r="F39" s="6" t="n"/>
      <c r="G39" s="6" t="n"/>
    </row>
    <row r="40">
      <c r="A40" s="26" t="n"/>
      <c r="B40" s="6" t="n"/>
      <c r="C40" s="6" t="n"/>
      <c r="D40" s="6" t="n"/>
      <c r="E40" s="25" t="n"/>
      <c r="F40" s="6" t="n"/>
      <c r="G40" s="6" t="n"/>
    </row>
    <row r="41">
      <c r="A41" s="26" t="n"/>
      <c r="B41" s="6" t="n"/>
      <c r="C41" s="6" t="n"/>
      <c r="D41" s="6" t="n"/>
      <c r="E41" s="25" t="n"/>
      <c r="F41" s="6" t="n"/>
      <c r="G41" s="6" t="n"/>
    </row>
    <row r="42">
      <c r="A42" s="26" t="n"/>
      <c r="B42" s="6" t="n"/>
      <c r="C42" s="6" t="n"/>
      <c r="D42" s="6" t="n"/>
      <c r="E42" s="25" t="n"/>
      <c r="F42" s="6" t="n"/>
      <c r="G42" s="6" t="n"/>
    </row>
    <row r="43">
      <c r="A43" s="26" t="n"/>
      <c r="B43" s="6" t="n"/>
      <c r="C43" s="6" t="n"/>
      <c r="D43" s="6" t="n"/>
      <c r="E43" s="25" t="n"/>
      <c r="F43" s="6" t="n"/>
      <c r="G43" s="6" t="n"/>
    </row>
    <row r="44">
      <c r="A44" s="26" t="n"/>
      <c r="B44" s="6" t="n"/>
      <c r="C44" s="6" t="n"/>
      <c r="D44" s="6" t="n"/>
      <c r="E44" s="25" t="n"/>
      <c r="F44" s="6" t="n"/>
      <c r="G44" s="6" t="n"/>
    </row>
    <row r="45">
      <c r="A45" s="26" t="n"/>
      <c r="B45" s="6" t="n"/>
      <c r="C45" s="6" t="n"/>
      <c r="D45" s="6" t="n"/>
      <c r="E45" s="25" t="n"/>
      <c r="F45" s="6" t="n"/>
      <c r="G45" s="6" t="n"/>
    </row>
    <row r="46">
      <c r="A46" s="26" t="n"/>
      <c r="B46" s="6" t="n"/>
      <c r="C46" s="6" t="n"/>
      <c r="D46" s="6" t="n"/>
      <c r="E46" s="25" t="n"/>
      <c r="F46" s="6" t="n"/>
      <c r="G46" s="6" t="n"/>
    </row>
    <row r="47">
      <c r="A47" s="26" t="n"/>
      <c r="B47" s="6" t="n"/>
      <c r="C47" s="6" t="n"/>
      <c r="D47" s="6" t="n"/>
      <c r="E47" s="25" t="n"/>
      <c r="F47" s="6" t="n"/>
      <c r="G47" s="6" t="n"/>
    </row>
    <row r="48">
      <c r="A48" s="26" t="n"/>
      <c r="B48" s="6" t="n"/>
      <c r="C48" s="6" t="n"/>
      <c r="D48" s="6" t="n"/>
      <c r="E48" s="25" t="n"/>
      <c r="F48" s="6" t="n"/>
      <c r="G48" s="6" t="n"/>
    </row>
    <row r="49">
      <c r="A49" s="26" t="n"/>
      <c r="B49" s="6" t="n"/>
      <c r="C49" s="6" t="n"/>
      <c r="D49" s="6" t="n"/>
      <c r="E49" s="25" t="n"/>
      <c r="F49" s="6" t="n"/>
      <c r="G49" s="6" t="n"/>
    </row>
    <row r="50">
      <c r="A50" s="26" t="n"/>
      <c r="B50" s="6" t="n"/>
      <c r="C50" s="6" t="n"/>
      <c r="D50" s="6" t="n"/>
      <c r="E50" s="25" t="n"/>
      <c r="F50" s="6" t="n"/>
      <c r="G50" s="6" t="n"/>
    </row>
    <row r="51">
      <c r="A51" s="26" t="n"/>
      <c r="B51" s="6" t="n"/>
      <c r="C51" s="6" t="n"/>
      <c r="D51" s="6" t="n"/>
      <c r="E51" s="25" t="n"/>
      <c r="F51" s="6" t="n"/>
      <c r="G51" s="6" t="n"/>
    </row>
    <row r="52">
      <c r="A52" s="26" t="n"/>
      <c r="B52" s="6" t="n"/>
      <c r="C52" s="6" t="n"/>
      <c r="D52" s="6" t="n"/>
      <c r="E52" s="25" t="n"/>
      <c r="F52" s="6" t="n"/>
      <c r="G52" s="6" t="n"/>
    </row>
    <row r="53">
      <c r="A53" s="26" t="n"/>
      <c r="B53" s="6" t="n"/>
      <c r="C53" s="6" t="n"/>
      <c r="D53" s="6" t="n"/>
      <c r="E53" s="25" t="n"/>
      <c r="F53" s="6" t="n"/>
      <c r="G53" s="6" t="n"/>
    </row>
    <row r="54">
      <c r="A54" s="26" t="n"/>
      <c r="B54" s="6" t="n"/>
      <c r="C54" s="6" t="n"/>
      <c r="D54" s="6" t="n"/>
      <c r="E54" s="25" t="n"/>
      <c r="F54" s="6" t="n"/>
      <c r="G54" s="6" t="n"/>
    </row>
    <row r="55">
      <c r="A55" s="26" t="n"/>
      <c r="B55" s="6" t="n"/>
      <c r="C55" s="6" t="n"/>
      <c r="D55" s="6" t="n"/>
      <c r="E55" s="25" t="n"/>
      <c r="F55" s="6" t="n"/>
      <c r="G55" s="6" t="n"/>
    </row>
    <row r="56">
      <c r="A56" s="26" t="n"/>
      <c r="B56" s="6" t="n"/>
      <c r="C56" s="6" t="n"/>
      <c r="D56" s="6" t="n"/>
      <c r="E56" s="25" t="n"/>
      <c r="F56" s="6" t="n"/>
      <c r="G56" s="6" t="n"/>
    </row>
    <row r="57">
      <c r="A57" s="26" t="n"/>
      <c r="B57" s="6" t="n"/>
      <c r="C57" s="6" t="n"/>
      <c r="D57" s="6" t="n"/>
      <c r="E57" s="25" t="n"/>
      <c r="F57" s="6" t="n"/>
      <c r="G57" s="6" t="n"/>
    </row>
    <row r="58">
      <c r="A58" s="26" t="n"/>
      <c r="B58" s="6" t="n"/>
      <c r="C58" s="6" t="n"/>
      <c r="D58" s="6" t="n"/>
      <c r="E58" s="25" t="n"/>
      <c r="F58" s="6" t="n"/>
      <c r="G58" s="6" t="n"/>
    </row>
    <row r="59">
      <c r="A59" s="26" t="n"/>
      <c r="B59" s="6" t="n"/>
      <c r="C59" s="6" t="n"/>
      <c r="D59" s="6" t="n"/>
      <c r="E59" s="25" t="n"/>
      <c r="F59" s="6" t="n"/>
      <c r="G59" s="6" t="n"/>
    </row>
    <row r="60">
      <c r="A60" s="26" t="n"/>
      <c r="B60" s="6" t="n"/>
      <c r="C60" s="6" t="n"/>
      <c r="D60" s="6" t="n"/>
      <c r="E60" s="25" t="n"/>
      <c r="F60" s="6" t="n"/>
      <c r="G60" s="6" t="n"/>
    </row>
    <row r="61">
      <c r="A61" s="26" t="n"/>
      <c r="B61" s="6" t="n"/>
      <c r="C61" s="6" t="n"/>
      <c r="D61" s="6" t="n"/>
      <c r="E61" s="25" t="n"/>
      <c r="F61" s="6" t="n"/>
      <c r="G61" s="6" t="n"/>
    </row>
    <row r="62">
      <c r="A62" s="26" t="n"/>
      <c r="B62" s="6" t="n"/>
      <c r="C62" s="6" t="n"/>
      <c r="D62" s="6" t="n"/>
      <c r="E62" s="25" t="n"/>
      <c r="F62" s="6" t="n"/>
      <c r="G62" s="6" t="n"/>
    </row>
    <row r="63">
      <c r="A63" s="26" t="n"/>
      <c r="B63" s="6" t="n"/>
      <c r="C63" s="6" t="n"/>
      <c r="D63" s="6" t="n"/>
      <c r="E63" s="25" t="n"/>
      <c r="F63" s="6" t="n"/>
      <c r="G63" s="6" t="n"/>
    </row>
    <row r="64">
      <c r="A64" s="26" t="n"/>
      <c r="B64" s="6" t="n"/>
      <c r="C64" s="6" t="n"/>
      <c r="D64" s="6" t="n"/>
      <c r="E64" s="25" t="n"/>
      <c r="F64" s="6" t="n"/>
      <c r="G64" s="6" t="n"/>
    </row>
    <row r="65">
      <c r="A65" s="26" t="n"/>
      <c r="B65" s="6" t="n"/>
      <c r="C65" s="6" t="n"/>
      <c r="D65" s="6" t="n"/>
      <c r="E65" s="25" t="n"/>
      <c r="F65" s="6" t="n"/>
      <c r="G65" s="6" t="n"/>
    </row>
    <row r="66">
      <c r="A66" s="26" t="n"/>
      <c r="B66" s="6" t="n"/>
      <c r="C66" s="6" t="n"/>
      <c r="D66" s="6" t="n"/>
      <c r="E66" s="25" t="n"/>
      <c r="F66" s="6" t="n"/>
      <c r="G66" s="6" t="n"/>
    </row>
    <row r="67">
      <c r="A67" s="26" t="n"/>
      <c r="B67" s="6" t="n"/>
      <c r="C67" s="6" t="n"/>
      <c r="D67" s="6" t="n"/>
      <c r="E67" s="25" t="n"/>
      <c r="F67" s="6" t="n"/>
      <c r="G67" s="6" t="n"/>
    </row>
    <row r="68">
      <c r="A68" s="26" t="n"/>
      <c r="B68" s="6" t="n"/>
      <c r="C68" s="6" t="n"/>
      <c r="D68" s="6" t="n"/>
      <c r="E68" s="25" t="n"/>
      <c r="F68" s="6" t="n"/>
      <c r="G68" s="6" t="n"/>
    </row>
    <row r="69">
      <c r="A69" s="26" t="n"/>
      <c r="B69" s="6" t="n"/>
      <c r="C69" s="6" t="n"/>
      <c r="D69" s="6" t="n"/>
      <c r="E69" s="25" t="n"/>
      <c r="F69" s="6" t="n"/>
      <c r="G69" s="6" t="n"/>
    </row>
    <row r="70">
      <c r="A70" s="26" t="n"/>
      <c r="B70" s="6" t="n"/>
      <c r="C70" s="6" t="n"/>
      <c r="D70" s="6" t="n"/>
      <c r="E70" s="25" t="n"/>
      <c r="F70" s="6" t="n"/>
      <c r="G70" s="6" t="n"/>
    </row>
    <row r="71">
      <c r="A71" s="26" t="n"/>
      <c r="B71" s="6" t="n"/>
      <c r="C71" s="6" t="n"/>
      <c r="D71" s="6" t="n"/>
      <c r="E71" s="25" t="n"/>
      <c r="F71" s="6" t="n"/>
      <c r="G71" s="6" t="n"/>
    </row>
    <row r="72">
      <c r="A72" s="26" t="n"/>
      <c r="B72" s="6" t="n"/>
      <c r="C72" s="6" t="n"/>
      <c r="D72" s="6" t="n"/>
      <c r="E72" s="25" t="n"/>
      <c r="F72" s="6" t="n"/>
      <c r="G72" s="6" t="n"/>
    </row>
    <row r="73">
      <c r="A73" s="26" t="n"/>
      <c r="B73" s="6" t="n"/>
      <c r="C73" s="6" t="n"/>
      <c r="D73" s="6" t="n"/>
      <c r="E73" s="25" t="n"/>
      <c r="F73" s="6" t="n"/>
      <c r="G73" s="6" t="n"/>
    </row>
    <row r="74">
      <c r="A74" s="26" t="n"/>
      <c r="B74" s="6" t="n"/>
      <c r="C74" s="6" t="n"/>
      <c r="D74" s="6" t="n"/>
      <c r="E74" s="25" t="n"/>
      <c r="F74" s="6" t="n"/>
      <c r="G74" s="6" t="n"/>
    </row>
    <row r="75">
      <c r="A75" s="26" t="n"/>
      <c r="B75" s="6" t="n"/>
      <c r="C75" s="6" t="n"/>
      <c r="D75" s="6" t="n"/>
      <c r="E75" s="25" t="n"/>
      <c r="F75" s="6" t="n"/>
      <c r="G75" s="6" t="n"/>
    </row>
    <row r="76">
      <c r="A76" s="26" t="n"/>
      <c r="B76" s="6" t="n"/>
      <c r="C76" s="6" t="n"/>
      <c r="D76" s="6" t="n"/>
      <c r="E76" s="25" t="n"/>
      <c r="F76" s="6" t="n"/>
      <c r="G76" s="6" t="n"/>
    </row>
    <row r="77">
      <c r="A77" s="26" t="n"/>
      <c r="B77" s="6" t="n"/>
      <c r="C77" s="6" t="n"/>
      <c r="D77" s="6" t="n"/>
      <c r="E77" s="25" t="n"/>
      <c r="F77" s="6" t="n"/>
      <c r="G77" s="6" t="n"/>
    </row>
    <row r="78">
      <c r="A78" s="26" t="n"/>
      <c r="B78" s="6" t="n"/>
      <c r="C78" s="6" t="n"/>
      <c r="D78" s="6" t="n"/>
      <c r="E78" s="25" t="n"/>
      <c r="F78" s="6" t="n"/>
      <c r="G78" s="6" t="n"/>
    </row>
    <row r="79">
      <c r="A79" s="26" t="n"/>
      <c r="B79" s="6" t="n"/>
      <c r="C79" s="6" t="n"/>
      <c r="D79" s="6" t="n"/>
      <c r="E79" s="25" t="n"/>
      <c r="F79" s="6" t="n"/>
      <c r="G79" s="6" t="n"/>
    </row>
    <row r="80">
      <c r="A80" s="26" t="n"/>
      <c r="B80" s="6" t="n"/>
      <c r="C80" s="6" t="n"/>
      <c r="D80" s="6" t="n"/>
      <c r="E80" s="25" t="n"/>
      <c r="F80" s="6" t="n"/>
      <c r="G80" s="6" t="n"/>
    </row>
    <row r="81">
      <c r="A81" s="26" t="n"/>
      <c r="B81" s="6" t="n"/>
      <c r="C81" s="6" t="n"/>
      <c r="D81" s="6" t="n"/>
      <c r="E81" s="25" t="n"/>
      <c r="F81" s="6" t="n"/>
      <c r="G81" s="6" t="n"/>
    </row>
    <row r="82">
      <c r="A82" s="26" t="n"/>
      <c r="B82" s="6" t="n"/>
      <c r="C82" s="6" t="n"/>
      <c r="D82" s="6" t="n"/>
      <c r="E82" s="25" t="n"/>
      <c r="F82" s="6" t="n"/>
      <c r="G82" s="6" t="n"/>
    </row>
    <row r="83">
      <c r="A83" s="26" t="n"/>
      <c r="B83" s="6" t="n"/>
      <c r="C83" s="6" t="n"/>
      <c r="D83" s="6" t="n"/>
      <c r="E83" s="25" t="n"/>
      <c r="F83" s="6" t="n"/>
      <c r="G83" s="6" t="n"/>
    </row>
    <row r="84">
      <c r="A84" s="26" t="n"/>
      <c r="B84" s="6" t="n"/>
      <c r="C84" s="6" t="n"/>
      <c r="D84" s="6" t="n"/>
      <c r="E84" s="25" t="n"/>
      <c r="F84" s="6" t="n"/>
      <c r="G84" s="6" t="n"/>
    </row>
    <row r="85">
      <c r="A85" s="26" t="n"/>
      <c r="B85" s="6" t="n"/>
      <c r="C85" s="6" t="n"/>
      <c r="D85" s="6" t="n"/>
      <c r="E85" s="25" t="n"/>
      <c r="F85" s="6" t="n"/>
      <c r="G85" s="6" t="n"/>
    </row>
    <row r="86">
      <c r="A86" s="26" t="n"/>
      <c r="B86" s="6" t="n"/>
      <c r="C86" s="6" t="n"/>
      <c r="D86" s="6" t="n"/>
      <c r="E86" s="25" t="n"/>
      <c r="F86" s="6" t="n"/>
      <c r="G86" s="6" t="n"/>
    </row>
    <row r="87">
      <c r="A87" s="26" t="n"/>
      <c r="B87" s="6" t="n"/>
      <c r="C87" s="6" t="n"/>
      <c r="D87" s="6" t="n"/>
      <c r="E87" s="25" t="n"/>
      <c r="F87" s="6" t="n"/>
      <c r="G87" s="6" t="n"/>
    </row>
    <row r="88">
      <c r="A88" s="26" t="n"/>
      <c r="B88" s="6" t="n"/>
      <c r="C88" s="6" t="n"/>
      <c r="D88" s="6" t="n"/>
      <c r="E88" s="25" t="n"/>
      <c r="F88" s="6" t="n"/>
      <c r="G88" s="6" t="n"/>
    </row>
    <row r="89">
      <c r="A89" s="26" t="n"/>
      <c r="B89" s="6" t="n"/>
      <c r="C89" s="6" t="n"/>
      <c r="D89" s="6" t="n"/>
      <c r="E89" s="25" t="n"/>
      <c r="F89" s="6" t="n"/>
      <c r="G89" s="6" t="n"/>
    </row>
    <row r="90">
      <c r="A90" s="26" t="n"/>
      <c r="B90" s="6" t="n"/>
      <c r="C90" s="6" t="n"/>
      <c r="D90" s="6" t="n"/>
      <c r="E90" s="25" t="n"/>
      <c r="F90" s="6" t="n"/>
      <c r="G90" s="6" t="n"/>
    </row>
    <row r="91">
      <c r="A91" s="26" t="n"/>
      <c r="B91" s="6" t="n"/>
      <c r="C91" s="6" t="n"/>
      <c r="D91" s="6" t="n"/>
      <c r="E91" s="25" t="n"/>
      <c r="F91" s="6" t="n"/>
      <c r="G91" s="6" t="n"/>
    </row>
    <row r="92">
      <c r="A92" s="26" t="n"/>
      <c r="B92" s="6" t="n"/>
      <c r="C92" s="6" t="n"/>
      <c r="D92" s="6" t="n"/>
      <c r="E92" s="25" t="n"/>
      <c r="F92" s="6" t="n"/>
      <c r="G92" s="6" t="n"/>
    </row>
    <row r="93">
      <c r="A93" s="26" t="n"/>
      <c r="B93" s="6" t="n"/>
      <c r="C93" s="6" t="n"/>
      <c r="D93" s="6" t="n"/>
      <c r="E93" s="25" t="n"/>
      <c r="F93" s="6" t="n"/>
      <c r="G93" s="6" t="n"/>
    </row>
    <row r="94">
      <c r="A94" s="26" t="n"/>
      <c r="B94" s="6" t="n"/>
      <c r="C94" s="6" t="n"/>
      <c r="D94" s="6" t="n"/>
      <c r="E94" s="25" t="n"/>
      <c r="F94" s="6" t="n"/>
      <c r="G94" s="6" t="n"/>
    </row>
    <row r="95">
      <c r="A95" s="26" t="n"/>
      <c r="B95" s="6" t="n"/>
      <c r="C95" s="6" t="n"/>
      <c r="D95" s="6" t="n"/>
      <c r="E95" s="25" t="n"/>
      <c r="F95" s="6" t="n"/>
      <c r="G95" s="6" t="n"/>
    </row>
    <row r="96">
      <c r="A96" s="26" t="n"/>
      <c r="B96" s="6" t="n"/>
      <c r="C96" s="6" t="n"/>
      <c r="D96" s="6" t="n"/>
      <c r="E96" s="25" t="n"/>
      <c r="F96" s="6" t="n"/>
      <c r="G96" s="6" t="n"/>
    </row>
    <row r="97">
      <c r="A97" s="26" t="n"/>
      <c r="B97" s="6" t="n"/>
      <c r="C97" s="6" t="n"/>
      <c r="D97" s="6" t="n"/>
      <c r="E97" s="25" t="n"/>
      <c r="F97" s="6" t="n"/>
      <c r="G97" s="6" t="n"/>
    </row>
    <row r="98">
      <c r="A98" s="26" t="n"/>
      <c r="B98" s="6" t="n"/>
      <c r="C98" s="6" t="n"/>
      <c r="D98" s="6" t="n"/>
      <c r="E98" s="25" t="n"/>
      <c r="F98" s="6" t="n"/>
      <c r="G98" s="6" t="n"/>
    </row>
    <row r="99">
      <c r="A99" s="26" t="n"/>
      <c r="B99" s="6" t="n"/>
      <c r="C99" s="6" t="n"/>
      <c r="D99" s="6" t="n"/>
      <c r="E99" s="25" t="n"/>
      <c r="F99" s="6" t="n"/>
      <c r="G99" s="6" t="n"/>
    </row>
    <row r="100">
      <c r="A100" s="26" t="n"/>
      <c r="B100" s="6" t="n"/>
      <c r="C100" s="6" t="n"/>
      <c r="D100" s="6" t="n"/>
      <c r="E100" s="25" t="n"/>
      <c r="F100" s="6" t="n"/>
      <c r="G100" s="6" t="n"/>
    </row>
    <row r="101">
      <c r="A101" s="26" t="n"/>
      <c r="B101" s="6" t="n"/>
      <c r="C101" s="6" t="n"/>
      <c r="D101" s="6" t="n"/>
      <c r="E101" s="25" t="n"/>
      <c r="F101" s="6" t="n"/>
      <c r="G101" s="6" t="n"/>
    </row>
    <row r="102">
      <c r="A102" s="26" t="n"/>
      <c r="B102" s="6" t="n"/>
      <c r="C102" s="6" t="n"/>
      <c r="D102" s="6" t="n"/>
      <c r="E102" s="25" t="n"/>
      <c r="F102" s="6" t="n"/>
      <c r="G102" s="6" t="n"/>
    </row>
    <row r="103">
      <c r="A103" s="26" t="n"/>
      <c r="B103" s="6" t="n"/>
      <c r="C103" s="6" t="n"/>
      <c r="D103" s="6" t="n"/>
      <c r="E103" s="25" t="n"/>
      <c r="F103" s="6" t="n"/>
      <c r="G103" s="6" t="n"/>
    </row>
    <row r="104">
      <c r="A104" s="26" t="n"/>
      <c r="B104" s="6" t="n"/>
      <c r="C104" s="6" t="n"/>
      <c r="D104" s="6" t="n"/>
      <c r="E104" s="25" t="n"/>
      <c r="F104" s="6" t="n"/>
      <c r="G104" s="6" t="n"/>
    </row>
    <row r="105">
      <c r="A105" s="26" t="n"/>
      <c r="B105" s="6" t="n"/>
      <c r="C105" s="6" t="n"/>
      <c r="D105" s="6" t="n"/>
      <c r="E105" s="25" t="n"/>
      <c r="F105" s="6" t="n"/>
      <c r="G105" s="6" t="n"/>
    </row>
    <row r="106">
      <c r="A106" s="26" t="n"/>
      <c r="B106" s="6" t="n"/>
      <c r="C106" s="6" t="n"/>
      <c r="D106" s="6" t="n"/>
      <c r="E106" s="25" t="n"/>
      <c r="F106" s="6" t="n"/>
      <c r="G106" s="6" t="n"/>
    </row>
    <row r="107">
      <c r="A107" s="26" t="n"/>
      <c r="B107" s="6" t="n"/>
      <c r="C107" s="6" t="n"/>
      <c r="D107" s="6" t="n"/>
      <c r="E107" s="25" t="n"/>
      <c r="F107" s="6" t="n"/>
      <c r="G107" s="6" t="n"/>
    </row>
    <row r="108">
      <c r="A108" s="26" t="n"/>
      <c r="B108" s="6" t="n"/>
      <c r="C108" s="6" t="n"/>
      <c r="D108" s="6" t="n"/>
      <c r="E108" s="25" t="n"/>
      <c r="F108" s="6" t="n"/>
      <c r="G108" s="6" t="n"/>
    </row>
    <row r="109">
      <c r="A109" s="26" t="n"/>
      <c r="B109" s="6" t="n"/>
      <c r="C109" s="6" t="n"/>
      <c r="D109" s="6" t="n"/>
      <c r="E109" s="25" t="n"/>
      <c r="F109" s="6" t="n"/>
      <c r="G109" s="6" t="n"/>
    </row>
    <row r="110">
      <c r="A110" s="26" t="n"/>
      <c r="B110" s="6" t="n"/>
      <c r="C110" s="6" t="n"/>
      <c r="D110" s="6" t="n"/>
      <c r="E110" s="25" t="n"/>
      <c r="F110" s="6" t="n"/>
      <c r="G110" s="6" t="n"/>
    </row>
    <row r="111">
      <c r="A111" s="26" t="n"/>
      <c r="B111" s="6" t="n"/>
      <c r="C111" s="6" t="n"/>
      <c r="D111" s="6" t="n"/>
      <c r="E111" s="25" t="n"/>
      <c r="F111" s="6" t="n"/>
      <c r="G111" s="6" t="n"/>
    </row>
    <row r="112">
      <c r="A112" s="26" t="n"/>
      <c r="B112" s="6" t="n"/>
      <c r="C112" s="6" t="n"/>
      <c r="D112" s="6" t="n"/>
      <c r="E112" s="25" t="n"/>
      <c r="F112" s="6" t="n"/>
      <c r="G112" s="6" t="n"/>
    </row>
    <row r="113">
      <c r="A113" s="26" t="n"/>
      <c r="B113" s="6" t="n"/>
      <c r="C113" s="6" t="n"/>
      <c r="D113" s="6" t="n"/>
      <c r="E113" s="25" t="n"/>
      <c r="F113" s="6" t="n"/>
      <c r="G113" s="6" t="n"/>
    </row>
    <row r="114">
      <c r="A114" s="26" t="n"/>
      <c r="B114" s="6" t="n"/>
      <c r="C114" s="6" t="n"/>
      <c r="D114" s="6" t="n"/>
      <c r="E114" s="25" t="n"/>
      <c r="F114" s="6" t="n"/>
      <c r="G114" s="6" t="n"/>
    </row>
    <row r="115">
      <c r="A115" s="26" t="n"/>
      <c r="B115" s="6" t="n"/>
      <c r="C115" s="6" t="n"/>
      <c r="D115" s="6" t="n"/>
      <c r="E115" s="25" t="n"/>
      <c r="F115" s="6" t="n"/>
      <c r="G115" s="6" t="n"/>
    </row>
    <row r="116">
      <c r="A116" s="26" t="n"/>
      <c r="B116" s="6" t="n"/>
      <c r="C116" s="6" t="n"/>
      <c r="D116" s="6" t="n"/>
      <c r="E116" s="25" t="n"/>
      <c r="F116" s="6" t="n"/>
      <c r="G116" s="6" t="n"/>
    </row>
    <row r="117">
      <c r="A117" s="26" t="n"/>
      <c r="B117" s="6" t="n"/>
      <c r="C117" s="6" t="n"/>
      <c r="D117" s="6" t="n"/>
      <c r="E117" s="25" t="n"/>
      <c r="F117" s="6" t="n"/>
      <c r="G117" s="6" t="n"/>
    </row>
    <row r="118">
      <c r="A118" s="26" t="n"/>
      <c r="B118" s="6" t="n"/>
      <c r="C118" s="6" t="n"/>
      <c r="D118" s="6" t="n"/>
      <c r="E118" s="25" t="n"/>
      <c r="F118" s="6" t="n"/>
      <c r="G118" s="6" t="n"/>
    </row>
    <row r="119">
      <c r="A119" s="26" t="n"/>
      <c r="B119" s="6" t="n"/>
      <c r="C119" s="6" t="n"/>
      <c r="D119" s="6" t="n"/>
      <c r="E119" s="25" t="n"/>
      <c r="F119" s="6" t="n"/>
      <c r="G119" s="6" t="n"/>
    </row>
    <row r="120">
      <c r="A120" s="26" t="n"/>
      <c r="B120" s="6" t="n"/>
      <c r="C120" s="6" t="n"/>
      <c r="D120" s="6" t="n"/>
      <c r="E120" s="25" t="n"/>
      <c r="F120" s="6" t="n"/>
      <c r="G120" s="6" t="n"/>
    </row>
    <row r="121">
      <c r="A121" s="26" t="n"/>
      <c r="B121" s="6" t="n"/>
      <c r="C121" s="6" t="n"/>
      <c r="D121" s="6" t="n"/>
      <c r="E121" s="25" t="n"/>
      <c r="F121" s="6" t="n"/>
      <c r="G121" s="6" t="n"/>
    </row>
    <row r="122">
      <c r="A122" s="26" t="n"/>
      <c r="B122" s="6" t="n"/>
      <c r="C122" s="6" t="n"/>
      <c r="D122" s="6" t="n"/>
      <c r="E122" s="25" t="n"/>
      <c r="F122" s="6" t="n"/>
      <c r="G122" s="6" t="n"/>
    </row>
    <row r="123">
      <c r="A123" s="26" t="n"/>
      <c r="B123" s="6" t="n"/>
      <c r="C123" s="6" t="n"/>
      <c r="D123" s="6" t="n"/>
      <c r="E123" s="25" t="n"/>
      <c r="F123" s="6" t="n"/>
      <c r="G123" s="6" t="n"/>
    </row>
    <row r="124">
      <c r="A124" s="26" t="n"/>
      <c r="B124" s="6" t="n"/>
      <c r="C124" s="6" t="n"/>
      <c r="D124" s="6" t="n"/>
      <c r="E124" s="25" t="n"/>
      <c r="F124" s="6" t="n"/>
      <c r="G124" s="6" t="n"/>
    </row>
    <row r="125">
      <c r="A125" s="26" t="n"/>
      <c r="B125" s="6" t="n"/>
      <c r="C125" s="6" t="n"/>
      <c r="D125" s="6" t="n"/>
      <c r="E125" s="25" t="n"/>
      <c r="F125" s="6" t="n"/>
      <c r="G125" s="6" t="n"/>
    </row>
    <row r="126">
      <c r="A126" s="26" t="n"/>
      <c r="B126" s="6" t="n"/>
      <c r="C126" s="6" t="n"/>
      <c r="D126" s="6" t="n"/>
      <c r="E126" s="25" t="n"/>
      <c r="F126" s="6" t="n"/>
      <c r="G126" s="6" t="n"/>
    </row>
    <row r="127">
      <c r="A127" s="26" t="n"/>
      <c r="B127" s="6" t="n"/>
      <c r="C127" s="6" t="n"/>
      <c r="D127" s="6" t="n"/>
      <c r="E127" s="25" t="n"/>
      <c r="F127" s="6" t="n"/>
      <c r="G127" s="6" t="n"/>
    </row>
    <row r="128">
      <c r="A128" s="26" t="n"/>
      <c r="B128" s="6" t="n"/>
      <c r="C128" s="6" t="n"/>
      <c r="D128" s="6" t="n"/>
      <c r="E128" s="25" t="n"/>
      <c r="F128" s="6" t="n"/>
      <c r="G128" s="6" t="n"/>
    </row>
    <row r="129">
      <c r="A129" s="26" t="n"/>
      <c r="B129" s="6" t="n"/>
      <c r="C129" s="6" t="n"/>
      <c r="D129" s="6" t="n"/>
      <c r="E129" s="25" t="n"/>
      <c r="F129" s="6" t="n"/>
      <c r="G129" s="6" t="n"/>
    </row>
    <row r="130">
      <c r="A130" s="26" t="n"/>
      <c r="B130" s="6" t="n"/>
      <c r="C130" s="6" t="n"/>
      <c r="D130" s="6" t="n"/>
      <c r="E130" s="25" t="n"/>
      <c r="F130" s="6" t="n"/>
      <c r="G130" s="6" t="n"/>
    </row>
    <row r="131">
      <c r="A131" s="26" t="n"/>
      <c r="B131" s="6" t="n"/>
      <c r="C131" s="6" t="n"/>
      <c r="D131" s="6" t="n"/>
      <c r="E131" s="25" t="n"/>
      <c r="F131" s="6" t="n"/>
      <c r="G131" s="6" t="n"/>
    </row>
    <row r="132">
      <c r="A132" s="26" t="n"/>
      <c r="B132" s="6" t="n"/>
      <c r="C132" s="6" t="n"/>
      <c r="D132" s="6" t="n"/>
      <c r="E132" s="25" t="n"/>
      <c r="F132" s="6" t="n"/>
      <c r="G132" s="6" t="n"/>
    </row>
    <row r="133">
      <c r="A133" s="26" t="n"/>
      <c r="B133" s="6" t="n"/>
      <c r="C133" s="6" t="n"/>
      <c r="D133" s="6" t="n"/>
      <c r="E133" s="25" t="n"/>
      <c r="F133" s="6" t="n"/>
      <c r="G133" s="6" t="n"/>
    </row>
    <row r="134">
      <c r="A134" s="26" t="n"/>
      <c r="B134" s="6" t="n"/>
      <c r="C134" s="6" t="n"/>
      <c r="D134" s="6" t="n"/>
      <c r="E134" s="25" t="n"/>
      <c r="F134" s="6" t="n"/>
      <c r="G134" s="6" t="n"/>
    </row>
    <row r="135">
      <c r="A135" s="26" t="n"/>
      <c r="B135" s="6" t="n"/>
      <c r="C135" s="6" t="n"/>
      <c r="D135" s="6" t="n"/>
      <c r="E135" s="25" t="n"/>
      <c r="F135" s="6" t="n"/>
      <c r="G135" s="6" t="n"/>
    </row>
    <row r="136">
      <c r="A136" s="26" t="n"/>
      <c r="B136" s="6" t="n"/>
      <c r="C136" s="6" t="n"/>
      <c r="D136" s="6" t="n"/>
      <c r="E136" s="25" t="n"/>
      <c r="F136" s="6" t="n"/>
      <c r="G136" s="6" t="n"/>
    </row>
    <row r="137">
      <c r="A137" s="26" t="n"/>
      <c r="B137" s="6" t="n"/>
      <c r="C137" s="6" t="n"/>
      <c r="D137" s="6" t="n"/>
      <c r="E137" s="25" t="n"/>
      <c r="F137" s="6" t="n"/>
      <c r="G137" s="6" t="n"/>
    </row>
    <row r="138">
      <c r="A138" s="26" t="n"/>
      <c r="B138" s="6" t="n"/>
      <c r="C138" s="6" t="n"/>
      <c r="D138" s="6" t="n"/>
      <c r="E138" s="25" t="n"/>
      <c r="F138" s="6" t="n"/>
      <c r="G138" s="6" t="n"/>
    </row>
    <row r="139">
      <c r="A139" s="26" t="n"/>
      <c r="B139" s="6" t="n"/>
      <c r="C139" s="6" t="n"/>
      <c r="D139" s="6" t="n"/>
      <c r="E139" s="25" t="n"/>
      <c r="F139" s="6" t="n"/>
      <c r="G139" s="6" t="n"/>
    </row>
    <row r="140">
      <c r="A140" s="26" t="n"/>
      <c r="B140" s="6" t="n"/>
      <c r="C140" s="6" t="n"/>
      <c r="D140" s="6" t="n"/>
      <c r="E140" s="25" t="n"/>
      <c r="F140" s="6" t="n"/>
      <c r="G140" s="6" t="n"/>
    </row>
    <row r="141">
      <c r="A141" s="26" t="n"/>
      <c r="B141" s="6" t="n"/>
      <c r="C141" s="6" t="n"/>
      <c r="D141" s="6" t="n"/>
      <c r="E141" s="25" t="n"/>
      <c r="F141" s="6" t="n"/>
      <c r="G141" s="6" t="n"/>
    </row>
    <row r="142">
      <c r="A142" s="26" t="n"/>
      <c r="B142" s="6" t="n"/>
      <c r="C142" s="6" t="n"/>
      <c r="D142" s="6" t="n"/>
      <c r="E142" s="25" t="n"/>
      <c r="F142" s="6" t="n"/>
      <c r="G142" s="6" t="n"/>
    </row>
    <row r="143">
      <c r="A143" s="26" t="n"/>
      <c r="B143" s="6" t="n"/>
      <c r="C143" s="6" t="n"/>
      <c r="D143" s="6" t="n"/>
      <c r="E143" s="25" t="n"/>
      <c r="F143" s="6" t="n"/>
      <c r="G143" s="6" t="n"/>
    </row>
    <row r="144">
      <c r="A144" s="26" t="n"/>
      <c r="B144" s="6" t="n"/>
      <c r="C144" s="6" t="n"/>
      <c r="D144" s="6" t="n"/>
      <c r="E144" s="25" t="n"/>
      <c r="F144" s="6" t="n"/>
      <c r="G144" s="6" t="n"/>
    </row>
    <row r="145">
      <c r="A145" s="26" t="n"/>
      <c r="B145" s="6" t="n"/>
      <c r="C145" s="6" t="n"/>
      <c r="D145" s="6" t="n"/>
      <c r="E145" s="25" t="n"/>
      <c r="F145" s="6" t="n"/>
      <c r="G145" s="6" t="n"/>
    </row>
    <row r="146">
      <c r="A146" s="26" t="n"/>
      <c r="B146" s="6" t="n"/>
      <c r="C146" s="6" t="n"/>
      <c r="D146" s="6" t="n"/>
      <c r="E146" s="25" t="n"/>
      <c r="F146" s="6" t="n"/>
      <c r="G146" s="6" t="n"/>
    </row>
    <row r="147">
      <c r="A147" s="26" t="n"/>
      <c r="B147" s="6" t="n"/>
      <c r="C147" s="6" t="n"/>
      <c r="D147" s="6" t="n"/>
      <c r="E147" s="25" t="n"/>
      <c r="F147" s="6" t="n"/>
      <c r="G147" s="6" t="n"/>
    </row>
    <row r="148">
      <c r="A148" s="26" t="n"/>
      <c r="B148" s="6" t="n"/>
      <c r="C148" s="6" t="n"/>
      <c r="D148" s="6" t="n"/>
      <c r="E148" s="25" t="n"/>
      <c r="F148" s="6" t="n"/>
      <c r="G148" s="6" t="n"/>
    </row>
    <row r="149">
      <c r="A149" s="26" t="n"/>
      <c r="B149" s="6" t="n"/>
      <c r="C149" s="6" t="n"/>
      <c r="D149" s="6" t="n"/>
      <c r="E149" s="25" t="n"/>
      <c r="F149" s="6" t="n"/>
      <c r="G149" s="6" t="n"/>
    </row>
    <row r="150">
      <c r="A150" s="26" t="n"/>
      <c r="B150" s="6" t="n"/>
      <c r="C150" s="6" t="n"/>
      <c r="D150" s="6" t="n"/>
      <c r="E150" s="25" t="n"/>
      <c r="F150" s="6" t="n"/>
      <c r="G150" s="6" t="n"/>
    </row>
    <row r="151">
      <c r="A151" s="26" t="n"/>
      <c r="B151" s="6" t="n"/>
      <c r="C151" s="6" t="n"/>
      <c r="D151" s="6" t="n"/>
      <c r="E151" s="25" t="n"/>
      <c r="F151" s="6" t="n"/>
      <c r="G151" s="6" t="n"/>
    </row>
    <row r="152">
      <c r="A152" s="26" t="n"/>
      <c r="B152" s="6" t="n"/>
      <c r="C152" s="6" t="n"/>
      <c r="D152" s="6" t="n"/>
      <c r="E152" s="25" t="n"/>
      <c r="F152" s="6" t="n"/>
      <c r="G152" s="6" t="n"/>
    </row>
    <row r="153">
      <c r="A153" s="26" t="n"/>
      <c r="B153" s="6" t="n"/>
      <c r="C153" s="6" t="n"/>
      <c r="D153" s="6" t="n"/>
      <c r="E153" s="25" t="n"/>
      <c r="F153" s="6" t="n"/>
      <c r="G153" s="6" t="n"/>
    </row>
    <row r="154">
      <c r="A154" s="26" t="n"/>
      <c r="B154" s="6" t="n"/>
      <c r="C154" s="6" t="n"/>
      <c r="D154" s="6" t="n"/>
      <c r="E154" s="25" t="n"/>
      <c r="F154" s="6" t="n"/>
      <c r="G154" s="6" t="n"/>
    </row>
    <row r="155">
      <c r="A155" s="26" t="n"/>
      <c r="B155" s="6" t="n"/>
      <c r="C155" s="6" t="n"/>
      <c r="D155" s="6" t="n"/>
      <c r="E155" s="25" t="n"/>
      <c r="F155" s="6" t="n"/>
      <c r="G155" s="6" t="n"/>
    </row>
    <row r="156">
      <c r="A156" s="26" t="n"/>
      <c r="B156" s="6" t="n"/>
      <c r="C156" s="6" t="n"/>
      <c r="D156" s="6" t="n"/>
      <c r="E156" s="25" t="n"/>
      <c r="F156" s="6" t="n"/>
      <c r="G156" s="6" t="n"/>
    </row>
    <row r="157">
      <c r="A157" s="26" t="n"/>
      <c r="B157" s="6" t="n"/>
      <c r="C157" s="6" t="n"/>
      <c r="D157" s="6" t="n"/>
      <c r="E157" s="25" t="n"/>
      <c r="F157" s="6" t="n"/>
      <c r="G157" s="6" t="n"/>
    </row>
    <row r="158">
      <c r="A158" s="26" t="n"/>
      <c r="B158" s="6" t="n"/>
      <c r="C158" s="6" t="n"/>
      <c r="D158" s="6" t="n"/>
      <c r="E158" s="25" t="n"/>
      <c r="F158" s="6" t="n"/>
      <c r="G158" s="6" t="n"/>
    </row>
    <row r="159">
      <c r="A159" s="26" t="n"/>
      <c r="B159" s="6" t="n"/>
      <c r="C159" s="6" t="n"/>
      <c r="D159" s="6" t="n"/>
      <c r="E159" s="25" t="n"/>
      <c r="F159" s="6" t="n"/>
      <c r="G159" s="6" t="n"/>
    </row>
    <row r="160">
      <c r="A160" s="26" t="n"/>
      <c r="B160" s="6" t="n"/>
      <c r="C160" s="6" t="n"/>
      <c r="D160" s="6" t="n"/>
      <c r="E160" s="25" t="n"/>
      <c r="F160" s="6" t="n"/>
      <c r="G160" s="6" t="n"/>
    </row>
    <row r="161">
      <c r="A161" s="26" t="n"/>
      <c r="B161" s="6" t="n"/>
      <c r="C161" s="6" t="n"/>
      <c r="D161" s="6" t="n"/>
      <c r="E161" s="25" t="n"/>
      <c r="F161" s="6" t="n"/>
      <c r="G161" s="6" t="n"/>
    </row>
    <row r="162">
      <c r="A162" s="26" t="n"/>
      <c r="B162" s="6" t="n"/>
      <c r="C162" s="6" t="n"/>
      <c r="D162" s="6" t="n"/>
      <c r="E162" s="25" t="n"/>
      <c r="F162" s="6" t="n"/>
      <c r="G162" s="6" t="n"/>
    </row>
    <row r="163">
      <c r="A163" s="26" t="n"/>
      <c r="B163" s="6" t="n"/>
      <c r="C163" s="6" t="n"/>
      <c r="D163" s="6" t="n"/>
      <c r="E163" s="25" t="n"/>
      <c r="F163" s="6" t="n"/>
      <c r="G163" s="6" t="n"/>
    </row>
    <row r="164">
      <c r="A164" s="26" t="n"/>
      <c r="B164" s="6" t="n"/>
      <c r="C164" s="6" t="n"/>
      <c r="D164" s="6" t="n"/>
      <c r="E164" s="25" t="n"/>
      <c r="F164" s="6" t="n"/>
      <c r="G164" s="6" t="n"/>
    </row>
    <row r="165">
      <c r="A165" s="26" t="n"/>
      <c r="B165" s="6" t="n"/>
      <c r="C165" s="6" t="n"/>
      <c r="D165" s="6" t="n"/>
      <c r="E165" s="25" t="n"/>
      <c r="F165" s="6" t="n"/>
      <c r="G165" s="6" t="n"/>
    </row>
    <row r="166">
      <c r="A166" s="26" t="n"/>
      <c r="B166" s="6" t="n"/>
      <c r="C166" s="6" t="n"/>
      <c r="D166" s="6" t="n"/>
      <c r="E166" s="25" t="n"/>
      <c r="F166" s="6" t="n"/>
      <c r="G166" s="6" t="n"/>
    </row>
    <row r="167">
      <c r="A167" s="26" t="n"/>
      <c r="B167" s="6" t="n"/>
      <c r="C167" s="6" t="n"/>
      <c r="D167" s="6" t="n"/>
      <c r="E167" s="25" t="n"/>
      <c r="F167" s="6" t="n"/>
      <c r="G167" s="6" t="n"/>
    </row>
    <row r="168">
      <c r="A168" s="26" t="n"/>
      <c r="B168" s="6" t="n"/>
      <c r="C168" s="6" t="n"/>
      <c r="D168" s="6" t="n"/>
      <c r="E168" s="25" t="n"/>
      <c r="F168" s="6" t="n"/>
      <c r="G168" s="6" t="n"/>
    </row>
    <row r="169">
      <c r="A169" s="26" t="n"/>
      <c r="B169" s="6" t="n"/>
      <c r="C169" s="6" t="n"/>
      <c r="D169" s="6" t="n"/>
      <c r="E169" s="25" t="n"/>
      <c r="F169" s="6" t="n"/>
      <c r="G169" s="6" t="n"/>
    </row>
    <row r="170">
      <c r="A170" s="26" t="n"/>
      <c r="B170" s="6" t="n"/>
      <c r="C170" s="6" t="n"/>
      <c r="D170" s="6" t="n"/>
      <c r="E170" s="25" t="n"/>
      <c r="F170" s="6" t="n"/>
      <c r="G170" s="6" t="n"/>
    </row>
    <row r="171">
      <c r="A171" s="26" t="n"/>
      <c r="B171" s="6" t="n"/>
      <c r="C171" s="6" t="n"/>
      <c r="D171" s="6" t="n"/>
      <c r="E171" s="25" t="n"/>
      <c r="F171" s="6" t="n"/>
      <c r="G171" s="6" t="n"/>
    </row>
    <row r="172">
      <c r="A172" s="26" t="n"/>
      <c r="B172" s="6" t="n"/>
      <c r="C172" s="6" t="n"/>
      <c r="D172" s="6" t="n"/>
      <c r="E172" s="25" t="n"/>
      <c r="F172" s="6" t="n"/>
      <c r="G172" s="6" t="n"/>
    </row>
    <row r="173">
      <c r="A173" s="26" t="n"/>
      <c r="B173" s="6" t="n"/>
      <c r="C173" s="6" t="n"/>
      <c r="D173" s="6" t="n"/>
      <c r="E173" s="25" t="n"/>
      <c r="F173" s="6" t="n"/>
      <c r="G173" s="6" t="n"/>
    </row>
    <row r="174">
      <c r="A174" s="26" t="n"/>
      <c r="B174" s="6" t="n"/>
      <c r="C174" s="6" t="n"/>
      <c r="D174" s="6" t="n"/>
      <c r="E174" s="25" t="n"/>
      <c r="F174" s="6" t="n"/>
      <c r="G174" s="6" t="n"/>
    </row>
    <row r="175">
      <c r="A175" s="26" t="n"/>
      <c r="B175" s="6" t="n"/>
      <c r="C175" s="6" t="n"/>
      <c r="D175" s="6" t="n"/>
      <c r="E175" s="25" t="n"/>
      <c r="F175" s="6" t="n"/>
      <c r="G175" s="6" t="n"/>
    </row>
    <row r="176">
      <c r="A176" s="26" t="n"/>
      <c r="B176" s="6" t="n"/>
      <c r="C176" s="6" t="n"/>
      <c r="D176" s="6" t="n"/>
      <c r="E176" s="25" t="n"/>
      <c r="F176" s="6" t="n"/>
      <c r="G176" s="6" t="n"/>
    </row>
    <row r="177">
      <c r="A177" s="26" t="n"/>
      <c r="B177" s="6" t="n"/>
      <c r="C177" s="6" t="n"/>
      <c r="D177" s="6" t="n"/>
      <c r="E177" s="25" t="n"/>
      <c r="F177" s="6" t="n"/>
      <c r="G177" s="6" t="n"/>
    </row>
    <row r="178">
      <c r="A178" s="26" t="n"/>
      <c r="B178" s="6" t="n"/>
      <c r="C178" s="6" t="n"/>
      <c r="D178" s="6" t="n"/>
      <c r="E178" s="25" t="n"/>
      <c r="F178" s="6" t="n"/>
      <c r="G178" s="6" t="n"/>
    </row>
    <row r="179">
      <c r="A179" s="26" t="n"/>
      <c r="B179" s="6" t="n"/>
      <c r="C179" s="6" t="n"/>
      <c r="D179" s="6" t="n"/>
      <c r="E179" s="25" t="n"/>
      <c r="F179" s="6" t="n"/>
      <c r="G179" s="6" t="n"/>
    </row>
    <row r="180">
      <c r="A180" s="26" t="n"/>
      <c r="B180" s="6" t="n"/>
      <c r="C180" s="6" t="n"/>
      <c r="D180" s="6" t="n"/>
      <c r="E180" s="25" t="n"/>
      <c r="F180" s="6" t="n"/>
      <c r="G180" s="6" t="n"/>
    </row>
    <row r="181">
      <c r="A181" s="26" t="n"/>
      <c r="B181" s="6" t="n"/>
      <c r="C181" s="6" t="n"/>
      <c r="D181" s="6" t="n"/>
      <c r="E181" s="25" t="n"/>
      <c r="F181" s="6" t="n"/>
      <c r="G181" s="6" t="n"/>
    </row>
    <row r="182">
      <c r="A182" s="26" t="n"/>
      <c r="B182" s="6" t="n"/>
      <c r="C182" s="6" t="n"/>
      <c r="D182" s="6" t="n"/>
      <c r="E182" s="25" t="n"/>
      <c r="F182" s="6" t="n"/>
      <c r="G182" s="6" t="n"/>
    </row>
    <row r="183">
      <c r="A183" s="26" t="n"/>
      <c r="B183" s="6" t="n"/>
      <c r="C183" s="6" t="n"/>
      <c r="D183" s="6" t="n"/>
      <c r="E183" s="25" t="n"/>
      <c r="F183" s="6" t="n"/>
      <c r="G183" s="6" t="n"/>
    </row>
    <row r="184">
      <c r="A184" s="26" t="n"/>
      <c r="B184" s="6" t="n"/>
      <c r="C184" s="6" t="n"/>
      <c r="D184" s="6" t="n"/>
      <c r="E184" s="25" t="n"/>
      <c r="F184" s="6" t="n"/>
      <c r="G184" s="6" t="n"/>
    </row>
    <row r="185">
      <c r="A185" s="26" t="n"/>
      <c r="B185" s="6" t="n"/>
      <c r="C185" s="6" t="n"/>
      <c r="D185" s="6" t="n"/>
      <c r="E185" s="25" t="n"/>
      <c r="F185" s="6" t="n"/>
      <c r="G185" s="6" t="n"/>
    </row>
    <row r="186">
      <c r="A186" s="26" t="n"/>
      <c r="B186" s="6" t="n"/>
      <c r="C186" s="6" t="n"/>
      <c r="D186" s="6" t="n"/>
      <c r="E186" s="25" t="n"/>
      <c r="F186" s="6" t="n"/>
      <c r="G186" s="6" t="n"/>
    </row>
    <row r="187">
      <c r="A187" s="26" t="n"/>
      <c r="B187" s="6" t="n"/>
      <c r="C187" s="6" t="n"/>
      <c r="D187" s="6" t="n"/>
      <c r="E187" s="25" t="n"/>
      <c r="F187" s="6" t="n"/>
      <c r="G187" s="6" t="n"/>
    </row>
    <row r="188">
      <c r="A188" s="26" t="n"/>
      <c r="B188" s="6" t="n"/>
      <c r="C188" s="6" t="n"/>
      <c r="D188" s="6" t="n"/>
      <c r="E188" s="25" t="n"/>
      <c r="F188" s="6" t="n"/>
      <c r="G188" s="6" t="n"/>
    </row>
    <row r="189">
      <c r="A189" s="26" t="n"/>
      <c r="B189" s="6" t="n"/>
      <c r="C189" s="6" t="n"/>
      <c r="D189" s="6" t="n"/>
      <c r="E189" s="25" t="n"/>
      <c r="F189" s="6" t="n"/>
      <c r="G189" s="6" t="n"/>
    </row>
    <row r="190">
      <c r="A190" s="26" t="n"/>
      <c r="B190" s="6" t="n"/>
      <c r="C190" s="6" t="n"/>
      <c r="D190" s="6" t="n"/>
      <c r="E190" s="25" t="n"/>
      <c r="F190" s="6" t="n"/>
      <c r="G190" s="6" t="n"/>
    </row>
    <row r="191">
      <c r="A191" s="26" t="n"/>
      <c r="B191" s="6" t="n"/>
      <c r="C191" s="6" t="n"/>
      <c r="D191" s="6" t="n"/>
      <c r="E191" s="25" t="n"/>
      <c r="F191" s="6" t="n"/>
      <c r="G191" s="6" t="n"/>
    </row>
    <row r="192">
      <c r="A192" s="26" t="n"/>
      <c r="B192" s="6" t="n"/>
      <c r="C192" s="6" t="n"/>
      <c r="D192" s="6" t="n"/>
      <c r="E192" s="25" t="n"/>
      <c r="F192" s="6" t="n"/>
      <c r="G192" s="6" t="n"/>
    </row>
    <row r="193">
      <c r="A193" s="26" t="n"/>
      <c r="B193" s="6" t="n"/>
      <c r="C193" s="6" t="n"/>
      <c r="D193" s="6" t="n"/>
      <c r="E193" s="25" t="n"/>
      <c r="F193" s="6" t="n"/>
      <c r="G193" s="6" t="n"/>
    </row>
    <row r="194">
      <c r="A194" s="26" t="n"/>
      <c r="B194" s="6" t="n"/>
      <c r="C194" s="6" t="n"/>
      <c r="D194" s="6" t="n"/>
      <c r="E194" s="25" t="n"/>
      <c r="F194" s="6" t="n"/>
      <c r="G194" s="6" t="n"/>
    </row>
    <row r="195">
      <c r="A195" s="26" t="n"/>
      <c r="B195" s="6" t="n"/>
      <c r="C195" s="6" t="n"/>
      <c r="D195" s="6" t="n"/>
      <c r="E195" s="25" t="n"/>
      <c r="F195" s="6" t="n"/>
      <c r="G195" s="6" t="n"/>
    </row>
    <row r="196">
      <c r="A196" s="26" t="n"/>
      <c r="B196" s="6" t="n"/>
      <c r="C196" s="6" t="n"/>
      <c r="D196" s="6" t="n"/>
      <c r="E196" s="25" t="n"/>
      <c r="F196" s="6" t="n"/>
      <c r="G196" s="6" t="n"/>
    </row>
    <row r="197">
      <c r="A197" s="26" t="n"/>
      <c r="B197" s="6" t="n"/>
      <c r="C197" s="6" t="n"/>
      <c r="D197" s="6" t="n"/>
      <c r="E197" s="25" t="n"/>
      <c r="F197" s="6" t="n"/>
      <c r="G197" s="6" t="n"/>
    </row>
    <row r="198">
      <c r="A198" s="26" t="n"/>
      <c r="B198" s="6" t="n"/>
      <c r="C198" s="6" t="n"/>
      <c r="D198" s="6" t="n"/>
      <c r="E198" s="25" t="n"/>
      <c r="F198" s="6" t="n"/>
      <c r="G198" s="6" t="n"/>
    </row>
    <row r="199">
      <c r="A199" s="26" t="n"/>
      <c r="B199" s="6" t="n"/>
      <c r="C199" s="6" t="n"/>
      <c r="D199" s="6" t="n"/>
      <c r="E199" s="25" t="n"/>
      <c r="F199" s="6" t="n"/>
      <c r="G199" s="6" t="n"/>
    </row>
    <row r="200">
      <c r="A200" s="26" t="n"/>
      <c r="B200" s="6" t="n"/>
      <c r="C200" s="6" t="n"/>
      <c r="D200" s="6" t="n"/>
      <c r="E200" s="25" t="n"/>
      <c r="F200" s="6" t="n"/>
      <c r="G200" s="6" t="n"/>
    </row>
    <row r="201">
      <c r="A201" s="26" t="n"/>
      <c r="B201" s="6" t="n"/>
      <c r="C201" s="6" t="n"/>
      <c r="D201" s="6" t="n"/>
      <c r="E201" s="25" t="n"/>
      <c r="F201" s="6" t="n"/>
      <c r="G201" s="6" t="n"/>
    </row>
    <row r="202">
      <c r="A202" s="26" t="n"/>
      <c r="B202" s="6" t="n"/>
      <c r="C202" s="6" t="n"/>
      <c r="D202" s="6" t="n"/>
      <c r="E202" s="25" t="n"/>
      <c r="F202" s="6" t="n"/>
      <c r="G202" s="6" t="n"/>
    </row>
    <row r="203">
      <c r="A203" s="26" t="n"/>
      <c r="B203" s="6" t="n"/>
      <c r="C203" s="6" t="n"/>
      <c r="D203" s="6" t="n"/>
      <c r="E203" s="25" t="n"/>
      <c r="F203" s="6" t="n"/>
      <c r="G203" s="6" t="n"/>
    </row>
    <row r="204">
      <c r="A204" s="26" t="n"/>
      <c r="B204" s="6" t="n"/>
      <c r="C204" s="6" t="n"/>
      <c r="D204" s="6" t="n"/>
      <c r="E204" s="25" t="n"/>
      <c r="F204" s="6" t="n"/>
      <c r="G204" s="6" t="n"/>
    </row>
    <row r="205">
      <c r="A205" s="26" t="n"/>
      <c r="B205" s="6" t="n"/>
      <c r="C205" s="6" t="n"/>
      <c r="D205" s="6" t="n"/>
      <c r="E205" s="25" t="n"/>
      <c r="F205" s="6" t="n"/>
      <c r="G205" s="6" t="n"/>
    </row>
    <row r="206">
      <c r="A206" s="26" t="n"/>
      <c r="B206" s="6" t="n"/>
      <c r="C206" s="6" t="n"/>
      <c r="D206" s="6" t="n"/>
      <c r="E206" s="25" t="n"/>
      <c r="F206" s="6" t="n"/>
      <c r="G206" s="6" t="n"/>
    </row>
    <row r="207">
      <c r="A207" s="26" t="n"/>
      <c r="B207" s="6" t="n"/>
      <c r="C207" s="6" t="n"/>
      <c r="D207" s="6" t="n"/>
      <c r="E207" s="25" t="n"/>
      <c r="F207" s="6" t="n"/>
      <c r="G207" s="6" t="n"/>
    </row>
    <row r="208">
      <c r="A208" s="26" t="n"/>
      <c r="B208" s="6" t="n"/>
      <c r="C208" s="6" t="n"/>
      <c r="D208" s="6" t="n"/>
      <c r="E208" s="25" t="n"/>
      <c r="F208" s="6" t="n"/>
      <c r="G208" s="6" t="n"/>
    </row>
    <row r="209">
      <c r="A209" s="26" t="n"/>
      <c r="B209" s="6" t="n"/>
      <c r="C209" s="6" t="n"/>
      <c r="D209" s="6" t="n"/>
      <c r="E209" s="25" t="n"/>
      <c r="F209" s="6" t="n"/>
      <c r="G209" s="6" t="n"/>
    </row>
    <row r="210">
      <c r="A210" s="26" t="n"/>
      <c r="B210" s="6" t="n"/>
      <c r="C210" s="6" t="n"/>
      <c r="D210" s="6" t="n"/>
      <c r="E210" s="25" t="n"/>
      <c r="F210" s="6" t="n"/>
      <c r="G210" s="6" t="n"/>
    </row>
    <row r="211">
      <c r="A211" s="26" t="n"/>
      <c r="B211" s="6" t="n"/>
      <c r="C211" s="6" t="n"/>
      <c r="D211" s="6" t="n"/>
      <c r="E211" s="25" t="n"/>
      <c r="F211" s="6" t="n"/>
      <c r="G211" s="6" t="n"/>
    </row>
    <row r="212">
      <c r="A212" s="26" t="n"/>
      <c r="B212" s="6" t="n"/>
      <c r="C212" s="6" t="n"/>
      <c r="D212" s="6" t="n"/>
      <c r="E212" s="25" t="n"/>
      <c r="F212" s="6" t="n"/>
      <c r="G212" s="6" t="n"/>
    </row>
    <row r="213">
      <c r="A213" s="26" t="n"/>
      <c r="B213" s="6" t="n"/>
      <c r="C213" s="6" t="n"/>
      <c r="D213" s="6" t="n"/>
      <c r="E213" s="25" t="n"/>
      <c r="F213" s="6" t="n"/>
      <c r="G213" s="6" t="n"/>
    </row>
    <row r="214">
      <c r="A214" s="26" t="n"/>
      <c r="B214" s="6" t="n"/>
      <c r="C214" s="6" t="n"/>
      <c r="D214" s="6" t="n"/>
      <c r="E214" s="25" t="n"/>
      <c r="F214" s="6" t="n"/>
      <c r="G214" s="6" t="n"/>
    </row>
    <row r="215">
      <c r="A215" s="26" t="n"/>
      <c r="B215" s="6" t="n"/>
      <c r="C215" s="6" t="n"/>
      <c r="D215" s="6" t="n"/>
      <c r="E215" s="25" t="n"/>
      <c r="F215" s="6" t="n"/>
      <c r="G215" s="6" t="n"/>
    </row>
    <row r="216">
      <c r="A216" s="26" t="n"/>
      <c r="B216" s="6" t="n"/>
      <c r="C216" s="6" t="n"/>
      <c r="D216" s="6" t="n"/>
      <c r="E216" s="25" t="n"/>
      <c r="F216" s="6" t="n"/>
      <c r="G216" s="6" t="n"/>
    </row>
    <row r="217">
      <c r="A217" s="26" t="n"/>
      <c r="B217" s="6" t="n"/>
      <c r="C217" s="6" t="n"/>
      <c r="D217" s="6" t="n"/>
      <c r="E217" s="25" t="n"/>
      <c r="F217" s="6" t="n"/>
      <c r="G217" s="6" t="n"/>
    </row>
    <row r="218">
      <c r="A218" s="26" t="n"/>
      <c r="B218" s="6" t="n"/>
      <c r="C218" s="6" t="n"/>
      <c r="D218" s="6" t="n"/>
      <c r="E218" s="25" t="n"/>
      <c r="F218" s="6" t="n"/>
      <c r="G218" s="6" t="n"/>
    </row>
    <row r="219">
      <c r="A219" s="26" t="n"/>
      <c r="B219" s="6" t="n"/>
      <c r="C219" s="6" t="n"/>
      <c r="D219" s="6" t="n"/>
      <c r="E219" s="25" t="n"/>
      <c r="F219" s="6" t="n"/>
      <c r="G219" s="6" t="n"/>
    </row>
    <row r="220">
      <c r="A220" s="26" t="n"/>
      <c r="B220" s="6" t="n"/>
      <c r="C220" s="6" t="n"/>
      <c r="D220" s="6" t="n"/>
      <c r="E220" s="25" t="n"/>
      <c r="F220" s="6" t="n"/>
      <c r="G220" s="6" t="n"/>
    </row>
    <row r="221">
      <c r="A221" s="26" t="n"/>
      <c r="B221" s="6" t="n"/>
      <c r="C221" s="6" t="n"/>
      <c r="D221" s="6" t="n"/>
      <c r="E221" s="25" t="n"/>
      <c r="F221" s="6" t="n"/>
      <c r="G221" s="6" t="n"/>
    </row>
    <row r="222">
      <c r="A222" s="26" t="n"/>
      <c r="B222" s="6" t="n"/>
      <c r="C222" s="6" t="n"/>
      <c r="D222" s="6" t="n"/>
      <c r="E222" s="25" t="n"/>
      <c r="F222" s="6" t="n"/>
      <c r="G222" s="6" t="n"/>
    </row>
    <row r="223">
      <c r="A223" s="26" t="n"/>
      <c r="B223" s="6" t="n"/>
      <c r="C223" s="6" t="n"/>
      <c r="D223" s="6" t="n"/>
      <c r="E223" s="25" t="n"/>
      <c r="F223" s="6" t="n"/>
      <c r="G223" s="6" t="n"/>
    </row>
    <row r="224">
      <c r="A224" s="26" t="n"/>
      <c r="B224" s="6" t="n"/>
      <c r="C224" s="6" t="n"/>
      <c r="D224" s="6" t="n"/>
      <c r="E224" s="25" t="n"/>
      <c r="F224" s="6" t="n"/>
      <c r="G224" s="6" t="n"/>
    </row>
    <row r="225">
      <c r="A225" s="26" t="n"/>
      <c r="B225" s="6" t="n"/>
      <c r="C225" s="6" t="n"/>
      <c r="D225" s="6" t="n"/>
      <c r="E225" s="25" t="n"/>
      <c r="F225" s="6" t="n"/>
      <c r="G225" s="6" t="n"/>
    </row>
    <row r="226">
      <c r="A226" s="26" t="n"/>
      <c r="B226" s="6" t="n"/>
      <c r="C226" s="6" t="n"/>
      <c r="D226" s="6" t="n"/>
      <c r="E226" s="25" t="n"/>
      <c r="F226" s="6" t="n"/>
      <c r="G226" s="6" t="n"/>
    </row>
    <row r="227">
      <c r="A227" s="26" t="n"/>
      <c r="B227" s="6" t="n"/>
      <c r="C227" s="6" t="n"/>
      <c r="D227" s="6" t="n"/>
      <c r="E227" s="25" t="n"/>
      <c r="F227" s="6" t="n"/>
      <c r="G227" s="6" t="n"/>
    </row>
    <row r="228">
      <c r="A228" s="26" t="n"/>
      <c r="B228" s="6" t="n"/>
      <c r="C228" s="6" t="n"/>
      <c r="D228" s="6" t="n"/>
      <c r="E228" s="25" t="n"/>
      <c r="F228" s="6" t="n"/>
      <c r="G228" s="6" t="n"/>
    </row>
    <row r="229">
      <c r="A229" s="26" t="n"/>
      <c r="B229" s="6" t="n"/>
      <c r="C229" s="6" t="n"/>
      <c r="D229" s="6" t="n"/>
      <c r="E229" s="25" t="n"/>
      <c r="F229" s="6" t="n"/>
      <c r="G229" s="6" t="n"/>
    </row>
    <row r="230">
      <c r="A230" s="26" t="n"/>
      <c r="B230" s="6" t="n"/>
      <c r="C230" s="6" t="n"/>
      <c r="D230" s="6" t="n"/>
      <c r="E230" s="25" t="n"/>
      <c r="F230" s="6" t="n"/>
      <c r="G230" s="6" t="n"/>
    </row>
    <row r="231">
      <c r="A231" s="26" t="n"/>
      <c r="B231" s="6" t="n"/>
      <c r="C231" s="6" t="n"/>
      <c r="D231" s="6" t="n"/>
      <c r="E231" s="25" t="n"/>
      <c r="F231" s="6" t="n"/>
      <c r="G231" s="6" t="n"/>
    </row>
    <row r="232">
      <c r="A232" s="26" t="n"/>
      <c r="B232" s="6" t="n"/>
      <c r="C232" s="6" t="n"/>
      <c r="D232" s="6" t="n"/>
      <c r="E232" s="25" t="n"/>
      <c r="F232" s="6" t="n"/>
      <c r="G232" s="6" t="n"/>
    </row>
    <row r="233">
      <c r="A233" s="26" t="n"/>
      <c r="B233" s="6" t="n"/>
      <c r="C233" s="6" t="n"/>
      <c r="D233" s="6" t="n"/>
      <c r="E233" s="25" t="n"/>
      <c r="F233" s="6" t="n"/>
      <c r="G233" s="6" t="n"/>
    </row>
    <row r="234">
      <c r="A234" s="26" t="n"/>
      <c r="B234" s="6" t="n"/>
      <c r="C234" s="6" t="n"/>
      <c r="D234" s="6" t="n"/>
      <c r="E234" s="25" t="n"/>
      <c r="F234" s="6" t="n"/>
      <c r="G234" s="6" t="n"/>
    </row>
    <row r="235">
      <c r="A235" s="26" t="n"/>
      <c r="B235" s="6" t="n"/>
      <c r="C235" s="6" t="n"/>
      <c r="D235" s="6" t="n"/>
      <c r="E235" s="25" t="n"/>
      <c r="F235" s="6" t="n"/>
      <c r="G235" s="6" t="n"/>
    </row>
    <row r="236">
      <c r="A236" s="26" t="n"/>
      <c r="B236" s="6" t="n"/>
      <c r="C236" s="6" t="n"/>
      <c r="D236" s="6" t="n"/>
      <c r="E236" s="25" t="n"/>
      <c r="F236" s="6" t="n"/>
      <c r="G236" s="6" t="n"/>
    </row>
    <row r="237">
      <c r="A237" s="26" t="n"/>
      <c r="B237" s="6" t="n"/>
      <c r="C237" s="6" t="n"/>
      <c r="D237" s="6" t="n"/>
      <c r="E237" s="25" t="n"/>
      <c r="F237" s="6" t="n"/>
      <c r="G237" s="6" t="n"/>
    </row>
    <row r="238">
      <c r="A238" s="26" t="n"/>
      <c r="B238" s="6" t="n"/>
      <c r="C238" s="6" t="n"/>
      <c r="D238" s="6" t="n"/>
      <c r="E238" s="25" t="n"/>
      <c r="F238" s="6" t="n"/>
      <c r="G238" s="6" t="n"/>
    </row>
    <row r="239">
      <c r="A239" s="26" t="n"/>
      <c r="B239" s="6" t="n"/>
      <c r="C239" s="6" t="n"/>
      <c r="D239" s="6" t="n"/>
      <c r="E239" s="25" t="n"/>
      <c r="F239" s="6" t="n"/>
      <c r="G239" s="6" t="n"/>
    </row>
    <row r="240">
      <c r="A240" s="26" t="n"/>
      <c r="B240" s="6" t="n"/>
      <c r="C240" s="6" t="n"/>
      <c r="D240" s="6" t="n"/>
      <c r="E240" s="25" t="n"/>
      <c r="F240" s="6" t="n"/>
      <c r="G240" s="6" t="n"/>
    </row>
    <row r="241">
      <c r="A241" s="26" t="n"/>
      <c r="B241" s="6" t="n"/>
      <c r="C241" s="6" t="n"/>
      <c r="D241" s="6" t="n"/>
      <c r="E241" s="25" t="n"/>
      <c r="F241" s="6" t="n"/>
      <c r="G241" s="6" t="n"/>
    </row>
    <row r="242">
      <c r="A242" s="26" t="n"/>
      <c r="B242" s="6" t="n"/>
      <c r="C242" s="6" t="n"/>
      <c r="D242" s="6" t="n"/>
      <c r="E242" s="25" t="n"/>
      <c r="F242" s="6" t="n"/>
      <c r="G242" s="6" t="n"/>
    </row>
    <row r="243">
      <c r="A243" s="26" t="n"/>
      <c r="B243" s="6" t="n"/>
      <c r="C243" s="6" t="n"/>
      <c r="D243" s="6" t="n"/>
      <c r="E243" s="25" t="n"/>
      <c r="F243" s="6" t="n"/>
      <c r="G243" s="6" t="n"/>
    </row>
    <row r="244">
      <c r="A244" s="26" t="n"/>
      <c r="B244" s="6" t="n"/>
      <c r="C244" s="6" t="n"/>
      <c r="D244" s="6" t="n"/>
      <c r="E244" s="25" t="n"/>
      <c r="F244" s="6" t="n"/>
      <c r="G244" s="6" t="n"/>
    </row>
    <row r="245">
      <c r="A245" s="26" t="n"/>
      <c r="B245" s="6" t="n"/>
      <c r="C245" s="6" t="n"/>
      <c r="D245" s="6" t="n"/>
      <c r="E245" s="25" t="n"/>
      <c r="F245" s="6" t="n"/>
      <c r="G245" s="6" t="n"/>
    </row>
    <row r="246">
      <c r="A246" s="26" t="n"/>
      <c r="B246" s="6" t="n"/>
      <c r="C246" s="6" t="n"/>
      <c r="D246" s="6" t="n"/>
      <c r="E246" s="25" t="n"/>
      <c r="F246" s="6" t="n"/>
      <c r="G246" s="6" t="n"/>
    </row>
    <row r="247">
      <c r="A247" s="26" t="n"/>
      <c r="B247" s="6" t="n"/>
      <c r="C247" s="6" t="n"/>
      <c r="D247" s="6" t="n"/>
      <c r="E247" s="25" t="n"/>
      <c r="F247" s="6" t="n"/>
      <c r="G247" s="6" t="n"/>
    </row>
    <row r="248">
      <c r="A248" s="26" t="n"/>
      <c r="B248" s="6" t="n"/>
      <c r="C248" s="6" t="n"/>
      <c r="D248" s="6" t="n"/>
      <c r="E248" s="25" t="n"/>
      <c r="F248" s="6" t="n"/>
      <c r="G248" s="6" t="n"/>
    </row>
    <row r="249">
      <c r="A249" s="26" t="n"/>
      <c r="B249" s="6" t="n"/>
      <c r="C249" s="6" t="n"/>
      <c r="D249" s="6" t="n"/>
      <c r="E249" s="25" t="n"/>
      <c r="F249" s="6" t="n"/>
      <c r="G249" s="6" t="n"/>
    </row>
    <row r="250">
      <c r="A250" s="26" t="n"/>
      <c r="B250" s="6" t="n"/>
      <c r="C250" s="6" t="n"/>
      <c r="D250" s="6" t="n"/>
      <c r="E250" s="25" t="n"/>
      <c r="F250" s="6" t="n"/>
      <c r="G250" s="6" t="n"/>
    </row>
    <row r="251">
      <c r="A251" s="26" t="n"/>
      <c r="B251" s="6" t="n"/>
      <c r="C251" s="6" t="n"/>
      <c r="D251" s="6" t="n"/>
      <c r="E251" s="25" t="n"/>
      <c r="F251" s="6" t="n"/>
      <c r="G251" s="6" t="n"/>
    </row>
    <row r="252">
      <c r="A252" s="26" t="n"/>
      <c r="B252" s="6" t="n"/>
      <c r="C252" s="6" t="n"/>
      <c r="D252" s="6" t="n"/>
      <c r="E252" s="25" t="n"/>
      <c r="F252" s="6" t="n"/>
      <c r="G252" s="6" t="n"/>
    </row>
    <row r="253">
      <c r="A253" s="26" t="n"/>
      <c r="B253" s="6" t="n"/>
      <c r="C253" s="6" t="n"/>
      <c r="D253" s="6" t="n"/>
      <c r="E253" s="25" t="n"/>
      <c r="F253" s="6" t="n"/>
      <c r="G253" s="6" t="n"/>
    </row>
    <row r="254">
      <c r="A254" s="26" t="n"/>
      <c r="B254" s="6" t="n"/>
      <c r="C254" s="6" t="n"/>
      <c r="D254" s="6" t="n"/>
      <c r="E254" s="25" t="n"/>
      <c r="F254" s="6" t="n"/>
      <c r="G254" s="6" t="n"/>
    </row>
    <row r="255">
      <c r="A255" s="26" t="n"/>
      <c r="B255" s="6" t="n"/>
      <c r="C255" s="6" t="n"/>
      <c r="D255" s="6" t="n"/>
      <c r="E255" s="25" t="n"/>
      <c r="F255" s="6" t="n"/>
      <c r="G255" s="6" t="n"/>
    </row>
    <row r="256">
      <c r="A256" s="26" t="n"/>
      <c r="B256" s="6" t="n"/>
      <c r="C256" s="6" t="n"/>
      <c r="D256" s="6" t="n"/>
      <c r="E256" s="25" t="n"/>
      <c r="F256" s="6" t="n"/>
      <c r="G256" s="6" t="n"/>
    </row>
    <row r="257">
      <c r="A257" s="26" t="n"/>
      <c r="B257" s="6" t="n"/>
      <c r="C257" s="6" t="n"/>
      <c r="D257" s="6" t="n"/>
      <c r="E257" s="25" t="n"/>
      <c r="F257" s="6" t="n"/>
      <c r="G257" s="6" t="n"/>
    </row>
    <row r="258">
      <c r="A258" s="26" t="n"/>
      <c r="B258" s="6" t="n"/>
      <c r="C258" s="6" t="n"/>
      <c r="D258" s="6" t="n"/>
      <c r="E258" s="25" t="n"/>
      <c r="F258" s="6" t="n"/>
      <c r="G258" s="6" t="n"/>
    </row>
    <row r="259">
      <c r="A259" s="26" t="n"/>
      <c r="B259" s="6" t="n"/>
      <c r="C259" s="6" t="n"/>
      <c r="D259" s="6" t="n"/>
      <c r="E259" s="25" t="n"/>
      <c r="F259" s="6" t="n"/>
      <c r="G259" s="6" t="n"/>
    </row>
    <row r="260">
      <c r="A260" s="26" t="n"/>
      <c r="B260" s="6" t="n"/>
      <c r="C260" s="6" t="n"/>
      <c r="D260" s="6" t="n"/>
      <c r="E260" s="25" t="n"/>
      <c r="F260" s="6" t="n"/>
      <c r="G260" s="6" t="n"/>
    </row>
    <row r="261">
      <c r="A261" s="26" t="n"/>
      <c r="B261" s="6" t="n"/>
      <c r="C261" s="6" t="n"/>
      <c r="D261" s="6" t="n"/>
      <c r="E261" s="25" t="n"/>
      <c r="F261" s="6" t="n"/>
      <c r="G261" s="6" t="n"/>
    </row>
    <row r="262">
      <c r="A262" s="26" t="n"/>
      <c r="B262" s="6" t="n"/>
      <c r="C262" s="6" t="n"/>
      <c r="D262" s="6" t="n"/>
      <c r="E262" s="25" t="n"/>
      <c r="F262" s="6" t="n"/>
      <c r="G262" s="6" t="n"/>
    </row>
    <row r="263">
      <c r="A263" s="26" t="n"/>
      <c r="B263" s="6" t="n"/>
      <c r="C263" s="6" t="n"/>
      <c r="D263" s="6" t="n"/>
      <c r="E263" s="25" t="n"/>
      <c r="F263" s="6" t="n"/>
      <c r="G263" s="6" t="n"/>
    </row>
    <row r="264">
      <c r="A264" s="26" t="n"/>
      <c r="B264" s="6" t="n"/>
      <c r="C264" s="6" t="n"/>
      <c r="D264" s="6" t="n"/>
      <c r="E264" s="25" t="n"/>
      <c r="F264" s="6" t="n"/>
      <c r="G264" s="6" t="n"/>
    </row>
    <row r="265">
      <c r="A265" s="26" t="n"/>
      <c r="B265" s="6" t="n"/>
      <c r="C265" s="6" t="n"/>
      <c r="D265" s="6" t="n"/>
      <c r="E265" s="25" t="n"/>
      <c r="F265" s="6" t="n"/>
      <c r="G265" s="6" t="n"/>
    </row>
    <row r="266">
      <c r="A266" s="26" t="n"/>
      <c r="B266" s="6" t="n"/>
      <c r="C266" s="6" t="n"/>
      <c r="D266" s="6" t="n"/>
      <c r="E266" s="25" t="n"/>
      <c r="F266" s="6" t="n"/>
      <c r="G266" s="6" t="n"/>
    </row>
    <row r="267">
      <c r="A267" s="26" t="n"/>
      <c r="B267" s="6" t="n"/>
      <c r="C267" s="6" t="n"/>
      <c r="D267" s="6" t="n"/>
      <c r="E267" s="25" t="n"/>
      <c r="F267" s="6" t="n"/>
      <c r="G267" s="6" t="n"/>
    </row>
    <row r="268">
      <c r="A268" s="26" t="n"/>
      <c r="B268" s="6" t="n"/>
      <c r="C268" s="6" t="n"/>
      <c r="D268" s="6" t="n"/>
      <c r="E268" s="25" t="n"/>
      <c r="F268" s="6" t="n"/>
      <c r="G268" s="6" t="n"/>
    </row>
    <row r="269">
      <c r="A269" s="26" t="n"/>
      <c r="B269" s="6" t="n"/>
      <c r="C269" s="6" t="n"/>
      <c r="D269" s="6" t="n"/>
      <c r="E269" s="25" t="n"/>
      <c r="F269" s="6" t="n"/>
      <c r="G269" s="6" t="n"/>
    </row>
    <row r="270">
      <c r="A270" s="26" t="n"/>
      <c r="B270" s="6" t="n"/>
      <c r="C270" s="6" t="n"/>
      <c r="D270" s="6" t="n"/>
      <c r="E270" s="25" t="n"/>
      <c r="F270" s="6" t="n"/>
      <c r="G270" s="6" t="n"/>
    </row>
    <row r="271">
      <c r="A271" s="26" t="n"/>
      <c r="B271" s="6" t="n"/>
      <c r="C271" s="6" t="n"/>
      <c r="D271" s="6" t="n"/>
      <c r="E271" s="25" t="n"/>
      <c r="F271" s="6" t="n"/>
      <c r="G271" s="6" t="n"/>
    </row>
    <row r="272">
      <c r="A272" s="26" t="n"/>
      <c r="B272" s="6" t="n"/>
      <c r="C272" s="6" t="n"/>
      <c r="D272" s="6" t="n"/>
      <c r="E272" s="25" t="n"/>
      <c r="F272" s="6" t="n"/>
      <c r="G272" s="6" t="n"/>
    </row>
    <row r="273">
      <c r="A273" s="26" t="n"/>
      <c r="B273" s="6" t="n"/>
      <c r="C273" s="6" t="n"/>
      <c r="D273" s="6" t="n"/>
      <c r="E273" s="25" t="n"/>
      <c r="F273" s="6" t="n"/>
      <c r="G273" s="6" t="n"/>
    </row>
    <row r="274">
      <c r="A274" s="26" t="n"/>
      <c r="B274" s="6" t="n"/>
      <c r="C274" s="6" t="n"/>
      <c r="D274" s="6" t="n"/>
      <c r="E274" s="25" t="n"/>
      <c r="F274" s="6" t="n"/>
      <c r="G274" s="6" t="n"/>
    </row>
    <row r="275">
      <c r="A275" s="26" t="n"/>
      <c r="B275" s="6" t="n"/>
      <c r="C275" s="6" t="n"/>
      <c r="D275" s="6" t="n"/>
      <c r="E275" s="25" t="n"/>
      <c r="F275" s="6" t="n"/>
      <c r="G275" s="6" t="n"/>
    </row>
    <row r="276">
      <c r="A276" s="26" t="n"/>
      <c r="B276" s="6" t="n"/>
      <c r="C276" s="6" t="n"/>
      <c r="D276" s="6" t="n"/>
      <c r="E276" s="25" t="n"/>
      <c r="F276" s="6" t="n"/>
      <c r="G276" s="6" t="n"/>
    </row>
    <row r="277">
      <c r="A277" s="26" t="n"/>
      <c r="B277" s="6" t="n"/>
      <c r="C277" s="6" t="n"/>
      <c r="D277" s="6" t="n"/>
      <c r="E277" s="25" t="n"/>
      <c r="F277" s="6" t="n"/>
      <c r="G277" s="6" t="n"/>
    </row>
    <row r="278">
      <c r="A278" s="26" t="n"/>
      <c r="B278" s="6" t="n"/>
      <c r="C278" s="6" t="n"/>
      <c r="D278" s="6" t="n"/>
      <c r="E278" s="25" t="n"/>
      <c r="F278" s="6" t="n"/>
      <c r="G278" s="6" t="n"/>
    </row>
    <row r="279">
      <c r="A279" s="26" t="n"/>
      <c r="B279" s="6" t="n"/>
      <c r="C279" s="6" t="n"/>
      <c r="D279" s="6" t="n"/>
      <c r="E279" s="25" t="n"/>
      <c r="F279" s="6" t="n"/>
      <c r="G279" s="6" t="n"/>
    </row>
    <row r="280">
      <c r="A280" s="26" t="n"/>
      <c r="B280" s="6" t="n"/>
      <c r="C280" s="6" t="n"/>
      <c r="D280" s="6" t="n"/>
      <c r="E280" s="25" t="n"/>
      <c r="F280" s="6" t="n"/>
      <c r="G280" s="6" t="n"/>
    </row>
    <row r="281">
      <c r="A281" s="26" t="n"/>
      <c r="B281" s="6" t="n"/>
      <c r="C281" s="6" t="n"/>
      <c r="D281" s="6" t="n"/>
      <c r="E281" s="25" t="n"/>
      <c r="F281" s="6" t="n"/>
      <c r="G281" s="6" t="n"/>
    </row>
    <row r="282">
      <c r="A282" s="26" t="n"/>
      <c r="B282" s="6" t="n"/>
      <c r="C282" s="6" t="n"/>
      <c r="D282" s="6" t="n"/>
      <c r="E282" s="25" t="n"/>
      <c r="F282" s="6" t="n"/>
      <c r="G282" s="6" t="n"/>
    </row>
    <row r="283">
      <c r="A283" s="26" t="n"/>
      <c r="B283" s="6" t="n"/>
      <c r="C283" s="6" t="n"/>
      <c r="D283" s="6" t="n"/>
      <c r="E283" s="25" t="n"/>
      <c r="F283" s="6" t="n"/>
      <c r="G283" s="6" t="n"/>
    </row>
    <row r="284">
      <c r="A284" s="26" t="n"/>
      <c r="B284" s="6" t="n"/>
      <c r="C284" s="6" t="n"/>
      <c r="D284" s="6" t="n"/>
      <c r="E284" s="25" t="n"/>
      <c r="F284" s="6" t="n"/>
      <c r="G284" s="6" t="n"/>
    </row>
    <row r="285">
      <c r="A285" s="26" t="n"/>
      <c r="B285" s="6" t="n"/>
      <c r="C285" s="6" t="n"/>
      <c r="D285" s="6" t="n"/>
      <c r="E285" s="25" t="n"/>
      <c r="F285" s="6" t="n"/>
      <c r="G285" s="6" t="n"/>
    </row>
    <row r="286">
      <c r="A286" s="26" t="n"/>
      <c r="B286" s="6" t="n"/>
      <c r="C286" s="6" t="n"/>
      <c r="D286" s="6" t="n"/>
      <c r="E286" s="25" t="n"/>
      <c r="F286" s="6" t="n"/>
      <c r="G286" s="6" t="n"/>
    </row>
    <row r="287">
      <c r="A287" s="26" t="n"/>
      <c r="B287" s="6" t="n"/>
      <c r="C287" s="6" t="n"/>
      <c r="D287" s="6" t="n"/>
      <c r="E287" s="25" t="n"/>
      <c r="F287" s="6" t="n"/>
      <c r="G287" s="6" t="n"/>
    </row>
    <row r="288">
      <c r="A288" s="26" t="n"/>
      <c r="B288" s="6" t="n"/>
      <c r="C288" s="6" t="n"/>
      <c r="D288" s="6" t="n"/>
      <c r="E288" s="25" t="n"/>
      <c r="F288" s="6" t="n"/>
      <c r="G288" s="6" t="n"/>
    </row>
    <row r="289">
      <c r="A289" s="26" t="n"/>
      <c r="B289" s="6" t="n"/>
      <c r="C289" s="6" t="n"/>
      <c r="D289" s="6" t="n"/>
      <c r="E289" s="25" t="n"/>
      <c r="F289" s="6" t="n"/>
      <c r="G289" s="6" t="n"/>
    </row>
    <row r="290">
      <c r="A290" s="26" t="n"/>
      <c r="B290" s="6" t="n"/>
      <c r="C290" s="6" t="n"/>
      <c r="D290" s="6" t="n"/>
      <c r="E290" s="25" t="n"/>
      <c r="F290" s="6" t="n"/>
      <c r="G290" s="6" t="n"/>
    </row>
    <row r="291">
      <c r="A291" s="26" t="n"/>
      <c r="B291" s="6" t="n"/>
      <c r="C291" s="6" t="n"/>
      <c r="D291" s="6" t="n"/>
      <c r="E291" s="25" t="n"/>
      <c r="F291" s="6" t="n"/>
      <c r="G291" s="6" t="n"/>
    </row>
    <row r="292">
      <c r="A292" s="26" t="n"/>
      <c r="B292" s="6" t="n"/>
      <c r="C292" s="6" t="n"/>
      <c r="D292" s="6" t="n"/>
      <c r="E292" s="25" t="n"/>
      <c r="F292" s="6" t="n"/>
      <c r="G292" s="6" t="n"/>
    </row>
    <row r="293">
      <c r="A293" s="26" t="n"/>
      <c r="B293" s="6" t="n"/>
      <c r="C293" s="6" t="n"/>
      <c r="D293" s="6" t="n"/>
      <c r="E293" s="25" t="n"/>
      <c r="F293" s="6" t="n"/>
      <c r="G293" s="6" t="n"/>
    </row>
    <row r="294">
      <c r="A294" s="26" t="n"/>
      <c r="B294" s="6" t="n"/>
      <c r="C294" s="6" t="n"/>
      <c r="D294" s="6" t="n"/>
      <c r="E294" s="25" t="n"/>
      <c r="F294" s="6" t="n"/>
      <c r="G294" s="6" t="n"/>
    </row>
    <row r="295">
      <c r="A295" s="26" t="n"/>
      <c r="B295" s="6" t="n"/>
      <c r="C295" s="6" t="n"/>
      <c r="D295" s="6" t="n"/>
      <c r="E295" s="25" t="n"/>
      <c r="F295" s="6" t="n"/>
      <c r="G295" s="6" t="n"/>
    </row>
    <row r="296">
      <c r="A296" s="26" t="n"/>
      <c r="B296" s="6" t="n"/>
      <c r="C296" s="6" t="n"/>
      <c r="D296" s="6" t="n"/>
      <c r="E296" s="25" t="n"/>
      <c r="F296" s="6" t="n"/>
      <c r="G296" s="6" t="n"/>
    </row>
    <row r="297">
      <c r="A297" s="26" t="n"/>
      <c r="B297" s="6" t="n"/>
      <c r="C297" s="6" t="n"/>
      <c r="D297" s="6" t="n"/>
      <c r="E297" s="25" t="n"/>
      <c r="F297" s="6" t="n"/>
      <c r="G297" s="6" t="n"/>
    </row>
    <row r="298">
      <c r="A298" s="26" t="n"/>
      <c r="B298" s="6" t="n"/>
      <c r="C298" s="6" t="n"/>
      <c r="D298" s="6" t="n"/>
      <c r="E298" s="25" t="n"/>
      <c r="F298" s="6" t="n"/>
      <c r="G298" s="6" t="n"/>
    </row>
    <row r="299">
      <c r="A299" s="26" t="n"/>
      <c r="B299" s="6" t="n"/>
      <c r="C299" s="6" t="n"/>
      <c r="D299" s="6" t="n"/>
      <c r="E299" s="25" t="n"/>
      <c r="F299" s="6" t="n"/>
      <c r="G299" s="6" t="n"/>
    </row>
    <row r="300">
      <c r="A300" s="26" t="n"/>
      <c r="B300" s="6" t="n"/>
      <c r="C300" s="6" t="n"/>
      <c r="D300" s="6" t="n"/>
      <c r="E300" s="25" t="n"/>
      <c r="F300" s="6" t="n"/>
      <c r="G300" s="6" t="n"/>
    </row>
    <row r="301">
      <c r="A301" s="26" t="n"/>
      <c r="B301" s="6" t="n"/>
      <c r="C301" s="6" t="n"/>
      <c r="D301" s="6" t="n"/>
      <c r="E301" s="25" t="n"/>
      <c r="F301" s="6" t="n"/>
      <c r="G301" s="6" t="n"/>
    </row>
    <row r="302">
      <c r="A302" s="26" t="n"/>
      <c r="B302" s="6" t="n"/>
      <c r="C302" s="6" t="n"/>
      <c r="D302" s="6" t="n"/>
      <c r="E302" s="25" t="n"/>
      <c r="F302" s="6" t="n"/>
      <c r="G302" s="6" t="n"/>
    </row>
    <row r="303">
      <c r="A303" s="26" t="n"/>
      <c r="B303" s="6" t="n"/>
      <c r="C303" s="6" t="n"/>
      <c r="D303" s="6" t="n"/>
      <c r="E303" s="25" t="n"/>
      <c r="F303" s="6" t="n"/>
      <c r="G303" s="6" t="n"/>
    </row>
    <row r="304">
      <c r="A304" s="26" t="n"/>
      <c r="B304" s="6" t="n"/>
      <c r="C304" s="6" t="n"/>
      <c r="D304" s="6" t="n"/>
      <c r="E304" s="25" t="n"/>
      <c r="F304" s="6" t="n"/>
      <c r="G304" s="6" t="n"/>
    </row>
    <row r="305">
      <c r="A305" s="26" t="n"/>
      <c r="B305" s="6" t="n"/>
      <c r="C305" s="6" t="n"/>
      <c r="D305" s="6" t="n"/>
      <c r="E305" s="25" t="n"/>
      <c r="F305" s="6" t="n"/>
      <c r="G305" s="6" t="n"/>
    </row>
    <row r="306">
      <c r="A306" s="26" t="n"/>
      <c r="B306" s="6" t="n"/>
      <c r="C306" s="6" t="n"/>
      <c r="D306" s="6" t="n"/>
      <c r="E306" s="25" t="n"/>
      <c r="F306" s="6" t="n"/>
      <c r="G306" s="6" t="n"/>
    </row>
    <row r="307">
      <c r="A307" s="26" t="n"/>
      <c r="B307" s="6" t="n"/>
      <c r="C307" s="6" t="n"/>
      <c r="D307" s="6" t="n"/>
      <c r="E307" s="25" t="n"/>
      <c r="F307" s="6" t="n"/>
      <c r="G307" s="6" t="n"/>
    </row>
    <row r="308">
      <c r="A308" s="26" t="n"/>
      <c r="B308" s="6" t="n"/>
      <c r="C308" s="6" t="n"/>
      <c r="D308" s="6" t="n"/>
      <c r="E308" s="25" t="n"/>
      <c r="F308" s="6" t="n"/>
      <c r="G308" s="6" t="n"/>
    </row>
    <row r="309">
      <c r="A309" s="26" t="n"/>
      <c r="B309" s="6" t="n"/>
      <c r="C309" s="6" t="n"/>
      <c r="D309" s="6" t="n"/>
      <c r="E309" s="25" t="n"/>
      <c r="F309" s="6" t="n"/>
      <c r="G309" s="6" t="n"/>
    </row>
    <row r="310">
      <c r="A310" s="26" t="n"/>
      <c r="B310" s="6" t="n"/>
      <c r="C310" s="6" t="n"/>
      <c r="D310" s="6" t="n"/>
      <c r="E310" s="25" t="n"/>
      <c r="F310" s="6" t="n"/>
      <c r="G310" s="6" t="n"/>
    </row>
    <row r="311">
      <c r="A311" s="26" t="n"/>
      <c r="B311" s="6" t="n"/>
      <c r="C311" s="6" t="n"/>
      <c r="D311" s="6" t="n"/>
      <c r="E311" s="25" t="n"/>
      <c r="F311" s="6" t="n"/>
      <c r="G311" s="6" t="n"/>
    </row>
    <row r="312">
      <c r="A312" s="26" t="n"/>
      <c r="B312" s="6" t="n"/>
      <c r="C312" s="6" t="n"/>
      <c r="D312" s="6" t="n"/>
      <c r="E312" s="25" t="n"/>
      <c r="F312" s="6" t="n"/>
      <c r="G312" s="6" t="n"/>
    </row>
    <row r="313">
      <c r="A313" s="26" t="n"/>
      <c r="B313" s="6" t="n"/>
      <c r="C313" s="6" t="n"/>
      <c r="D313" s="6" t="n"/>
      <c r="E313" s="25" t="n"/>
      <c r="F313" s="6" t="n"/>
      <c r="G313" s="6" t="n"/>
    </row>
    <row r="314">
      <c r="A314" s="26" t="n"/>
      <c r="B314" s="6" t="n"/>
      <c r="C314" s="6" t="n"/>
      <c r="D314" s="6" t="n"/>
      <c r="E314" s="25" t="n"/>
      <c r="F314" s="6" t="n"/>
      <c r="G314" s="6" t="n"/>
    </row>
    <row r="315">
      <c r="A315" s="26" t="n"/>
      <c r="B315" s="6" t="n"/>
      <c r="C315" s="6" t="n"/>
      <c r="D315" s="6" t="n"/>
      <c r="E315" s="25" t="n"/>
      <c r="F315" s="6" t="n"/>
      <c r="G315" s="6" t="n"/>
    </row>
    <row r="316">
      <c r="A316" s="26" t="n"/>
      <c r="B316" s="6" t="n"/>
      <c r="C316" s="6" t="n"/>
      <c r="D316" s="6" t="n"/>
      <c r="E316" s="25" t="n"/>
      <c r="F316" s="6" t="n"/>
      <c r="G316" s="6" t="n"/>
    </row>
    <row r="317">
      <c r="A317" s="26" t="n"/>
      <c r="B317" s="6" t="n"/>
      <c r="C317" s="6" t="n"/>
      <c r="D317" s="6" t="n"/>
      <c r="E317" s="25" t="n"/>
      <c r="F317" s="6" t="n"/>
      <c r="G317" s="6" t="n"/>
    </row>
    <row r="318">
      <c r="A318" s="26" t="n"/>
      <c r="B318" s="6" t="n"/>
      <c r="C318" s="6" t="n"/>
      <c r="D318" s="6" t="n"/>
      <c r="E318" s="25" t="n"/>
      <c r="F318" s="6" t="n"/>
      <c r="G318" s="6" t="n"/>
    </row>
    <row r="319">
      <c r="A319" s="26" t="n"/>
      <c r="B319" s="6" t="n"/>
      <c r="C319" s="6" t="n"/>
      <c r="D319" s="6" t="n"/>
      <c r="E319" s="25" t="n"/>
      <c r="F319" s="6" t="n"/>
      <c r="G319" s="6" t="n"/>
    </row>
    <row r="320">
      <c r="A320" s="26" t="n"/>
      <c r="B320" s="6" t="n"/>
      <c r="C320" s="6" t="n"/>
      <c r="D320" s="6" t="n"/>
      <c r="E320" s="25" t="n"/>
      <c r="F320" s="6" t="n"/>
      <c r="G320" s="6" t="n"/>
    </row>
    <row r="321">
      <c r="A321" s="26" t="n"/>
      <c r="B321" s="6" t="n"/>
      <c r="C321" s="6" t="n"/>
      <c r="D321" s="6" t="n"/>
      <c r="E321" s="25" t="n"/>
      <c r="F321" s="6" t="n"/>
      <c r="G321" s="6" t="n"/>
    </row>
    <row r="322">
      <c r="A322" s="26" t="n"/>
      <c r="B322" s="6" t="n"/>
      <c r="C322" s="6" t="n"/>
      <c r="D322" s="6" t="n"/>
      <c r="E322" s="25" t="n"/>
      <c r="F322" s="6" t="n"/>
      <c r="G322" s="6" t="n"/>
    </row>
    <row r="323">
      <c r="A323" s="26" t="n"/>
      <c r="B323" s="6" t="n"/>
      <c r="C323" s="6" t="n"/>
      <c r="D323" s="6" t="n"/>
      <c r="E323" s="25" t="n"/>
      <c r="F323" s="6" t="n"/>
      <c r="G323" s="6" t="n"/>
    </row>
    <row r="324">
      <c r="A324" s="26" t="n"/>
      <c r="B324" s="6" t="n"/>
      <c r="C324" s="6" t="n"/>
      <c r="D324" s="6" t="n"/>
      <c r="E324" s="25" t="n"/>
      <c r="F324" s="6" t="n"/>
      <c r="G324" s="6" t="n"/>
    </row>
    <row r="325">
      <c r="A325" s="26" t="n"/>
      <c r="B325" s="6" t="n"/>
      <c r="C325" s="6" t="n"/>
      <c r="D325" s="6" t="n"/>
      <c r="E325" s="25" t="n"/>
      <c r="F325" s="6" t="n"/>
      <c r="G325" s="6" t="n"/>
    </row>
    <row r="326">
      <c r="A326" s="26" t="n"/>
      <c r="B326" s="6" t="n"/>
      <c r="C326" s="6" t="n"/>
      <c r="D326" s="6" t="n"/>
      <c r="E326" s="25" t="n"/>
      <c r="F326" s="6" t="n"/>
      <c r="G326" s="6" t="n"/>
    </row>
    <row r="327">
      <c r="A327" s="26" t="n"/>
      <c r="B327" s="6" t="n"/>
      <c r="C327" s="6" t="n"/>
      <c r="D327" s="6" t="n"/>
      <c r="E327" s="25" t="n"/>
      <c r="F327" s="6" t="n"/>
      <c r="G327" s="6" t="n"/>
    </row>
    <row r="328">
      <c r="A328" s="26" t="n"/>
      <c r="B328" s="6" t="n"/>
      <c r="C328" s="6" t="n"/>
      <c r="D328" s="6" t="n"/>
      <c r="E328" s="25" t="n"/>
      <c r="F328" s="6" t="n"/>
      <c r="G328" s="6" t="n"/>
    </row>
    <row r="329">
      <c r="A329" s="26" t="n"/>
      <c r="B329" s="6" t="n"/>
      <c r="C329" s="6" t="n"/>
      <c r="D329" s="6" t="n"/>
      <c r="E329" s="25" t="n"/>
      <c r="F329" s="6" t="n"/>
      <c r="G329" s="6" t="n"/>
    </row>
    <row r="330">
      <c r="A330" s="26" t="n"/>
      <c r="B330" s="6" t="n"/>
      <c r="C330" s="6" t="n"/>
      <c r="D330" s="6" t="n"/>
      <c r="E330" s="25" t="n"/>
      <c r="F330" s="6" t="n"/>
      <c r="G330" s="6" t="n"/>
    </row>
    <row r="331">
      <c r="A331" s="26" t="n"/>
      <c r="B331" s="6" t="n"/>
      <c r="C331" s="6" t="n"/>
      <c r="D331" s="6" t="n"/>
      <c r="E331" s="25" t="n"/>
      <c r="F331" s="6" t="n"/>
      <c r="G331" s="6" t="n"/>
    </row>
    <row r="332">
      <c r="A332" s="26" t="n"/>
      <c r="B332" s="6" t="n"/>
      <c r="C332" s="6" t="n"/>
      <c r="D332" s="6" t="n"/>
      <c r="E332" s="25" t="n"/>
      <c r="F332" s="6" t="n"/>
      <c r="G332" s="6" t="n"/>
    </row>
    <row r="333">
      <c r="A333" s="26" t="n"/>
      <c r="B333" s="6" t="n"/>
      <c r="C333" s="6" t="n"/>
      <c r="D333" s="6" t="n"/>
      <c r="E333" s="25" t="n"/>
      <c r="F333" s="6" t="n"/>
      <c r="G333" s="6" t="n"/>
    </row>
    <row r="334">
      <c r="A334" s="26" t="n"/>
      <c r="B334" s="6" t="n"/>
      <c r="C334" s="6" t="n"/>
      <c r="D334" s="6" t="n"/>
      <c r="E334" s="25" t="n"/>
      <c r="F334" s="6" t="n"/>
      <c r="G334" s="6" t="n"/>
    </row>
    <row r="335">
      <c r="A335" s="26" t="n"/>
      <c r="B335" s="6" t="n"/>
      <c r="C335" s="6" t="n"/>
      <c r="D335" s="6" t="n"/>
      <c r="E335" s="25" t="n"/>
      <c r="F335" s="6" t="n"/>
      <c r="G335" s="6" t="n"/>
    </row>
    <row r="336">
      <c r="A336" s="26" t="n"/>
      <c r="B336" s="6" t="n"/>
      <c r="C336" s="6" t="n"/>
      <c r="D336" s="6" t="n"/>
      <c r="E336" s="25" t="n"/>
      <c r="F336" s="6" t="n"/>
      <c r="G336" s="6" t="n"/>
    </row>
    <row r="337">
      <c r="A337" s="26" t="n"/>
      <c r="B337" s="6" t="n"/>
      <c r="C337" s="6" t="n"/>
      <c r="D337" s="6" t="n"/>
      <c r="E337" s="25" t="n"/>
      <c r="F337" s="6" t="n"/>
      <c r="G337" s="6" t="n"/>
    </row>
    <row r="338">
      <c r="A338" s="26" t="n"/>
      <c r="B338" s="6" t="n"/>
      <c r="C338" s="6" t="n"/>
      <c r="D338" s="6" t="n"/>
      <c r="E338" s="25" t="n"/>
      <c r="F338" s="6" t="n"/>
      <c r="G338" s="6" t="n"/>
    </row>
    <row r="339">
      <c r="A339" s="26" t="n"/>
      <c r="B339" s="6" t="n"/>
      <c r="C339" s="6" t="n"/>
      <c r="D339" s="6" t="n"/>
      <c r="E339" s="25" t="n"/>
      <c r="F339" s="6" t="n"/>
      <c r="G339" s="6" t="n"/>
    </row>
    <row r="340">
      <c r="A340" s="26" t="n"/>
      <c r="B340" s="6" t="n"/>
      <c r="C340" s="6" t="n"/>
      <c r="D340" s="6" t="n"/>
      <c r="E340" s="25" t="n"/>
      <c r="F340" s="6" t="n"/>
      <c r="G340" s="6" t="n"/>
    </row>
    <row r="341">
      <c r="A341" s="26" t="n"/>
      <c r="B341" s="6" t="n"/>
      <c r="C341" s="6" t="n"/>
      <c r="D341" s="6" t="n"/>
      <c r="E341" s="25" t="n"/>
      <c r="F341" s="6" t="n"/>
      <c r="G341" s="6" t="n"/>
    </row>
    <row r="342">
      <c r="A342" s="26" t="n"/>
      <c r="B342" s="6" t="n"/>
      <c r="C342" s="6" t="n"/>
      <c r="D342" s="6" t="n"/>
      <c r="E342" s="25" t="n"/>
      <c r="F342" s="6" t="n"/>
      <c r="G342" s="6" t="n"/>
    </row>
    <row r="343">
      <c r="A343" s="26" t="n"/>
      <c r="B343" s="6" t="n"/>
      <c r="C343" s="6" t="n"/>
      <c r="D343" s="6" t="n"/>
      <c r="E343" s="25" t="n"/>
      <c r="F343" s="6" t="n"/>
      <c r="G343" s="6" t="n"/>
    </row>
    <row r="344">
      <c r="A344" s="26" t="n"/>
      <c r="B344" s="6" t="n"/>
      <c r="C344" s="6" t="n"/>
      <c r="D344" s="6" t="n"/>
      <c r="E344" s="25" t="n"/>
      <c r="F344" s="6" t="n"/>
      <c r="G344" s="6" t="n"/>
    </row>
    <row r="345">
      <c r="A345" s="26" t="n"/>
      <c r="B345" s="6" t="n"/>
      <c r="C345" s="6" t="n"/>
      <c r="D345" s="6" t="n"/>
      <c r="E345" s="25" t="n"/>
      <c r="F345" s="6" t="n"/>
      <c r="G345" s="6" t="n"/>
    </row>
    <row r="346">
      <c r="A346" s="26" t="n"/>
      <c r="B346" s="6" t="n"/>
      <c r="C346" s="6" t="n"/>
      <c r="D346" s="6" t="n"/>
      <c r="E346" s="25" t="n"/>
      <c r="F346" s="6" t="n"/>
      <c r="G346" s="6" t="n"/>
    </row>
    <row r="347">
      <c r="A347" s="26" t="n"/>
      <c r="B347" s="6" t="n"/>
      <c r="C347" s="6" t="n"/>
      <c r="D347" s="6" t="n"/>
      <c r="E347" s="25" t="n"/>
      <c r="F347" s="6" t="n"/>
      <c r="G347" s="6" t="n"/>
    </row>
    <row r="348">
      <c r="A348" s="26" t="n"/>
      <c r="B348" s="6" t="n"/>
      <c r="C348" s="6" t="n"/>
      <c r="D348" s="6" t="n"/>
      <c r="E348" s="25" t="n"/>
      <c r="F348" s="6" t="n"/>
      <c r="G348" s="6" t="n"/>
    </row>
    <row r="349">
      <c r="A349" s="26" t="n"/>
      <c r="B349" s="6" t="n"/>
      <c r="C349" s="6" t="n"/>
      <c r="D349" s="6" t="n"/>
      <c r="E349" s="25" t="n"/>
      <c r="F349" s="6" t="n"/>
      <c r="G349" s="6" t="n"/>
    </row>
    <row r="350">
      <c r="A350" s="26" t="n"/>
      <c r="B350" s="6" t="n"/>
      <c r="C350" s="6" t="n"/>
      <c r="D350" s="6" t="n"/>
      <c r="E350" s="25" t="n"/>
      <c r="F350" s="6" t="n"/>
      <c r="G350" s="6" t="n"/>
    </row>
    <row r="351">
      <c r="A351" s="26" t="n"/>
      <c r="B351" s="6" t="n"/>
      <c r="C351" s="6" t="n"/>
      <c r="D351" s="6" t="n"/>
      <c r="E351" s="25" t="n"/>
      <c r="F351" s="6" t="n"/>
      <c r="G351" s="6" t="n"/>
    </row>
    <row r="352">
      <c r="A352" s="26" t="n"/>
      <c r="B352" s="6" t="n"/>
      <c r="C352" s="6" t="n"/>
      <c r="D352" s="6" t="n"/>
      <c r="E352" s="25" t="n"/>
      <c r="F352" s="6" t="n"/>
      <c r="G352" s="6" t="n"/>
    </row>
    <row r="353">
      <c r="A353" s="26" t="n"/>
      <c r="B353" s="6" t="n"/>
      <c r="C353" s="6" t="n"/>
      <c r="D353" s="6" t="n"/>
      <c r="E353" s="25" t="n"/>
      <c r="F353" s="6" t="n"/>
      <c r="G353" s="6" t="n"/>
    </row>
    <row r="354">
      <c r="A354" s="26" t="n"/>
      <c r="B354" s="6" t="n"/>
      <c r="C354" s="6" t="n"/>
      <c r="D354" s="6" t="n"/>
      <c r="E354" s="25" t="n"/>
      <c r="F354" s="6" t="n"/>
      <c r="G354" s="6" t="n"/>
    </row>
    <row r="355">
      <c r="A355" s="26" t="n"/>
      <c r="B355" s="6" t="n"/>
      <c r="C355" s="6" t="n"/>
      <c r="D355" s="6" t="n"/>
      <c r="E355" s="25" t="n"/>
      <c r="F355" s="6" t="n"/>
      <c r="G355" s="6" t="n"/>
    </row>
    <row r="356">
      <c r="A356" s="26" t="n"/>
      <c r="B356" s="6" t="n"/>
      <c r="C356" s="6" t="n"/>
      <c r="D356" s="6" t="n"/>
      <c r="E356" s="25" t="n"/>
      <c r="F356" s="6" t="n"/>
      <c r="G356" s="6" t="n"/>
    </row>
    <row r="357">
      <c r="A357" s="26" t="n"/>
      <c r="B357" s="6" t="n"/>
      <c r="C357" s="6" t="n"/>
      <c r="D357" s="6" t="n"/>
      <c r="E357" s="25" t="n"/>
      <c r="F357" s="6" t="n"/>
      <c r="G357" s="6" t="n"/>
    </row>
    <row r="358">
      <c r="A358" s="26" t="n"/>
      <c r="B358" s="6" t="n"/>
      <c r="C358" s="6" t="n"/>
      <c r="D358" s="6" t="n"/>
      <c r="E358" s="25" t="n"/>
      <c r="F358" s="6" t="n"/>
      <c r="G358" s="6" t="n"/>
    </row>
    <row r="359">
      <c r="A359" s="26" t="n"/>
      <c r="B359" s="6" t="n"/>
      <c r="C359" s="6" t="n"/>
      <c r="D359" s="6" t="n"/>
      <c r="E359" s="25" t="n"/>
      <c r="F359" s="6" t="n"/>
      <c r="G359" s="6" t="n"/>
    </row>
    <row r="360">
      <c r="A360" s="26" t="n"/>
      <c r="B360" s="6" t="n"/>
      <c r="C360" s="6" t="n"/>
      <c r="D360" s="6" t="n"/>
      <c r="E360" s="25" t="n"/>
      <c r="F360" s="6" t="n"/>
      <c r="G360" s="6" t="n"/>
    </row>
    <row r="361">
      <c r="A361" s="26" t="n"/>
      <c r="B361" s="6" t="n"/>
      <c r="C361" s="6" t="n"/>
      <c r="D361" s="6" t="n"/>
      <c r="E361" s="25" t="n"/>
      <c r="F361" s="6" t="n"/>
      <c r="G361" s="6" t="n"/>
    </row>
    <row r="362">
      <c r="A362" s="26" t="n"/>
      <c r="B362" s="6" t="n"/>
      <c r="C362" s="6" t="n"/>
      <c r="D362" s="6" t="n"/>
      <c r="E362" s="25" t="n"/>
      <c r="F362" s="6" t="n"/>
      <c r="G362" s="6" t="n"/>
    </row>
    <row r="363">
      <c r="A363" s="26" t="n"/>
      <c r="B363" s="6" t="n"/>
      <c r="C363" s="6" t="n"/>
      <c r="D363" s="6" t="n"/>
      <c r="E363" s="25" t="n"/>
      <c r="F363" s="6" t="n"/>
      <c r="G363" s="6" t="n"/>
    </row>
    <row r="364">
      <c r="A364" s="26" t="n"/>
      <c r="B364" s="6" t="n"/>
      <c r="C364" s="6" t="n"/>
      <c r="D364" s="6" t="n"/>
      <c r="E364" s="25" t="n"/>
      <c r="F364" s="6" t="n"/>
      <c r="G364" s="6" t="n"/>
    </row>
    <row r="365">
      <c r="A365" s="26" t="n"/>
      <c r="B365" s="6" t="n"/>
      <c r="C365" s="6" t="n"/>
      <c r="D365" s="6" t="n"/>
      <c r="E365" s="25" t="n"/>
      <c r="F365" s="6" t="n"/>
      <c r="G365" s="6" t="n"/>
    </row>
    <row r="366">
      <c r="A366" s="26" t="n"/>
      <c r="B366" s="6" t="n"/>
      <c r="C366" s="6" t="n"/>
      <c r="D366" s="6" t="n"/>
      <c r="E366" s="25" t="n"/>
      <c r="F366" s="6" t="n"/>
      <c r="G366" s="6" t="n"/>
    </row>
    <row r="367">
      <c r="A367" s="26" t="n"/>
      <c r="B367" s="6" t="n"/>
      <c r="C367" s="6" t="n"/>
      <c r="D367" s="6" t="n"/>
      <c r="E367" s="25" t="n"/>
      <c r="F367" s="6" t="n"/>
      <c r="G367" s="6" t="n"/>
    </row>
    <row r="368">
      <c r="A368" s="26" t="n"/>
      <c r="B368" s="6" t="n"/>
      <c r="C368" s="6" t="n"/>
      <c r="D368" s="6" t="n"/>
      <c r="E368" s="25" t="n"/>
      <c r="F368" s="6" t="n"/>
      <c r="G368" s="6" t="n"/>
    </row>
    <row r="369">
      <c r="A369" s="26" t="n"/>
      <c r="B369" s="6" t="n"/>
      <c r="C369" s="6" t="n"/>
      <c r="D369" s="6" t="n"/>
      <c r="E369" s="25" t="n"/>
      <c r="F369" s="6" t="n"/>
      <c r="G369" s="6" t="n"/>
    </row>
    <row r="370">
      <c r="A370" s="26" t="n"/>
      <c r="B370" s="6" t="n"/>
      <c r="C370" s="6" t="n"/>
      <c r="D370" s="6" t="n"/>
      <c r="E370" s="25" t="n"/>
      <c r="F370" s="6" t="n"/>
      <c r="G370" s="6" t="n"/>
    </row>
    <row r="371">
      <c r="A371" s="26" t="n"/>
      <c r="B371" s="6" t="n"/>
      <c r="C371" s="6" t="n"/>
      <c r="D371" s="6" t="n"/>
      <c r="E371" s="25" t="n"/>
      <c r="F371" s="6" t="n"/>
      <c r="G371" s="6" t="n"/>
    </row>
    <row r="372">
      <c r="A372" s="26" t="n"/>
      <c r="B372" s="6" t="n"/>
      <c r="C372" s="6" t="n"/>
      <c r="D372" s="6" t="n"/>
      <c r="E372" s="25" t="n"/>
      <c r="F372" s="6" t="n"/>
      <c r="G372" s="6" t="n"/>
    </row>
    <row r="373">
      <c r="A373" s="26" t="n"/>
      <c r="B373" s="6" t="n"/>
      <c r="C373" s="6" t="n"/>
      <c r="D373" s="6" t="n"/>
      <c r="E373" s="25" t="n"/>
      <c r="F373" s="6" t="n"/>
      <c r="G373" s="6" t="n"/>
    </row>
    <row r="374">
      <c r="A374" s="26" t="n"/>
      <c r="B374" s="6" t="n"/>
      <c r="C374" s="6" t="n"/>
      <c r="D374" s="6" t="n"/>
      <c r="E374" s="25" t="n"/>
      <c r="F374" s="6" t="n"/>
      <c r="G374" s="6" t="n"/>
    </row>
    <row r="375">
      <c r="A375" s="26" t="n"/>
      <c r="B375" s="6" t="n"/>
      <c r="C375" s="6" t="n"/>
      <c r="D375" s="6" t="n"/>
      <c r="E375" s="25" t="n"/>
      <c r="F375" s="6" t="n"/>
      <c r="G375" s="6" t="n"/>
    </row>
    <row r="376">
      <c r="A376" s="26" t="n"/>
      <c r="B376" s="6" t="n"/>
      <c r="C376" s="6" t="n"/>
      <c r="D376" s="6" t="n"/>
      <c r="E376" s="25" t="n"/>
      <c r="F376" s="6" t="n"/>
      <c r="G376" s="6" t="n"/>
    </row>
    <row r="377">
      <c r="A377" s="26" t="n"/>
      <c r="B377" s="6" t="n"/>
      <c r="C377" s="6" t="n"/>
      <c r="D377" s="6" t="n"/>
      <c r="E377" s="25" t="n"/>
      <c r="F377" s="6" t="n"/>
      <c r="G377" s="6" t="n"/>
    </row>
    <row r="378">
      <c r="A378" s="26" t="n"/>
      <c r="B378" s="6" t="n"/>
      <c r="C378" s="6" t="n"/>
      <c r="D378" s="6" t="n"/>
      <c r="E378" s="25" t="n"/>
      <c r="F378" s="6" t="n"/>
      <c r="G378" s="6" t="n"/>
    </row>
    <row r="379">
      <c r="A379" s="26" t="n"/>
      <c r="B379" s="6" t="n"/>
      <c r="C379" s="6" t="n"/>
      <c r="D379" s="6" t="n"/>
      <c r="E379" s="25" t="n"/>
      <c r="F379" s="6" t="n"/>
      <c r="G379" s="6" t="n"/>
    </row>
    <row r="380">
      <c r="A380" s="26" t="n"/>
      <c r="B380" s="6" t="n"/>
      <c r="C380" s="6" t="n"/>
      <c r="D380" s="6" t="n"/>
      <c r="E380" s="25" t="n"/>
      <c r="F380" s="6" t="n"/>
      <c r="G380" s="6" t="n"/>
    </row>
    <row r="381">
      <c r="A381" s="26" t="n"/>
      <c r="B381" s="6" t="n"/>
      <c r="C381" s="6" t="n"/>
      <c r="D381" s="6" t="n"/>
      <c r="E381" s="25" t="n"/>
      <c r="F381" s="6" t="n"/>
      <c r="G381" s="6" t="n"/>
    </row>
    <row r="382">
      <c r="A382" s="26" t="n"/>
      <c r="B382" s="6" t="n"/>
      <c r="C382" s="6" t="n"/>
      <c r="D382" s="6" t="n"/>
      <c r="E382" s="25" t="n"/>
      <c r="F382" s="6" t="n"/>
      <c r="G382" s="6" t="n"/>
    </row>
    <row r="383">
      <c r="A383" s="26" t="n"/>
      <c r="B383" s="6" t="n"/>
      <c r="C383" s="6" t="n"/>
      <c r="D383" s="6" t="n"/>
      <c r="E383" s="25" t="n"/>
      <c r="F383" s="6" t="n"/>
      <c r="G383" s="6" t="n"/>
    </row>
    <row r="384">
      <c r="A384" s="26" t="n"/>
      <c r="B384" s="6" t="n"/>
      <c r="C384" s="6" t="n"/>
      <c r="D384" s="6" t="n"/>
      <c r="E384" s="25" t="n"/>
      <c r="F384" s="6" t="n"/>
      <c r="G384" s="6" t="n"/>
    </row>
    <row r="385">
      <c r="A385" s="26" t="n"/>
      <c r="B385" s="6" t="n"/>
      <c r="C385" s="6" t="n"/>
      <c r="D385" s="6" t="n"/>
      <c r="E385" s="25" t="n"/>
      <c r="F385" s="6" t="n"/>
      <c r="G385" s="6" t="n"/>
    </row>
    <row r="386">
      <c r="A386" s="26" t="n"/>
      <c r="B386" s="6" t="n"/>
      <c r="C386" s="6" t="n"/>
      <c r="D386" s="6" t="n"/>
      <c r="E386" s="25" t="n"/>
      <c r="F386" s="6" t="n"/>
      <c r="G386" s="6" t="n"/>
    </row>
    <row r="387">
      <c r="A387" s="26" t="n"/>
      <c r="B387" s="6" t="n"/>
      <c r="C387" s="6" t="n"/>
      <c r="D387" s="6" t="n"/>
      <c r="E387" s="25" t="n"/>
      <c r="F387" s="6" t="n"/>
      <c r="G387" s="6" t="n"/>
    </row>
    <row r="388">
      <c r="A388" s="26" t="n"/>
      <c r="B388" s="6" t="n"/>
      <c r="C388" s="6" t="n"/>
      <c r="D388" s="6" t="n"/>
      <c r="E388" s="25" t="n"/>
      <c r="F388" s="6" t="n"/>
      <c r="G388" s="6" t="n"/>
    </row>
    <row r="389">
      <c r="A389" s="26" t="n"/>
      <c r="B389" s="6" t="n"/>
      <c r="C389" s="6" t="n"/>
      <c r="D389" s="6" t="n"/>
      <c r="E389" s="25" t="n"/>
      <c r="F389" s="6" t="n"/>
      <c r="G389" s="6" t="n"/>
    </row>
    <row r="390">
      <c r="A390" s="26" t="n"/>
      <c r="B390" s="6" t="n"/>
      <c r="C390" s="6" t="n"/>
      <c r="D390" s="6" t="n"/>
      <c r="E390" s="25" t="n"/>
      <c r="F390" s="6" t="n"/>
      <c r="G390" s="6" t="n"/>
    </row>
    <row r="391">
      <c r="A391" s="26" t="n"/>
      <c r="B391" s="6" t="n"/>
      <c r="C391" s="6" t="n"/>
      <c r="D391" s="6" t="n"/>
      <c r="E391" s="25" t="n"/>
      <c r="F391" s="6" t="n"/>
      <c r="G391" s="6" t="n"/>
    </row>
    <row r="392">
      <c r="A392" s="26" t="n"/>
      <c r="B392" s="6" t="n"/>
      <c r="C392" s="6" t="n"/>
      <c r="D392" s="6" t="n"/>
      <c r="E392" s="25" t="n"/>
      <c r="F392" s="6" t="n"/>
      <c r="G392" s="6" t="n"/>
    </row>
    <row r="393">
      <c r="A393" s="26" t="n"/>
      <c r="B393" s="6" t="n"/>
      <c r="C393" s="6" t="n"/>
      <c r="D393" s="6" t="n"/>
      <c r="E393" s="25" t="n"/>
      <c r="F393" s="6" t="n"/>
      <c r="G393" s="6" t="n"/>
    </row>
    <row r="394">
      <c r="A394" s="26" t="n"/>
      <c r="B394" s="6" t="n"/>
      <c r="C394" s="6" t="n"/>
      <c r="D394" s="6" t="n"/>
      <c r="E394" s="25" t="n"/>
      <c r="F394" s="6" t="n"/>
      <c r="G394" s="6" t="n"/>
    </row>
    <row r="395">
      <c r="A395" s="26" t="n"/>
      <c r="B395" s="6" t="n"/>
      <c r="C395" s="6" t="n"/>
      <c r="D395" s="6" t="n"/>
      <c r="E395" s="25" t="n"/>
      <c r="F395" s="6" t="n"/>
      <c r="G395" s="6" t="n"/>
    </row>
    <row r="396">
      <c r="A396" s="26" t="n"/>
      <c r="B396" s="6" t="n"/>
      <c r="C396" s="6" t="n"/>
      <c r="D396" s="6" t="n"/>
      <c r="E396" s="25" t="n"/>
      <c r="F396" s="6" t="n"/>
      <c r="G396" s="6" t="n"/>
    </row>
    <row r="397">
      <c r="A397" s="26" t="n"/>
      <c r="B397" s="6" t="n"/>
      <c r="C397" s="6" t="n"/>
      <c r="D397" s="6" t="n"/>
      <c r="E397" s="25" t="n"/>
      <c r="F397" s="6" t="n"/>
      <c r="G397" s="6" t="n"/>
    </row>
    <row r="398">
      <c r="A398" s="26" t="n"/>
      <c r="B398" s="6" t="n"/>
      <c r="C398" s="6" t="n"/>
      <c r="D398" s="6" t="n"/>
      <c r="E398" s="25" t="n"/>
      <c r="F398" s="6" t="n"/>
      <c r="G398" s="6" t="n"/>
    </row>
    <row r="399">
      <c r="A399" s="26" t="n"/>
      <c r="B399" s="6" t="n"/>
      <c r="C399" s="6" t="n"/>
      <c r="D399" s="6" t="n"/>
      <c r="E399" s="25" t="n"/>
      <c r="F399" s="6" t="n"/>
      <c r="G399" s="6" t="n"/>
    </row>
    <row r="400">
      <c r="A400" s="26" t="n"/>
      <c r="B400" s="6" t="n"/>
      <c r="C400" s="6" t="n"/>
      <c r="D400" s="6" t="n"/>
      <c r="E400" s="25" t="n"/>
      <c r="F400" s="6" t="n"/>
      <c r="G400" s="6" t="n"/>
    </row>
    <row r="401">
      <c r="A401" s="26" t="n"/>
      <c r="B401" s="6" t="n"/>
      <c r="C401" s="6" t="n"/>
      <c r="D401" s="6" t="n"/>
      <c r="E401" s="25" t="n"/>
      <c r="F401" s="6" t="n"/>
      <c r="G401" s="6" t="n"/>
    </row>
    <row r="402">
      <c r="A402" s="26" t="n"/>
      <c r="B402" s="6" t="n"/>
      <c r="C402" s="6" t="n"/>
      <c r="D402" s="6" t="n"/>
      <c r="E402" s="25" t="n"/>
      <c r="F402" s="6" t="n"/>
      <c r="G402" s="6" t="n"/>
    </row>
    <row r="403">
      <c r="A403" s="26" t="n"/>
      <c r="B403" s="6" t="n"/>
      <c r="C403" s="6" t="n"/>
      <c r="D403" s="6" t="n"/>
      <c r="E403" s="25" t="n"/>
      <c r="F403" s="6" t="n"/>
      <c r="G403" s="6" t="n"/>
    </row>
    <row r="404">
      <c r="A404" s="26" t="n"/>
      <c r="B404" s="6" t="n"/>
      <c r="C404" s="6" t="n"/>
      <c r="D404" s="6" t="n"/>
      <c r="E404" s="25" t="n"/>
      <c r="F404" s="6" t="n"/>
      <c r="G404" s="6" t="n"/>
    </row>
    <row r="405">
      <c r="A405" s="26" t="n"/>
      <c r="B405" s="6" t="n"/>
      <c r="C405" s="6" t="n"/>
      <c r="D405" s="6" t="n"/>
      <c r="E405" s="25" t="n"/>
      <c r="F405" s="6" t="n"/>
      <c r="G405" s="6" t="n"/>
    </row>
    <row r="406">
      <c r="A406" s="26" t="n"/>
      <c r="B406" s="6" t="n"/>
      <c r="C406" s="6" t="n"/>
      <c r="D406" s="6" t="n"/>
      <c r="E406" s="25" t="n"/>
      <c r="F406" s="6" t="n"/>
      <c r="G406" s="6" t="n"/>
    </row>
    <row r="407">
      <c r="A407" s="26" t="n"/>
      <c r="B407" s="6" t="n"/>
      <c r="C407" s="6" t="n"/>
      <c r="D407" s="6" t="n"/>
      <c r="E407" s="25" t="n"/>
      <c r="F407" s="6" t="n"/>
      <c r="G407" s="6" t="n"/>
    </row>
    <row r="408">
      <c r="A408" s="26" t="n"/>
      <c r="B408" s="6" t="n"/>
      <c r="C408" s="6" t="n"/>
      <c r="D408" s="6" t="n"/>
      <c r="E408" s="25" t="n"/>
      <c r="F408" s="6" t="n"/>
      <c r="G408" s="6" t="n"/>
    </row>
    <row r="409">
      <c r="A409" s="26" t="n"/>
      <c r="B409" s="6" t="n"/>
      <c r="C409" s="6" t="n"/>
      <c r="D409" s="6" t="n"/>
      <c r="E409" s="25" t="n"/>
      <c r="F409" s="6" t="n"/>
      <c r="G409" s="6" t="n"/>
    </row>
    <row r="410">
      <c r="A410" s="26" t="n"/>
      <c r="B410" s="6" t="n"/>
      <c r="C410" s="6" t="n"/>
      <c r="D410" s="6" t="n"/>
      <c r="E410" s="25" t="n"/>
      <c r="F410" s="6" t="n"/>
      <c r="G410" s="6" t="n"/>
    </row>
    <row r="411">
      <c r="A411" s="26" t="n"/>
      <c r="B411" s="6" t="n"/>
      <c r="C411" s="6" t="n"/>
      <c r="D411" s="6" t="n"/>
      <c r="E411" s="25" t="n"/>
      <c r="F411" s="6" t="n"/>
      <c r="G411" s="6" t="n"/>
    </row>
    <row r="412">
      <c r="A412" s="26" t="n"/>
      <c r="B412" s="6" t="n"/>
      <c r="C412" s="6" t="n"/>
      <c r="D412" s="6" t="n"/>
      <c r="E412" s="25" t="n"/>
      <c r="F412" s="6" t="n"/>
      <c r="G412" s="6" t="n"/>
    </row>
    <row r="413">
      <c r="A413" s="26" t="n"/>
      <c r="B413" s="6" t="n"/>
      <c r="C413" s="6" t="n"/>
      <c r="D413" s="6" t="n"/>
      <c r="E413" s="25" t="n"/>
      <c r="F413" s="6" t="n"/>
      <c r="G413" s="6" t="n"/>
    </row>
    <row r="414">
      <c r="A414" s="26" t="n"/>
      <c r="B414" s="6" t="n"/>
      <c r="C414" s="6" t="n"/>
      <c r="D414" s="6" t="n"/>
      <c r="E414" s="25" t="n"/>
      <c r="F414" s="6" t="n"/>
      <c r="G414" s="6" t="n"/>
    </row>
    <row r="415">
      <c r="A415" s="26" t="n"/>
      <c r="B415" s="6" t="n"/>
      <c r="C415" s="6" t="n"/>
      <c r="D415" s="6" t="n"/>
      <c r="E415" s="25" t="n"/>
      <c r="F415" s="6" t="n"/>
      <c r="G415" s="6" t="n"/>
    </row>
    <row r="416">
      <c r="A416" s="26" t="n"/>
      <c r="B416" s="6" t="n"/>
      <c r="C416" s="6" t="n"/>
      <c r="D416" s="6" t="n"/>
      <c r="E416" s="25" t="n"/>
      <c r="F416" s="6" t="n"/>
      <c r="G416" s="6" t="n"/>
    </row>
    <row r="417">
      <c r="A417" s="26" t="n"/>
      <c r="B417" s="6" t="n"/>
      <c r="C417" s="6" t="n"/>
      <c r="D417" s="6" t="n"/>
      <c r="E417" s="25" t="n"/>
      <c r="F417" s="6" t="n"/>
      <c r="G417" s="6" t="n"/>
    </row>
    <row r="418">
      <c r="A418" s="26" t="n"/>
      <c r="B418" s="6" t="n"/>
      <c r="C418" s="6" t="n"/>
      <c r="D418" s="6" t="n"/>
      <c r="E418" s="25" t="n"/>
      <c r="F418" s="6" t="n"/>
      <c r="G418" s="6" t="n"/>
    </row>
    <row r="419">
      <c r="A419" s="26" t="n"/>
      <c r="B419" s="6" t="n"/>
      <c r="C419" s="6" t="n"/>
      <c r="D419" s="6" t="n"/>
      <c r="E419" s="25" t="n"/>
      <c r="F419" s="6" t="n"/>
      <c r="G419" s="6" t="n"/>
    </row>
    <row r="420">
      <c r="A420" s="26" t="n"/>
      <c r="B420" s="6" t="n"/>
      <c r="C420" s="6" t="n"/>
      <c r="D420" s="6" t="n"/>
      <c r="E420" s="25" t="n"/>
      <c r="F420" s="6" t="n"/>
      <c r="G420" s="6" t="n"/>
    </row>
    <row r="421">
      <c r="A421" s="26" t="n"/>
      <c r="B421" s="6" t="n"/>
      <c r="C421" s="6" t="n"/>
      <c r="D421" s="6" t="n"/>
      <c r="E421" s="25" t="n"/>
      <c r="F421" s="6" t="n"/>
      <c r="G421" s="6" t="n"/>
    </row>
    <row r="422">
      <c r="A422" s="26" t="n"/>
      <c r="B422" s="6" t="n"/>
      <c r="C422" s="6" t="n"/>
      <c r="D422" s="6" t="n"/>
      <c r="E422" s="25" t="n"/>
      <c r="F422" s="6" t="n"/>
      <c r="G422" s="6" t="n"/>
    </row>
    <row r="423">
      <c r="A423" s="26" t="n"/>
      <c r="B423" s="6" t="n"/>
      <c r="C423" s="6" t="n"/>
      <c r="D423" s="6" t="n"/>
      <c r="E423" s="25" t="n"/>
      <c r="F423" s="6" t="n"/>
      <c r="G423" s="6" t="n"/>
    </row>
    <row r="424">
      <c r="A424" s="26" t="n"/>
      <c r="B424" s="6" t="n"/>
      <c r="C424" s="6" t="n"/>
      <c r="D424" s="6" t="n"/>
      <c r="E424" s="25" t="n"/>
      <c r="F424" s="6" t="n"/>
      <c r="G424" s="6" t="n"/>
    </row>
    <row r="425">
      <c r="A425" s="26" t="n"/>
      <c r="B425" s="6" t="n"/>
      <c r="C425" s="6" t="n"/>
      <c r="D425" s="6" t="n"/>
      <c r="E425" s="25" t="n"/>
      <c r="F425" s="6" t="n"/>
      <c r="G425" s="6" t="n"/>
    </row>
    <row r="426">
      <c r="A426" s="26" t="n"/>
      <c r="B426" s="6" t="n"/>
      <c r="C426" s="6" t="n"/>
      <c r="D426" s="6" t="n"/>
      <c r="E426" s="25" t="n"/>
      <c r="F426" s="6" t="n"/>
      <c r="G426" s="6" t="n"/>
    </row>
    <row r="427">
      <c r="A427" s="26" t="n"/>
      <c r="B427" s="6" t="n"/>
      <c r="C427" s="6" t="n"/>
      <c r="D427" s="6" t="n"/>
      <c r="E427" s="25" t="n"/>
      <c r="F427" s="6" t="n"/>
      <c r="G427" s="6" t="n"/>
    </row>
    <row r="428">
      <c r="A428" s="26" t="n"/>
      <c r="B428" s="6" t="n"/>
      <c r="C428" s="6" t="n"/>
      <c r="D428" s="6" t="n"/>
      <c r="E428" s="25" t="n"/>
      <c r="F428" s="6" t="n"/>
      <c r="G428" s="6" t="n"/>
    </row>
    <row r="429">
      <c r="A429" s="26" t="n"/>
      <c r="B429" s="6" t="n"/>
      <c r="C429" s="6" t="n"/>
      <c r="D429" s="6" t="n"/>
      <c r="E429" s="25" t="n"/>
      <c r="F429" s="6" t="n"/>
      <c r="G429" s="6" t="n"/>
    </row>
    <row r="430">
      <c r="A430" s="26" t="n"/>
      <c r="B430" s="6" t="n"/>
      <c r="C430" s="6" t="n"/>
      <c r="D430" s="6" t="n"/>
      <c r="E430" s="25" t="n"/>
      <c r="F430" s="6" t="n"/>
      <c r="G430" s="6" t="n"/>
    </row>
    <row r="431">
      <c r="A431" s="26" t="n"/>
      <c r="B431" s="6" t="n"/>
      <c r="C431" s="6" t="n"/>
      <c r="D431" s="6" t="n"/>
      <c r="E431" s="25" t="n"/>
      <c r="F431" s="6" t="n"/>
      <c r="G431" s="6" t="n"/>
    </row>
    <row r="432">
      <c r="A432" s="26" t="n"/>
      <c r="B432" s="6" t="n"/>
      <c r="C432" s="6" t="n"/>
      <c r="D432" s="6" t="n"/>
      <c r="E432" s="25" t="n"/>
      <c r="F432" s="6" t="n"/>
      <c r="G432" s="6" t="n"/>
    </row>
    <row r="433">
      <c r="A433" s="26" t="n"/>
      <c r="B433" s="6" t="n"/>
      <c r="C433" s="6" t="n"/>
      <c r="D433" s="6" t="n"/>
      <c r="E433" s="25" t="n"/>
      <c r="F433" s="6" t="n"/>
      <c r="G433" s="6" t="n"/>
    </row>
    <row r="434">
      <c r="A434" s="26" t="n"/>
      <c r="B434" s="6" t="n"/>
      <c r="C434" s="6" t="n"/>
      <c r="D434" s="6" t="n"/>
      <c r="E434" s="25" t="n"/>
      <c r="F434" s="6" t="n"/>
      <c r="G434" s="6" t="n"/>
    </row>
    <row r="435">
      <c r="A435" s="26" t="n"/>
      <c r="B435" s="6" t="n"/>
      <c r="C435" s="6" t="n"/>
      <c r="D435" s="6" t="n"/>
      <c r="E435" s="25" t="n"/>
      <c r="F435" s="6" t="n"/>
      <c r="G435" s="6" t="n"/>
    </row>
    <row r="436">
      <c r="A436" s="26" t="n"/>
      <c r="B436" s="6" t="n"/>
      <c r="C436" s="6" t="n"/>
      <c r="D436" s="6" t="n"/>
      <c r="E436" s="25" t="n"/>
      <c r="F436" s="6" t="n"/>
      <c r="G436" s="6" t="n"/>
    </row>
    <row r="437">
      <c r="A437" s="26" t="n"/>
      <c r="B437" s="6" t="n"/>
      <c r="C437" s="6" t="n"/>
      <c r="D437" s="6" t="n"/>
      <c r="E437" s="25" t="n"/>
      <c r="F437" s="6" t="n"/>
      <c r="G437" s="6" t="n"/>
    </row>
    <row r="438">
      <c r="A438" s="26" t="n"/>
      <c r="B438" s="6" t="n"/>
      <c r="C438" s="6" t="n"/>
      <c r="D438" s="6" t="n"/>
      <c r="E438" s="25" t="n"/>
      <c r="F438" s="6" t="n"/>
      <c r="G438" s="6" t="n"/>
    </row>
    <row r="439">
      <c r="A439" s="26" t="n"/>
      <c r="B439" s="6" t="n"/>
      <c r="C439" s="6" t="n"/>
      <c r="D439" s="6" t="n"/>
      <c r="E439" s="25" t="n"/>
      <c r="F439" s="6" t="n"/>
      <c r="G439" s="6" t="n"/>
    </row>
    <row r="440">
      <c r="A440" s="26" t="n"/>
      <c r="B440" s="6" t="n"/>
      <c r="C440" s="6" t="n"/>
      <c r="D440" s="6" t="n"/>
      <c r="E440" s="25" t="n"/>
      <c r="F440" s="6" t="n"/>
      <c r="G440" s="6" t="n"/>
    </row>
    <row r="441">
      <c r="A441" s="26" t="n"/>
      <c r="B441" s="6" t="n"/>
      <c r="C441" s="6" t="n"/>
      <c r="D441" s="6" t="n"/>
      <c r="E441" s="25" t="n"/>
      <c r="F441" s="6" t="n"/>
      <c r="G441" s="6" t="n"/>
    </row>
    <row r="442">
      <c r="A442" s="26" t="n"/>
      <c r="B442" s="6" t="n"/>
      <c r="C442" s="6" t="n"/>
      <c r="D442" s="6" t="n"/>
      <c r="E442" s="25" t="n"/>
      <c r="F442" s="6" t="n"/>
      <c r="G442" s="6" t="n"/>
    </row>
    <row r="443">
      <c r="A443" s="26" t="n"/>
      <c r="B443" s="6" t="n"/>
      <c r="C443" s="6" t="n"/>
      <c r="D443" s="6" t="n"/>
      <c r="E443" s="25" t="n"/>
      <c r="F443" s="6" t="n"/>
      <c r="G443" s="6" t="n"/>
    </row>
    <row r="444">
      <c r="A444" s="26" t="n"/>
      <c r="B444" s="6" t="n"/>
      <c r="C444" s="6" t="n"/>
      <c r="D444" s="6" t="n"/>
      <c r="E444" s="25" t="n"/>
      <c r="F444" s="6" t="n"/>
      <c r="G444" s="6" t="n"/>
    </row>
    <row r="445">
      <c r="A445" s="26" t="n"/>
      <c r="B445" s="6" t="n"/>
      <c r="C445" s="6" t="n"/>
      <c r="D445" s="6" t="n"/>
      <c r="E445" s="25" t="n"/>
      <c r="F445" s="6" t="n"/>
      <c r="G445" s="6" t="n"/>
    </row>
    <row r="446">
      <c r="A446" s="26" t="n"/>
      <c r="B446" s="6" t="n"/>
      <c r="C446" s="6" t="n"/>
      <c r="D446" s="6" t="n"/>
      <c r="E446" s="25" t="n"/>
      <c r="F446" s="6" t="n"/>
      <c r="G446" s="6" t="n"/>
    </row>
    <row r="447">
      <c r="A447" s="26" t="n"/>
      <c r="B447" s="6" t="n"/>
      <c r="C447" s="6" t="n"/>
      <c r="D447" s="6" t="n"/>
      <c r="E447" s="25" t="n"/>
      <c r="F447" s="6" t="n"/>
      <c r="G447" s="6" t="n"/>
    </row>
    <row r="448">
      <c r="A448" s="26" t="n"/>
      <c r="B448" s="6" t="n"/>
      <c r="C448" s="6" t="n"/>
      <c r="D448" s="6" t="n"/>
      <c r="E448" s="25" t="n"/>
      <c r="F448" s="6" t="n"/>
      <c r="G448" s="6" t="n"/>
    </row>
    <row r="449">
      <c r="A449" s="26" t="n"/>
      <c r="B449" s="6" t="n"/>
      <c r="C449" s="6" t="n"/>
      <c r="D449" s="6" t="n"/>
      <c r="E449" s="25" t="n"/>
      <c r="F449" s="6" t="n"/>
      <c r="G449" s="6" t="n"/>
    </row>
    <row r="450">
      <c r="A450" s="26" t="n"/>
      <c r="B450" s="6" t="n"/>
      <c r="C450" s="6" t="n"/>
      <c r="D450" s="6" t="n"/>
      <c r="E450" s="25" t="n"/>
      <c r="F450" s="6" t="n"/>
      <c r="G450" s="6" t="n"/>
    </row>
    <row r="451">
      <c r="A451" s="26" t="n"/>
      <c r="B451" s="6" t="n"/>
      <c r="C451" s="6" t="n"/>
      <c r="D451" s="6" t="n"/>
      <c r="E451" s="25" t="n"/>
      <c r="F451" s="6" t="n"/>
      <c r="G451" s="6" t="n"/>
    </row>
    <row r="452">
      <c r="A452" s="26" t="n"/>
      <c r="B452" s="6" t="n"/>
      <c r="C452" s="6" t="n"/>
      <c r="D452" s="6" t="n"/>
      <c r="E452" s="25" t="n"/>
      <c r="F452" s="6" t="n"/>
      <c r="G452" s="6" t="n"/>
    </row>
    <row r="453">
      <c r="A453" s="26" t="n"/>
      <c r="B453" s="6" t="n"/>
      <c r="C453" s="6" t="n"/>
      <c r="D453" s="6" t="n"/>
      <c r="E453" s="25" t="n"/>
      <c r="F453" s="6" t="n"/>
      <c r="G453" s="6" t="n"/>
    </row>
    <row r="454">
      <c r="A454" s="26" t="n"/>
      <c r="B454" s="6" t="n"/>
      <c r="C454" s="6" t="n"/>
      <c r="D454" s="6" t="n"/>
      <c r="E454" s="25" t="n"/>
      <c r="F454" s="6" t="n"/>
      <c r="G454" s="6" t="n"/>
    </row>
    <row r="455">
      <c r="A455" s="26" t="n"/>
      <c r="B455" s="6" t="n"/>
      <c r="C455" s="6" t="n"/>
      <c r="D455" s="6" t="n"/>
      <c r="E455" s="25" t="n"/>
      <c r="F455" s="6" t="n"/>
      <c r="G455" s="6" t="n"/>
    </row>
    <row r="456">
      <c r="A456" s="26" t="n"/>
      <c r="B456" s="6" t="n"/>
      <c r="C456" s="6" t="n"/>
      <c r="D456" s="6" t="n"/>
      <c r="E456" s="25" t="n"/>
      <c r="F456" s="6" t="n"/>
      <c r="G456" s="6" t="n"/>
    </row>
    <row r="457">
      <c r="A457" s="26" t="n"/>
      <c r="B457" s="6" t="n"/>
      <c r="C457" s="6" t="n"/>
      <c r="D457" s="6" t="n"/>
      <c r="E457" s="25" t="n"/>
      <c r="F457" s="6" t="n"/>
      <c r="G457" s="6" t="n"/>
    </row>
    <row r="458">
      <c r="A458" s="26" t="n"/>
      <c r="B458" s="6" t="n"/>
      <c r="C458" s="6" t="n"/>
      <c r="D458" s="6" t="n"/>
      <c r="E458" s="25" t="n"/>
      <c r="F458" s="6" t="n"/>
      <c r="G458" s="6" t="n"/>
    </row>
    <row r="459">
      <c r="A459" s="26" t="n"/>
      <c r="B459" s="6" t="n"/>
      <c r="C459" s="6" t="n"/>
      <c r="D459" s="6" t="n"/>
      <c r="E459" s="25" t="n"/>
      <c r="F459" s="6" t="n"/>
      <c r="G459" s="6" t="n"/>
    </row>
    <row r="460">
      <c r="A460" s="26" t="n"/>
      <c r="B460" s="6" t="n"/>
      <c r="C460" s="6" t="n"/>
      <c r="D460" s="6" t="n"/>
      <c r="E460" s="25" t="n"/>
      <c r="F460" s="6" t="n"/>
      <c r="G460" s="6" t="n"/>
    </row>
    <row r="461">
      <c r="A461" s="26" t="n"/>
      <c r="B461" s="6" t="n"/>
      <c r="C461" s="6" t="n"/>
      <c r="D461" s="6" t="n"/>
      <c r="E461" s="25" t="n"/>
      <c r="F461" s="6" t="n"/>
      <c r="G461" s="6" t="n"/>
    </row>
    <row r="462">
      <c r="A462" s="26" t="n"/>
      <c r="B462" s="6" t="n"/>
      <c r="C462" s="6" t="n"/>
      <c r="D462" s="6" t="n"/>
      <c r="E462" s="25" t="n"/>
      <c r="F462" s="6" t="n"/>
      <c r="G462" s="6" t="n"/>
    </row>
    <row r="463">
      <c r="A463" s="26" t="n"/>
      <c r="B463" s="6" t="n"/>
      <c r="C463" s="6" t="n"/>
      <c r="D463" s="6" t="n"/>
      <c r="E463" s="25" t="n"/>
      <c r="F463" s="6" t="n"/>
      <c r="G463" s="6" t="n"/>
    </row>
    <row r="464">
      <c r="A464" s="26" t="n"/>
      <c r="B464" s="6" t="n"/>
      <c r="C464" s="6" t="n"/>
      <c r="D464" s="6" t="n"/>
      <c r="E464" s="25" t="n"/>
      <c r="F464" s="6" t="n"/>
      <c r="G464" s="6" t="n"/>
    </row>
    <row r="465">
      <c r="A465" s="26" t="n"/>
      <c r="B465" s="6" t="n"/>
      <c r="C465" s="6" t="n"/>
      <c r="D465" s="6" t="n"/>
      <c r="E465" s="25" t="n"/>
      <c r="F465" s="6" t="n"/>
      <c r="G465" s="6" t="n"/>
    </row>
    <row r="466">
      <c r="A466" s="26" t="n"/>
      <c r="B466" s="6" t="n"/>
      <c r="C466" s="6" t="n"/>
      <c r="D466" s="6" t="n"/>
      <c r="E466" s="25" t="n"/>
      <c r="F466" s="6" t="n"/>
      <c r="G466" s="6" t="n"/>
    </row>
    <row r="467">
      <c r="A467" s="26" t="n"/>
      <c r="B467" s="6" t="n"/>
      <c r="C467" s="6" t="n"/>
      <c r="D467" s="6" t="n"/>
      <c r="E467" s="25" t="n"/>
      <c r="F467" s="6" t="n"/>
      <c r="G467" s="6" t="n"/>
    </row>
    <row r="468">
      <c r="A468" s="26" t="n"/>
      <c r="B468" s="6" t="n"/>
      <c r="C468" s="6" t="n"/>
      <c r="D468" s="6" t="n"/>
      <c r="E468" s="25" t="n"/>
      <c r="F468" s="6" t="n"/>
      <c r="G468" s="6" t="n"/>
    </row>
    <row r="469">
      <c r="A469" s="26" t="n"/>
      <c r="B469" s="6" t="n"/>
      <c r="C469" s="6" t="n"/>
      <c r="D469" s="6" t="n"/>
      <c r="E469" s="25" t="n"/>
      <c r="F469" s="6" t="n"/>
      <c r="G469" s="6" t="n"/>
    </row>
    <row r="470">
      <c r="A470" s="26" t="n"/>
      <c r="B470" s="6" t="n"/>
      <c r="C470" s="6" t="n"/>
      <c r="D470" s="6" t="n"/>
      <c r="E470" s="25" t="n"/>
      <c r="F470" s="6" t="n"/>
      <c r="G470" s="6" t="n"/>
    </row>
    <row r="471">
      <c r="A471" s="26" t="n"/>
      <c r="B471" s="6" t="n"/>
      <c r="C471" s="6" t="n"/>
      <c r="D471" s="6" t="n"/>
      <c r="E471" s="25" t="n"/>
      <c r="F471" s="6" t="n"/>
      <c r="G471" s="6" t="n"/>
    </row>
    <row r="472">
      <c r="A472" s="26" t="n"/>
      <c r="B472" s="6" t="n"/>
      <c r="C472" s="6" t="n"/>
      <c r="D472" s="6" t="n"/>
      <c r="E472" s="25" t="n"/>
      <c r="F472" s="6" t="n"/>
      <c r="G472" s="6" t="n"/>
    </row>
    <row r="473">
      <c r="A473" s="26" t="n"/>
      <c r="B473" s="6" t="n"/>
      <c r="C473" s="6" t="n"/>
      <c r="D473" s="6" t="n"/>
      <c r="E473" s="25" t="n"/>
      <c r="F473" s="6" t="n"/>
      <c r="G473" s="6" t="n"/>
    </row>
    <row r="474">
      <c r="A474" s="26" t="n"/>
      <c r="B474" s="6" t="n"/>
      <c r="C474" s="6" t="n"/>
      <c r="D474" s="6" t="n"/>
      <c r="E474" s="25" t="n"/>
      <c r="F474" s="6" t="n"/>
      <c r="G474" s="6" t="n"/>
    </row>
    <row r="475">
      <c r="A475" s="26" t="n"/>
      <c r="B475" s="6" t="n"/>
      <c r="C475" s="6" t="n"/>
      <c r="D475" s="6" t="n"/>
      <c r="E475" s="25" t="n"/>
      <c r="F475" s="6" t="n"/>
      <c r="G475" s="6" t="n"/>
    </row>
    <row r="476">
      <c r="A476" s="26" t="n"/>
      <c r="B476" s="6" t="n"/>
      <c r="C476" s="6" t="n"/>
      <c r="D476" s="6" t="n"/>
      <c r="E476" s="25" t="n"/>
      <c r="F476" s="6" t="n"/>
      <c r="G476" s="6" t="n"/>
    </row>
    <row r="477">
      <c r="A477" s="26" t="n"/>
      <c r="B477" s="6" t="n"/>
      <c r="C477" s="6" t="n"/>
      <c r="D477" s="6" t="n"/>
      <c r="E477" s="25" t="n"/>
      <c r="F477" s="6" t="n"/>
      <c r="G477" s="6" t="n"/>
    </row>
    <row r="478">
      <c r="A478" s="26" t="n"/>
      <c r="B478" s="6" t="n"/>
      <c r="C478" s="6" t="n"/>
      <c r="D478" s="6" t="n"/>
      <c r="E478" s="25" t="n"/>
      <c r="F478" s="6" t="n"/>
      <c r="G478" s="6" t="n"/>
    </row>
    <row r="479">
      <c r="A479" s="26" t="n"/>
      <c r="B479" s="6" t="n"/>
      <c r="C479" s="6" t="n"/>
      <c r="D479" s="6" t="n"/>
      <c r="E479" s="25" t="n"/>
      <c r="F479" s="6" t="n"/>
      <c r="G479" s="6" t="n"/>
    </row>
    <row r="480">
      <c r="A480" s="26" t="n"/>
      <c r="B480" s="6" t="n"/>
      <c r="C480" s="6" t="n"/>
      <c r="D480" s="6" t="n"/>
      <c r="E480" s="25" t="n"/>
      <c r="F480" s="6" t="n"/>
      <c r="G480" s="6" t="n"/>
    </row>
    <row r="481">
      <c r="A481" s="26" t="n"/>
      <c r="B481" s="6" t="n"/>
      <c r="C481" s="6" t="n"/>
      <c r="D481" s="6" t="n"/>
      <c r="E481" s="25" t="n"/>
      <c r="F481" s="6" t="n"/>
      <c r="G481" s="6" t="n"/>
    </row>
    <row r="482">
      <c r="A482" s="26" t="n"/>
      <c r="B482" s="6" t="n"/>
      <c r="C482" s="6" t="n"/>
      <c r="D482" s="6" t="n"/>
      <c r="E482" s="25" t="n"/>
      <c r="F482" s="6" t="n"/>
      <c r="G482" s="6" t="n"/>
    </row>
    <row r="483">
      <c r="A483" s="26" t="n"/>
      <c r="B483" s="6" t="n"/>
      <c r="C483" s="6" t="n"/>
      <c r="D483" s="6" t="n"/>
      <c r="E483" s="25" t="n"/>
      <c r="F483" s="6" t="n"/>
      <c r="G483" s="6" t="n"/>
    </row>
    <row r="484">
      <c r="A484" s="26" t="n"/>
      <c r="B484" s="6" t="n"/>
      <c r="C484" s="6" t="n"/>
      <c r="D484" s="6" t="n"/>
      <c r="E484" s="25" t="n"/>
      <c r="F484" s="6" t="n"/>
      <c r="G484" s="6" t="n"/>
    </row>
    <row r="485">
      <c r="A485" s="26" t="n"/>
      <c r="B485" s="6" t="n"/>
      <c r="C485" s="6" t="n"/>
      <c r="D485" s="6" t="n"/>
      <c r="E485" s="25" t="n"/>
      <c r="F485" s="6" t="n"/>
      <c r="G485" s="6" t="n"/>
    </row>
    <row r="486">
      <c r="A486" s="26" t="n"/>
      <c r="B486" s="6" t="n"/>
      <c r="C486" s="6" t="n"/>
      <c r="D486" s="6" t="n"/>
      <c r="E486" s="25" t="n"/>
      <c r="F486" s="6" t="n"/>
      <c r="G486" s="6" t="n"/>
    </row>
    <row r="487">
      <c r="A487" s="26" t="n"/>
      <c r="B487" s="6" t="n"/>
      <c r="C487" s="6" t="n"/>
      <c r="D487" s="6" t="n"/>
      <c r="E487" s="25" t="n"/>
      <c r="F487" s="6" t="n"/>
      <c r="G487" s="6" t="n"/>
    </row>
    <row r="488">
      <c r="A488" s="26" t="n"/>
      <c r="B488" s="6" t="n"/>
      <c r="C488" s="6" t="n"/>
      <c r="D488" s="6" t="n"/>
      <c r="E488" s="25" t="n"/>
      <c r="F488" s="6" t="n"/>
      <c r="G488" s="6" t="n"/>
    </row>
    <row r="489">
      <c r="A489" s="26" t="n"/>
      <c r="B489" s="6" t="n"/>
      <c r="C489" s="6" t="n"/>
      <c r="D489" s="6" t="n"/>
      <c r="E489" s="25" t="n"/>
      <c r="F489" s="6" t="n"/>
      <c r="G489" s="6" t="n"/>
    </row>
    <row r="490">
      <c r="A490" s="26" t="n"/>
      <c r="B490" s="6" t="n"/>
      <c r="C490" s="6" t="n"/>
      <c r="D490" s="6" t="n"/>
      <c r="E490" s="25" t="n"/>
      <c r="F490" s="6" t="n"/>
      <c r="G490" s="6" t="n"/>
    </row>
    <row r="491">
      <c r="A491" s="26" t="n"/>
      <c r="B491" s="6" t="n"/>
      <c r="C491" s="6" t="n"/>
      <c r="D491" s="6" t="n"/>
      <c r="E491" s="25" t="n"/>
      <c r="F491" s="6" t="n"/>
      <c r="G491" s="6" t="n"/>
    </row>
    <row r="492">
      <c r="A492" s="26" t="n"/>
      <c r="B492" s="6" t="n"/>
      <c r="C492" s="6" t="n"/>
      <c r="D492" s="6" t="n"/>
      <c r="E492" s="25" t="n"/>
      <c r="F492" s="6" t="n"/>
      <c r="G492" s="6" t="n"/>
    </row>
    <row r="493">
      <c r="A493" s="26" t="n"/>
      <c r="B493" s="6" t="n"/>
      <c r="C493" s="6" t="n"/>
      <c r="D493" s="6" t="n"/>
      <c r="E493" s="25" t="n"/>
      <c r="F493" s="6" t="n"/>
      <c r="G493" s="6" t="n"/>
    </row>
    <row r="494">
      <c r="A494" s="26" t="n"/>
      <c r="B494" s="6" t="n"/>
      <c r="C494" s="6" t="n"/>
      <c r="D494" s="6" t="n"/>
      <c r="E494" s="25" t="n"/>
      <c r="F494" s="6" t="n"/>
      <c r="G494" s="6" t="n"/>
    </row>
    <row r="495">
      <c r="A495" s="26" t="n"/>
      <c r="B495" s="6" t="n"/>
      <c r="C495" s="6" t="n"/>
      <c r="D495" s="6" t="n"/>
      <c r="E495" s="25" t="n"/>
      <c r="F495" s="6" t="n"/>
      <c r="G495" s="6" t="n"/>
    </row>
    <row r="496">
      <c r="A496" s="26" t="n"/>
      <c r="B496" s="6" t="n"/>
      <c r="C496" s="6" t="n"/>
      <c r="D496" s="6" t="n"/>
      <c r="E496" s="25" t="n"/>
      <c r="F496" s="6" t="n"/>
      <c r="G496" s="6" t="n"/>
    </row>
    <row r="497">
      <c r="A497" s="26" t="n"/>
      <c r="B497" s="6" t="n"/>
      <c r="C497" s="6" t="n"/>
      <c r="D497" s="6" t="n"/>
      <c r="E497" s="25" t="n"/>
      <c r="F497" s="6" t="n"/>
      <c r="G497" s="6" t="n"/>
    </row>
    <row r="498">
      <c r="A498" s="26" t="n"/>
      <c r="B498" s="6" t="n"/>
      <c r="C498" s="6" t="n"/>
      <c r="D498" s="6" t="n"/>
      <c r="E498" s="25" t="n"/>
      <c r="F498" s="6" t="n"/>
      <c r="G498" s="6" t="n"/>
    </row>
    <row r="499">
      <c r="A499" s="26" t="n"/>
      <c r="B499" s="6" t="n"/>
      <c r="C499" s="6" t="n"/>
      <c r="D499" s="6" t="n"/>
      <c r="E499" s="25" t="n"/>
      <c r="F499" s="6" t="n"/>
      <c r="G499" s="6" t="n"/>
    </row>
    <row r="500">
      <c r="A500" s="26" t="n"/>
      <c r="B500" s="6" t="n"/>
      <c r="C500" s="6" t="n"/>
      <c r="D500" s="6" t="n"/>
      <c r="E500" s="25" t="n"/>
      <c r="F500" s="6" t="n"/>
      <c r="G500" s="6" t="n"/>
    </row>
    <row r="501">
      <c r="A501" s="26" t="n"/>
      <c r="B501" s="6" t="n"/>
      <c r="C501" s="6" t="n"/>
      <c r="D501" s="6" t="n"/>
      <c r="E501" s="25" t="n"/>
      <c r="F501" s="6" t="n"/>
      <c r="G501" s="6" t="n"/>
    </row>
    <row r="502">
      <c r="A502" s="26" t="n"/>
      <c r="B502" s="6" t="n"/>
      <c r="C502" s="6" t="n"/>
      <c r="D502" s="6" t="n"/>
      <c r="E502" s="25" t="n"/>
      <c r="F502" s="6" t="n"/>
      <c r="G502" s="6" t="n"/>
    </row>
    <row r="503">
      <c r="A503" s="26" t="n"/>
      <c r="B503" s="6" t="n"/>
      <c r="C503" s="6" t="n"/>
      <c r="D503" s="6" t="n"/>
      <c r="E503" s="25" t="n"/>
      <c r="F503" s="6" t="n"/>
      <c r="G503" s="6" t="n"/>
    </row>
    <row r="504">
      <c r="A504" s="26" t="n"/>
      <c r="B504" s="6" t="n"/>
      <c r="C504" s="6" t="n"/>
      <c r="D504" s="6" t="n"/>
      <c r="E504" s="25" t="n"/>
      <c r="F504" s="6" t="n"/>
      <c r="G504" s="6" t="n"/>
    </row>
    <row r="505">
      <c r="A505" s="26" t="n"/>
      <c r="B505" s="6" t="n"/>
      <c r="C505" s="6" t="n"/>
      <c r="D505" s="6" t="n"/>
      <c r="E505" s="25" t="n"/>
      <c r="F505" s="6" t="n"/>
      <c r="G505" s="6" t="n"/>
    </row>
    <row r="506">
      <c r="A506" s="26" t="n"/>
      <c r="B506" s="6" t="n"/>
      <c r="C506" s="6" t="n"/>
      <c r="D506" s="6" t="n"/>
      <c r="E506" s="25" t="n"/>
      <c r="F506" s="6" t="n"/>
      <c r="G506" s="6" t="n"/>
    </row>
    <row r="507">
      <c r="A507" s="26" t="n"/>
      <c r="B507" s="6" t="n"/>
      <c r="C507" s="6" t="n"/>
      <c r="D507" s="6" t="n"/>
      <c r="E507" s="25" t="n"/>
      <c r="F507" s="6" t="n"/>
      <c r="G507" s="6" t="n"/>
    </row>
    <row r="508">
      <c r="A508" s="26" t="n"/>
      <c r="B508" s="6" t="n"/>
      <c r="C508" s="6" t="n"/>
      <c r="D508" s="6" t="n"/>
      <c r="E508" s="25" t="n"/>
      <c r="F508" s="6" t="n"/>
      <c r="G508" s="6" t="n"/>
    </row>
    <row r="509">
      <c r="A509" s="26" t="n"/>
      <c r="B509" s="6" t="n"/>
      <c r="C509" s="6" t="n"/>
      <c r="D509" s="6" t="n"/>
      <c r="E509" s="25" t="n"/>
      <c r="F509" s="6" t="n"/>
      <c r="G509" s="6" t="n"/>
    </row>
    <row r="510">
      <c r="A510" s="26" t="n"/>
      <c r="B510" s="6" t="n"/>
      <c r="C510" s="6" t="n"/>
      <c r="D510" s="6" t="n"/>
      <c r="E510" s="25" t="n"/>
      <c r="F510" s="6" t="n"/>
      <c r="G510" s="6" t="n"/>
    </row>
    <row r="511">
      <c r="A511" s="26" t="n"/>
      <c r="B511" s="6" t="n"/>
      <c r="C511" s="6" t="n"/>
      <c r="D511" s="6" t="n"/>
      <c r="E511" s="25" t="n"/>
      <c r="F511" s="6" t="n"/>
      <c r="G511" s="6" t="n"/>
    </row>
    <row r="512">
      <c r="A512" s="26" t="n"/>
      <c r="B512" s="6" t="n"/>
      <c r="C512" s="6" t="n"/>
      <c r="D512" s="6" t="n"/>
      <c r="E512" s="25" t="n"/>
      <c r="F512" s="6" t="n"/>
      <c r="G512" s="6" t="n"/>
    </row>
    <row r="513">
      <c r="A513" s="26" t="n"/>
      <c r="B513" s="6" t="n"/>
      <c r="C513" s="6" t="n"/>
      <c r="D513" s="6" t="n"/>
      <c r="E513" s="25" t="n"/>
      <c r="F513" s="6" t="n"/>
      <c r="G513" s="6" t="n"/>
    </row>
    <row r="514">
      <c r="A514" s="26" t="n"/>
      <c r="B514" s="6" t="n"/>
      <c r="C514" s="6" t="n"/>
      <c r="D514" s="6" t="n"/>
      <c r="E514" s="25" t="n"/>
      <c r="F514" s="6" t="n"/>
      <c r="G514" s="6" t="n"/>
    </row>
    <row r="515">
      <c r="A515" s="26" t="n"/>
      <c r="B515" s="6" t="n"/>
      <c r="C515" s="6" t="n"/>
      <c r="D515" s="6" t="n"/>
      <c r="E515" s="25" t="n"/>
      <c r="F515" s="6" t="n"/>
      <c r="G515" s="6" t="n"/>
    </row>
    <row r="516">
      <c r="A516" s="26" t="n"/>
      <c r="B516" s="6" t="n"/>
      <c r="C516" s="6" t="n"/>
      <c r="D516" s="6" t="n"/>
      <c r="E516" s="25" t="n"/>
      <c r="F516" s="6" t="n"/>
      <c r="G516" s="6" t="n"/>
    </row>
    <row r="517">
      <c r="A517" s="26" t="n"/>
      <c r="B517" s="6" t="n"/>
      <c r="C517" s="6" t="n"/>
      <c r="D517" s="6" t="n"/>
      <c r="E517" s="25" t="n"/>
      <c r="F517" s="6" t="n"/>
      <c r="G517" s="6" t="n"/>
    </row>
    <row r="518">
      <c r="A518" s="26" t="n"/>
      <c r="B518" s="6" t="n"/>
      <c r="C518" s="6" t="n"/>
      <c r="D518" s="6" t="n"/>
      <c r="E518" s="25" t="n"/>
      <c r="F518" s="6" t="n"/>
      <c r="G518" s="6" t="n"/>
    </row>
    <row r="519">
      <c r="A519" s="26" t="n"/>
      <c r="B519" s="6" t="n"/>
      <c r="C519" s="6" t="n"/>
      <c r="D519" s="6" t="n"/>
      <c r="E519" s="25" t="n"/>
      <c r="F519" s="6" t="n"/>
      <c r="G519" s="6" t="n"/>
    </row>
    <row r="520">
      <c r="A520" s="26" t="n"/>
      <c r="B520" s="6" t="n"/>
      <c r="C520" s="6" t="n"/>
      <c r="D520" s="6" t="n"/>
      <c r="E520" s="25" t="n"/>
      <c r="F520" s="6" t="n"/>
      <c r="G520" s="6" t="n"/>
    </row>
    <row r="521">
      <c r="A521" s="26" t="n"/>
      <c r="B521" s="6" t="n"/>
      <c r="C521" s="6" t="n"/>
      <c r="D521" s="6" t="n"/>
      <c r="E521" s="25" t="n"/>
      <c r="F521" s="6" t="n"/>
      <c r="G521" s="6" t="n"/>
    </row>
    <row r="522">
      <c r="A522" s="26" t="n"/>
      <c r="B522" s="6" t="n"/>
      <c r="C522" s="6" t="n"/>
      <c r="D522" s="6" t="n"/>
      <c r="E522" s="25" t="n"/>
      <c r="F522" s="6" t="n"/>
      <c r="G522" s="6" t="n"/>
    </row>
    <row r="523">
      <c r="A523" s="26" t="n"/>
      <c r="B523" s="6" t="n"/>
      <c r="C523" s="6" t="n"/>
      <c r="D523" s="6" t="n"/>
      <c r="E523" s="25" t="n"/>
      <c r="F523" s="6" t="n"/>
      <c r="G523" s="6" t="n"/>
    </row>
    <row r="524">
      <c r="A524" s="26" t="n"/>
      <c r="B524" s="6" t="n"/>
      <c r="C524" s="6" t="n"/>
      <c r="D524" s="6" t="n"/>
      <c r="E524" s="25" t="n"/>
      <c r="F524" s="6" t="n"/>
      <c r="G524" s="6" t="n"/>
    </row>
    <row r="525">
      <c r="A525" s="26" t="n"/>
      <c r="B525" s="6" t="n"/>
      <c r="C525" s="6" t="n"/>
      <c r="D525" s="6" t="n"/>
      <c r="E525" s="25" t="n"/>
      <c r="F525" s="6" t="n"/>
      <c r="G525" s="6" t="n"/>
    </row>
    <row r="526">
      <c r="A526" s="26" t="n"/>
      <c r="B526" s="6" t="n"/>
      <c r="C526" s="6" t="n"/>
      <c r="D526" s="6" t="n"/>
      <c r="E526" s="25" t="n"/>
      <c r="F526" s="6" t="n"/>
      <c r="G526" s="6" t="n"/>
    </row>
    <row r="527">
      <c r="A527" s="26" t="n"/>
      <c r="B527" s="6" t="n"/>
      <c r="C527" s="6" t="n"/>
      <c r="D527" s="6" t="n"/>
      <c r="E527" s="25" t="n"/>
      <c r="F527" s="6" t="n"/>
      <c r="G527" s="6" t="n"/>
    </row>
    <row r="528">
      <c r="A528" s="26" t="n"/>
      <c r="B528" s="6" t="n"/>
      <c r="C528" s="6" t="n"/>
      <c r="D528" s="6" t="n"/>
      <c r="E528" s="25" t="n"/>
      <c r="F528" s="6" t="n"/>
      <c r="G528" s="6" t="n"/>
    </row>
    <row r="529">
      <c r="A529" s="26" t="n"/>
      <c r="B529" s="6" t="n"/>
      <c r="C529" s="6" t="n"/>
      <c r="D529" s="6" t="n"/>
      <c r="E529" s="25" t="n"/>
      <c r="F529" s="6" t="n"/>
      <c r="G529" s="6" t="n"/>
    </row>
    <row r="530">
      <c r="A530" s="26" t="n"/>
      <c r="B530" s="6" t="n"/>
      <c r="C530" s="6" t="n"/>
      <c r="D530" s="6" t="n"/>
      <c r="E530" s="25" t="n"/>
      <c r="F530" s="6" t="n"/>
      <c r="G530" s="6" t="n"/>
    </row>
    <row r="531">
      <c r="A531" s="26" t="n"/>
      <c r="B531" s="6" t="n"/>
      <c r="C531" s="6" t="n"/>
      <c r="D531" s="6" t="n"/>
      <c r="E531" s="25" t="n"/>
      <c r="F531" s="6" t="n"/>
      <c r="G531" s="6" t="n"/>
    </row>
    <row r="532">
      <c r="A532" s="26" t="n"/>
      <c r="B532" s="6" t="n"/>
      <c r="C532" s="6" t="n"/>
      <c r="D532" s="6" t="n"/>
      <c r="E532" s="25" t="n"/>
      <c r="F532" s="6" t="n"/>
      <c r="G532" s="6" t="n"/>
    </row>
    <row r="533">
      <c r="A533" s="26" t="n"/>
      <c r="B533" s="6" t="n"/>
      <c r="C533" s="6" t="n"/>
      <c r="D533" s="6" t="n"/>
      <c r="E533" s="25" t="n"/>
      <c r="F533" s="6" t="n"/>
      <c r="G533" s="6" t="n"/>
    </row>
    <row r="534">
      <c r="A534" s="26" t="n"/>
      <c r="B534" s="6" t="n"/>
      <c r="C534" s="6" t="n"/>
      <c r="D534" s="6" t="n"/>
      <c r="E534" s="25" t="n"/>
      <c r="F534" s="6" t="n"/>
      <c r="G534" s="6" t="n"/>
    </row>
    <row r="535">
      <c r="A535" s="26" t="n"/>
      <c r="B535" s="6" t="n"/>
      <c r="C535" s="6" t="n"/>
      <c r="D535" s="6" t="n"/>
      <c r="E535" s="25" t="n"/>
      <c r="F535" s="6" t="n"/>
      <c r="G535" s="6" t="n"/>
    </row>
    <row r="536">
      <c r="A536" s="26" t="n"/>
      <c r="B536" s="6" t="n"/>
      <c r="C536" s="6" t="n"/>
      <c r="D536" s="6" t="n"/>
      <c r="E536" s="25" t="n"/>
      <c r="F536" s="6" t="n"/>
      <c r="G536" s="6" t="n"/>
    </row>
    <row r="537">
      <c r="A537" s="26" t="n"/>
      <c r="B537" s="6" t="n"/>
      <c r="C537" s="6" t="n"/>
      <c r="D537" s="6" t="n"/>
      <c r="E537" s="25" t="n"/>
      <c r="F537" s="6" t="n"/>
      <c r="G537" s="6" t="n"/>
    </row>
    <row r="538">
      <c r="A538" s="26" t="n"/>
      <c r="B538" s="6" t="n"/>
      <c r="C538" s="6" t="n"/>
      <c r="D538" s="6" t="n"/>
      <c r="E538" s="25" t="n"/>
      <c r="F538" s="6" t="n"/>
      <c r="G538" s="6" t="n"/>
    </row>
    <row r="539">
      <c r="A539" s="26" t="n"/>
      <c r="B539" s="6" t="n"/>
      <c r="C539" s="6" t="n"/>
      <c r="D539" s="6" t="n"/>
      <c r="E539" s="25" t="n"/>
      <c r="F539" s="6" t="n"/>
      <c r="G539" s="6" t="n"/>
    </row>
    <row r="540">
      <c r="A540" s="26" t="n"/>
      <c r="B540" s="6" t="n"/>
      <c r="C540" s="6" t="n"/>
      <c r="D540" s="6" t="n"/>
      <c r="E540" s="25" t="n"/>
      <c r="F540" s="6" t="n"/>
      <c r="G540" s="6" t="n"/>
    </row>
    <row r="541">
      <c r="A541" s="26" t="n"/>
      <c r="B541" s="6" t="n"/>
      <c r="C541" s="6" t="n"/>
      <c r="D541" s="6" t="n"/>
      <c r="E541" s="25" t="n"/>
      <c r="F541" s="6" t="n"/>
      <c r="G541" s="6" t="n"/>
    </row>
    <row r="542">
      <c r="A542" s="26" t="n"/>
      <c r="B542" s="6" t="n"/>
      <c r="C542" s="6" t="n"/>
      <c r="D542" s="6" t="n"/>
      <c r="E542" s="25" t="n"/>
      <c r="F542" s="6" t="n"/>
      <c r="G542" s="6" t="n"/>
    </row>
    <row r="543">
      <c r="A543" s="26" t="n"/>
      <c r="B543" s="6" t="n"/>
      <c r="C543" s="6" t="n"/>
      <c r="D543" s="6" t="n"/>
      <c r="E543" s="25" t="n"/>
      <c r="F543" s="6" t="n"/>
      <c r="G543" s="6" t="n"/>
    </row>
    <row r="544">
      <c r="A544" s="26" t="n"/>
      <c r="B544" s="6" t="n"/>
      <c r="C544" s="6" t="n"/>
      <c r="D544" s="6" t="n"/>
      <c r="E544" s="25" t="n"/>
      <c r="F544" s="6" t="n"/>
      <c r="G544" s="6" t="n"/>
    </row>
    <row r="545">
      <c r="A545" s="26" t="n"/>
      <c r="B545" s="6" t="n"/>
      <c r="C545" s="6" t="n"/>
      <c r="D545" s="6" t="n"/>
      <c r="E545" s="25" t="n"/>
      <c r="F545" s="6" t="n"/>
      <c r="G545" s="6" t="n"/>
    </row>
    <row r="546">
      <c r="A546" s="26" t="n"/>
      <c r="B546" s="6" t="n"/>
      <c r="C546" s="6" t="n"/>
      <c r="D546" s="6" t="n"/>
      <c r="E546" s="25" t="n"/>
      <c r="F546" s="6" t="n"/>
      <c r="G546" s="6" t="n"/>
    </row>
    <row r="547">
      <c r="A547" s="26" t="n"/>
      <c r="B547" s="6" t="n"/>
      <c r="C547" s="6" t="n"/>
      <c r="D547" s="6" t="n"/>
      <c r="E547" s="25" t="n"/>
      <c r="F547" s="6" t="n"/>
      <c r="G547" s="6" t="n"/>
    </row>
    <row r="548">
      <c r="A548" s="26" t="n"/>
      <c r="B548" s="6" t="n"/>
      <c r="C548" s="6" t="n"/>
      <c r="D548" s="6" t="n"/>
      <c r="E548" s="25" t="n"/>
      <c r="F548" s="6" t="n"/>
      <c r="G548" s="6" t="n"/>
    </row>
    <row r="549">
      <c r="A549" s="26" t="n"/>
      <c r="B549" s="6" t="n"/>
      <c r="C549" s="6" t="n"/>
      <c r="D549" s="6" t="n"/>
      <c r="E549" s="25" t="n"/>
      <c r="F549" s="6" t="n"/>
      <c r="G549" s="6" t="n"/>
    </row>
    <row r="550">
      <c r="A550" s="26" t="n"/>
      <c r="B550" s="6" t="n"/>
      <c r="C550" s="6" t="n"/>
      <c r="D550" s="6" t="n"/>
      <c r="E550" s="25" t="n"/>
      <c r="F550" s="6" t="n"/>
      <c r="G550" s="6" t="n"/>
    </row>
    <row r="551">
      <c r="A551" s="26" t="n"/>
      <c r="B551" s="6" t="n"/>
      <c r="C551" s="6" t="n"/>
      <c r="D551" s="6" t="n"/>
      <c r="E551" s="25" t="n"/>
      <c r="F551" s="6" t="n"/>
      <c r="G551" s="6" t="n"/>
    </row>
    <row r="552">
      <c r="A552" s="26" t="n"/>
      <c r="B552" s="6" t="n"/>
      <c r="C552" s="6" t="n"/>
      <c r="D552" s="6" t="n"/>
      <c r="E552" s="25" t="n"/>
      <c r="F552" s="6" t="n"/>
      <c r="G552" s="6" t="n"/>
    </row>
    <row r="553">
      <c r="A553" s="26" t="n"/>
      <c r="B553" s="6" t="n"/>
      <c r="C553" s="6" t="n"/>
      <c r="D553" s="6" t="n"/>
      <c r="E553" s="25" t="n"/>
      <c r="F553" s="6" t="n"/>
      <c r="G553" s="6" t="n"/>
    </row>
    <row r="554">
      <c r="A554" s="26" t="n"/>
      <c r="B554" s="6" t="n"/>
      <c r="C554" s="6" t="n"/>
      <c r="D554" s="6" t="n"/>
      <c r="E554" s="25" t="n"/>
      <c r="F554" s="6" t="n"/>
      <c r="G554" s="6" t="n"/>
    </row>
    <row r="555">
      <c r="A555" s="26" t="n"/>
      <c r="B555" s="6" t="n"/>
      <c r="C555" s="6" t="n"/>
      <c r="D555" s="6" t="n"/>
      <c r="E555" s="25" t="n"/>
      <c r="F555" s="6" t="n"/>
      <c r="G555" s="6" t="n"/>
    </row>
    <row r="556">
      <c r="A556" s="26" t="n"/>
      <c r="B556" s="6" t="n"/>
      <c r="C556" s="6" t="n"/>
      <c r="D556" s="6" t="n"/>
      <c r="E556" s="25" t="n"/>
      <c r="F556" s="6" t="n"/>
      <c r="G556" s="6" t="n"/>
    </row>
    <row r="557">
      <c r="A557" s="26" t="n"/>
      <c r="B557" s="6" t="n"/>
      <c r="C557" s="6" t="n"/>
      <c r="D557" s="6" t="n"/>
      <c r="E557" s="25" t="n"/>
      <c r="F557" s="6" t="n"/>
      <c r="G557" s="6" t="n"/>
    </row>
    <row r="558">
      <c r="A558" s="26" t="n"/>
      <c r="B558" s="6" t="n"/>
      <c r="C558" s="6" t="n"/>
      <c r="D558" s="6" t="n"/>
      <c r="E558" s="25" t="n"/>
      <c r="F558" s="6" t="n"/>
      <c r="G558" s="6" t="n"/>
    </row>
    <row r="559">
      <c r="A559" s="26" t="n"/>
      <c r="B559" s="6" t="n"/>
      <c r="C559" s="6" t="n"/>
      <c r="D559" s="6" t="n"/>
      <c r="E559" s="25" t="n"/>
      <c r="F559" s="6" t="n"/>
      <c r="G559" s="6" t="n"/>
    </row>
    <row r="560">
      <c r="A560" s="26" t="n"/>
      <c r="B560" s="6" t="n"/>
      <c r="C560" s="6" t="n"/>
      <c r="D560" s="6" t="n"/>
      <c r="E560" s="25" t="n"/>
      <c r="F560" s="6" t="n"/>
      <c r="G560" s="6" t="n"/>
    </row>
    <row r="561">
      <c r="A561" s="26" t="n"/>
      <c r="B561" s="6" t="n"/>
      <c r="C561" s="6" t="n"/>
      <c r="D561" s="6" t="n"/>
      <c r="E561" s="25" t="n"/>
      <c r="F561" s="6" t="n"/>
      <c r="G561" s="6" t="n"/>
    </row>
    <row r="562">
      <c r="A562" s="26" t="n"/>
      <c r="B562" s="6" t="n"/>
      <c r="C562" s="6" t="n"/>
      <c r="D562" s="6" t="n"/>
      <c r="E562" s="25" t="n"/>
      <c r="F562" s="6" t="n"/>
      <c r="G562" s="6" t="n"/>
    </row>
    <row r="563">
      <c r="A563" s="26" t="n"/>
      <c r="B563" s="6" t="n"/>
      <c r="C563" s="6" t="n"/>
      <c r="D563" s="6" t="n"/>
      <c r="E563" s="25" t="n"/>
      <c r="F563" s="6" t="n"/>
      <c r="G563" s="6" t="n"/>
    </row>
    <row r="564">
      <c r="A564" s="26" t="n"/>
      <c r="B564" s="6" t="n"/>
      <c r="C564" s="6" t="n"/>
      <c r="D564" s="6" t="n"/>
      <c r="E564" s="25" t="n"/>
      <c r="F564" s="6" t="n"/>
      <c r="G564" s="6" t="n"/>
    </row>
    <row r="565">
      <c r="A565" s="26" t="n"/>
      <c r="B565" s="6" t="n"/>
      <c r="C565" s="6" t="n"/>
      <c r="D565" s="6" t="n"/>
      <c r="E565" s="25" t="n"/>
      <c r="F565" s="6" t="n"/>
      <c r="G565" s="6" t="n"/>
    </row>
    <row r="566">
      <c r="A566" s="26" t="n"/>
      <c r="B566" s="6" t="n"/>
      <c r="C566" s="6" t="n"/>
      <c r="D566" s="6" t="n"/>
      <c r="E566" s="25" t="n"/>
      <c r="F566" s="6" t="n"/>
      <c r="G566" s="6" t="n"/>
    </row>
    <row r="567">
      <c r="A567" s="26" t="n"/>
      <c r="B567" s="6" t="n"/>
      <c r="C567" s="6" t="n"/>
      <c r="D567" s="6" t="n"/>
      <c r="E567" s="25" t="n"/>
      <c r="F567" s="6" t="n"/>
      <c r="G567" s="6" t="n"/>
    </row>
    <row r="568">
      <c r="A568" s="26" t="n"/>
      <c r="B568" s="6" t="n"/>
      <c r="C568" s="6" t="n"/>
      <c r="D568" s="6" t="n"/>
      <c r="E568" s="25" t="n"/>
      <c r="F568" s="6" t="n"/>
      <c r="G568" s="6" t="n"/>
    </row>
    <row r="569">
      <c r="A569" s="26" t="n"/>
      <c r="B569" s="6" t="n"/>
      <c r="C569" s="6" t="n"/>
      <c r="D569" s="6" t="n"/>
      <c r="E569" s="25" t="n"/>
      <c r="F569" s="6" t="n"/>
      <c r="G569" s="6" t="n"/>
    </row>
    <row r="570">
      <c r="A570" s="26" t="n"/>
      <c r="B570" s="6" t="n"/>
      <c r="C570" s="6" t="n"/>
      <c r="D570" s="6" t="n"/>
      <c r="E570" s="25" t="n"/>
      <c r="F570" s="6" t="n"/>
      <c r="G570" s="6" t="n"/>
    </row>
    <row r="571">
      <c r="A571" s="26" t="n"/>
      <c r="B571" s="6" t="n"/>
      <c r="C571" s="6" t="n"/>
      <c r="D571" s="6" t="n"/>
      <c r="E571" s="25" t="n"/>
      <c r="F571" s="6" t="n"/>
      <c r="G571" s="6" t="n"/>
    </row>
    <row r="572">
      <c r="A572" s="26" t="n"/>
      <c r="B572" s="6" t="n"/>
      <c r="C572" s="6" t="n"/>
      <c r="D572" s="6" t="n"/>
      <c r="E572" s="25" t="n"/>
      <c r="F572" s="6" t="n"/>
      <c r="G572" s="6" t="n"/>
    </row>
    <row r="573">
      <c r="A573" s="26" t="n"/>
      <c r="B573" s="6" t="n"/>
      <c r="C573" s="6" t="n"/>
      <c r="D573" s="6" t="n"/>
      <c r="E573" s="25" t="n"/>
      <c r="F573" s="6" t="n"/>
      <c r="G573" s="6" t="n"/>
    </row>
    <row r="574">
      <c r="A574" s="26" t="n"/>
      <c r="B574" s="6" t="n"/>
      <c r="C574" s="6" t="n"/>
      <c r="D574" s="6" t="n"/>
      <c r="E574" s="25" t="n"/>
      <c r="F574" s="6" t="n"/>
      <c r="G574" s="6" t="n"/>
    </row>
    <row r="575">
      <c r="A575" s="26" t="n"/>
      <c r="B575" s="6" t="n"/>
      <c r="C575" s="6" t="n"/>
      <c r="D575" s="6" t="n"/>
      <c r="E575" s="25" t="n"/>
      <c r="F575" s="6" t="n"/>
      <c r="G575" s="6" t="n"/>
    </row>
    <row r="576">
      <c r="A576" s="26" t="n"/>
      <c r="B576" s="6" t="n"/>
      <c r="C576" s="6" t="n"/>
      <c r="D576" s="6" t="n"/>
      <c r="E576" s="25" t="n"/>
      <c r="F576" s="6" t="n"/>
      <c r="G576" s="6" t="n"/>
    </row>
    <row r="577">
      <c r="A577" s="26" t="n"/>
      <c r="B577" s="6" t="n"/>
      <c r="C577" s="6" t="n"/>
      <c r="D577" s="6" t="n"/>
      <c r="E577" s="25" t="n"/>
      <c r="F577" s="6" t="n"/>
      <c r="G577" s="6" t="n"/>
    </row>
    <row r="578">
      <c r="A578" s="26" t="n"/>
      <c r="B578" s="6" t="n"/>
      <c r="C578" s="6" t="n"/>
      <c r="D578" s="6" t="n"/>
      <c r="E578" s="25" t="n"/>
      <c r="F578" s="6" t="n"/>
      <c r="G578" s="6" t="n"/>
    </row>
    <row r="579">
      <c r="A579" s="26" t="n"/>
      <c r="B579" s="6" t="n"/>
      <c r="C579" s="6" t="n"/>
      <c r="D579" s="6" t="n"/>
      <c r="E579" s="25" t="n"/>
      <c r="F579" s="6" t="n"/>
      <c r="G579" s="6" t="n"/>
    </row>
    <row r="580">
      <c r="A580" s="26" t="n"/>
      <c r="B580" s="6" t="n"/>
      <c r="C580" s="6" t="n"/>
      <c r="D580" s="6" t="n"/>
      <c r="E580" s="25" t="n"/>
      <c r="F580" s="6" t="n"/>
      <c r="G580" s="6" t="n"/>
    </row>
    <row r="581">
      <c r="A581" s="26" t="n"/>
      <c r="B581" s="6" t="n"/>
      <c r="C581" s="6" t="n"/>
      <c r="D581" s="6" t="n"/>
      <c r="E581" s="25" t="n"/>
      <c r="F581" s="6" t="n"/>
      <c r="G581" s="6" t="n"/>
    </row>
    <row r="582">
      <c r="A582" s="26" t="n"/>
      <c r="B582" s="6" t="n"/>
      <c r="C582" s="6" t="n"/>
      <c r="D582" s="6" t="n"/>
      <c r="E582" s="25" t="n"/>
      <c r="F582" s="6" t="n"/>
      <c r="G582" s="6" t="n"/>
    </row>
    <row r="583">
      <c r="A583" s="26" t="n"/>
      <c r="B583" s="6" t="n"/>
      <c r="C583" s="6" t="n"/>
      <c r="D583" s="6" t="n"/>
      <c r="E583" s="25" t="n"/>
      <c r="F583" s="6" t="n"/>
      <c r="G583" s="6" t="n"/>
    </row>
    <row r="584">
      <c r="A584" s="26" t="n"/>
      <c r="B584" s="6" t="n"/>
      <c r="C584" s="6" t="n"/>
      <c r="D584" s="6" t="n"/>
      <c r="E584" s="25" t="n"/>
      <c r="F584" s="6" t="n"/>
      <c r="G584" s="6" t="n"/>
    </row>
    <row r="585">
      <c r="A585" s="26" t="n"/>
      <c r="B585" s="6" t="n"/>
      <c r="C585" s="6" t="n"/>
      <c r="D585" s="6" t="n"/>
      <c r="E585" s="25" t="n"/>
      <c r="F585" s="6" t="n"/>
      <c r="G585" s="6" t="n"/>
    </row>
    <row r="586">
      <c r="A586" s="26" t="n"/>
      <c r="B586" s="6" t="n"/>
      <c r="C586" s="6" t="n"/>
      <c r="D586" s="6" t="n"/>
      <c r="E586" s="25" t="n"/>
      <c r="F586" s="6" t="n"/>
      <c r="G586" s="6" t="n"/>
    </row>
    <row r="587">
      <c r="A587" s="26" t="n"/>
      <c r="B587" s="6" t="n"/>
      <c r="C587" s="6" t="n"/>
      <c r="D587" s="6" t="n"/>
      <c r="E587" s="25" t="n"/>
      <c r="F587" s="6" t="n"/>
      <c r="G587" s="6" t="n"/>
    </row>
    <row r="588">
      <c r="A588" s="26" t="n"/>
      <c r="B588" s="6" t="n"/>
      <c r="C588" s="6" t="n"/>
      <c r="D588" s="6" t="n"/>
      <c r="E588" s="25" t="n"/>
      <c r="F588" s="6" t="n"/>
      <c r="G588" s="6" t="n"/>
    </row>
    <row r="589">
      <c r="A589" s="26" t="n"/>
      <c r="B589" s="6" t="n"/>
      <c r="C589" s="6" t="n"/>
      <c r="D589" s="6" t="n"/>
      <c r="E589" s="25" t="n"/>
      <c r="F589" s="6" t="n"/>
      <c r="G589" s="6" t="n"/>
    </row>
    <row r="590">
      <c r="A590" s="26" t="n"/>
      <c r="B590" s="6" t="n"/>
      <c r="C590" s="6" t="n"/>
      <c r="D590" s="6" t="n"/>
      <c r="E590" s="25" t="n"/>
      <c r="F590" s="6" t="n"/>
      <c r="G590" s="6" t="n"/>
    </row>
    <row r="591">
      <c r="A591" s="26" t="n"/>
      <c r="B591" s="6" t="n"/>
      <c r="C591" s="6" t="n"/>
      <c r="D591" s="6" t="n"/>
      <c r="E591" s="25" t="n"/>
      <c r="F591" s="6" t="n"/>
      <c r="G591" s="6" t="n"/>
    </row>
    <row r="592">
      <c r="A592" s="26" t="n"/>
      <c r="B592" s="6" t="n"/>
      <c r="C592" s="6" t="n"/>
      <c r="D592" s="6" t="n"/>
      <c r="E592" s="25" t="n"/>
      <c r="F592" s="6" t="n"/>
      <c r="G592" s="6" t="n"/>
    </row>
    <row r="593">
      <c r="A593" s="26" t="n"/>
      <c r="B593" s="6" t="n"/>
      <c r="C593" s="6" t="n"/>
      <c r="D593" s="6" t="n"/>
      <c r="E593" s="25" t="n"/>
      <c r="F593" s="6" t="n"/>
      <c r="G593" s="6" t="n"/>
    </row>
    <row r="594">
      <c r="A594" s="26" t="n"/>
      <c r="B594" s="6" t="n"/>
      <c r="C594" s="6" t="n"/>
      <c r="D594" s="6" t="n"/>
      <c r="E594" s="25" t="n"/>
      <c r="F594" s="6" t="n"/>
      <c r="G594" s="6" t="n"/>
    </row>
    <row r="595">
      <c r="A595" s="26" t="n"/>
      <c r="B595" s="6" t="n"/>
      <c r="C595" s="6" t="n"/>
      <c r="D595" s="6" t="n"/>
      <c r="E595" s="25" t="n"/>
      <c r="F595" s="6" t="n"/>
      <c r="G595" s="6" t="n"/>
    </row>
    <row r="596">
      <c r="A596" s="26" t="n"/>
      <c r="B596" s="6" t="n"/>
      <c r="C596" s="6" t="n"/>
      <c r="D596" s="6" t="n"/>
      <c r="E596" s="25" t="n"/>
      <c r="F596" s="6" t="n"/>
      <c r="G596" s="6" t="n"/>
    </row>
    <row r="597">
      <c r="A597" s="26" t="n"/>
      <c r="B597" s="6" t="n"/>
      <c r="C597" s="6" t="n"/>
      <c r="D597" s="6" t="n"/>
      <c r="E597" s="25" t="n"/>
      <c r="F597" s="6" t="n"/>
      <c r="G597" s="6" t="n"/>
    </row>
    <row r="598">
      <c r="A598" s="26" t="n"/>
      <c r="B598" s="6" t="n"/>
      <c r="C598" s="6" t="n"/>
      <c r="D598" s="6" t="n"/>
      <c r="E598" s="25" t="n"/>
      <c r="F598" s="6" t="n"/>
      <c r="G598" s="6" t="n"/>
    </row>
    <row r="599">
      <c r="A599" s="26" t="n"/>
      <c r="B599" s="6" t="n"/>
      <c r="C599" s="6" t="n"/>
      <c r="D599" s="6" t="n"/>
      <c r="E599" s="25" t="n"/>
      <c r="F599" s="6" t="n"/>
      <c r="G599" s="6" t="n"/>
    </row>
    <row r="600">
      <c r="A600" s="26" t="n"/>
      <c r="B600" s="6" t="n"/>
      <c r="C600" s="6" t="n"/>
      <c r="D600" s="6" t="n"/>
      <c r="E600" s="25" t="n"/>
      <c r="F600" s="6" t="n"/>
      <c r="G600" s="6" t="n"/>
    </row>
    <row r="601">
      <c r="A601" s="26" t="n"/>
      <c r="B601" s="6" t="n"/>
      <c r="C601" s="6" t="n"/>
      <c r="D601" s="6" t="n"/>
      <c r="E601" s="25" t="n"/>
      <c r="F601" s="6" t="n"/>
      <c r="G601" s="6" t="n"/>
    </row>
    <row r="602">
      <c r="A602" s="26" t="n"/>
      <c r="B602" s="6" t="n"/>
      <c r="C602" s="6" t="n"/>
      <c r="D602" s="6" t="n"/>
      <c r="E602" s="25" t="n"/>
      <c r="F602" s="6" t="n"/>
      <c r="G602" s="6" t="n"/>
    </row>
    <row r="603">
      <c r="A603" s="26" t="n"/>
      <c r="B603" s="6" t="n"/>
      <c r="C603" s="6" t="n"/>
      <c r="D603" s="6" t="n"/>
      <c r="E603" s="25" t="n"/>
      <c r="F603" s="6" t="n"/>
      <c r="G603" s="6" t="n"/>
    </row>
    <row r="604">
      <c r="A604" s="26" t="n"/>
      <c r="B604" s="6" t="n"/>
      <c r="C604" s="6" t="n"/>
      <c r="D604" s="6" t="n"/>
      <c r="E604" s="25" t="n"/>
      <c r="F604" s="6" t="n"/>
      <c r="G604" s="6" t="n"/>
    </row>
    <row r="605">
      <c r="A605" s="26" t="n"/>
      <c r="B605" s="6" t="n"/>
      <c r="C605" s="6" t="n"/>
      <c r="D605" s="6" t="n"/>
      <c r="E605" s="25" t="n"/>
      <c r="F605" s="6" t="n"/>
      <c r="G605" s="6" t="n"/>
    </row>
    <row r="606">
      <c r="A606" s="26" t="n"/>
      <c r="B606" s="6" t="n"/>
      <c r="C606" s="6" t="n"/>
      <c r="D606" s="6" t="n"/>
      <c r="E606" s="25" t="n"/>
      <c r="F606" s="6" t="n"/>
      <c r="G606" s="6" t="n"/>
    </row>
    <row r="607">
      <c r="A607" s="26" t="n"/>
      <c r="B607" s="6" t="n"/>
      <c r="C607" s="6" t="n"/>
      <c r="D607" s="6" t="n"/>
      <c r="E607" s="25" t="n"/>
      <c r="F607" s="6" t="n"/>
      <c r="G607" s="6" t="n"/>
    </row>
    <row r="608">
      <c r="A608" s="26" t="n"/>
      <c r="B608" s="6" t="n"/>
      <c r="C608" s="6" t="n"/>
      <c r="D608" s="6" t="n"/>
      <c r="E608" s="25" t="n"/>
      <c r="F608" s="6" t="n"/>
      <c r="G608" s="6" t="n"/>
    </row>
    <row r="609">
      <c r="A609" s="26" t="n"/>
      <c r="B609" s="6" t="n"/>
      <c r="C609" s="6" t="n"/>
      <c r="D609" s="6" t="n"/>
      <c r="E609" s="25" t="n"/>
      <c r="F609" s="6" t="n"/>
      <c r="G609" s="6" t="n"/>
    </row>
    <row r="610">
      <c r="A610" s="26" t="n"/>
      <c r="B610" s="6" t="n"/>
      <c r="C610" s="6" t="n"/>
      <c r="D610" s="6" t="n"/>
      <c r="E610" s="25" t="n"/>
      <c r="F610" s="6" t="n"/>
      <c r="G610" s="6" t="n"/>
    </row>
    <row r="611">
      <c r="A611" s="26" t="n"/>
      <c r="B611" s="6" t="n"/>
      <c r="C611" s="6" t="n"/>
      <c r="D611" s="6" t="n"/>
      <c r="E611" s="25" t="n"/>
      <c r="F611" s="6" t="n"/>
      <c r="G611" s="6" t="n"/>
    </row>
    <row r="612">
      <c r="A612" s="26" t="n"/>
      <c r="B612" s="6" t="n"/>
      <c r="C612" s="6" t="n"/>
      <c r="D612" s="6" t="n"/>
      <c r="E612" s="25" t="n"/>
      <c r="F612" s="6" t="n"/>
      <c r="G612" s="6" t="n"/>
    </row>
    <row r="613">
      <c r="A613" s="26" t="n"/>
      <c r="B613" s="6" t="n"/>
      <c r="C613" s="6" t="n"/>
      <c r="D613" s="6" t="n"/>
      <c r="E613" s="25" t="n"/>
      <c r="F613" s="6" t="n"/>
      <c r="G613" s="6" t="n"/>
    </row>
    <row r="614">
      <c r="A614" s="26" t="n"/>
      <c r="B614" s="6" t="n"/>
      <c r="C614" s="6" t="n"/>
      <c r="D614" s="6" t="n"/>
      <c r="E614" s="25" t="n"/>
      <c r="F614" s="6" t="n"/>
      <c r="G614" s="6" t="n"/>
    </row>
    <row r="615">
      <c r="A615" s="26" t="n"/>
      <c r="B615" s="6" t="n"/>
      <c r="C615" s="6" t="n"/>
      <c r="D615" s="6" t="n"/>
      <c r="E615" s="25" t="n"/>
      <c r="F615" s="6" t="n"/>
      <c r="G615" s="6" t="n"/>
    </row>
    <row r="616">
      <c r="A616" s="26" t="n"/>
      <c r="B616" s="6" t="n"/>
      <c r="C616" s="6" t="n"/>
      <c r="D616" s="6" t="n"/>
      <c r="E616" s="25" t="n"/>
      <c r="F616" s="6" t="n"/>
      <c r="G616" s="6" t="n"/>
    </row>
    <row r="617">
      <c r="A617" s="26" t="n"/>
      <c r="B617" s="6" t="n"/>
      <c r="C617" s="6" t="n"/>
      <c r="D617" s="6" t="n"/>
      <c r="E617" s="25" t="n"/>
      <c r="F617" s="6" t="n"/>
      <c r="G617" s="6" t="n"/>
    </row>
    <row r="618">
      <c r="A618" s="26" t="n"/>
      <c r="B618" s="6" t="n"/>
      <c r="C618" s="6" t="n"/>
      <c r="D618" s="6" t="n"/>
      <c r="E618" s="25" t="n"/>
      <c r="F618" s="6" t="n"/>
      <c r="G618" s="6" t="n"/>
    </row>
    <row r="619">
      <c r="A619" s="26" t="n"/>
      <c r="B619" s="6" t="n"/>
      <c r="C619" s="6" t="n"/>
      <c r="D619" s="6" t="n"/>
      <c r="E619" s="25" t="n"/>
      <c r="F619" s="6" t="n"/>
      <c r="G619" s="6" t="n"/>
    </row>
    <row r="620">
      <c r="A620" s="26" t="n"/>
      <c r="B620" s="6" t="n"/>
      <c r="C620" s="6" t="n"/>
      <c r="D620" s="6" t="n"/>
      <c r="E620" s="25" t="n"/>
      <c r="F620" s="6" t="n"/>
      <c r="G620" s="6" t="n"/>
    </row>
    <row r="621">
      <c r="A621" s="26" t="n"/>
      <c r="B621" s="6" t="n"/>
      <c r="C621" s="6" t="n"/>
      <c r="D621" s="6" t="n"/>
      <c r="E621" s="25" t="n"/>
      <c r="F621" s="6" t="n"/>
      <c r="G621" s="6" t="n"/>
    </row>
    <row r="622">
      <c r="A622" s="26" t="n"/>
      <c r="B622" s="6" t="n"/>
      <c r="C622" s="6" t="n"/>
      <c r="D622" s="6" t="n"/>
      <c r="E622" s="25" t="n"/>
      <c r="F622" s="6" t="n"/>
      <c r="G622" s="6" t="n"/>
    </row>
    <row r="623">
      <c r="A623" s="26" t="n"/>
      <c r="B623" s="6" t="n"/>
      <c r="C623" s="6" t="n"/>
      <c r="D623" s="6" t="n"/>
      <c r="E623" s="25" t="n"/>
      <c r="F623" s="6" t="n"/>
      <c r="G623" s="6" t="n"/>
    </row>
    <row r="624">
      <c r="A624" s="26" t="n"/>
      <c r="B624" s="6" t="n"/>
      <c r="C624" s="6" t="n"/>
      <c r="D624" s="6" t="n"/>
      <c r="E624" s="25" t="n"/>
      <c r="F624" s="6" t="n"/>
      <c r="G624" s="6" t="n"/>
    </row>
    <row r="625">
      <c r="A625" s="26" t="n"/>
      <c r="B625" s="6" t="n"/>
      <c r="C625" s="6" t="n"/>
      <c r="D625" s="6" t="n"/>
      <c r="E625" s="25" t="n"/>
      <c r="F625" s="6" t="n"/>
      <c r="G625" s="6" t="n"/>
    </row>
    <row r="626">
      <c r="A626" s="26" t="n"/>
      <c r="B626" s="6" t="n"/>
      <c r="C626" s="6" t="n"/>
      <c r="D626" s="6" t="n"/>
      <c r="E626" s="25" t="n"/>
      <c r="F626" s="6" t="n"/>
      <c r="G626" s="6" t="n"/>
    </row>
    <row r="627">
      <c r="A627" s="26" t="n"/>
      <c r="B627" s="6" t="n"/>
      <c r="C627" s="6" t="n"/>
      <c r="D627" s="6" t="n"/>
      <c r="E627" s="25" t="n"/>
      <c r="F627" s="6" t="n"/>
      <c r="G627" s="6" t="n"/>
    </row>
    <row r="628">
      <c r="A628" s="26" t="n"/>
      <c r="B628" s="6" t="n"/>
      <c r="C628" s="6" t="n"/>
      <c r="D628" s="6" t="n"/>
      <c r="E628" s="25" t="n"/>
      <c r="F628" s="6" t="n"/>
      <c r="G628" s="6" t="n"/>
    </row>
    <row r="629">
      <c r="A629" s="26" t="n"/>
      <c r="B629" s="6" t="n"/>
      <c r="C629" s="6" t="n"/>
      <c r="D629" s="6" t="n"/>
      <c r="E629" s="25" t="n"/>
      <c r="F629" s="6" t="n"/>
      <c r="G629" s="6" t="n"/>
    </row>
    <row r="630">
      <c r="A630" s="26" t="n"/>
      <c r="B630" s="6" t="n"/>
      <c r="C630" s="6" t="n"/>
      <c r="D630" s="6" t="n"/>
      <c r="E630" s="25" t="n"/>
      <c r="F630" s="6" t="n"/>
      <c r="G630" s="6" t="n"/>
    </row>
    <row r="631">
      <c r="A631" s="26" t="n"/>
      <c r="B631" s="6" t="n"/>
      <c r="C631" s="6" t="n"/>
      <c r="D631" s="6" t="n"/>
      <c r="E631" s="25" t="n"/>
      <c r="F631" s="6" t="n"/>
      <c r="G631" s="6" t="n"/>
    </row>
    <row r="632">
      <c r="A632" s="26" t="n"/>
      <c r="B632" s="6" t="n"/>
      <c r="C632" s="6" t="n"/>
      <c r="D632" s="6" t="n"/>
      <c r="E632" s="25" t="n"/>
      <c r="F632" s="6" t="n"/>
      <c r="G632" s="6" t="n"/>
    </row>
    <row r="633">
      <c r="A633" s="26" t="n"/>
      <c r="B633" s="6" t="n"/>
      <c r="C633" s="6" t="n"/>
      <c r="D633" s="6" t="n"/>
      <c r="E633" s="25" t="n"/>
      <c r="F633" s="6" t="n"/>
      <c r="G633" s="6" t="n"/>
    </row>
    <row r="634">
      <c r="A634" s="26" t="n"/>
      <c r="B634" s="6" t="n"/>
      <c r="C634" s="6" t="n"/>
      <c r="D634" s="6" t="n"/>
      <c r="E634" s="25" t="n"/>
      <c r="F634" s="6" t="n"/>
      <c r="G634" s="6" t="n"/>
    </row>
    <row r="635">
      <c r="A635" s="26" t="n"/>
      <c r="B635" s="6" t="n"/>
      <c r="C635" s="6" t="n"/>
      <c r="D635" s="6" t="n"/>
      <c r="E635" s="25" t="n"/>
      <c r="F635" s="6" t="n"/>
      <c r="G635" s="6" t="n"/>
    </row>
    <row r="636">
      <c r="A636" s="26" t="n"/>
      <c r="B636" s="6" t="n"/>
      <c r="C636" s="6" t="n"/>
      <c r="D636" s="6" t="n"/>
      <c r="E636" s="25" t="n"/>
      <c r="F636" s="6" t="n"/>
      <c r="G636" s="6" t="n"/>
    </row>
    <row r="637">
      <c r="A637" s="26" t="n"/>
      <c r="B637" s="6" t="n"/>
      <c r="C637" s="6" t="n"/>
      <c r="D637" s="6" t="n"/>
      <c r="E637" s="25" t="n"/>
      <c r="F637" s="6" t="n"/>
      <c r="G637" s="6" t="n"/>
    </row>
    <row r="638">
      <c r="A638" s="26" t="n"/>
      <c r="B638" s="6" t="n"/>
      <c r="C638" s="6" t="n"/>
      <c r="D638" s="6" t="n"/>
      <c r="E638" s="25" t="n"/>
      <c r="F638" s="6" t="n"/>
      <c r="G638" s="6" t="n"/>
    </row>
    <row r="639">
      <c r="A639" s="26" t="n"/>
      <c r="B639" s="6" t="n"/>
      <c r="C639" s="6" t="n"/>
      <c r="D639" s="6" t="n"/>
      <c r="E639" s="25" t="n"/>
      <c r="F639" s="6" t="n"/>
      <c r="G639" s="6" t="n"/>
    </row>
    <row r="640">
      <c r="A640" s="26" t="n"/>
      <c r="B640" s="6" t="n"/>
      <c r="C640" s="6" t="n"/>
      <c r="D640" s="6" t="n"/>
      <c r="E640" s="25" t="n"/>
      <c r="F640" s="6" t="n"/>
      <c r="G640" s="6" t="n"/>
    </row>
    <row r="641">
      <c r="A641" s="26" t="n"/>
      <c r="B641" s="6" t="n"/>
      <c r="C641" s="6" t="n"/>
      <c r="D641" s="6" t="n"/>
      <c r="E641" s="25" t="n"/>
      <c r="F641" s="6" t="n"/>
      <c r="G641" s="6" t="n"/>
    </row>
    <row r="642">
      <c r="A642" s="26" t="n"/>
      <c r="B642" s="6" t="n"/>
      <c r="C642" s="6" t="n"/>
      <c r="D642" s="6" t="n"/>
      <c r="E642" s="25" t="n"/>
      <c r="F642" s="6" t="n"/>
      <c r="G642" s="6" t="n"/>
    </row>
    <row r="643">
      <c r="A643" s="26" t="n"/>
      <c r="B643" s="6" t="n"/>
      <c r="C643" s="6" t="n"/>
      <c r="D643" s="6" t="n"/>
      <c r="E643" s="25" t="n"/>
      <c r="F643" s="6" t="n"/>
      <c r="G643" s="6" t="n"/>
    </row>
    <row r="644">
      <c r="A644" s="26" t="n"/>
      <c r="B644" s="6" t="n"/>
      <c r="C644" s="6" t="n"/>
      <c r="D644" s="6" t="n"/>
      <c r="E644" s="25" t="n"/>
      <c r="F644" s="6" t="n"/>
      <c r="G644" s="6" t="n"/>
    </row>
    <row r="645">
      <c r="A645" s="26" t="n"/>
      <c r="B645" s="6" t="n"/>
      <c r="C645" s="6" t="n"/>
      <c r="D645" s="6" t="n"/>
      <c r="E645" s="25" t="n"/>
      <c r="F645" s="6" t="n"/>
      <c r="G645" s="6" t="n"/>
    </row>
    <row r="646">
      <c r="A646" s="26" t="n"/>
      <c r="B646" s="6" t="n"/>
      <c r="C646" s="6" t="n"/>
      <c r="D646" s="6" t="n"/>
      <c r="E646" s="25" t="n"/>
      <c r="F646" s="6" t="n"/>
      <c r="G646" s="6" t="n"/>
    </row>
    <row r="647">
      <c r="A647" s="26" t="n"/>
      <c r="B647" s="6" t="n"/>
      <c r="C647" s="6" t="n"/>
      <c r="D647" s="6" t="n"/>
      <c r="E647" s="25" t="n"/>
      <c r="F647" s="6" t="n"/>
      <c r="G647" s="6" t="n"/>
    </row>
    <row r="648">
      <c r="A648" s="26" t="n"/>
      <c r="B648" s="6" t="n"/>
      <c r="C648" s="6" t="n"/>
      <c r="D648" s="6" t="n"/>
      <c r="E648" s="25" t="n"/>
      <c r="F648" s="6" t="n"/>
      <c r="G648" s="6" t="n"/>
    </row>
    <row r="649">
      <c r="A649" s="26" t="n"/>
      <c r="B649" s="6" t="n"/>
      <c r="C649" s="6" t="n"/>
      <c r="D649" s="6" t="n"/>
      <c r="E649" s="25" t="n"/>
      <c r="F649" s="6" t="n"/>
      <c r="G649" s="6" t="n"/>
    </row>
    <row r="650">
      <c r="A650" s="26" t="n"/>
      <c r="B650" s="6" t="n"/>
      <c r="C650" s="6" t="n"/>
      <c r="D650" s="6" t="n"/>
      <c r="E650" s="25" t="n"/>
      <c r="F650" s="6" t="n"/>
      <c r="G650" s="6" t="n"/>
    </row>
    <row r="651">
      <c r="A651" s="26" t="n"/>
      <c r="B651" s="6" t="n"/>
      <c r="C651" s="6" t="n"/>
      <c r="D651" s="6" t="n"/>
      <c r="E651" s="25" t="n"/>
      <c r="F651" s="6" t="n"/>
      <c r="G651" s="6" t="n"/>
    </row>
    <row r="652">
      <c r="A652" s="26" t="n"/>
      <c r="B652" s="6" t="n"/>
      <c r="C652" s="6" t="n"/>
      <c r="D652" s="6" t="n"/>
      <c r="E652" s="25" t="n"/>
      <c r="F652" s="6" t="n"/>
      <c r="G652" s="6" t="n"/>
    </row>
    <row r="653">
      <c r="A653" s="26" t="n"/>
      <c r="B653" s="6" t="n"/>
      <c r="C653" s="6" t="n"/>
      <c r="D653" s="6" t="n"/>
      <c r="E653" s="25" t="n"/>
      <c r="F653" s="6" t="n"/>
      <c r="G653" s="6" t="n"/>
    </row>
    <row r="654">
      <c r="A654" s="26" t="n"/>
      <c r="B654" s="6" t="n"/>
      <c r="C654" s="6" t="n"/>
      <c r="D654" s="6" t="n"/>
      <c r="E654" s="25" t="n"/>
      <c r="F654" s="6" t="n"/>
      <c r="G654" s="6" t="n"/>
    </row>
    <row r="655">
      <c r="A655" s="26" t="n"/>
      <c r="B655" s="6" t="n"/>
      <c r="C655" s="6" t="n"/>
      <c r="D655" s="6" t="n"/>
      <c r="E655" s="25" t="n"/>
      <c r="F655" s="6" t="n"/>
      <c r="G655" s="6" t="n"/>
    </row>
    <row r="656">
      <c r="A656" s="26" t="n"/>
      <c r="B656" s="6" t="n"/>
      <c r="C656" s="6" t="n"/>
      <c r="D656" s="6" t="n"/>
      <c r="E656" s="25" t="n"/>
      <c r="F656" s="6" t="n"/>
      <c r="G656" s="6" t="n"/>
    </row>
    <row r="657">
      <c r="A657" s="26" t="n"/>
      <c r="B657" s="6" t="n"/>
      <c r="C657" s="6" t="n"/>
      <c r="D657" s="6" t="n"/>
      <c r="E657" s="25" t="n"/>
      <c r="F657" s="6" t="n"/>
      <c r="G657" s="6" t="n"/>
    </row>
    <row r="658">
      <c r="A658" s="26" t="n"/>
      <c r="B658" s="6" t="n"/>
      <c r="C658" s="6" t="n"/>
      <c r="D658" s="6" t="n"/>
      <c r="E658" s="25" t="n"/>
      <c r="F658" s="6" t="n"/>
      <c r="G658" s="6" t="n"/>
    </row>
    <row r="659">
      <c r="A659" s="26" t="n"/>
      <c r="B659" s="6" t="n"/>
      <c r="C659" s="6" t="n"/>
      <c r="D659" s="6" t="n"/>
      <c r="E659" s="25" t="n"/>
      <c r="F659" s="6" t="n"/>
      <c r="G659" s="6" t="n"/>
    </row>
    <row r="660">
      <c r="A660" s="26" t="n"/>
      <c r="B660" s="6" t="n"/>
      <c r="C660" s="6" t="n"/>
      <c r="D660" s="6" t="n"/>
      <c r="E660" s="25" t="n"/>
      <c r="F660" s="6" t="n"/>
      <c r="G660" s="6" t="n"/>
    </row>
    <row r="661">
      <c r="A661" s="26" t="n"/>
      <c r="B661" s="6" t="n"/>
      <c r="C661" s="6" t="n"/>
      <c r="D661" s="6" t="n"/>
      <c r="E661" s="25" t="n"/>
      <c r="F661" s="6" t="n"/>
      <c r="G661" s="6" t="n"/>
    </row>
    <row r="662">
      <c r="A662" s="26" t="n"/>
      <c r="B662" s="6" t="n"/>
      <c r="C662" s="6" t="n"/>
      <c r="D662" s="6" t="n"/>
      <c r="E662" s="25" t="n"/>
      <c r="F662" s="6" t="n"/>
      <c r="G662" s="6" t="n"/>
    </row>
    <row r="663">
      <c r="A663" s="26" t="n"/>
      <c r="B663" s="6" t="n"/>
      <c r="C663" s="6" t="n"/>
      <c r="D663" s="6" t="n"/>
      <c r="E663" s="25" t="n"/>
      <c r="F663" s="6" t="n"/>
      <c r="G663" s="6" t="n"/>
    </row>
    <row r="664">
      <c r="A664" s="26" t="n"/>
      <c r="B664" s="6" t="n"/>
      <c r="C664" s="6" t="n"/>
      <c r="D664" s="6" t="n"/>
      <c r="E664" s="25" t="n"/>
      <c r="F664" s="6" t="n"/>
      <c r="G664" s="6" t="n"/>
    </row>
    <row r="665">
      <c r="A665" s="26" t="n"/>
      <c r="B665" s="6" t="n"/>
      <c r="C665" s="6" t="n"/>
      <c r="D665" s="6" t="n"/>
      <c r="E665" s="25" t="n"/>
      <c r="F665" s="6" t="n"/>
      <c r="G665" s="6" t="n"/>
    </row>
    <row r="666">
      <c r="A666" s="26" t="n"/>
      <c r="B666" s="6" t="n"/>
      <c r="C666" s="6" t="n"/>
      <c r="D666" s="6" t="n"/>
      <c r="E666" s="25" t="n"/>
      <c r="F666" s="6" t="n"/>
      <c r="G666" s="6" t="n"/>
    </row>
    <row r="667">
      <c r="A667" s="26" t="n"/>
      <c r="B667" s="6" t="n"/>
      <c r="C667" s="6" t="n"/>
      <c r="D667" s="6" t="n"/>
      <c r="E667" s="25" t="n"/>
      <c r="F667" s="6" t="n"/>
      <c r="G667" s="6" t="n"/>
    </row>
    <row r="668">
      <c r="A668" s="26" t="n"/>
      <c r="B668" s="6" t="n"/>
      <c r="C668" s="6" t="n"/>
      <c r="D668" s="6" t="n"/>
      <c r="E668" s="25" t="n"/>
      <c r="F668" s="6" t="n"/>
      <c r="G668" s="6" t="n"/>
    </row>
    <row r="669">
      <c r="A669" s="26" t="n"/>
      <c r="B669" s="6" t="n"/>
      <c r="C669" s="6" t="n"/>
      <c r="D669" s="6" t="n"/>
      <c r="E669" s="25" t="n"/>
      <c r="F669" s="6" t="n"/>
      <c r="G669" s="6" t="n"/>
    </row>
    <row r="670">
      <c r="A670" s="26" t="n"/>
      <c r="B670" s="6" t="n"/>
      <c r="C670" s="6" t="n"/>
      <c r="D670" s="6" t="n"/>
      <c r="E670" s="25" t="n"/>
      <c r="F670" s="6" t="n"/>
      <c r="G670" s="6" t="n"/>
    </row>
    <row r="671">
      <c r="A671" s="26" t="n"/>
      <c r="B671" s="6" t="n"/>
      <c r="C671" s="6" t="n"/>
      <c r="D671" s="6" t="n"/>
      <c r="E671" s="25" t="n"/>
      <c r="F671" s="6" t="n"/>
      <c r="G671" s="6" t="n"/>
    </row>
    <row r="672">
      <c r="A672" s="26" t="n"/>
      <c r="B672" s="6" t="n"/>
      <c r="C672" s="6" t="n"/>
      <c r="D672" s="6" t="n"/>
      <c r="E672" s="25" t="n"/>
      <c r="F672" s="6" t="n"/>
      <c r="G672" s="6" t="n"/>
    </row>
    <row r="673">
      <c r="A673" s="26" t="n"/>
      <c r="B673" s="6" t="n"/>
      <c r="C673" s="6" t="n"/>
      <c r="D673" s="6" t="n"/>
      <c r="E673" s="25" t="n"/>
      <c r="F673" s="6" t="n"/>
      <c r="G673" s="6" t="n"/>
    </row>
    <row r="674">
      <c r="A674" s="26" t="n"/>
      <c r="B674" s="6" t="n"/>
      <c r="C674" s="6" t="n"/>
      <c r="D674" s="6" t="n"/>
      <c r="E674" s="25" t="n"/>
      <c r="F674" s="6" t="n"/>
      <c r="G674" s="6" t="n"/>
    </row>
    <row r="675">
      <c r="A675" s="26" t="n"/>
      <c r="B675" s="6" t="n"/>
      <c r="C675" s="6" t="n"/>
      <c r="D675" s="6" t="n"/>
      <c r="E675" s="25" t="n"/>
      <c r="F675" s="6" t="n"/>
      <c r="G675" s="6" t="n"/>
    </row>
    <row r="676">
      <c r="A676" s="26" t="n"/>
      <c r="B676" s="6" t="n"/>
      <c r="C676" s="6" t="n"/>
      <c r="D676" s="6" t="n"/>
      <c r="E676" s="25" t="n"/>
      <c r="F676" s="6" t="n"/>
      <c r="G676" s="6" t="n"/>
    </row>
    <row r="677">
      <c r="A677" s="26" t="n"/>
      <c r="B677" s="6" t="n"/>
      <c r="C677" s="6" t="n"/>
      <c r="D677" s="6" t="n"/>
      <c r="E677" s="25" t="n"/>
      <c r="F677" s="6" t="n"/>
      <c r="G677" s="6" t="n"/>
    </row>
    <row r="678">
      <c r="A678" s="26" t="n"/>
      <c r="B678" s="6" t="n"/>
      <c r="C678" s="6" t="n"/>
      <c r="D678" s="6" t="n"/>
      <c r="E678" s="25" t="n"/>
      <c r="F678" s="6" t="n"/>
      <c r="G678" s="6" t="n"/>
    </row>
    <row r="679">
      <c r="A679" s="26" t="n"/>
      <c r="B679" s="6" t="n"/>
      <c r="C679" s="6" t="n"/>
      <c r="D679" s="6" t="n"/>
      <c r="E679" s="25" t="n"/>
      <c r="F679" s="6" t="n"/>
      <c r="G679" s="6" t="n"/>
    </row>
    <row r="680">
      <c r="A680" s="26" t="n"/>
      <c r="B680" s="6" t="n"/>
      <c r="C680" s="6" t="n"/>
      <c r="D680" s="6" t="n"/>
      <c r="E680" s="25" t="n"/>
      <c r="F680" s="6" t="n"/>
      <c r="G680" s="6" t="n"/>
    </row>
    <row r="681">
      <c r="A681" s="26" t="n"/>
      <c r="B681" s="6" t="n"/>
      <c r="C681" s="6" t="n"/>
      <c r="D681" s="6" t="n"/>
      <c r="E681" s="25" t="n"/>
      <c r="F681" s="6" t="n"/>
      <c r="G681" s="6" t="n"/>
    </row>
    <row r="682">
      <c r="A682" s="26" t="n"/>
      <c r="B682" s="6" t="n"/>
      <c r="C682" s="6" t="n"/>
      <c r="D682" s="6" t="n"/>
      <c r="E682" s="25" t="n"/>
      <c r="F682" s="6" t="n"/>
      <c r="G682" s="6" t="n"/>
    </row>
    <row r="683">
      <c r="A683" s="26" t="n"/>
      <c r="B683" s="6" t="n"/>
      <c r="C683" s="6" t="n"/>
      <c r="D683" s="6" t="n"/>
      <c r="E683" s="25" t="n"/>
      <c r="F683" s="6" t="n"/>
      <c r="G683" s="6" t="n"/>
    </row>
    <row r="684">
      <c r="A684" s="26" t="n"/>
      <c r="B684" s="6" t="n"/>
      <c r="C684" s="6" t="n"/>
      <c r="D684" s="6" t="n"/>
      <c r="E684" s="25" t="n"/>
      <c r="F684" s="6" t="n"/>
      <c r="G684" s="6" t="n"/>
    </row>
    <row r="685">
      <c r="A685" s="26" t="n"/>
      <c r="B685" s="6" t="n"/>
      <c r="C685" s="6" t="n"/>
      <c r="D685" s="6" t="n"/>
      <c r="E685" s="25" t="n"/>
      <c r="F685" s="6" t="n"/>
      <c r="G685" s="6" t="n"/>
    </row>
    <row r="686">
      <c r="A686" s="26" t="n"/>
      <c r="B686" s="6" t="n"/>
      <c r="C686" s="6" t="n"/>
      <c r="D686" s="6" t="n"/>
      <c r="E686" s="25" t="n"/>
      <c r="F686" s="6" t="n"/>
      <c r="G686" s="6" t="n"/>
    </row>
    <row r="687">
      <c r="A687" s="26" t="n"/>
      <c r="B687" s="6" t="n"/>
      <c r="C687" s="6" t="n"/>
      <c r="D687" s="6" t="n"/>
      <c r="E687" s="25" t="n"/>
      <c r="F687" s="6" t="n"/>
      <c r="G687" s="6" t="n"/>
    </row>
    <row r="688">
      <c r="A688" s="26" t="n"/>
      <c r="B688" s="6" t="n"/>
      <c r="C688" s="6" t="n"/>
      <c r="D688" s="6" t="n"/>
      <c r="E688" s="25" t="n"/>
      <c r="F688" s="6" t="n"/>
      <c r="G688" s="6" t="n"/>
    </row>
    <row r="689">
      <c r="A689" s="26" t="n"/>
      <c r="B689" s="6" t="n"/>
      <c r="C689" s="6" t="n"/>
      <c r="D689" s="6" t="n"/>
      <c r="E689" s="25" t="n"/>
      <c r="F689" s="6" t="n"/>
      <c r="G689" s="6" t="n"/>
    </row>
    <row r="690">
      <c r="A690" s="26" t="n"/>
      <c r="B690" s="6" t="n"/>
      <c r="C690" s="6" t="n"/>
      <c r="D690" s="6" t="n"/>
      <c r="E690" s="25" t="n"/>
      <c r="F690" s="6" t="n"/>
      <c r="G690" s="6" t="n"/>
    </row>
    <row r="691">
      <c r="A691" s="26" t="n"/>
      <c r="B691" s="6" t="n"/>
      <c r="C691" s="6" t="n"/>
      <c r="D691" s="6" t="n"/>
      <c r="E691" s="25" t="n"/>
      <c r="F691" s="6" t="n"/>
      <c r="G691" s="6" t="n"/>
    </row>
    <row r="692">
      <c r="A692" s="26" t="n"/>
      <c r="B692" s="6" t="n"/>
      <c r="C692" s="6" t="n"/>
      <c r="D692" s="6" t="n"/>
      <c r="E692" s="25" t="n"/>
      <c r="F692" s="6" t="n"/>
      <c r="G692" s="6" t="n"/>
    </row>
    <row r="693">
      <c r="A693" s="26" t="n"/>
      <c r="B693" s="6" t="n"/>
      <c r="C693" s="6" t="n"/>
      <c r="D693" s="6" t="n"/>
      <c r="E693" s="25" t="n"/>
      <c r="F693" s="6" t="n"/>
      <c r="G693" s="6" t="n"/>
    </row>
    <row r="694">
      <c r="A694" s="26" t="n"/>
      <c r="B694" s="6" t="n"/>
      <c r="C694" s="6" t="n"/>
      <c r="D694" s="6" t="n"/>
      <c r="E694" s="25" t="n"/>
      <c r="F694" s="6" t="n"/>
      <c r="G694" s="6" t="n"/>
    </row>
    <row r="695">
      <c r="A695" s="26" t="n"/>
      <c r="B695" s="6" t="n"/>
      <c r="C695" s="6" t="n"/>
      <c r="D695" s="6" t="n"/>
      <c r="E695" s="25" t="n"/>
      <c r="F695" s="6" t="n"/>
      <c r="G695" s="6" t="n"/>
    </row>
    <row r="696">
      <c r="A696" s="26" t="n"/>
      <c r="B696" s="6" t="n"/>
      <c r="C696" s="6" t="n"/>
      <c r="D696" s="6" t="n"/>
      <c r="E696" s="25" t="n"/>
      <c r="F696" s="6" t="n"/>
      <c r="G696" s="6" t="n"/>
    </row>
    <row r="697">
      <c r="A697" s="26" t="n"/>
      <c r="B697" s="6" t="n"/>
      <c r="C697" s="6" t="n"/>
      <c r="D697" s="6" t="n"/>
      <c r="E697" s="25" t="n"/>
      <c r="F697" s="6" t="n"/>
      <c r="G697" s="6" t="n"/>
    </row>
    <row r="698">
      <c r="A698" s="26" t="n"/>
      <c r="B698" s="6" t="n"/>
      <c r="C698" s="6" t="n"/>
      <c r="D698" s="6" t="n"/>
      <c r="E698" s="25" t="n"/>
      <c r="F698" s="6" t="n"/>
      <c r="G698" s="6" t="n"/>
    </row>
    <row r="699">
      <c r="A699" s="26" t="n"/>
      <c r="B699" s="6" t="n"/>
      <c r="C699" s="6" t="n"/>
      <c r="D699" s="6" t="n"/>
      <c r="E699" s="25" t="n"/>
      <c r="F699" s="6" t="n"/>
      <c r="G699" s="6" t="n"/>
    </row>
    <row r="700">
      <c r="A700" s="26" t="n"/>
      <c r="B700" s="6" t="n"/>
      <c r="C700" s="6" t="n"/>
      <c r="D700" s="6" t="n"/>
      <c r="E700" s="25" t="n"/>
      <c r="F700" s="6" t="n"/>
      <c r="G700" s="6" t="n"/>
    </row>
    <row r="701">
      <c r="A701" s="26" t="n"/>
      <c r="B701" s="6" t="n"/>
      <c r="C701" s="6" t="n"/>
      <c r="D701" s="6" t="n"/>
      <c r="E701" s="25" t="n"/>
      <c r="F701" s="6" t="n"/>
      <c r="G701" s="6" t="n"/>
    </row>
    <row r="702">
      <c r="A702" s="26" t="n"/>
      <c r="B702" s="6" t="n"/>
      <c r="C702" s="6" t="n"/>
      <c r="D702" s="6" t="n"/>
      <c r="E702" s="25" t="n"/>
      <c r="F702" s="6" t="n"/>
      <c r="G702" s="6" t="n"/>
    </row>
    <row r="703">
      <c r="A703" s="26" t="n"/>
      <c r="B703" s="6" t="n"/>
      <c r="C703" s="6" t="n"/>
      <c r="D703" s="6" t="n"/>
      <c r="E703" s="25" t="n"/>
      <c r="F703" s="6" t="n"/>
      <c r="G703" s="6" t="n"/>
    </row>
    <row r="704">
      <c r="A704" s="26" t="n"/>
      <c r="B704" s="6" t="n"/>
      <c r="C704" s="6" t="n"/>
      <c r="D704" s="6" t="n"/>
      <c r="E704" s="25" t="n"/>
      <c r="F704" s="6" t="n"/>
      <c r="G704" s="6" t="n"/>
    </row>
    <row r="705">
      <c r="A705" s="26" t="n"/>
      <c r="B705" s="6" t="n"/>
      <c r="C705" s="6" t="n"/>
      <c r="D705" s="6" t="n"/>
      <c r="E705" s="25" t="n"/>
      <c r="F705" s="6" t="n"/>
      <c r="G705" s="6" t="n"/>
    </row>
    <row r="706">
      <c r="A706" s="26" t="n"/>
      <c r="B706" s="6" t="n"/>
      <c r="C706" s="6" t="n"/>
      <c r="D706" s="6" t="n"/>
      <c r="E706" s="25" t="n"/>
      <c r="F706" s="6" t="n"/>
      <c r="G706" s="6" t="n"/>
    </row>
    <row r="707">
      <c r="A707" s="26" t="n"/>
      <c r="B707" s="6" t="n"/>
      <c r="C707" s="6" t="n"/>
      <c r="D707" s="6" t="n"/>
      <c r="E707" s="25" t="n"/>
      <c r="F707" s="6" t="n"/>
      <c r="G707" s="6" t="n"/>
    </row>
    <row r="708">
      <c r="A708" s="26" t="n"/>
      <c r="B708" s="6" t="n"/>
      <c r="C708" s="6" t="n"/>
      <c r="D708" s="6" t="n"/>
      <c r="E708" s="25" t="n"/>
      <c r="F708" s="6" t="n"/>
      <c r="G708" s="6" t="n"/>
    </row>
    <row r="709">
      <c r="A709" s="26" t="n"/>
      <c r="B709" s="6" t="n"/>
      <c r="C709" s="6" t="n"/>
      <c r="D709" s="6" t="n"/>
      <c r="E709" s="25" t="n"/>
      <c r="F709" s="6" t="n"/>
      <c r="G709" s="6" t="n"/>
    </row>
    <row r="710">
      <c r="A710" s="26" t="n"/>
      <c r="B710" s="6" t="n"/>
      <c r="C710" s="6" t="n"/>
      <c r="D710" s="6" t="n"/>
      <c r="E710" s="25" t="n"/>
      <c r="F710" s="6" t="n"/>
      <c r="G710" s="6" t="n"/>
    </row>
    <row r="711">
      <c r="A711" s="26" t="n"/>
      <c r="B711" s="6" t="n"/>
      <c r="C711" s="6" t="n"/>
      <c r="D711" s="6" t="n"/>
      <c r="E711" s="25" t="n"/>
      <c r="F711" s="6" t="n"/>
      <c r="G711" s="6" t="n"/>
    </row>
    <row r="712">
      <c r="A712" s="26" t="n"/>
      <c r="B712" s="6" t="n"/>
      <c r="C712" s="6" t="n"/>
      <c r="D712" s="6" t="n"/>
      <c r="E712" s="25" t="n"/>
      <c r="F712" s="6" t="n"/>
      <c r="G712" s="6" t="n"/>
    </row>
    <row r="713">
      <c r="A713" s="26" t="n"/>
      <c r="B713" s="6" t="n"/>
      <c r="C713" s="6" t="n"/>
      <c r="D713" s="6" t="n"/>
      <c r="E713" s="25" t="n"/>
      <c r="F713" s="6" t="n"/>
      <c r="G713" s="6" t="n"/>
    </row>
    <row r="714">
      <c r="A714" s="26" t="n"/>
      <c r="B714" s="6" t="n"/>
      <c r="C714" s="6" t="n"/>
      <c r="D714" s="6" t="n"/>
      <c r="E714" s="25" t="n"/>
      <c r="F714" s="6" t="n"/>
      <c r="G714" s="6" t="n"/>
    </row>
    <row r="715">
      <c r="A715" s="26" t="n"/>
      <c r="B715" s="6" t="n"/>
      <c r="C715" s="6" t="n"/>
      <c r="D715" s="6" t="n"/>
      <c r="E715" s="25" t="n"/>
      <c r="F715" s="6" t="n"/>
      <c r="G715" s="6" t="n"/>
    </row>
    <row r="716">
      <c r="A716" s="26" t="n"/>
      <c r="B716" s="6" t="n"/>
      <c r="C716" s="6" t="n"/>
      <c r="D716" s="6" t="n"/>
      <c r="E716" s="25" t="n"/>
      <c r="F716" s="6" t="n"/>
      <c r="G716" s="6" t="n"/>
    </row>
    <row r="717">
      <c r="A717" s="26" t="n"/>
      <c r="B717" s="6" t="n"/>
      <c r="C717" s="6" t="n"/>
      <c r="D717" s="6" t="n"/>
      <c r="E717" s="25" t="n"/>
      <c r="F717" s="6" t="n"/>
      <c r="G717" s="6" t="n"/>
    </row>
    <row r="718">
      <c r="A718" s="26" t="n"/>
      <c r="B718" s="6" t="n"/>
      <c r="C718" s="6" t="n"/>
      <c r="D718" s="6" t="n"/>
      <c r="E718" s="25" t="n"/>
      <c r="F718" s="6" t="n"/>
      <c r="G718" s="6" t="n"/>
    </row>
    <row r="719">
      <c r="A719" s="26" t="n"/>
      <c r="B719" s="6" t="n"/>
      <c r="C719" s="6" t="n"/>
      <c r="D719" s="6" t="n"/>
      <c r="E719" s="25" t="n"/>
      <c r="F719" s="6" t="n"/>
      <c r="G719" s="6" t="n"/>
    </row>
    <row r="720">
      <c r="A720" s="26" t="n"/>
      <c r="B720" s="6" t="n"/>
      <c r="C720" s="6" t="n"/>
      <c r="D720" s="6" t="n"/>
      <c r="E720" s="25" t="n"/>
      <c r="F720" s="6" t="n"/>
      <c r="G720" s="6" t="n"/>
    </row>
    <row r="721">
      <c r="A721" s="26" t="n"/>
      <c r="B721" s="6" t="n"/>
      <c r="C721" s="6" t="n"/>
      <c r="D721" s="6" t="n"/>
      <c r="E721" s="25" t="n"/>
      <c r="F721" s="6" t="n"/>
      <c r="G721" s="6" t="n"/>
    </row>
    <row r="722">
      <c r="A722" s="26" t="n"/>
      <c r="B722" s="6" t="n"/>
      <c r="C722" s="6" t="n"/>
      <c r="D722" s="6" t="n"/>
      <c r="E722" s="25" t="n"/>
      <c r="F722" s="6" t="n"/>
      <c r="G722" s="6" t="n"/>
    </row>
    <row r="723">
      <c r="A723" s="26" t="n"/>
      <c r="B723" s="6" t="n"/>
      <c r="C723" s="6" t="n"/>
      <c r="D723" s="6" t="n"/>
      <c r="E723" s="25" t="n"/>
      <c r="F723" s="6" t="n"/>
      <c r="G723" s="6" t="n"/>
    </row>
    <row r="724">
      <c r="A724" s="26" t="n"/>
      <c r="B724" s="6" t="n"/>
      <c r="C724" s="6" t="n"/>
      <c r="D724" s="6" t="n"/>
      <c r="E724" s="25" t="n"/>
      <c r="F724" s="6" t="n"/>
      <c r="G724" s="6" t="n"/>
    </row>
    <row r="725">
      <c r="A725" s="26" t="n"/>
      <c r="B725" s="6" t="n"/>
      <c r="C725" s="6" t="n"/>
      <c r="D725" s="6" t="n"/>
      <c r="E725" s="25" t="n"/>
      <c r="F725" s="6" t="n"/>
      <c r="G725" s="6" t="n"/>
    </row>
    <row r="726">
      <c r="A726" s="26" t="n"/>
      <c r="B726" s="6" t="n"/>
      <c r="C726" s="6" t="n"/>
      <c r="D726" s="6" t="n"/>
      <c r="E726" s="25" t="n"/>
      <c r="F726" s="6" t="n"/>
      <c r="G726" s="6" t="n"/>
    </row>
    <row r="727">
      <c r="A727" s="26" t="n"/>
      <c r="B727" s="6" t="n"/>
      <c r="C727" s="6" t="n"/>
      <c r="D727" s="6" t="n"/>
      <c r="E727" s="25" t="n"/>
      <c r="F727" s="6" t="n"/>
      <c r="G727" s="6" t="n"/>
    </row>
    <row r="728">
      <c r="A728" s="26" t="n"/>
      <c r="B728" s="6" t="n"/>
      <c r="C728" s="6" t="n"/>
      <c r="D728" s="6" t="n"/>
      <c r="E728" s="25" t="n"/>
      <c r="F728" s="6" t="n"/>
      <c r="G728" s="6" t="n"/>
    </row>
    <row r="729">
      <c r="A729" s="26" t="n"/>
      <c r="B729" s="6" t="n"/>
      <c r="C729" s="6" t="n"/>
      <c r="D729" s="6" t="n"/>
      <c r="E729" s="25" t="n"/>
      <c r="F729" s="6" t="n"/>
      <c r="G729" s="6" t="n"/>
    </row>
    <row r="730">
      <c r="A730" s="26" t="n"/>
      <c r="B730" s="6" t="n"/>
      <c r="C730" s="6" t="n"/>
      <c r="D730" s="6" t="n"/>
      <c r="E730" s="25" t="n"/>
      <c r="F730" s="6" t="n"/>
      <c r="G730" s="6" t="n"/>
    </row>
    <row r="731">
      <c r="A731" s="26" t="n"/>
      <c r="B731" s="6" t="n"/>
      <c r="C731" s="6" t="n"/>
      <c r="D731" s="6" t="n"/>
      <c r="E731" s="25" t="n"/>
      <c r="F731" s="6" t="n"/>
      <c r="G731" s="6" t="n"/>
    </row>
    <row r="732">
      <c r="A732" s="26" t="n"/>
      <c r="B732" s="6" t="n"/>
      <c r="C732" s="6" t="n"/>
      <c r="D732" s="6" t="n"/>
      <c r="E732" s="25" t="n"/>
      <c r="F732" s="6" t="n"/>
      <c r="G732" s="6" t="n"/>
    </row>
    <row r="733">
      <c r="A733" s="26" t="n"/>
      <c r="B733" s="6" t="n"/>
      <c r="C733" s="6" t="n"/>
      <c r="D733" s="6" t="n"/>
      <c r="E733" s="25" t="n"/>
      <c r="F733" s="6" t="n"/>
      <c r="G733" s="6" t="n"/>
    </row>
    <row r="734">
      <c r="A734" s="26" t="n"/>
      <c r="B734" s="6" t="n"/>
      <c r="C734" s="6" t="n"/>
      <c r="D734" s="6" t="n"/>
      <c r="E734" s="25" t="n"/>
      <c r="F734" s="6" t="n"/>
      <c r="G734" s="6" t="n"/>
    </row>
    <row r="735">
      <c r="A735" s="26" t="n"/>
      <c r="B735" s="6" t="n"/>
      <c r="C735" s="6" t="n"/>
      <c r="D735" s="6" t="n"/>
      <c r="E735" s="25" t="n"/>
      <c r="F735" s="6" t="n"/>
      <c r="G735" s="6" t="n"/>
    </row>
    <row r="736">
      <c r="A736" s="26" t="n"/>
      <c r="B736" s="6" t="n"/>
      <c r="C736" s="6" t="n"/>
      <c r="D736" s="6" t="n"/>
      <c r="E736" s="25" t="n"/>
      <c r="F736" s="6" t="n"/>
      <c r="G736" s="6" t="n"/>
    </row>
    <row r="737">
      <c r="A737" s="26" t="n"/>
      <c r="B737" s="6" t="n"/>
      <c r="C737" s="6" t="n"/>
      <c r="D737" s="6" t="n"/>
      <c r="E737" s="25" t="n"/>
      <c r="F737" s="6" t="n"/>
      <c r="G737" s="6" t="n"/>
    </row>
    <row r="738">
      <c r="A738" s="26" t="n"/>
      <c r="B738" s="6" t="n"/>
      <c r="C738" s="6" t="n"/>
      <c r="D738" s="6" t="n"/>
      <c r="E738" s="25" t="n"/>
      <c r="F738" s="6" t="n"/>
      <c r="G738" s="6" t="n"/>
    </row>
    <row r="739">
      <c r="A739" s="26" t="n"/>
      <c r="B739" s="6" t="n"/>
      <c r="C739" s="6" t="n"/>
      <c r="D739" s="6" t="n"/>
      <c r="E739" s="25" t="n"/>
      <c r="F739" s="6" t="n"/>
      <c r="G739" s="6" t="n"/>
    </row>
    <row r="740">
      <c r="A740" s="26" t="n"/>
      <c r="B740" s="6" t="n"/>
      <c r="C740" s="6" t="n"/>
      <c r="D740" s="6" t="n"/>
      <c r="E740" s="25" t="n"/>
      <c r="F740" s="6" t="n"/>
      <c r="G740" s="6" t="n"/>
    </row>
    <row r="741">
      <c r="A741" s="26" t="n"/>
      <c r="B741" s="6" t="n"/>
      <c r="C741" s="6" t="n"/>
      <c r="D741" s="6" t="n"/>
      <c r="E741" s="25" t="n"/>
      <c r="F741" s="6" t="n"/>
      <c r="G741" s="6" t="n"/>
    </row>
    <row r="742">
      <c r="A742" s="26" t="n"/>
      <c r="B742" s="6" t="n"/>
      <c r="C742" s="6" t="n"/>
      <c r="D742" s="6" t="n"/>
      <c r="E742" s="25" t="n"/>
      <c r="F742" s="6" t="n"/>
      <c r="G742" s="6" t="n"/>
    </row>
    <row r="743">
      <c r="A743" s="26" t="n"/>
      <c r="B743" s="6" t="n"/>
      <c r="C743" s="6" t="n"/>
      <c r="D743" s="6" t="n"/>
      <c r="E743" s="25" t="n"/>
      <c r="F743" s="6" t="n"/>
      <c r="G743" s="6" t="n"/>
    </row>
    <row r="744">
      <c r="A744" s="26" t="n"/>
      <c r="B744" s="6" t="n"/>
      <c r="C744" s="6" t="n"/>
      <c r="D744" s="6" t="n"/>
      <c r="E744" s="25" t="n"/>
      <c r="F744" s="6" t="n"/>
      <c r="G744" s="6" t="n"/>
    </row>
    <row r="745">
      <c r="A745" s="26" t="n"/>
      <c r="B745" s="6" t="n"/>
      <c r="C745" s="6" t="n"/>
      <c r="D745" s="6" t="n"/>
      <c r="E745" s="25" t="n"/>
      <c r="F745" s="6" t="n"/>
      <c r="G745" s="6" t="n"/>
    </row>
    <row r="746">
      <c r="A746" s="26" t="n"/>
      <c r="B746" s="6" t="n"/>
      <c r="C746" s="6" t="n"/>
      <c r="D746" s="6" t="n"/>
      <c r="E746" s="25" t="n"/>
      <c r="F746" s="6" t="n"/>
      <c r="G746" s="6" t="n"/>
    </row>
    <row r="747">
      <c r="A747" s="26" t="n"/>
      <c r="B747" s="6" t="n"/>
      <c r="C747" s="6" t="n"/>
      <c r="D747" s="6" t="n"/>
      <c r="E747" s="25" t="n"/>
      <c r="F747" s="6" t="n"/>
      <c r="G747" s="6" t="n"/>
    </row>
    <row r="748">
      <c r="A748" s="26" t="n"/>
      <c r="B748" s="6" t="n"/>
      <c r="C748" s="6" t="n"/>
      <c r="D748" s="6" t="n"/>
      <c r="E748" s="25" t="n"/>
      <c r="F748" s="6" t="n"/>
      <c r="G748" s="6" t="n"/>
    </row>
    <row r="749">
      <c r="A749" s="26" t="n"/>
      <c r="B749" s="6" t="n"/>
      <c r="C749" s="6" t="n"/>
      <c r="D749" s="6" t="n"/>
      <c r="E749" s="25" t="n"/>
      <c r="F749" s="6" t="n"/>
      <c r="G749" s="6" t="n"/>
    </row>
    <row r="750">
      <c r="A750" s="26" t="n"/>
      <c r="B750" s="6" t="n"/>
      <c r="C750" s="6" t="n"/>
      <c r="D750" s="6" t="n"/>
      <c r="E750" s="25" t="n"/>
      <c r="F750" s="6" t="n"/>
      <c r="G750" s="6" t="n"/>
    </row>
    <row r="751">
      <c r="A751" s="26" t="n"/>
      <c r="B751" s="6" t="n"/>
      <c r="C751" s="6" t="n"/>
      <c r="D751" s="6" t="n"/>
      <c r="E751" s="25" t="n"/>
      <c r="F751" s="6" t="n"/>
      <c r="G751" s="6" t="n"/>
    </row>
    <row r="752">
      <c r="A752" s="26" t="n"/>
      <c r="B752" s="6" t="n"/>
      <c r="C752" s="6" t="n"/>
      <c r="D752" s="6" t="n"/>
      <c r="E752" s="25" t="n"/>
      <c r="F752" s="6" t="n"/>
      <c r="G752" s="6" t="n"/>
    </row>
    <row r="753">
      <c r="A753" s="26" t="n"/>
      <c r="B753" s="6" t="n"/>
      <c r="C753" s="6" t="n"/>
      <c r="D753" s="6" t="n"/>
      <c r="E753" s="25" t="n"/>
      <c r="F753" s="6" t="n"/>
      <c r="G753" s="6" t="n"/>
    </row>
    <row r="754">
      <c r="A754" s="26" t="n"/>
      <c r="B754" s="6" t="n"/>
      <c r="C754" s="6" t="n"/>
      <c r="D754" s="6" t="n"/>
      <c r="E754" s="25" t="n"/>
      <c r="F754" s="6" t="n"/>
      <c r="G754" s="6" t="n"/>
    </row>
    <row r="755">
      <c r="A755" s="26" t="n"/>
      <c r="B755" s="6" t="n"/>
      <c r="C755" s="6" t="n"/>
      <c r="D755" s="6" t="n"/>
      <c r="E755" s="25" t="n"/>
      <c r="F755" s="6" t="n"/>
      <c r="G755" s="6" t="n"/>
    </row>
    <row r="756">
      <c r="A756" s="26" t="n"/>
      <c r="B756" s="6" t="n"/>
      <c r="C756" s="6" t="n"/>
      <c r="D756" s="6" t="n"/>
      <c r="E756" s="25" t="n"/>
      <c r="F756" s="6" t="n"/>
      <c r="G756" s="6" t="n"/>
    </row>
    <row r="757">
      <c r="A757" s="26" t="n"/>
      <c r="B757" s="6" t="n"/>
      <c r="C757" s="6" t="n"/>
      <c r="D757" s="6" t="n"/>
      <c r="E757" s="25" t="n"/>
      <c r="F757" s="6" t="n"/>
      <c r="G757" s="6" t="n"/>
    </row>
    <row r="758">
      <c r="A758" s="26" t="n"/>
      <c r="B758" s="6" t="n"/>
      <c r="C758" s="6" t="n"/>
      <c r="D758" s="6" t="n"/>
      <c r="E758" s="25" t="n"/>
      <c r="F758" s="6" t="n"/>
      <c r="G758" s="6" t="n"/>
    </row>
    <row r="759">
      <c r="A759" s="26" t="n"/>
      <c r="B759" s="6" t="n"/>
      <c r="C759" s="6" t="n"/>
      <c r="D759" s="6" t="n"/>
      <c r="E759" s="25" t="n"/>
      <c r="F759" s="6" t="n"/>
      <c r="G759" s="6" t="n"/>
    </row>
    <row r="760">
      <c r="A760" s="26" t="n"/>
      <c r="B760" s="6" t="n"/>
      <c r="C760" s="6" t="n"/>
      <c r="D760" s="6" t="n"/>
      <c r="E760" s="25" t="n"/>
      <c r="F760" s="6" t="n"/>
      <c r="G760" s="6" t="n"/>
    </row>
    <row r="761">
      <c r="A761" s="26" t="n"/>
      <c r="B761" s="6" t="n"/>
      <c r="C761" s="6" t="n"/>
      <c r="D761" s="6" t="n"/>
      <c r="E761" s="25" t="n"/>
      <c r="F761" s="6" t="n"/>
      <c r="G761" s="6" t="n"/>
    </row>
    <row r="762">
      <c r="A762" s="26" t="n"/>
      <c r="B762" s="6" t="n"/>
      <c r="C762" s="6" t="n"/>
      <c r="D762" s="6" t="n"/>
      <c r="E762" s="25" t="n"/>
      <c r="F762" s="6" t="n"/>
      <c r="G762" s="6" t="n"/>
    </row>
    <row r="763">
      <c r="A763" s="26" t="n"/>
      <c r="B763" s="6" t="n"/>
      <c r="C763" s="6" t="n"/>
      <c r="D763" s="6" t="n"/>
      <c r="E763" s="25" t="n"/>
      <c r="F763" s="6" t="n"/>
      <c r="G763" s="6" t="n"/>
    </row>
    <row r="764">
      <c r="A764" s="26" t="n"/>
      <c r="B764" s="6" t="n"/>
      <c r="C764" s="6" t="n"/>
      <c r="D764" s="6" t="n"/>
      <c r="E764" s="25" t="n"/>
      <c r="F764" s="6" t="n"/>
      <c r="G764" s="6" t="n"/>
    </row>
    <row r="765">
      <c r="A765" s="26" t="n"/>
      <c r="B765" s="6" t="n"/>
      <c r="C765" s="6" t="n"/>
      <c r="D765" s="6" t="n"/>
      <c r="E765" s="25" t="n"/>
      <c r="F765" s="6" t="n"/>
      <c r="G765" s="6" t="n"/>
    </row>
    <row r="766">
      <c r="A766" s="26" t="n"/>
      <c r="B766" s="6" t="n"/>
      <c r="C766" s="6" t="n"/>
      <c r="D766" s="6" t="n"/>
      <c r="E766" s="25" t="n"/>
      <c r="F766" s="6" t="n"/>
      <c r="G766" s="6" t="n"/>
    </row>
    <row r="767">
      <c r="A767" s="26" t="n"/>
      <c r="B767" s="6" t="n"/>
      <c r="C767" s="6" t="n"/>
      <c r="D767" s="6" t="n"/>
      <c r="E767" s="25" t="n"/>
      <c r="F767" s="6" t="n"/>
      <c r="G767" s="6" t="n"/>
    </row>
    <row r="768">
      <c r="A768" s="26" t="n"/>
      <c r="B768" s="6" t="n"/>
      <c r="C768" s="6" t="n"/>
      <c r="D768" s="6" t="n"/>
      <c r="E768" s="25" t="n"/>
      <c r="F768" s="6" t="n"/>
      <c r="G768" s="6" t="n"/>
    </row>
    <row r="769">
      <c r="A769" s="26" t="n"/>
      <c r="B769" s="6" t="n"/>
      <c r="C769" s="6" t="n"/>
      <c r="D769" s="6" t="n"/>
      <c r="E769" s="25" t="n"/>
      <c r="F769" s="6" t="n"/>
      <c r="G769" s="6" t="n"/>
    </row>
    <row r="770">
      <c r="A770" s="26" t="n"/>
      <c r="B770" s="6" t="n"/>
      <c r="C770" s="6" t="n"/>
      <c r="D770" s="6" t="n"/>
      <c r="E770" s="25" t="n"/>
      <c r="F770" s="6" t="n"/>
      <c r="G770" s="6" t="n"/>
    </row>
    <row r="771">
      <c r="A771" s="26" t="n"/>
      <c r="B771" s="6" t="n"/>
      <c r="C771" s="6" t="n"/>
      <c r="D771" s="6" t="n"/>
      <c r="E771" s="25" t="n"/>
      <c r="F771" s="6" t="n"/>
      <c r="G771" s="6" t="n"/>
    </row>
    <row r="772">
      <c r="A772" s="26" t="n"/>
      <c r="B772" s="6" t="n"/>
      <c r="C772" s="6" t="n"/>
      <c r="D772" s="6" t="n"/>
      <c r="E772" s="25" t="n"/>
      <c r="F772" s="6" t="n"/>
      <c r="G772" s="6" t="n"/>
    </row>
    <row r="773">
      <c r="A773" s="26" t="n"/>
      <c r="B773" s="6" t="n"/>
      <c r="C773" s="6" t="n"/>
      <c r="D773" s="6" t="n"/>
      <c r="E773" s="25" t="n"/>
      <c r="F773" s="6" t="n"/>
      <c r="G773" s="6" t="n"/>
    </row>
    <row r="774">
      <c r="A774" s="26" t="n"/>
      <c r="B774" s="6" t="n"/>
      <c r="C774" s="6" t="n"/>
      <c r="D774" s="6" t="n"/>
      <c r="E774" s="25" t="n"/>
      <c r="F774" s="6" t="n"/>
      <c r="G774" s="6" t="n"/>
    </row>
    <row r="775">
      <c r="A775" s="26" t="n"/>
      <c r="B775" s="6" t="n"/>
      <c r="C775" s="6" t="n"/>
      <c r="D775" s="6" t="n"/>
      <c r="E775" s="25" t="n"/>
      <c r="F775" s="6" t="n"/>
      <c r="G775" s="6" t="n"/>
    </row>
    <row r="776">
      <c r="A776" s="26" t="n"/>
      <c r="B776" s="6" t="n"/>
      <c r="C776" s="6" t="n"/>
      <c r="D776" s="6" t="n"/>
      <c r="E776" s="25" t="n"/>
      <c r="F776" s="6" t="n"/>
      <c r="G776" s="6" t="n"/>
    </row>
    <row r="777">
      <c r="A777" s="26" t="n"/>
      <c r="B777" s="6" t="n"/>
      <c r="C777" s="6" t="n"/>
      <c r="D777" s="6" t="n"/>
      <c r="E777" s="25" t="n"/>
      <c r="F777" s="6" t="n"/>
      <c r="G777" s="6" t="n"/>
    </row>
    <row r="778">
      <c r="A778" s="26" t="n"/>
      <c r="B778" s="6" t="n"/>
      <c r="C778" s="6" t="n"/>
      <c r="D778" s="6" t="n"/>
      <c r="E778" s="25" t="n"/>
      <c r="F778" s="6" t="n"/>
      <c r="G778" s="6" t="n"/>
    </row>
    <row r="779">
      <c r="A779" s="26" t="n"/>
      <c r="B779" s="6" t="n"/>
      <c r="C779" s="6" t="n"/>
      <c r="D779" s="6" t="n"/>
      <c r="E779" s="25" t="n"/>
      <c r="F779" s="6" t="n"/>
      <c r="G779" s="6" t="n"/>
    </row>
    <row r="780">
      <c r="A780" s="26" t="n"/>
      <c r="B780" s="6" t="n"/>
      <c r="C780" s="6" t="n"/>
      <c r="D780" s="6" t="n"/>
      <c r="E780" s="25" t="n"/>
      <c r="F780" s="6" t="n"/>
      <c r="G780" s="6" t="n"/>
    </row>
    <row r="781">
      <c r="A781" s="26" t="n"/>
      <c r="B781" s="6" t="n"/>
      <c r="C781" s="6" t="n"/>
      <c r="D781" s="6" t="n"/>
      <c r="E781" s="25" t="n"/>
      <c r="F781" s="6" t="n"/>
      <c r="G781" s="6" t="n"/>
    </row>
    <row r="782">
      <c r="A782" s="26" t="n"/>
      <c r="B782" s="6" t="n"/>
      <c r="C782" s="6" t="n"/>
      <c r="D782" s="6" t="n"/>
      <c r="E782" s="25" t="n"/>
      <c r="F782" s="6" t="n"/>
      <c r="G782" s="6" t="n"/>
    </row>
    <row r="783">
      <c r="A783" s="26" t="n"/>
      <c r="B783" s="6" t="n"/>
      <c r="C783" s="6" t="n"/>
      <c r="D783" s="6" t="n"/>
      <c r="E783" s="25" t="n"/>
      <c r="F783" s="6" t="n"/>
      <c r="G783" s="6" t="n"/>
    </row>
    <row r="784">
      <c r="A784" s="26" t="n"/>
      <c r="B784" s="6" t="n"/>
      <c r="C784" s="6" t="n"/>
      <c r="D784" s="6" t="n"/>
      <c r="E784" s="25" t="n"/>
      <c r="F784" s="6" t="n"/>
      <c r="G784" s="6" t="n"/>
    </row>
    <row r="785">
      <c r="A785" s="26" t="n"/>
      <c r="B785" s="6" t="n"/>
      <c r="C785" s="6" t="n"/>
      <c r="D785" s="6" t="n"/>
      <c r="E785" s="25" t="n"/>
      <c r="F785" s="6" t="n"/>
      <c r="G785" s="6" t="n"/>
    </row>
    <row r="786">
      <c r="A786" s="26" t="n"/>
      <c r="B786" s="6" t="n"/>
      <c r="C786" s="6" t="n"/>
      <c r="D786" s="6" t="n"/>
      <c r="E786" s="25" t="n"/>
      <c r="F786" s="6" t="n"/>
      <c r="G786" s="6" t="n"/>
    </row>
    <row r="787">
      <c r="A787" s="26" t="n"/>
      <c r="B787" s="6" t="n"/>
      <c r="C787" s="6" t="n"/>
      <c r="D787" s="6" t="n"/>
      <c r="E787" s="25" t="n"/>
      <c r="F787" s="6" t="n"/>
      <c r="G787" s="6" t="n"/>
    </row>
    <row r="788">
      <c r="A788" s="26" t="n"/>
      <c r="B788" s="6" t="n"/>
      <c r="C788" s="6" t="n"/>
      <c r="D788" s="6" t="n"/>
      <c r="E788" s="25" t="n"/>
      <c r="F788" s="6" t="n"/>
      <c r="G788" s="6" t="n"/>
    </row>
    <row r="789">
      <c r="A789" s="26" t="n"/>
      <c r="B789" s="6" t="n"/>
      <c r="C789" s="6" t="n"/>
      <c r="D789" s="6" t="n"/>
      <c r="E789" s="25" t="n"/>
      <c r="F789" s="6" t="n"/>
      <c r="G789" s="6" t="n"/>
    </row>
    <row r="790">
      <c r="A790" s="26" t="n"/>
      <c r="B790" s="6" t="n"/>
      <c r="C790" s="6" t="n"/>
      <c r="D790" s="6" t="n"/>
      <c r="E790" s="25" t="n"/>
      <c r="F790" s="6" t="n"/>
      <c r="G790" s="6" t="n"/>
    </row>
    <row r="791">
      <c r="A791" s="26" t="n"/>
      <c r="B791" s="6" t="n"/>
      <c r="C791" s="6" t="n"/>
      <c r="D791" s="6" t="n"/>
      <c r="E791" s="25" t="n"/>
      <c r="F791" s="6" t="n"/>
      <c r="G791" s="6" t="n"/>
    </row>
    <row r="792">
      <c r="A792" s="26" t="n"/>
      <c r="B792" s="6" t="n"/>
      <c r="C792" s="6" t="n"/>
      <c r="D792" s="6" t="n"/>
      <c r="E792" s="25" t="n"/>
      <c r="F792" s="6" t="n"/>
      <c r="G792" s="6" t="n"/>
    </row>
    <row r="793">
      <c r="A793" s="26" t="n"/>
      <c r="B793" s="6" t="n"/>
      <c r="C793" s="6" t="n"/>
      <c r="D793" s="6" t="n"/>
      <c r="E793" s="25" t="n"/>
      <c r="F793" s="6" t="n"/>
      <c r="G793" s="6" t="n"/>
    </row>
    <row r="794">
      <c r="A794" s="26" t="n"/>
      <c r="B794" s="6" t="n"/>
      <c r="C794" s="6" t="n"/>
      <c r="D794" s="6" t="n"/>
      <c r="E794" s="25" t="n"/>
      <c r="F794" s="6" t="n"/>
      <c r="G794" s="6" t="n"/>
    </row>
    <row r="795">
      <c r="A795" s="26" t="n"/>
      <c r="B795" s="6" t="n"/>
      <c r="C795" s="6" t="n"/>
      <c r="D795" s="6" t="n"/>
      <c r="E795" s="25" t="n"/>
      <c r="F795" s="6" t="n"/>
      <c r="G795" s="6" t="n"/>
    </row>
    <row r="796">
      <c r="A796" s="26" t="n"/>
      <c r="B796" s="6" t="n"/>
      <c r="C796" s="6" t="n"/>
      <c r="D796" s="6" t="n"/>
      <c r="E796" s="25" t="n"/>
      <c r="F796" s="6" t="n"/>
      <c r="G796" s="6" t="n"/>
    </row>
    <row r="797">
      <c r="A797" s="26" t="n"/>
      <c r="B797" s="6" t="n"/>
      <c r="C797" s="6" t="n"/>
      <c r="D797" s="6" t="n"/>
      <c r="E797" s="25" t="n"/>
      <c r="F797" s="6" t="n"/>
      <c r="G797" s="6" t="n"/>
    </row>
    <row r="798">
      <c r="A798" s="26" t="n"/>
      <c r="B798" s="6" t="n"/>
      <c r="C798" s="6" t="n"/>
      <c r="D798" s="6" t="n"/>
      <c r="E798" s="25" t="n"/>
      <c r="F798" s="6" t="n"/>
      <c r="G798" s="6" t="n"/>
    </row>
    <row r="799">
      <c r="A799" s="26" t="n"/>
      <c r="B799" s="6" t="n"/>
      <c r="C799" s="6" t="n"/>
      <c r="D799" s="6" t="n"/>
      <c r="E799" s="25" t="n"/>
      <c r="F799" s="6" t="n"/>
      <c r="G799" s="6" t="n"/>
    </row>
    <row r="800">
      <c r="A800" s="26" t="n"/>
      <c r="B800" s="6" t="n"/>
      <c r="C800" s="6" t="n"/>
      <c r="D800" s="6" t="n"/>
      <c r="E800" s="25" t="n"/>
      <c r="F800" s="6" t="n"/>
      <c r="G800" s="6" t="n"/>
    </row>
    <row r="801">
      <c r="A801" s="26" t="n"/>
      <c r="B801" s="6" t="n"/>
      <c r="C801" s="6" t="n"/>
      <c r="D801" s="6" t="n"/>
      <c r="E801" s="25" t="n"/>
      <c r="F801" s="6" t="n"/>
      <c r="G801" s="6" t="n"/>
    </row>
    <row r="802">
      <c r="A802" s="26" t="n"/>
      <c r="B802" s="6" t="n"/>
      <c r="C802" s="6" t="n"/>
      <c r="D802" s="6" t="n"/>
      <c r="E802" s="25" t="n"/>
      <c r="F802" s="6" t="n"/>
      <c r="G802" s="6" t="n"/>
    </row>
    <row r="803">
      <c r="A803" s="26" t="n"/>
      <c r="B803" s="6" t="n"/>
      <c r="C803" s="6" t="n"/>
      <c r="D803" s="6" t="n"/>
      <c r="E803" s="25" t="n"/>
      <c r="F803" s="6" t="n"/>
      <c r="G803" s="6" t="n"/>
    </row>
    <row r="804">
      <c r="A804" s="26" t="n"/>
      <c r="B804" s="6" t="n"/>
      <c r="C804" s="6" t="n"/>
      <c r="D804" s="6" t="n"/>
      <c r="E804" s="25" t="n"/>
      <c r="F804" s="6" t="n"/>
      <c r="G804" s="6" t="n"/>
    </row>
    <row r="805">
      <c r="A805" s="26" t="n"/>
      <c r="B805" s="6" t="n"/>
      <c r="C805" s="6" t="n"/>
      <c r="D805" s="6" t="n"/>
      <c r="E805" s="25" t="n"/>
      <c r="F805" s="6" t="n"/>
      <c r="G805" s="6" t="n"/>
    </row>
    <row r="806">
      <c r="A806" s="26" t="n"/>
      <c r="B806" s="6" t="n"/>
      <c r="C806" s="6" t="n"/>
      <c r="D806" s="6" t="n"/>
      <c r="E806" s="25" t="n"/>
      <c r="F806" s="6" t="n"/>
      <c r="G806" s="6" t="n"/>
    </row>
    <row r="807">
      <c r="A807" s="26" t="n"/>
      <c r="B807" s="6" t="n"/>
      <c r="C807" s="6" t="n"/>
      <c r="D807" s="6" t="n"/>
      <c r="E807" s="25" t="n"/>
      <c r="F807" s="6" t="n"/>
      <c r="G807" s="6" t="n"/>
    </row>
    <row r="808">
      <c r="A808" s="26" t="n"/>
      <c r="B808" s="6" t="n"/>
      <c r="C808" s="6" t="n"/>
      <c r="D808" s="6" t="n"/>
      <c r="E808" s="25" t="n"/>
      <c r="F808" s="6" t="n"/>
      <c r="G808" s="6" t="n"/>
    </row>
    <row r="809">
      <c r="A809" s="26" t="n"/>
      <c r="B809" s="6" t="n"/>
      <c r="C809" s="6" t="n"/>
      <c r="D809" s="6" t="n"/>
      <c r="E809" s="25" t="n"/>
      <c r="F809" s="6" t="n"/>
      <c r="G809" s="6" t="n"/>
    </row>
    <row r="810">
      <c r="A810" s="26" t="n"/>
      <c r="B810" s="6" t="n"/>
      <c r="C810" s="6" t="n"/>
      <c r="D810" s="6" t="n"/>
      <c r="E810" s="25" t="n"/>
      <c r="F810" s="6" t="n"/>
      <c r="G810" s="6" t="n"/>
    </row>
    <row r="811">
      <c r="A811" s="26" t="n"/>
      <c r="B811" s="6" t="n"/>
      <c r="C811" s="6" t="n"/>
      <c r="D811" s="6" t="n"/>
      <c r="E811" s="25" t="n"/>
      <c r="F811" s="6" t="n"/>
      <c r="G811" s="6" t="n"/>
    </row>
    <row r="812">
      <c r="A812" s="26" t="n"/>
      <c r="B812" s="6" t="n"/>
      <c r="C812" s="6" t="n"/>
      <c r="D812" s="6" t="n"/>
      <c r="E812" s="25" t="n"/>
      <c r="F812" s="6" t="n"/>
      <c r="G812" s="6" t="n"/>
    </row>
    <row r="813">
      <c r="A813" s="26" t="n"/>
      <c r="B813" s="6" t="n"/>
      <c r="C813" s="6" t="n"/>
      <c r="D813" s="6" t="n"/>
      <c r="E813" s="25" t="n"/>
      <c r="F813" s="6" t="n"/>
      <c r="G813" s="6" t="n"/>
    </row>
    <row r="814">
      <c r="A814" s="26" t="n"/>
      <c r="B814" s="6" t="n"/>
      <c r="C814" s="6" t="n"/>
      <c r="D814" s="6" t="n"/>
      <c r="E814" s="25" t="n"/>
      <c r="F814" s="6" t="n"/>
      <c r="G814" s="6" t="n"/>
    </row>
    <row r="815">
      <c r="A815" s="26" t="n"/>
      <c r="B815" s="6" t="n"/>
      <c r="C815" s="6" t="n"/>
      <c r="D815" s="6" t="n"/>
      <c r="E815" s="25" t="n"/>
      <c r="F815" s="6" t="n"/>
      <c r="G815" s="6" t="n"/>
    </row>
    <row r="816">
      <c r="A816" s="26" t="n"/>
      <c r="B816" s="6" t="n"/>
      <c r="C816" s="6" t="n"/>
      <c r="D816" s="6" t="n"/>
      <c r="E816" s="25" t="n"/>
      <c r="F816" s="6" t="n"/>
      <c r="G816" s="6" t="n"/>
    </row>
    <row r="817">
      <c r="A817" s="26" t="n"/>
      <c r="B817" s="6" t="n"/>
      <c r="C817" s="6" t="n"/>
      <c r="D817" s="6" t="n"/>
      <c r="E817" s="25" t="n"/>
      <c r="F817" s="6" t="n"/>
      <c r="G817" s="6" t="n"/>
    </row>
    <row r="818">
      <c r="A818" s="26" t="n"/>
      <c r="B818" s="6" t="n"/>
      <c r="C818" s="6" t="n"/>
      <c r="D818" s="6" t="n"/>
      <c r="E818" s="25" t="n"/>
      <c r="F818" s="6" t="n"/>
      <c r="G818" s="6" t="n"/>
    </row>
    <row r="819">
      <c r="A819" s="26" t="n"/>
      <c r="B819" s="6" t="n"/>
      <c r="C819" s="6" t="n"/>
      <c r="D819" s="6" t="n"/>
      <c r="E819" s="25" t="n"/>
      <c r="F819" s="6" t="n"/>
      <c r="G819" s="6" t="n"/>
    </row>
    <row r="820">
      <c r="A820" s="26" t="n"/>
      <c r="B820" s="6" t="n"/>
      <c r="C820" s="6" t="n"/>
      <c r="D820" s="6" t="n"/>
      <c r="E820" s="25" t="n"/>
      <c r="F820" s="6" t="n"/>
      <c r="G820" s="6" t="n"/>
    </row>
    <row r="821">
      <c r="A821" s="26" t="n"/>
      <c r="B821" s="6" t="n"/>
      <c r="C821" s="6" t="n"/>
      <c r="D821" s="6" t="n"/>
      <c r="E821" s="25" t="n"/>
      <c r="F821" s="6" t="n"/>
      <c r="G821" s="6" t="n"/>
    </row>
    <row r="822">
      <c r="A822" s="26" t="n"/>
      <c r="B822" s="6" t="n"/>
      <c r="C822" s="6" t="n"/>
      <c r="D822" s="6" t="n"/>
      <c r="E822" s="25" t="n"/>
      <c r="F822" s="6" t="n"/>
      <c r="G822" s="6" t="n"/>
    </row>
    <row r="823">
      <c r="A823" s="26" t="n"/>
      <c r="B823" s="6" t="n"/>
      <c r="C823" s="6" t="n"/>
      <c r="D823" s="6" t="n"/>
      <c r="E823" s="25" t="n"/>
      <c r="F823" s="6" t="n"/>
      <c r="G823" s="6" t="n"/>
    </row>
    <row r="824">
      <c r="A824" s="26" t="n"/>
      <c r="B824" s="6" t="n"/>
      <c r="C824" s="6" t="n"/>
      <c r="D824" s="6" t="n"/>
      <c r="E824" s="25" t="n"/>
      <c r="F824" s="6" t="n"/>
      <c r="G824" s="6" t="n"/>
    </row>
    <row r="825">
      <c r="A825" s="26" t="n"/>
      <c r="B825" s="6" t="n"/>
      <c r="C825" s="6" t="n"/>
      <c r="D825" s="6" t="n"/>
      <c r="E825" s="25" t="n"/>
      <c r="F825" s="6" t="n"/>
      <c r="G825" s="6" t="n"/>
    </row>
    <row r="826">
      <c r="A826" s="26" t="n"/>
      <c r="B826" s="6" t="n"/>
      <c r="C826" s="6" t="n"/>
      <c r="D826" s="6" t="n"/>
      <c r="E826" s="25" t="n"/>
      <c r="F826" s="6" t="n"/>
      <c r="G826" s="6" t="n"/>
    </row>
    <row r="827">
      <c r="A827" s="26" t="n"/>
      <c r="B827" s="6" t="n"/>
      <c r="C827" s="6" t="n"/>
      <c r="D827" s="6" t="n"/>
      <c r="E827" s="25" t="n"/>
      <c r="F827" s="6" t="n"/>
      <c r="G827" s="6" t="n"/>
    </row>
    <row r="828">
      <c r="A828" s="26" t="n"/>
      <c r="B828" s="6" t="n"/>
      <c r="C828" s="6" t="n"/>
      <c r="D828" s="6" t="n"/>
      <c r="E828" s="25" t="n"/>
      <c r="F828" s="6" t="n"/>
      <c r="G828" s="6" t="n"/>
    </row>
    <row r="829">
      <c r="A829" s="26" t="n"/>
      <c r="B829" s="6" t="n"/>
      <c r="C829" s="6" t="n"/>
      <c r="D829" s="6" t="n"/>
      <c r="E829" s="25" t="n"/>
      <c r="F829" s="6" t="n"/>
      <c r="G829" s="6" t="n"/>
    </row>
    <row r="830">
      <c r="A830" s="26" t="n"/>
      <c r="B830" s="6" t="n"/>
      <c r="C830" s="6" t="n"/>
      <c r="D830" s="6" t="n"/>
      <c r="E830" s="25" t="n"/>
      <c r="F830" s="6" t="n"/>
      <c r="G830" s="6" t="n"/>
    </row>
    <row r="831">
      <c r="A831" s="26" t="n"/>
      <c r="B831" s="6" t="n"/>
      <c r="C831" s="6" t="n"/>
      <c r="D831" s="6" t="n"/>
      <c r="E831" s="25" t="n"/>
      <c r="F831" s="6" t="n"/>
      <c r="G831" s="6" t="n"/>
    </row>
    <row r="832">
      <c r="A832" s="26" t="n"/>
      <c r="B832" s="6" t="n"/>
      <c r="C832" s="6" t="n"/>
      <c r="D832" s="6" t="n"/>
      <c r="E832" s="25" t="n"/>
      <c r="F832" s="6" t="n"/>
      <c r="G832" s="6" t="n"/>
    </row>
    <row r="833">
      <c r="A833" s="26" t="n"/>
      <c r="B833" s="6" t="n"/>
      <c r="C833" s="6" t="n"/>
      <c r="D833" s="6" t="n"/>
      <c r="E833" s="25" t="n"/>
      <c r="F833" s="6" t="n"/>
      <c r="G833" s="6" t="n"/>
    </row>
    <row r="834">
      <c r="A834" s="26" t="n"/>
      <c r="B834" s="6" t="n"/>
      <c r="C834" s="6" t="n"/>
      <c r="D834" s="6" t="n"/>
      <c r="E834" s="25" t="n"/>
      <c r="F834" s="6" t="n"/>
      <c r="G834" s="6" t="n"/>
    </row>
    <row r="835">
      <c r="A835" s="26" t="n"/>
      <c r="B835" s="6" t="n"/>
      <c r="C835" s="6" t="n"/>
      <c r="D835" s="6" t="n"/>
      <c r="E835" s="25" t="n"/>
      <c r="F835" s="6" t="n"/>
      <c r="G835" s="6" t="n"/>
    </row>
    <row r="836">
      <c r="A836" s="26" t="n"/>
      <c r="B836" s="6" t="n"/>
      <c r="C836" s="6" t="n"/>
      <c r="D836" s="6" t="n"/>
      <c r="E836" s="25" t="n"/>
      <c r="F836" s="6" t="n"/>
      <c r="G836" s="6" t="n"/>
    </row>
    <row r="837">
      <c r="A837" s="26" t="n"/>
      <c r="B837" s="6" t="n"/>
      <c r="C837" s="6" t="n"/>
      <c r="D837" s="6" t="n"/>
      <c r="E837" s="25" t="n"/>
      <c r="F837" s="6" t="n"/>
      <c r="G837" s="6" t="n"/>
    </row>
    <row r="838">
      <c r="A838" s="26" t="n"/>
      <c r="B838" s="6" t="n"/>
      <c r="C838" s="6" t="n"/>
      <c r="D838" s="6" t="n"/>
      <c r="E838" s="25" t="n"/>
      <c r="F838" s="6" t="n"/>
      <c r="G838" s="6" t="n"/>
    </row>
    <row r="839">
      <c r="A839" s="26" t="n"/>
      <c r="B839" s="6" t="n"/>
      <c r="C839" s="6" t="n"/>
      <c r="D839" s="6" t="n"/>
      <c r="E839" s="25" t="n"/>
      <c r="F839" s="6" t="n"/>
      <c r="G839" s="6" t="n"/>
    </row>
    <row r="840">
      <c r="A840" s="26" t="n"/>
      <c r="B840" s="6" t="n"/>
      <c r="C840" s="6" t="n"/>
      <c r="D840" s="6" t="n"/>
      <c r="E840" s="25" t="n"/>
      <c r="F840" s="6" t="n"/>
      <c r="G840" s="6" t="n"/>
    </row>
    <row r="841">
      <c r="A841" s="26" t="n"/>
      <c r="B841" s="6" t="n"/>
      <c r="C841" s="6" t="n"/>
      <c r="D841" s="6" t="n"/>
      <c r="E841" s="25" t="n"/>
      <c r="F841" s="6" t="n"/>
      <c r="G841" s="6" t="n"/>
    </row>
    <row r="842">
      <c r="A842" s="26" t="n"/>
      <c r="B842" s="6" t="n"/>
      <c r="C842" s="6" t="n"/>
      <c r="D842" s="6" t="n"/>
      <c r="E842" s="25" t="n"/>
      <c r="F842" s="6" t="n"/>
      <c r="G842" s="6" t="n"/>
    </row>
    <row r="843">
      <c r="A843" s="26" t="n"/>
      <c r="B843" s="6" t="n"/>
      <c r="C843" s="6" t="n"/>
      <c r="D843" s="6" t="n"/>
      <c r="E843" s="25" t="n"/>
      <c r="F843" s="6" t="n"/>
      <c r="G843" s="6" t="n"/>
    </row>
    <row r="844">
      <c r="A844" s="26" t="n"/>
      <c r="B844" s="6" t="n"/>
      <c r="C844" s="6" t="n"/>
      <c r="D844" s="6" t="n"/>
      <c r="E844" s="25" t="n"/>
      <c r="F844" s="6" t="n"/>
      <c r="G844" s="6" t="n"/>
    </row>
    <row r="845">
      <c r="A845" s="26" t="n"/>
      <c r="B845" s="6" t="n"/>
      <c r="C845" s="6" t="n"/>
      <c r="D845" s="6" t="n"/>
      <c r="E845" s="25" t="n"/>
      <c r="F845" s="6" t="n"/>
      <c r="G845" s="6" t="n"/>
    </row>
    <row r="846">
      <c r="A846" s="26" t="n"/>
      <c r="B846" s="6" t="n"/>
      <c r="C846" s="6" t="n"/>
      <c r="D846" s="6" t="n"/>
      <c r="E846" s="25" t="n"/>
      <c r="F846" s="6" t="n"/>
      <c r="G846" s="6" t="n"/>
    </row>
    <row r="847">
      <c r="A847" s="26" t="n"/>
      <c r="B847" s="6" t="n"/>
      <c r="C847" s="6" t="n"/>
      <c r="D847" s="6" t="n"/>
      <c r="E847" s="25" t="n"/>
      <c r="F847" s="6" t="n"/>
      <c r="G847" s="6" t="n"/>
    </row>
    <row r="848">
      <c r="A848" s="26" t="n"/>
      <c r="B848" s="6" t="n"/>
      <c r="C848" s="6" t="n"/>
      <c r="D848" s="6" t="n"/>
      <c r="E848" s="25" t="n"/>
      <c r="F848" s="6" t="n"/>
      <c r="G848" s="6" t="n"/>
    </row>
    <row r="849">
      <c r="A849" s="26" t="n"/>
      <c r="B849" s="6" t="n"/>
      <c r="C849" s="6" t="n"/>
      <c r="D849" s="6" t="n"/>
      <c r="E849" s="25" t="n"/>
      <c r="F849" s="6" t="n"/>
      <c r="G849" s="6" t="n"/>
    </row>
    <row r="850">
      <c r="A850" s="26" t="n"/>
      <c r="B850" s="6" t="n"/>
      <c r="C850" s="6" t="n"/>
      <c r="D850" s="6" t="n"/>
      <c r="E850" s="25" t="n"/>
      <c r="F850" s="6" t="n"/>
      <c r="G850" s="6" t="n"/>
    </row>
    <row r="851">
      <c r="A851" s="26" t="n"/>
      <c r="B851" s="6" t="n"/>
      <c r="C851" s="6" t="n"/>
      <c r="D851" s="6" t="n"/>
      <c r="E851" s="25" t="n"/>
      <c r="F851" s="6" t="n"/>
      <c r="G851" s="6" t="n"/>
    </row>
    <row r="852">
      <c r="A852" s="26" t="n"/>
      <c r="B852" s="6" t="n"/>
      <c r="C852" s="6" t="n"/>
      <c r="D852" s="6" t="n"/>
      <c r="E852" s="25" t="n"/>
      <c r="F852" s="6" t="n"/>
      <c r="G852" s="6" t="n"/>
    </row>
    <row r="853">
      <c r="A853" s="26" t="n"/>
      <c r="B853" s="6" t="n"/>
      <c r="C853" s="6" t="n"/>
      <c r="D853" s="6" t="n"/>
      <c r="E853" s="25" t="n"/>
      <c r="F853" s="6" t="n"/>
      <c r="G853" s="6" t="n"/>
    </row>
    <row r="854">
      <c r="A854" s="26" t="n"/>
      <c r="B854" s="6" t="n"/>
      <c r="C854" s="6" t="n"/>
      <c r="D854" s="6" t="n"/>
      <c r="E854" s="25" t="n"/>
      <c r="F854" s="6" t="n"/>
      <c r="G854" s="6" t="n"/>
    </row>
    <row r="855">
      <c r="A855" s="26" t="n"/>
      <c r="B855" s="6" t="n"/>
      <c r="C855" s="6" t="n"/>
      <c r="D855" s="6" t="n"/>
      <c r="E855" s="25" t="n"/>
      <c r="F855" s="6" t="n"/>
      <c r="G855" s="6" t="n"/>
    </row>
    <row r="856">
      <c r="A856" s="26" t="n"/>
      <c r="B856" s="6" t="n"/>
      <c r="C856" s="6" t="n"/>
      <c r="D856" s="6" t="n"/>
      <c r="E856" s="25" t="n"/>
      <c r="F856" s="6" t="n"/>
      <c r="G856" s="6" t="n"/>
    </row>
    <row r="857">
      <c r="A857" s="26" t="n"/>
      <c r="B857" s="6" t="n"/>
      <c r="C857" s="6" t="n"/>
      <c r="D857" s="6" t="n"/>
      <c r="E857" s="25" t="n"/>
      <c r="F857" s="6" t="n"/>
      <c r="G857" s="6" t="n"/>
    </row>
    <row r="858">
      <c r="A858" s="26" t="n"/>
      <c r="B858" s="6" t="n"/>
      <c r="C858" s="6" t="n"/>
      <c r="D858" s="6" t="n"/>
      <c r="E858" s="25" t="n"/>
      <c r="F858" s="6" t="n"/>
      <c r="G858" s="6" t="n"/>
    </row>
    <row r="859">
      <c r="A859" s="26" t="n"/>
      <c r="B859" s="6" t="n"/>
      <c r="C859" s="6" t="n"/>
      <c r="D859" s="6" t="n"/>
      <c r="E859" s="25" t="n"/>
      <c r="F859" s="6" t="n"/>
      <c r="G859" s="6" t="n"/>
    </row>
    <row r="860">
      <c r="A860" s="26" t="n"/>
      <c r="B860" s="6" t="n"/>
      <c r="C860" s="6" t="n"/>
      <c r="D860" s="6" t="n"/>
      <c r="E860" s="25" t="n"/>
      <c r="F860" s="6" t="n"/>
      <c r="G860" s="6" t="n"/>
    </row>
    <row r="861">
      <c r="A861" s="26" t="n"/>
      <c r="B861" s="6" t="n"/>
      <c r="C861" s="6" t="n"/>
      <c r="D861" s="6" t="n"/>
      <c r="E861" s="25" t="n"/>
      <c r="F861" s="6" t="n"/>
      <c r="G861" s="6" t="n"/>
    </row>
    <row r="862">
      <c r="A862" s="26" t="n"/>
      <c r="B862" s="6" t="n"/>
      <c r="C862" s="6" t="n"/>
      <c r="D862" s="6" t="n"/>
      <c r="E862" s="25" t="n"/>
      <c r="F862" s="6" t="n"/>
      <c r="G862" s="6" t="n"/>
    </row>
    <row r="863">
      <c r="A863" s="26" t="n"/>
      <c r="B863" s="6" t="n"/>
      <c r="C863" s="6" t="n"/>
      <c r="D863" s="6" t="n"/>
      <c r="E863" s="25" t="n"/>
      <c r="F863" s="6" t="n"/>
      <c r="G863" s="6" t="n"/>
    </row>
    <row r="864">
      <c r="A864" s="26" t="n"/>
      <c r="B864" s="6" t="n"/>
      <c r="C864" s="6" t="n"/>
      <c r="D864" s="6" t="n"/>
      <c r="E864" s="25" t="n"/>
      <c r="F864" s="6" t="n"/>
      <c r="G864" s="6" t="n"/>
    </row>
    <row r="865">
      <c r="A865" s="26" t="n"/>
      <c r="B865" s="6" t="n"/>
      <c r="C865" s="6" t="n"/>
      <c r="D865" s="6" t="n"/>
      <c r="E865" s="25" t="n"/>
      <c r="F865" s="6" t="n"/>
      <c r="G865" s="6" t="n"/>
    </row>
    <row r="866">
      <c r="A866" s="26" t="n"/>
      <c r="B866" s="6" t="n"/>
      <c r="C866" s="6" t="n"/>
      <c r="D866" s="6" t="n"/>
      <c r="E866" s="25" t="n"/>
      <c r="F866" s="6" t="n"/>
      <c r="G866" s="6" t="n"/>
    </row>
    <row r="867">
      <c r="A867" s="26" t="n"/>
      <c r="B867" s="6" t="n"/>
      <c r="C867" s="6" t="n"/>
      <c r="D867" s="6" t="n"/>
      <c r="E867" s="25" t="n"/>
      <c r="F867" s="6" t="n"/>
      <c r="G867" s="6" t="n"/>
    </row>
    <row r="868">
      <c r="A868" s="26" t="n"/>
      <c r="B868" s="6" t="n"/>
      <c r="C868" s="6" t="n"/>
      <c r="D868" s="6" t="n"/>
      <c r="E868" s="25" t="n"/>
      <c r="F868" s="6" t="n"/>
      <c r="G868" s="6" t="n"/>
    </row>
    <row r="869">
      <c r="A869" s="26" t="n"/>
      <c r="B869" s="6" t="n"/>
      <c r="C869" s="6" t="n"/>
      <c r="D869" s="6" t="n"/>
      <c r="E869" s="25" t="n"/>
      <c r="F869" s="6" t="n"/>
      <c r="G869" s="6" t="n"/>
    </row>
    <row r="870">
      <c r="A870" s="26" t="n"/>
      <c r="B870" s="6" t="n"/>
      <c r="C870" s="6" t="n"/>
      <c r="D870" s="6" t="n"/>
      <c r="E870" s="25" t="n"/>
      <c r="F870" s="6" t="n"/>
      <c r="G870" s="6" t="n"/>
    </row>
    <row r="871">
      <c r="A871" s="26" t="n"/>
      <c r="B871" s="6" t="n"/>
      <c r="C871" s="6" t="n"/>
      <c r="D871" s="6" t="n"/>
      <c r="E871" s="25" t="n"/>
      <c r="F871" s="6" t="n"/>
      <c r="G871" s="6" t="n"/>
    </row>
    <row r="872">
      <c r="A872" s="26" t="n"/>
      <c r="B872" s="6" t="n"/>
      <c r="C872" s="6" t="n"/>
      <c r="D872" s="6" t="n"/>
      <c r="E872" s="25" t="n"/>
      <c r="F872" s="6" t="n"/>
      <c r="G872" s="6" t="n"/>
    </row>
    <row r="873">
      <c r="A873" s="26" t="n"/>
      <c r="B873" s="6" t="n"/>
      <c r="C873" s="6" t="n"/>
      <c r="D873" s="6" t="n"/>
      <c r="E873" s="25" t="n"/>
      <c r="F873" s="6" t="n"/>
      <c r="G873" s="6" t="n"/>
    </row>
    <row r="874">
      <c r="A874" s="26" t="n"/>
      <c r="B874" s="6" t="n"/>
      <c r="C874" s="6" t="n"/>
      <c r="D874" s="6" t="n"/>
      <c r="E874" s="25" t="n"/>
      <c r="F874" s="6" t="n"/>
      <c r="G874" s="6" t="n"/>
    </row>
    <row r="875">
      <c r="A875" s="26" t="n"/>
      <c r="B875" s="6" t="n"/>
      <c r="C875" s="6" t="n"/>
      <c r="D875" s="6" t="n"/>
      <c r="E875" s="25" t="n"/>
      <c r="F875" s="6" t="n"/>
      <c r="G875" s="6" t="n"/>
    </row>
    <row r="876">
      <c r="A876" s="26" t="n"/>
      <c r="B876" s="6" t="n"/>
      <c r="C876" s="6" t="n"/>
      <c r="D876" s="6" t="n"/>
      <c r="E876" s="25" t="n"/>
      <c r="F876" s="6" t="n"/>
      <c r="G876" s="6" t="n"/>
    </row>
    <row r="877">
      <c r="A877" s="26" t="n"/>
      <c r="B877" s="6" t="n"/>
      <c r="C877" s="6" t="n"/>
      <c r="D877" s="6" t="n"/>
      <c r="E877" s="25" t="n"/>
      <c r="F877" s="6" t="n"/>
      <c r="G877" s="6" t="n"/>
    </row>
    <row r="878">
      <c r="A878" s="26" t="n"/>
      <c r="B878" s="6" t="n"/>
      <c r="C878" s="6" t="n"/>
      <c r="D878" s="6" t="n"/>
      <c r="E878" s="25" t="n"/>
      <c r="F878" s="6" t="n"/>
      <c r="G878" s="6" t="n"/>
    </row>
    <row r="879">
      <c r="A879" s="26" t="n"/>
      <c r="B879" s="6" t="n"/>
      <c r="C879" s="6" t="n"/>
      <c r="D879" s="6" t="n"/>
      <c r="E879" s="25" t="n"/>
      <c r="F879" s="6" t="n"/>
      <c r="G879" s="6" t="n"/>
    </row>
    <row r="880">
      <c r="A880" s="26" t="n"/>
      <c r="B880" s="6" t="n"/>
      <c r="C880" s="6" t="n"/>
      <c r="D880" s="6" t="n"/>
      <c r="E880" s="25" t="n"/>
      <c r="F880" s="6" t="n"/>
      <c r="G880" s="6" t="n"/>
    </row>
    <row r="881">
      <c r="A881" s="26" t="n"/>
      <c r="B881" s="6" t="n"/>
      <c r="C881" s="6" t="n"/>
      <c r="D881" s="6" t="n"/>
      <c r="E881" s="25" t="n"/>
      <c r="F881" s="6" t="n"/>
      <c r="G881" s="6" t="n"/>
    </row>
    <row r="882">
      <c r="A882" s="26" t="n"/>
      <c r="B882" s="6" t="n"/>
      <c r="C882" s="6" t="n"/>
      <c r="D882" s="6" t="n"/>
      <c r="E882" s="25" t="n"/>
      <c r="F882" s="6" t="n"/>
      <c r="G882" s="6" t="n"/>
    </row>
    <row r="883">
      <c r="A883" s="26" t="n"/>
      <c r="B883" s="6" t="n"/>
      <c r="C883" s="6" t="n"/>
      <c r="D883" s="6" t="n"/>
      <c r="E883" s="25" t="n"/>
      <c r="F883" s="6" t="n"/>
      <c r="G883" s="6" t="n"/>
    </row>
    <row r="884">
      <c r="A884" s="26" t="n"/>
      <c r="B884" s="6" t="n"/>
      <c r="C884" s="6" t="n"/>
      <c r="D884" s="6" t="n"/>
      <c r="E884" s="25" t="n"/>
      <c r="F884" s="6" t="n"/>
      <c r="G884" s="6" t="n"/>
    </row>
    <row r="885">
      <c r="A885" s="26" t="n"/>
      <c r="B885" s="6" t="n"/>
      <c r="C885" s="6" t="n"/>
      <c r="D885" s="6" t="n"/>
      <c r="E885" s="25" t="n"/>
      <c r="F885" s="6" t="n"/>
      <c r="G885" s="6" t="n"/>
    </row>
    <row r="886">
      <c r="A886" s="26" t="n"/>
      <c r="B886" s="6" t="n"/>
      <c r="C886" s="6" t="n"/>
      <c r="D886" s="6" t="n"/>
      <c r="E886" s="25" t="n"/>
      <c r="F886" s="6" t="n"/>
      <c r="G886" s="6" t="n"/>
    </row>
    <row r="887">
      <c r="A887" s="26" t="n"/>
      <c r="B887" s="6" t="n"/>
      <c r="C887" s="6" t="n"/>
      <c r="D887" s="6" t="n"/>
      <c r="E887" s="25" t="n"/>
      <c r="F887" s="6" t="n"/>
      <c r="G887" s="6" t="n"/>
    </row>
    <row r="888">
      <c r="A888" s="26" t="n"/>
      <c r="B888" s="6" t="n"/>
      <c r="C888" s="6" t="n"/>
      <c r="D888" s="6" t="n"/>
      <c r="E888" s="25" t="n"/>
      <c r="F888" s="6" t="n"/>
      <c r="G888" s="6" t="n"/>
    </row>
    <row r="889">
      <c r="A889" s="26" t="n"/>
      <c r="B889" s="6" t="n"/>
      <c r="C889" s="6" t="n"/>
      <c r="D889" s="6" t="n"/>
      <c r="E889" s="25" t="n"/>
      <c r="F889" s="6" t="n"/>
      <c r="G889" s="6" t="n"/>
    </row>
    <row r="890">
      <c r="A890" s="26" t="n"/>
      <c r="B890" s="6" t="n"/>
      <c r="C890" s="6" t="n"/>
      <c r="D890" s="6" t="n"/>
      <c r="E890" s="25" t="n"/>
      <c r="F890" s="6" t="n"/>
      <c r="G890" s="6" t="n"/>
    </row>
    <row r="891">
      <c r="A891" s="26" t="n"/>
      <c r="B891" s="6" t="n"/>
      <c r="C891" s="6" t="n"/>
      <c r="D891" s="6" t="n"/>
      <c r="E891" s="25" t="n"/>
      <c r="F891" s="6" t="n"/>
      <c r="G891" s="6" t="n"/>
    </row>
    <row r="892">
      <c r="A892" s="26" t="n"/>
      <c r="B892" s="6" t="n"/>
      <c r="C892" s="6" t="n"/>
      <c r="D892" s="6" t="n"/>
      <c r="E892" s="25" t="n"/>
      <c r="F892" s="6" t="n"/>
      <c r="G892" s="6" t="n"/>
    </row>
    <row r="893">
      <c r="A893" s="26" t="n"/>
      <c r="B893" s="6" t="n"/>
      <c r="C893" s="6" t="n"/>
      <c r="D893" s="6" t="n"/>
      <c r="E893" s="25" t="n"/>
      <c r="F893" s="6" t="n"/>
      <c r="G893" s="6" t="n"/>
    </row>
    <row r="894">
      <c r="A894" s="26" t="n"/>
      <c r="B894" s="6" t="n"/>
      <c r="C894" s="6" t="n"/>
      <c r="D894" s="6" t="n"/>
      <c r="E894" s="25" t="n"/>
      <c r="F894" s="6" t="n"/>
      <c r="G894" s="6" t="n"/>
    </row>
    <row r="895">
      <c r="A895" s="26" t="n"/>
      <c r="B895" s="6" t="n"/>
      <c r="C895" s="6" t="n"/>
      <c r="D895" s="6" t="n"/>
      <c r="E895" s="25" t="n"/>
      <c r="F895" s="6" t="n"/>
      <c r="G895" s="6" t="n"/>
    </row>
    <row r="896">
      <c r="A896" s="26" t="n"/>
      <c r="B896" s="6" t="n"/>
      <c r="C896" s="6" t="n"/>
      <c r="D896" s="6" t="n"/>
      <c r="E896" s="25" t="n"/>
      <c r="F896" s="6" t="n"/>
      <c r="G896" s="6" t="n"/>
    </row>
    <row r="897">
      <c r="A897" s="26" t="n"/>
      <c r="B897" s="6" t="n"/>
      <c r="C897" s="6" t="n"/>
      <c r="D897" s="6" t="n"/>
      <c r="E897" s="25" t="n"/>
      <c r="F897" s="6" t="n"/>
      <c r="G897" s="6" t="n"/>
    </row>
    <row r="898">
      <c r="A898" s="26" t="n"/>
      <c r="B898" s="6" t="n"/>
      <c r="C898" s="6" t="n"/>
      <c r="D898" s="6" t="n"/>
      <c r="E898" s="25" t="n"/>
      <c r="F898" s="6" t="n"/>
      <c r="G898" s="6" t="n"/>
    </row>
    <row r="899">
      <c r="A899" s="26" t="n"/>
      <c r="B899" s="6" t="n"/>
      <c r="C899" s="6" t="n"/>
      <c r="D899" s="6" t="n"/>
      <c r="E899" s="25" t="n"/>
      <c r="F899" s="6" t="n"/>
      <c r="G899" s="6" t="n"/>
    </row>
    <row r="900">
      <c r="A900" s="26" t="n"/>
      <c r="B900" s="6" t="n"/>
      <c r="C900" s="6" t="n"/>
      <c r="D900" s="6" t="n"/>
      <c r="E900" s="25" t="n"/>
      <c r="F900" s="6" t="n"/>
      <c r="G900" s="6" t="n"/>
    </row>
    <row r="901">
      <c r="A901" s="26" t="n"/>
      <c r="B901" s="6" t="n"/>
      <c r="C901" s="6" t="n"/>
      <c r="D901" s="6" t="n"/>
      <c r="E901" s="25" t="n"/>
      <c r="F901" s="6" t="n"/>
      <c r="G901" s="6" t="n"/>
    </row>
    <row r="902">
      <c r="A902" s="26" t="n"/>
      <c r="B902" s="6" t="n"/>
      <c r="C902" s="6" t="n"/>
      <c r="D902" s="6" t="n"/>
      <c r="E902" s="25" t="n"/>
      <c r="F902" s="6" t="n"/>
      <c r="G902" s="6" t="n"/>
    </row>
    <row r="903">
      <c r="A903" s="26" t="n"/>
      <c r="B903" s="6" t="n"/>
      <c r="C903" s="6" t="n"/>
      <c r="D903" s="6" t="n"/>
      <c r="E903" s="25" t="n"/>
      <c r="F903" s="6" t="n"/>
      <c r="G903" s="6" t="n"/>
    </row>
    <row r="904">
      <c r="A904" s="26" t="n"/>
      <c r="B904" s="6" t="n"/>
      <c r="C904" s="6" t="n"/>
      <c r="D904" s="6" t="n"/>
      <c r="E904" s="25" t="n"/>
      <c r="F904" s="6" t="n"/>
      <c r="G904" s="6" t="n"/>
    </row>
    <row r="905">
      <c r="A905" s="26" t="n"/>
      <c r="B905" s="6" t="n"/>
      <c r="C905" s="6" t="n"/>
      <c r="D905" s="6" t="n"/>
      <c r="E905" s="25" t="n"/>
      <c r="F905" s="6" t="n"/>
      <c r="G905" s="6" t="n"/>
    </row>
    <row r="906">
      <c r="A906" s="26" t="n"/>
      <c r="B906" s="6" t="n"/>
      <c r="C906" s="6" t="n"/>
      <c r="D906" s="6" t="n"/>
      <c r="E906" s="25" t="n"/>
      <c r="F906" s="6" t="n"/>
      <c r="G906" s="6" t="n"/>
    </row>
    <row r="907">
      <c r="A907" s="26" t="n"/>
      <c r="B907" s="6" t="n"/>
      <c r="C907" s="6" t="n"/>
      <c r="D907" s="6" t="n"/>
      <c r="E907" s="25" t="n"/>
      <c r="F907" s="6" t="n"/>
      <c r="G907" s="6" t="n"/>
    </row>
    <row r="908">
      <c r="A908" s="26" t="n"/>
      <c r="B908" s="6" t="n"/>
      <c r="C908" s="6" t="n"/>
      <c r="D908" s="6" t="n"/>
      <c r="E908" s="25" t="n"/>
      <c r="F908" s="6" t="n"/>
      <c r="G908" s="6" t="n"/>
    </row>
    <row r="909">
      <c r="A909" s="26" t="n"/>
      <c r="B909" s="6" t="n"/>
      <c r="C909" s="6" t="n"/>
      <c r="D909" s="6" t="n"/>
      <c r="E909" s="25" t="n"/>
      <c r="F909" s="6" t="n"/>
      <c r="G909" s="6" t="n"/>
    </row>
    <row r="910">
      <c r="A910" s="26" t="n"/>
      <c r="B910" s="6" t="n"/>
      <c r="C910" s="6" t="n"/>
      <c r="D910" s="6" t="n"/>
      <c r="E910" s="25" t="n"/>
      <c r="F910" s="6" t="n"/>
      <c r="G910" s="6" t="n"/>
    </row>
    <row r="911">
      <c r="A911" s="26" t="n"/>
      <c r="B911" s="6" t="n"/>
      <c r="C911" s="6" t="n"/>
      <c r="D911" s="6" t="n"/>
      <c r="E911" s="25" t="n"/>
      <c r="F911" s="6" t="n"/>
      <c r="G911" s="6" t="n"/>
    </row>
    <row r="912">
      <c r="A912" s="26" t="n"/>
      <c r="B912" s="6" t="n"/>
      <c r="C912" s="6" t="n"/>
      <c r="D912" s="6" t="n"/>
      <c r="E912" s="25" t="n"/>
      <c r="F912" s="6" t="n"/>
      <c r="G912" s="6" t="n"/>
    </row>
    <row r="913">
      <c r="A913" s="26" t="n"/>
      <c r="B913" s="6" t="n"/>
      <c r="C913" s="6" t="n"/>
      <c r="D913" s="6" t="n"/>
      <c r="E913" s="25" t="n"/>
      <c r="F913" s="6" t="n"/>
      <c r="G913" s="6" t="n"/>
    </row>
    <row r="914">
      <c r="A914" s="26" t="n"/>
      <c r="B914" s="6" t="n"/>
      <c r="C914" s="6" t="n"/>
      <c r="D914" s="6" t="n"/>
      <c r="E914" s="25" t="n"/>
      <c r="F914" s="6" t="n"/>
      <c r="G914" s="6" t="n"/>
    </row>
    <row r="915">
      <c r="A915" s="26" t="n"/>
      <c r="B915" s="6" t="n"/>
      <c r="C915" s="6" t="n"/>
      <c r="D915" s="6" t="n"/>
      <c r="E915" s="25" t="n"/>
      <c r="F915" s="6" t="n"/>
      <c r="G915" s="6" t="n"/>
    </row>
    <row r="916">
      <c r="A916" s="26" t="n"/>
      <c r="B916" s="6" t="n"/>
      <c r="C916" s="6" t="n"/>
      <c r="D916" s="6" t="n"/>
      <c r="E916" s="25" t="n"/>
      <c r="F916" s="6" t="n"/>
      <c r="G916" s="6" t="n"/>
    </row>
    <row r="917">
      <c r="A917" s="26" t="n"/>
      <c r="B917" s="6" t="n"/>
      <c r="C917" s="6" t="n"/>
      <c r="D917" s="6" t="n"/>
      <c r="E917" s="25" t="n"/>
      <c r="F917" s="6" t="n"/>
      <c r="G917" s="6" t="n"/>
    </row>
    <row r="918">
      <c r="A918" s="26" t="n"/>
      <c r="B918" s="6" t="n"/>
      <c r="C918" s="6" t="n"/>
      <c r="D918" s="6" t="n"/>
      <c r="E918" s="25" t="n"/>
      <c r="F918" s="6" t="n"/>
      <c r="G918" s="6" t="n"/>
    </row>
    <row r="919">
      <c r="A919" s="26" t="n"/>
      <c r="B919" s="6" t="n"/>
      <c r="C919" s="6" t="n"/>
      <c r="D919" s="6" t="n"/>
      <c r="E919" s="25" t="n"/>
      <c r="F919" s="6" t="n"/>
      <c r="G919" s="6" t="n"/>
    </row>
    <row r="920">
      <c r="A920" s="26" t="n"/>
      <c r="B920" s="6" t="n"/>
      <c r="C920" s="6" t="n"/>
      <c r="D920" s="6" t="n"/>
      <c r="E920" s="25" t="n"/>
      <c r="F920" s="6" t="n"/>
      <c r="G920" s="6" t="n"/>
    </row>
    <row r="921">
      <c r="A921" s="26" t="n"/>
      <c r="B921" s="6" t="n"/>
      <c r="C921" s="6" t="n"/>
      <c r="D921" s="6" t="n"/>
      <c r="E921" s="25" t="n"/>
      <c r="F921" s="6" t="n"/>
      <c r="G921" s="6" t="n"/>
    </row>
    <row r="922">
      <c r="A922" s="26" t="n"/>
      <c r="B922" s="6" t="n"/>
      <c r="C922" s="6" t="n"/>
      <c r="D922" s="6" t="n"/>
      <c r="E922" s="25" t="n"/>
      <c r="F922" s="6" t="n"/>
      <c r="G922" s="6" t="n"/>
    </row>
    <row r="923">
      <c r="A923" s="26" t="n"/>
      <c r="B923" s="6" t="n"/>
      <c r="C923" s="6" t="n"/>
      <c r="D923" s="6" t="n"/>
      <c r="E923" s="25" t="n"/>
      <c r="F923" s="6" t="n"/>
      <c r="G923" s="6" t="n"/>
    </row>
    <row r="924">
      <c r="A924" s="26" t="n"/>
      <c r="B924" s="6" t="n"/>
      <c r="C924" s="6" t="n"/>
      <c r="D924" s="6" t="n"/>
      <c r="E924" s="25" t="n"/>
      <c r="F924" s="6" t="n"/>
      <c r="G924" s="6" t="n"/>
    </row>
    <row r="925">
      <c r="A925" s="26" t="n"/>
      <c r="B925" s="6" t="n"/>
      <c r="C925" s="6" t="n"/>
      <c r="D925" s="6" t="n"/>
      <c r="E925" s="25" t="n"/>
      <c r="F925" s="6" t="n"/>
      <c r="G925" s="6" t="n"/>
    </row>
    <row r="926">
      <c r="A926" s="26" t="n"/>
      <c r="B926" s="6" t="n"/>
      <c r="C926" s="6" t="n"/>
      <c r="D926" s="6" t="n"/>
      <c r="E926" s="25" t="n"/>
      <c r="F926" s="6" t="n"/>
      <c r="G926" s="6" t="n"/>
    </row>
    <row r="927">
      <c r="A927" s="26" t="n"/>
      <c r="B927" s="6" t="n"/>
      <c r="C927" s="6" t="n"/>
      <c r="D927" s="6" t="n"/>
      <c r="E927" s="25" t="n"/>
      <c r="F927" s="6" t="n"/>
      <c r="G927" s="6" t="n"/>
    </row>
    <row r="928">
      <c r="A928" s="26" t="n"/>
      <c r="B928" s="6" t="n"/>
      <c r="C928" s="6" t="n"/>
      <c r="D928" s="6" t="n"/>
      <c r="E928" s="25" t="n"/>
      <c r="F928" s="6" t="n"/>
      <c r="G928" s="6" t="n"/>
    </row>
    <row r="929">
      <c r="A929" s="26" t="n"/>
      <c r="B929" s="6" t="n"/>
      <c r="C929" s="6" t="n"/>
      <c r="D929" s="6" t="n"/>
      <c r="E929" s="25" t="n"/>
      <c r="F929" s="6" t="n"/>
      <c r="G929" s="6" t="n"/>
    </row>
    <row r="930">
      <c r="A930" s="26" t="n"/>
      <c r="B930" s="6" t="n"/>
      <c r="C930" s="6" t="n"/>
      <c r="D930" s="6" t="n"/>
      <c r="E930" s="25" t="n"/>
      <c r="F930" s="6" t="n"/>
      <c r="G930" s="6" t="n"/>
    </row>
    <row r="931">
      <c r="A931" s="26" t="n"/>
      <c r="B931" s="6" t="n"/>
      <c r="C931" s="6" t="n"/>
      <c r="D931" s="6" t="n"/>
      <c r="E931" s="25" t="n"/>
      <c r="F931" s="6" t="n"/>
      <c r="G931" s="6" t="n"/>
    </row>
    <row r="932">
      <c r="A932" s="26" t="n"/>
      <c r="B932" s="6" t="n"/>
      <c r="C932" s="6" t="n"/>
      <c r="D932" s="6" t="n"/>
      <c r="E932" s="25" t="n"/>
      <c r="F932" s="6" t="n"/>
      <c r="G932" s="6" t="n"/>
    </row>
    <row r="933">
      <c r="A933" s="26" t="n"/>
      <c r="B933" s="6" t="n"/>
      <c r="C933" s="6" t="n"/>
      <c r="D933" s="6" t="n"/>
      <c r="E933" s="25" t="n"/>
      <c r="F933" s="6" t="n"/>
      <c r="G933" s="6" t="n"/>
    </row>
    <row r="934">
      <c r="A934" s="26" t="n"/>
      <c r="B934" s="6" t="n"/>
      <c r="C934" s="6" t="n"/>
      <c r="D934" s="6" t="n"/>
      <c r="E934" s="25" t="n"/>
      <c r="F934" s="6" t="n"/>
      <c r="G934" s="6" t="n"/>
    </row>
    <row r="935">
      <c r="A935" s="26" t="n"/>
      <c r="B935" s="6" t="n"/>
      <c r="C935" s="6" t="n"/>
      <c r="D935" s="6" t="n"/>
      <c r="E935" s="25" t="n"/>
      <c r="F935" s="6" t="n"/>
      <c r="G935" s="6" t="n"/>
    </row>
    <row r="936">
      <c r="A936" s="26" t="n"/>
      <c r="B936" s="6" t="n"/>
      <c r="C936" s="6" t="n"/>
      <c r="D936" s="6" t="n"/>
      <c r="E936" s="25" t="n"/>
      <c r="F936" s="6" t="n"/>
      <c r="G936" s="6" t="n"/>
    </row>
    <row r="937">
      <c r="A937" s="26" t="n"/>
      <c r="B937" s="6" t="n"/>
      <c r="C937" s="6" t="n"/>
      <c r="D937" s="6" t="n"/>
      <c r="E937" s="25" t="n"/>
      <c r="F937" s="6" t="n"/>
      <c r="G937" s="6" t="n"/>
    </row>
    <row r="938">
      <c r="A938" s="26" t="n"/>
      <c r="B938" s="6" t="n"/>
      <c r="C938" s="6" t="n"/>
      <c r="D938" s="6" t="n"/>
      <c r="E938" s="25" t="n"/>
      <c r="F938" s="6" t="n"/>
      <c r="G938" s="6" t="n"/>
    </row>
    <row r="939">
      <c r="A939" s="26" t="n"/>
      <c r="B939" s="6" t="n"/>
      <c r="C939" s="6" t="n"/>
      <c r="D939" s="6" t="n"/>
      <c r="E939" s="25" t="n"/>
      <c r="F939" s="6" t="n"/>
      <c r="G939" s="6" t="n"/>
    </row>
    <row r="940">
      <c r="A940" s="26" t="n"/>
      <c r="B940" s="6" t="n"/>
      <c r="C940" s="6" t="n"/>
      <c r="D940" s="6" t="n"/>
      <c r="E940" s="25" t="n"/>
      <c r="F940" s="6" t="n"/>
      <c r="G940" s="6" t="n"/>
    </row>
    <row r="941">
      <c r="A941" s="26" t="n"/>
      <c r="B941" s="6" t="n"/>
      <c r="C941" s="6" t="n"/>
      <c r="D941" s="6" t="n"/>
      <c r="E941" s="25" t="n"/>
      <c r="F941" s="6" t="n"/>
      <c r="G941" s="6" t="n"/>
    </row>
    <row r="942">
      <c r="A942" s="26" t="n"/>
      <c r="B942" s="6" t="n"/>
      <c r="C942" s="6" t="n"/>
      <c r="D942" s="6" t="n"/>
      <c r="E942" s="25" t="n"/>
      <c r="F942" s="6" t="n"/>
      <c r="G942" s="6" t="n"/>
    </row>
    <row r="943">
      <c r="A943" s="26" t="n"/>
      <c r="B943" s="6" t="n"/>
      <c r="C943" s="6" t="n"/>
      <c r="D943" s="6" t="n"/>
      <c r="E943" s="25" t="n"/>
      <c r="F943" s="6" t="n"/>
      <c r="G943" s="6" t="n"/>
    </row>
    <row r="944">
      <c r="A944" s="26" t="n"/>
      <c r="B944" s="6" t="n"/>
      <c r="C944" s="6" t="n"/>
      <c r="D944" s="6" t="n"/>
      <c r="E944" s="25" t="n"/>
      <c r="F944" s="6" t="n"/>
      <c r="G944" s="6" t="n"/>
    </row>
    <row r="945">
      <c r="A945" s="26" t="n"/>
      <c r="B945" s="6" t="n"/>
      <c r="C945" s="6" t="n"/>
      <c r="D945" s="6" t="n"/>
      <c r="E945" s="25" t="n"/>
      <c r="F945" s="6" t="n"/>
      <c r="G945" s="6" t="n"/>
    </row>
    <row r="946">
      <c r="A946" s="26" t="n"/>
      <c r="B946" s="6" t="n"/>
      <c r="C946" s="6" t="n"/>
      <c r="D946" s="6" t="n"/>
      <c r="E946" s="25" t="n"/>
      <c r="F946" s="6" t="n"/>
      <c r="G946" s="6" t="n"/>
    </row>
    <row r="947">
      <c r="A947" s="26" t="n"/>
      <c r="B947" s="6" t="n"/>
      <c r="C947" s="6" t="n"/>
      <c r="D947" s="6" t="n"/>
      <c r="E947" s="25" t="n"/>
      <c r="F947" s="6" t="n"/>
      <c r="G947" s="6" t="n"/>
    </row>
    <row r="948">
      <c r="A948" s="26" t="n"/>
      <c r="B948" s="6" t="n"/>
      <c r="C948" s="6" t="n"/>
      <c r="D948" s="6" t="n"/>
      <c r="E948" s="25" t="n"/>
      <c r="F948" s="6" t="n"/>
      <c r="G948" s="6" t="n"/>
    </row>
    <row r="949">
      <c r="A949" s="26" t="n"/>
      <c r="B949" s="6" t="n"/>
      <c r="C949" s="6" t="n"/>
      <c r="D949" s="6" t="n"/>
      <c r="E949" s="25" t="n"/>
      <c r="F949" s="6" t="n"/>
      <c r="G949" s="6" t="n"/>
    </row>
    <row r="950">
      <c r="A950" s="26" t="n"/>
      <c r="B950" s="6" t="n"/>
      <c r="C950" s="6" t="n"/>
      <c r="D950" s="6" t="n"/>
      <c r="E950" s="25" t="n"/>
      <c r="F950" s="6" t="n"/>
      <c r="G950" s="6" t="n"/>
    </row>
    <row r="951">
      <c r="A951" s="26" t="n"/>
      <c r="B951" s="6" t="n"/>
      <c r="C951" s="6" t="n"/>
      <c r="D951" s="6" t="n"/>
      <c r="E951" s="25" t="n"/>
      <c r="F951" s="6" t="n"/>
      <c r="G951" s="6" t="n"/>
    </row>
    <row r="952">
      <c r="A952" s="26" t="n"/>
      <c r="B952" s="6" t="n"/>
      <c r="C952" s="6" t="n"/>
      <c r="D952" s="6" t="n"/>
      <c r="E952" s="25" t="n"/>
      <c r="F952" s="6" t="n"/>
      <c r="G952" s="6" t="n"/>
    </row>
    <row r="953">
      <c r="A953" s="26" t="n"/>
      <c r="B953" s="6" t="n"/>
      <c r="C953" s="6" t="n"/>
      <c r="D953" s="6" t="n"/>
      <c r="E953" s="25" t="n"/>
      <c r="F953" s="6" t="n"/>
      <c r="G953" s="6" t="n"/>
    </row>
    <row r="954">
      <c r="A954" s="26" t="n"/>
      <c r="B954" s="6" t="n"/>
      <c r="C954" s="6" t="n"/>
      <c r="D954" s="6" t="n"/>
      <c r="E954" s="25" t="n"/>
      <c r="F954" s="6" t="n"/>
      <c r="G954" s="6" t="n"/>
    </row>
    <row r="955">
      <c r="A955" s="26" t="n"/>
      <c r="B955" s="6" t="n"/>
      <c r="C955" s="6" t="n"/>
      <c r="D955" s="6" t="n"/>
      <c r="E955" s="25" t="n"/>
      <c r="F955" s="6" t="n"/>
      <c r="G955" s="6" t="n"/>
    </row>
    <row r="956">
      <c r="A956" s="26" t="n"/>
      <c r="B956" s="6" t="n"/>
      <c r="C956" s="6" t="n"/>
      <c r="D956" s="6" t="n"/>
      <c r="E956" s="25" t="n"/>
      <c r="F956" s="6" t="n"/>
      <c r="G956" s="6" t="n"/>
    </row>
    <row r="957">
      <c r="A957" s="26" t="n"/>
      <c r="B957" s="6" t="n"/>
      <c r="C957" s="6" t="n"/>
      <c r="D957" s="6" t="n"/>
      <c r="E957" s="25" t="n"/>
      <c r="F957" s="6" t="n"/>
      <c r="G957" s="6" t="n"/>
    </row>
    <row r="958">
      <c r="A958" s="26" t="n"/>
      <c r="B958" s="6" t="n"/>
      <c r="C958" s="6" t="n"/>
      <c r="D958" s="6" t="n"/>
      <c r="E958" s="25" t="n"/>
      <c r="F958" s="6" t="n"/>
      <c r="G958" s="6" t="n"/>
    </row>
    <row r="959">
      <c r="A959" s="26" t="n"/>
      <c r="B959" s="6" t="n"/>
      <c r="C959" s="6" t="n"/>
      <c r="D959" s="6" t="n"/>
      <c r="E959" s="25" t="n"/>
      <c r="F959" s="6" t="n"/>
      <c r="G959" s="6" t="n"/>
    </row>
    <row r="960">
      <c r="A960" s="26" t="n"/>
      <c r="B960" s="6" t="n"/>
      <c r="C960" s="6" t="n"/>
      <c r="D960" s="6" t="n"/>
      <c r="E960" s="25" t="n"/>
      <c r="F960" s="6" t="n"/>
      <c r="G960" s="6" t="n"/>
    </row>
    <row r="961">
      <c r="A961" s="26" t="n"/>
      <c r="B961" s="6" t="n"/>
      <c r="C961" s="6" t="n"/>
      <c r="D961" s="6" t="n"/>
      <c r="E961" s="25" t="n"/>
      <c r="F961" s="6" t="n"/>
      <c r="G961" s="6" t="n"/>
    </row>
    <row r="962">
      <c r="A962" s="26" t="n"/>
      <c r="B962" s="6" t="n"/>
      <c r="C962" s="6" t="n"/>
      <c r="D962" s="6" t="n"/>
      <c r="E962" s="25" t="n"/>
      <c r="F962" s="6" t="n"/>
      <c r="G962" s="6" t="n"/>
    </row>
    <row r="963">
      <c r="A963" s="26" t="n"/>
      <c r="B963" s="6" t="n"/>
      <c r="C963" s="6" t="n"/>
      <c r="D963" s="6" t="n"/>
      <c r="E963" s="25" t="n"/>
      <c r="F963" s="6" t="n"/>
      <c r="G963" s="6" t="n"/>
    </row>
    <row r="964">
      <c r="A964" s="26" t="n"/>
      <c r="B964" s="6" t="n"/>
      <c r="C964" s="6" t="n"/>
      <c r="D964" s="6" t="n"/>
      <c r="E964" s="25" t="n"/>
      <c r="F964" s="6" t="n"/>
      <c r="G964" s="6" t="n"/>
    </row>
    <row r="965">
      <c r="A965" s="26" t="n"/>
      <c r="B965" s="6" t="n"/>
      <c r="C965" s="6" t="n"/>
      <c r="D965" s="6" t="n"/>
      <c r="E965" s="25" t="n"/>
      <c r="F965" s="6" t="n"/>
      <c r="G965" s="6" t="n"/>
    </row>
    <row r="966">
      <c r="A966" s="26" t="n"/>
      <c r="B966" s="6" t="n"/>
      <c r="C966" s="6" t="n"/>
      <c r="D966" s="6" t="n"/>
      <c r="E966" s="25" t="n"/>
      <c r="F966" s="6" t="n"/>
      <c r="G966" s="6" t="n"/>
    </row>
    <row r="967">
      <c r="A967" s="26" t="n"/>
      <c r="B967" s="6" t="n"/>
      <c r="C967" s="6" t="n"/>
      <c r="D967" s="6" t="n"/>
      <c r="E967" s="25" t="n"/>
      <c r="F967" s="6" t="n"/>
      <c r="G967" s="6" t="n"/>
    </row>
    <row r="968">
      <c r="A968" s="26" t="n"/>
      <c r="B968" s="6" t="n"/>
      <c r="C968" s="6" t="n"/>
      <c r="D968" s="6" t="n"/>
      <c r="E968" s="25" t="n"/>
      <c r="F968" s="6" t="n"/>
      <c r="G968" s="6" t="n"/>
    </row>
    <row r="969">
      <c r="A969" s="26" t="n"/>
      <c r="B969" s="6" t="n"/>
      <c r="C969" s="6" t="n"/>
      <c r="D969" s="6" t="n"/>
      <c r="E969" s="25" t="n"/>
      <c r="F969" s="6" t="n"/>
      <c r="G969" s="6" t="n"/>
    </row>
    <row r="970">
      <c r="A970" s="26" t="n"/>
      <c r="B970" s="6" t="n"/>
      <c r="C970" s="6" t="n"/>
      <c r="D970" s="6" t="n"/>
      <c r="E970" s="25" t="n"/>
      <c r="F970" s="6" t="n"/>
      <c r="G970" s="6" t="n"/>
    </row>
    <row r="971">
      <c r="A971" s="26" t="n"/>
      <c r="B971" s="6" t="n"/>
      <c r="C971" s="6" t="n"/>
      <c r="D971" s="6" t="n"/>
      <c r="E971" s="25" t="n"/>
      <c r="F971" s="6" t="n"/>
      <c r="G971" s="6" t="n"/>
    </row>
    <row r="972">
      <c r="A972" s="26" t="n"/>
      <c r="B972" s="6" t="n"/>
      <c r="C972" s="6" t="n"/>
      <c r="D972" s="6" t="n"/>
      <c r="E972" s="25" t="n"/>
      <c r="F972" s="6" t="n"/>
      <c r="G972" s="6" t="n"/>
    </row>
    <row r="973">
      <c r="A973" s="26" t="n"/>
      <c r="B973" s="6" t="n"/>
      <c r="C973" s="6" t="n"/>
      <c r="D973" s="6" t="n"/>
      <c r="E973" s="25" t="n"/>
      <c r="F973" s="6" t="n"/>
      <c r="G973" s="6" t="n"/>
    </row>
    <row r="974">
      <c r="A974" s="26" t="n"/>
      <c r="B974" s="6" t="n"/>
      <c r="C974" s="6" t="n"/>
      <c r="D974" s="6" t="n"/>
      <c r="E974" s="25" t="n"/>
      <c r="F974" s="6" t="n"/>
      <c r="G974" s="6" t="n"/>
    </row>
    <row r="975">
      <c r="A975" s="26" t="n"/>
      <c r="B975" s="6" t="n"/>
      <c r="C975" s="6" t="n"/>
      <c r="D975" s="6" t="n"/>
      <c r="E975" s="25" t="n"/>
      <c r="F975" s="6" t="n"/>
      <c r="G975" s="6" t="n"/>
    </row>
    <row r="976">
      <c r="A976" s="26" t="n"/>
      <c r="B976" s="6" t="n"/>
      <c r="C976" s="6" t="n"/>
      <c r="D976" s="6" t="n"/>
      <c r="E976" s="25" t="n"/>
      <c r="F976" s="6" t="n"/>
      <c r="G976" s="6" t="n"/>
    </row>
    <row r="977">
      <c r="A977" s="26" t="n"/>
      <c r="B977" s="6" t="n"/>
      <c r="C977" s="6" t="n"/>
      <c r="D977" s="6" t="n"/>
      <c r="E977" s="25" t="n"/>
      <c r="F977" s="6" t="n"/>
      <c r="G977" s="6" t="n"/>
    </row>
    <row r="978">
      <c r="A978" s="26" t="n"/>
      <c r="B978" s="6" t="n"/>
      <c r="C978" s="6" t="n"/>
      <c r="D978" s="6" t="n"/>
      <c r="E978" s="25" t="n"/>
      <c r="F978" s="6" t="n"/>
      <c r="G978" s="6" t="n"/>
    </row>
    <row r="979">
      <c r="A979" s="26" t="n"/>
      <c r="B979" s="6" t="n"/>
      <c r="C979" s="6" t="n"/>
      <c r="D979" s="6" t="n"/>
      <c r="E979" s="25" t="n"/>
      <c r="F979" s="6" t="n"/>
      <c r="G979" s="6" t="n"/>
    </row>
    <row r="980">
      <c r="A980" s="26" t="n"/>
      <c r="B980" s="6" t="n"/>
      <c r="C980" s="6" t="n"/>
      <c r="D980" s="6" t="n"/>
      <c r="E980" s="25" t="n"/>
      <c r="F980" s="6" t="n"/>
      <c r="G980" s="6" t="n"/>
    </row>
    <row r="981">
      <c r="A981" s="26" t="n"/>
      <c r="B981" s="6" t="n"/>
      <c r="C981" s="6" t="n"/>
      <c r="D981" s="6" t="n"/>
      <c r="E981" s="25" t="n"/>
      <c r="F981" s="6" t="n"/>
      <c r="G981" s="6" t="n"/>
    </row>
    <row r="982">
      <c r="A982" s="26" t="n"/>
      <c r="B982" s="6" t="n"/>
      <c r="C982" s="6" t="n"/>
      <c r="D982" s="6" t="n"/>
      <c r="E982" s="25" t="n"/>
      <c r="F982" s="6" t="n"/>
      <c r="G982" s="6" t="n"/>
    </row>
    <row r="983">
      <c r="A983" s="26" t="n"/>
      <c r="B983" s="6" t="n"/>
      <c r="C983" s="6" t="n"/>
      <c r="D983" s="6" t="n"/>
      <c r="E983" s="25" t="n"/>
      <c r="F983" s="6" t="n"/>
      <c r="G983" s="6" t="n"/>
    </row>
    <row r="984">
      <c r="A984" s="26" t="n"/>
      <c r="B984" s="6" t="n"/>
      <c r="C984" s="6" t="n"/>
      <c r="D984" s="6" t="n"/>
      <c r="E984" s="25" t="n"/>
      <c r="F984" s="6" t="n"/>
      <c r="G984" s="6" t="n"/>
    </row>
    <row r="985">
      <c r="A985" s="26" t="n"/>
      <c r="B985" s="6" t="n"/>
      <c r="C985" s="6" t="n"/>
      <c r="D985" s="6" t="n"/>
      <c r="E985" s="25" t="n"/>
      <c r="F985" s="6" t="n"/>
      <c r="G985" s="6" t="n"/>
    </row>
    <row r="986">
      <c r="A986" s="26" t="n"/>
      <c r="B986" s="6" t="n"/>
      <c r="C986" s="6" t="n"/>
      <c r="D986" s="6" t="n"/>
      <c r="E986" s="25" t="n"/>
      <c r="F986" s="6" t="n"/>
      <c r="G986" s="6" t="n"/>
    </row>
    <row r="987">
      <c r="A987" s="26" t="n"/>
      <c r="B987" s="6" t="n"/>
      <c r="C987" s="6" t="n"/>
      <c r="D987" s="6" t="n"/>
      <c r="E987" s="25" t="n"/>
      <c r="F987" s="6" t="n"/>
      <c r="G987" s="6" t="n"/>
    </row>
    <row r="988">
      <c r="A988" s="26" t="n"/>
      <c r="B988" s="6" t="n"/>
      <c r="C988" s="6" t="n"/>
      <c r="D988" s="6" t="n"/>
      <c r="E988" s="25" t="n"/>
      <c r="F988" s="6" t="n"/>
      <c r="G988" s="6" t="n"/>
    </row>
    <row r="989">
      <c r="A989" s="26" t="n"/>
      <c r="B989" s="6" t="n"/>
      <c r="C989" s="6" t="n"/>
      <c r="D989" s="6" t="n"/>
      <c r="E989" s="25" t="n"/>
      <c r="F989" s="6" t="n"/>
      <c r="G989" s="6" t="n"/>
    </row>
    <row r="990">
      <c r="A990" s="26" t="n"/>
      <c r="B990" s="6" t="n"/>
      <c r="C990" s="6" t="n"/>
      <c r="D990" s="6" t="n"/>
      <c r="E990" s="25" t="n"/>
      <c r="F990" s="6" t="n"/>
      <c r="G990" s="6" t="n"/>
    </row>
    <row r="991">
      <c r="A991" s="26" t="n"/>
      <c r="B991" s="6" t="n"/>
      <c r="C991" s="6" t="n"/>
      <c r="D991" s="6" t="n"/>
      <c r="E991" s="25" t="n"/>
      <c r="F991" s="6" t="n"/>
      <c r="G991" s="6" t="n"/>
    </row>
    <row r="992">
      <c r="A992" s="26" t="n"/>
      <c r="B992" s="6" t="n"/>
      <c r="C992" s="6" t="n"/>
      <c r="D992" s="6" t="n"/>
      <c r="E992" s="25" t="n"/>
      <c r="F992" s="6" t="n"/>
      <c r="G992" s="6" t="n"/>
    </row>
    <row r="993">
      <c r="A993" s="26" t="n"/>
      <c r="B993" s="6" t="n"/>
      <c r="C993" s="6" t="n"/>
      <c r="D993" s="6" t="n"/>
      <c r="E993" s="25" t="n"/>
      <c r="F993" s="6" t="n"/>
      <c r="G993" s="6" t="n"/>
    </row>
    <row r="994">
      <c r="A994" s="26" t="n"/>
      <c r="B994" s="6" t="n"/>
      <c r="C994" s="6" t="n"/>
      <c r="D994" s="6" t="n"/>
      <c r="E994" s="25" t="n"/>
      <c r="F994" s="6" t="n"/>
      <c r="G994" s="6" t="n"/>
    </row>
    <row r="995">
      <c r="A995" s="26" t="n"/>
      <c r="B995" s="6" t="n"/>
      <c r="C995" s="6" t="n"/>
      <c r="D995" s="6" t="n"/>
      <c r="E995" s="25" t="n"/>
      <c r="F995" s="6" t="n"/>
      <c r="G995" s="6" t="n"/>
    </row>
    <row r="996">
      <c r="A996" s="26" t="n"/>
      <c r="B996" s="6" t="n"/>
      <c r="C996" s="6" t="n"/>
      <c r="D996" s="6" t="n"/>
      <c r="E996" s="25" t="n"/>
      <c r="F996" s="6" t="n"/>
      <c r="G996" s="6" t="n"/>
    </row>
    <row r="997">
      <c r="A997" s="26" t="n"/>
      <c r="B997" s="6" t="n"/>
      <c r="C997" s="6" t="n"/>
      <c r="D997" s="6" t="n"/>
      <c r="E997" s="25" t="n"/>
      <c r="F997" s="6" t="n"/>
      <c r="G997" s="6" t="n"/>
    </row>
    <row r="998">
      <c r="A998" s="26" t="n"/>
      <c r="B998" s="6" t="n"/>
      <c r="C998" s="6" t="n"/>
      <c r="D998" s="6" t="n"/>
      <c r="E998" s="25" t="n"/>
      <c r="F998" s="6" t="n"/>
      <c r="G998" s="6" t="n"/>
    </row>
    <row r="999">
      <c r="A999" s="26" t="n"/>
      <c r="B999" s="6" t="n"/>
      <c r="C999" s="6" t="n"/>
      <c r="D999" s="6" t="n"/>
      <c r="E999" s="25" t="n"/>
      <c r="F999" s="6" t="n"/>
      <c r="G999" s="6" t="n"/>
    </row>
    <row r="1000">
      <c r="A1000" s="26" t="n"/>
      <c r="B1000" s="6" t="n"/>
      <c r="C1000" s="6" t="n"/>
      <c r="D1000" s="6" t="n"/>
      <c r="E1000" s="25" t="n"/>
      <c r="F1000" s="6" t="n"/>
      <c r="G1000" s="6" t="n"/>
    </row>
    <row r="1001">
      <c r="A1001" s="26" t="n"/>
      <c r="B1001" s="6" t="n"/>
      <c r="C1001" s="6" t="n"/>
      <c r="D1001" s="6" t="n"/>
      <c r="E1001" s="25" t="n"/>
      <c r="F1001" s="6" t="n"/>
      <c r="G1001" s="6" t="n"/>
    </row>
    <row r="1002">
      <c r="A1002" s="26" t="n"/>
      <c r="B1002" s="6" t="n"/>
      <c r="C1002" s="6" t="n"/>
      <c r="D1002" s="6" t="n"/>
      <c r="E1002" s="25" t="n"/>
      <c r="F1002" s="6" t="n"/>
      <c r="G1002" s="6" t="n"/>
    </row>
    <row r="1003">
      <c r="A1003" s="26" t="n"/>
      <c r="B1003" s="6" t="n"/>
      <c r="C1003" s="6" t="n"/>
      <c r="D1003" s="6" t="n"/>
      <c r="E1003" s="25" t="n"/>
      <c r="F1003" s="6" t="n"/>
      <c r="G1003" s="6" t="n"/>
    </row>
    <row r="1004">
      <c r="A1004" s="26" t="n"/>
      <c r="B1004" s="6" t="n"/>
      <c r="C1004" s="6" t="n"/>
      <c r="D1004" s="6" t="n"/>
      <c r="E1004" s="25" t="n"/>
      <c r="F1004" s="6" t="n"/>
      <c r="G1004" s="6" t="n"/>
    </row>
  </sheetData>
  <autoFilter ref="A4:G1004"/>
  <dataValidations count="3">
    <dataValidation sqref="B5:B1004" showDropDown="0" showInputMessage="0" showErrorMessage="0" allowBlank="1" type="list">
      <formula1>Settings!$H$4:$H$14</formula1>
    </dataValidation>
    <dataValidation sqref="F5:F1004" showDropDown="0" showInputMessage="0" showErrorMessage="0" allowBlank="1" type="list">
      <formula1>Settings!$H$18:$H$24</formula1>
    </dataValidation>
    <dataValidation sqref="G5:G100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474F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" customWidth="1" min="3" max="3"/>
    <col width="24" customWidth="1" min="4" max="4"/>
    <col width="12" customWidth="1" min="5" max="5"/>
  </cols>
  <sheetData>
    <row r="1" ht="30" customHeight="1">
      <c r="A1" s="1" t="inlineStr">
        <is>
          <t>Quote Calculator</t>
        </is>
      </c>
    </row>
    <row r="2">
      <c r="A2" s="2" t="inlineStr">
        <is>
          <t>Price a new client in under a minute. Change the yellow cells.</t>
        </is>
      </c>
    </row>
    <row r="3">
      <c r="D3" s="31" t="inlineStr">
        <is>
          <t>Add-ons (Yes/No)</t>
        </is>
      </c>
    </row>
    <row r="4">
      <c r="A4" s="7" t="inlineStr">
        <is>
          <t>Service</t>
        </is>
      </c>
      <c r="B4" s="6" t="inlineStr">
        <is>
          <t>Driveway Plow</t>
        </is>
      </c>
      <c r="D4" s="8">
        <f>IF(Settings!D24="","",Settings!D24)</f>
        <v/>
      </c>
      <c r="E4" s="6" t="inlineStr">
        <is>
          <t>No</t>
        </is>
      </c>
    </row>
    <row r="5">
      <c r="A5" s="7" t="inlineStr">
        <is>
          <t>Area to clear (sq ft)</t>
        </is>
      </c>
      <c r="B5" s="32" t="n">
        <v>2000</v>
      </c>
      <c r="D5" s="8">
        <f>IF(Settings!D25="","",Settings!D25)</f>
        <v/>
      </c>
      <c r="E5" s="6" t="inlineStr">
        <is>
          <t>Yes</t>
        </is>
      </c>
    </row>
    <row r="6">
      <c r="A6" s="7" t="inlineStr">
        <is>
          <t>Snow depth tier (1 under 6 in, 2 6-12 in, 3 12 in+)</t>
        </is>
      </c>
      <c r="B6" s="32" t="n">
        <v>1</v>
      </c>
      <c r="D6" s="8">
        <f>IF(Settings!D26="","",Settings!D26)</f>
        <v/>
      </c>
      <c r="E6" s="6" t="inlineStr">
        <is>
          <t>No</t>
        </is>
      </c>
    </row>
    <row r="7">
      <c r="A7" s="7" t="inlineStr">
        <is>
          <t>Obstacles (parked cars, gates, tight turns)</t>
        </is>
      </c>
      <c r="B7" s="32" t="n">
        <v>1</v>
      </c>
      <c r="D7" s="8">
        <f>IF(Settings!D27="","",Settings!D27)</f>
        <v/>
      </c>
      <c r="E7" s="6" t="inlineStr">
        <is>
          <t>No</t>
        </is>
      </c>
    </row>
    <row r="8">
      <c r="A8" s="7" t="inlineStr">
        <is>
          <t>Contract type</t>
        </is>
      </c>
      <c r="B8" s="6" t="inlineStr">
        <is>
          <t>Seasonal contract</t>
        </is>
      </c>
      <c r="D8" s="8">
        <f>IF(Settings!D28="","",Settings!D28)</f>
        <v/>
      </c>
      <c r="E8" s="6" t="inlineStr">
        <is>
          <t>No</t>
        </is>
      </c>
    </row>
    <row r="9">
      <c r="D9" s="8">
        <f>IF(Settings!D29="","",Settings!D29)</f>
        <v/>
      </c>
      <c r="E9" s="6" t="inlineStr">
        <is>
          <t>No</t>
        </is>
      </c>
    </row>
    <row r="11">
      <c r="A11" s="31" t="inlineStr">
        <is>
          <t>RESULT</t>
        </is>
      </c>
    </row>
    <row r="12">
      <c r="A12" s="7" t="inlineStr">
        <is>
          <t>Base price</t>
        </is>
      </c>
      <c r="B12" s="27">
        <f>IFERROR(INDEX(Settings!$E$5:$E$12,MATCH(B4,Settings!$D$5:$D$12,0)),0)</f>
        <v/>
      </c>
    </row>
    <row r="13">
      <c r="A13" s="7" t="inlineStr">
        <is>
          <t>Snow depth adjustment</t>
        </is>
      </c>
      <c r="B13" s="27">
        <f>MAX(0,B6-1)*Settings!$E$15</f>
        <v/>
      </c>
    </row>
    <row r="14">
      <c r="A14" s="7" t="inlineStr">
        <is>
          <t>Obstacle adjustment</t>
        </is>
      </c>
      <c r="B14" s="27">
        <f>MAX(0,B7)*Settings!$E$16</f>
        <v/>
      </c>
    </row>
    <row r="15">
      <c r="A15" s="7" t="inlineStr">
        <is>
          <t>Area adjustment</t>
        </is>
      </c>
      <c r="B15" s="27">
        <f>MAX(0,ROUNDUP((B5-1500)/1000,0))*Settings!$E$17</f>
        <v/>
      </c>
    </row>
    <row r="16">
      <c r="A16" s="7" t="inlineStr">
        <is>
          <t>Add-ons</t>
        </is>
      </c>
      <c r="B16" s="27">
        <f>SUMIFS(Settings!$E$24:$E$29,Settings!$D$24:$D$29,"&lt;&gt;",E4:E9,"Yes")</f>
        <v/>
      </c>
    </row>
    <row r="17">
      <c r="A17" s="7" t="inlineStr">
        <is>
          <t>Subtotal</t>
        </is>
      </c>
      <c r="B17" s="27">
        <f>SUM(B12:B16)</f>
        <v/>
      </c>
    </row>
    <row r="18">
      <c r="A18" s="7" t="inlineStr">
        <is>
          <t>Contract discount</t>
        </is>
      </c>
      <c r="B18" s="27">
        <f>-B17*IFERROR(INDEX(Settings!$F$33:$F$37,MATCH(B8,Settings!$D$33:$D$37,0)),0)</f>
        <v/>
      </c>
    </row>
    <row r="19">
      <c r="A19" s="33" t="inlineStr">
        <is>
          <t>QUOTE PRICE (per push)</t>
        </is>
      </c>
      <c r="B19" s="34">
        <f>ROUND(B17+B18,0)</f>
        <v/>
      </c>
    </row>
    <row r="21">
      <c r="A21" s="7" t="inlineStr">
        <is>
          <t>Estimated hours</t>
        </is>
      </c>
      <c r="B21" s="35">
        <f>IFERROR(INDEX(Settings!$F$5:$F$12,MATCH(B4,Settings!$D$5:$D$12,0)),0)+MAX(0,B6-1)*Settings!$E$18+MAX(0,B7)*Settings!$E$19+MAX(0,ROUNDUP((B5-1500)/1000,0))*Settings!$E$20+SUMIFS(Settings!$F$24:$F$29,Settings!$D$24:$D$29,"&lt;&gt;",E4:E9,"Yes")</f>
        <v/>
      </c>
    </row>
    <row r="22">
      <c r="A22" s="7" t="inlineStr">
        <is>
          <t>Labor cost</t>
        </is>
      </c>
      <c r="B22" s="27">
        <f>B21*Settings!$B$8</f>
        <v/>
      </c>
    </row>
    <row r="23">
      <c r="A23" s="7" t="inlineStr">
        <is>
          <t>Profit before supplies &amp; travel</t>
        </is>
      </c>
      <c r="B23" s="27">
        <f>B19-B22</f>
        <v/>
      </c>
    </row>
    <row r="24">
      <c r="A24" s="7" t="inlineStr">
        <is>
          <t>Effective rate per hour</t>
        </is>
      </c>
      <c r="B24" s="27">
        <f>IF(B21=0,0,B19/B21)</f>
        <v/>
      </c>
    </row>
    <row r="25">
      <c r="A25" s="7" t="inlineStr">
        <is>
          <t>Season contract price (x avg pushes)</t>
        </is>
      </c>
      <c r="B25" s="27">
        <f>B19*Settings!$B$12</f>
        <v/>
      </c>
    </row>
    <row r="26">
      <c r="A26" s="2" t="inlineStr">
        <is>
          <t>Quote factors and add-on prices are set in Settings. The defaults are examples — set your own rates.</t>
        </is>
      </c>
    </row>
  </sheetData>
  <dataValidations count="3">
    <dataValidation sqref="B4" showDropDown="0" showInputMessage="0" showErrorMessage="0" allowBlank="0" type="list">
      <formula1>Settings!$D$5:$D$12</formula1>
    </dataValidation>
    <dataValidation sqref="B8" showDropDown="0" showInputMessage="0" showErrorMessage="0" allowBlank="0" type="list">
      <formula1>Settings!$D$33:$D$37</formula1>
    </dataValidation>
    <dataValidation sqref="E4:E9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474F"/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16" customWidth="1" min="5" max="5"/>
  </cols>
  <sheetData>
    <row r="1" ht="30" customHeight="1">
      <c r="A1" s="1" t="inlineStr">
        <is>
          <t>Invoice</t>
        </is>
      </c>
      <c r="D1" s="36" t="inlineStr">
        <is>
          <t>INVOICE</t>
        </is>
      </c>
    </row>
    <row r="2">
      <c r="A2" s="2" t="inlineStr">
        <is>
          <t>Type a Job ID in the yellow cell. Print or download as PDF.</t>
        </is>
      </c>
    </row>
    <row r="4">
      <c r="A4" s="4" t="inlineStr">
        <is>
          <t>Job ID →</t>
        </is>
      </c>
      <c r="B4" s="6" t="inlineStr">
        <is>
          <t>J-0003</t>
        </is>
      </c>
    </row>
    <row r="6">
      <c r="A6" s="37">
        <f>Settings!B4</f>
        <v/>
      </c>
      <c r="B6" s="7" t="n"/>
      <c r="C6" s="7" t="n"/>
      <c r="D6" s="7" t="inlineStr">
        <is>
          <t>Invoice #</t>
        </is>
      </c>
      <c r="E6" s="7">
        <f>IF(A12="","","INV-"&amp;MID(B4,3,10))</f>
        <v/>
      </c>
    </row>
    <row r="7">
      <c r="A7" s="7">
        <f>Settings!B5</f>
        <v/>
      </c>
      <c r="B7" s="7" t="n"/>
      <c r="C7" s="7" t="n"/>
      <c r="D7" s="7" t="inlineStr">
        <is>
          <t>Service date</t>
        </is>
      </c>
      <c r="E7" s="38">
        <f>IFERROR(INDEX(Jobs!$B$5:$B$1004,MATCH($B$4,Jobs!$A$5:$A$1004,0)),"")</f>
        <v/>
      </c>
    </row>
    <row r="8">
      <c r="A8" s="7">
        <f>Settings!B6</f>
        <v/>
      </c>
      <c r="B8" s="7" t="n"/>
      <c r="C8" s="7" t="n"/>
      <c r="D8" s="7" t="inlineStr">
        <is>
          <t>Due date</t>
        </is>
      </c>
      <c r="E8" s="38">
        <f>IF(E7="","",E7+Settings!$B$11)</f>
        <v/>
      </c>
    </row>
    <row r="9">
      <c r="A9" s="7">
        <f>Settings!B7</f>
        <v/>
      </c>
      <c r="B9" s="7" t="n"/>
      <c r="C9" s="7" t="n"/>
      <c r="D9" s="7" t="inlineStr">
        <is>
          <t>Status</t>
        </is>
      </c>
      <c r="E9" s="7">
        <f>IF(A12="","",IF(IFERROR(INDEX(Jobs!$K$5:$K$1004,MATCH($B$4,Jobs!$A$5:$A$1004,0)),"")="Yes","PAID","DUE"))</f>
        <v/>
      </c>
    </row>
    <row r="10">
      <c r="A10" s="7" t="n"/>
      <c r="B10" s="7" t="n"/>
      <c r="C10" s="7" t="n"/>
      <c r="D10" s="7" t="n"/>
      <c r="E10" s="7" t="n"/>
    </row>
    <row r="11">
      <c r="A11" s="31" t="inlineStr">
        <is>
          <t>BILL TO</t>
        </is>
      </c>
      <c r="B11" s="7" t="n"/>
      <c r="C11" s="7" t="n"/>
      <c r="D11" s="7" t="n"/>
      <c r="E11" s="7" t="n"/>
    </row>
    <row r="12">
      <c r="A12" s="4">
        <f>IFERROR(INDEX(Jobs!$C$5:$C$1004,MATCH($B$4,Jobs!$A$5:$A$1004,0))&amp;"","")</f>
        <v/>
      </c>
      <c r="B12" s="7" t="n"/>
      <c r="C12" s="7" t="n"/>
      <c r="D12" s="7" t="n"/>
      <c r="E12" s="7" t="n"/>
    </row>
    <row r="13">
      <c r="A13" s="7">
        <f>IFERROR(INDEX(Clients!$D$5:$D$304,MATCH(A12,Clients!$A$5:$A$304,0))&amp;"","")</f>
        <v/>
      </c>
      <c r="B13" s="7" t="n"/>
      <c r="C13" s="7" t="n"/>
      <c r="D13" s="7" t="n"/>
      <c r="E13" s="7" t="n"/>
    </row>
    <row r="14">
      <c r="A14" s="7">
        <f>IFERROR(INDEX(Clients!$C$5:$C$304,MATCH(A12,Clients!$A$5:$A$304,0))&amp;"","")</f>
        <v/>
      </c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39" t="inlineStr">
        <is>
          <t>Description</t>
        </is>
      </c>
      <c r="B16" s="39" t="n"/>
      <c r="C16" s="39" t="n"/>
      <c r="D16" s="39" t="n"/>
      <c r="E16" s="39" t="inlineStr">
        <is>
          <t>Amount</t>
        </is>
      </c>
    </row>
    <row r="17">
      <c r="A17" s="7">
        <f>IF(A12="","",IF(IFERROR(INDEX(Jobs!$D$5:$D$1004,MATCH($B$4,Jobs!$A$5:$A$1004,0)),"")&lt;&gt;"",IFERROR(INDEX(Jobs!$D$5:$D$1004,MATCH($B$4,Jobs!$A$5:$A$1004,0)),""),IFERROR(IF(INDEX(Clients!$E$5:$E$304,MATCH(A12,Clients!$A$5:$A$304,0))&amp;""="",NA(),INDEX(Clients!$E$5:$E$304,MATCH(A12,Clients!$A$5:$A$304,0))&amp;""),"Snow removal service")))</f>
        <v/>
      </c>
      <c r="B17" s="7" t="n"/>
      <c r="C17" s="7" t="n"/>
      <c r="D17" s="7" t="n"/>
      <c r="E17" s="40">
        <f>IFERROR(INDEX(Jobs!$H$5:$H$1004,MATCH($B$4,Jobs!$A$5:$A$1004,0)),"")</f>
        <v/>
      </c>
    </row>
    <row r="18">
      <c r="A18" s="7" t="inlineStr">
        <is>
          <t>Add-on services</t>
        </is>
      </c>
      <c r="B18" s="7" t="n"/>
      <c r="C18" s="7" t="n"/>
      <c r="D18" s="7" t="n"/>
      <c r="E18" s="40">
        <f>IFERROR(INDEX(Jobs!$I$5:$I$1004,MATCH($B$4,Jobs!$A$5:$A$1004,0)),"")</f>
        <v/>
      </c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41" t="inlineStr">
        <is>
          <t>TOTAL</t>
        </is>
      </c>
      <c r="E20" s="42">
        <f>IF(A12="","",N(E17)+N(E18))</f>
        <v/>
      </c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43" t="inlineStr">
        <is>
          <t>Thank you for your business!</t>
        </is>
      </c>
      <c r="B23" s="7" t="n"/>
      <c r="C23" s="7" t="n"/>
      <c r="D23" s="7" t="n"/>
      <c r="E23" s="7" t="n"/>
    </row>
    <row r="24">
      <c r="A24" s="7">
        <f>"Payment due within "&amp;Settings!$B$11&amp;" days."</f>
        <v/>
      </c>
      <c r="B24" s="7" t="n"/>
      <c r="C24" s="7" t="n"/>
      <c r="D24" s="7" t="n"/>
      <c r="E24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474F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" customWidth="1" min="3" max="3"/>
    <col width="26" customWidth="1" min="4" max="4"/>
    <col width="14" customWidth="1" min="5" max="5"/>
    <col width="14" customWidth="1" min="6" max="6"/>
    <col width="4" customWidth="1" min="7" max="7"/>
    <col width="24" customWidth="1" min="8" max="8"/>
  </cols>
  <sheetData>
    <row r="1" ht="30" customHeight="1">
      <c r="A1" s="1" t="inlineStr">
        <is>
          <t>Settings</t>
        </is>
      </c>
    </row>
    <row r="2">
      <c r="A2" s="2" t="inlineStr">
        <is>
          <t>Your business details and defaults. Every yellow cell is editable.</t>
        </is>
      </c>
    </row>
    <row r="3">
      <c r="D3" s="31" t="inlineStr">
        <is>
          <t>SERVICES</t>
        </is>
      </c>
      <c r="H3" s="31" t="inlineStr">
        <is>
          <t>EXPENSE CATEGORIES</t>
        </is>
      </c>
    </row>
    <row r="4">
      <c r="A4" s="7" t="inlineStr">
        <is>
          <t>Business name</t>
        </is>
      </c>
      <c r="B4" s="6" t="inlineStr">
        <is>
          <t>Northside Snow Pros</t>
        </is>
      </c>
      <c r="D4" s="44" t="inlineStr">
        <is>
          <t>Service</t>
        </is>
      </c>
      <c r="E4" s="44" t="inlineStr">
        <is>
          <t>Base price</t>
        </is>
      </c>
      <c r="F4" s="44" t="inlineStr">
        <is>
          <t>Est. hours</t>
        </is>
      </c>
      <c r="H4" s="6" t="inlineStr">
        <is>
          <t>Salt &amp; ice melt</t>
        </is>
      </c>
    </row>
    <row r="5">
      <c r="A5" s="7" t="inlineStr">
        <is>
          <t>Owner / contact</t>
        </is>
      </c>
      <c r="B5" s="6" t="inlineStr">
        <is>
          <t>Your Name</t>
        </is>
      </c>
      <c r="D5" s="6" t="inlineStr">
        <is>
          <t>Driveway Plow</t>
        </is>
      </c>
      <c r="E5" s="25" t="n">
        <v>45</v>
      </c>
      <c r="F5" s="29" t="n">
        <v>0.3</v>
      </c>
      <c r="H5" s="6" t="inlineStr">
        <is>
          <t>Fuel</t>
        </is>
      </c>
    </row>
    <row r="6">
      <c r="A6" s="7" t="inlineStr">
        <is>
          <t>Phone</t>
        </is>
      </c>
      <c r="B6" s="6" t="inlineStr">
        <is>
          <t>(555) 555-0123</t>
        </is>
      </c>
      <c r="D6" s="6" t="inlineStr">
        <is>
          <t>Driveway Snow Blowing</t>
        </is>
      </c>
      <c r="E6" s="25" t="n">
        <v>40</v>
      </c>
      <c r="F6" s="29" t="n">
        <v>0.5</v>
      </c>
      <c r="H6" s="6" t="inlineStr">
        <is>
          <t>Plow &amp; blade repairs</t>
        </is>
      </c>
    </row>
    <row r="7">
      <c r="A7" s="7" t="inlineStr">
        <is>
          <t>Email</t>
        </is>
      </c>
      <c r="B7" s="6" t="inlineStr">
        <is>
          <t>hello@example.com</t>
        </is>
      </c>
      <c r="D7" s="6" t="inlineStr">
        <is>
          <t>Sidewalk &amp; Steps</t>
        </is>
      </c>
      <c r="E7" s="25" t="n">
        <v>25</v>
      </c>
      <c r="F7" s="29" t="n">
        <v>0.4</v>
      </c>
      <c r="H7" s="6" t="inlineStr">
        <is>
          <t>Blowers &amp; shovels</t>
        </is>
      </c>
    </row>
    <row r="8">
      <c r="A8" s="7" t="inlineStr">
        <is>
          <t>Hourly labor cost (what you pay per crew-hour)</t>
        </is>
      </c>
      <c r="B8" s="25" t="n">
        <v>25</v>
      </c>
      <c r="D8" s="6" t="inlineStr">
        <is>
          <t>Commercial Lot Plow</t>
        </is>
      </c>
      <c r="E8" s="25" t="n">
        <v>150</v>
      </c>
      <c r="F8" s="29" t="n">
        <v>1.5</v>
      </c>
      <c r="H8" s="6" t="inlineStr">
        <is>
          <t>Snow stakes &amp; supplies</t>
        </is>
      </c>
    </row>
    <row r="9">
      <c r="A9" s="7" t="inlineStr">
        <is>
          <t>Tax set-aside % of profit</t>
        </is>
      </c>
      <c r="B9" s="45" t="n">
        <v>0.25</v>
      </c>
      <c r="D9" s="6" t="inlineStr">
        <is>
          <t>Salting / De-icing</t>
        </is>
      </c>
      <c r="E9" s="25" t="n">
        <v>40</v>
      </c>
      <c r="F9" s="29" t="n">
        <v>0.25</v>
      </c>
      <c r="H9" s="6" t="inlineStr">
        <is>
          <t>Insurance</t>
        </is>
      </c>
    </row>
    <row r="10">
      <c r="A10" s="7" t="inlineStr">
        <is>
          <t>Mileage rate per mile</t>
        </is>
      </c>
      <c r="B10" s="25" t="n">
        <v>0.7</v>
      </c>
      <c r="D10" s="6" t="inlineStr">
        <is>
          <t>Roof Snow Removal</t>
        </is>
      </c>
      <c r="E10" s="25" t="n">
        <v>300</v>
      </c>
      <c r="F10" s="29" t="n">
        <v>3</v>
      </c>
      <c r="H10" s="6" t="inlineStr">
        <is>
          <t>Advertising</t>
        </is>
      </c>
    </row>
    <row r="11">
      <c r="A11" s="7" t="inlineStr">
        <is>
          <t>Invoice due in (days)</t>
        </is>
      </c>
      <c r="B11" s="10" t="n">
        <v>14</v>
      </c>
      <c r="D11" s="6" t="n"/>
      <c r="E11" s="25" t="n"/>
      <c r="F11" s="29" t="n"/>
      <c r="H11" s="6" t="inlineStr">
        <is>
          <t>Truck / vehicle</t>
        </is>
      </c>
    </row>
    <row r="12">
      <c r="A12" s="7" t="inlineStr">
        <is>
          <t>Average pushes per season</t>
        </is>
      </c>
      <c r="B12" s="10" t="n">
        <v>12</v>
      </c>
      <c r="D12" s="6" t="n"/>
      <c r="E12" s="25" t="n"/>
      <c r="F12" s="29" t="n"/>
      <c r="H12" s="6" t="inlineStr">
        <is>
          <t>Subcontractors</t>
        </is>
      </c>
    </row>
    <row r="13">
      <c r="H13" s="6" t="inlineStr">
        <is>
          <t>Other</t>
        </is>
      </c>
    </row>
    <row r="14">
      <c r="D14" s="31" t="inlineStr">
        <is>
          <t>QUOTE FACTORS</t>
        </is>
      </c>
      <c r="H14" s="6" t="n"/>
    </row>
    <row r="15">
      <c r="D15" s="7" t="inlineStr">
        <is>
          <t>Per snow depth tier over 1 (deep snow)</t>
        </is>
      </c>
      <c r="E15" s="25" t="n">
        <v>20</v>
      </c>
    </row>
    <row r="16">
      <c r="D16" s="7" t="inlineStr">
        <is>
          <t>Per obstacle (parked car, gate, tight turn)</t>
        </is>
      </c>
      <c r="E16" s="25" t="n">
        <v>10</v>
      </c>
    </row>
    <row r="17">
      <c r="D17" s="7" t="inlineStr">
        <is>
          <t>Per 1,000 sq ft over 1,500</t>
        </is>
      </c>
      <c r="E17" s="25" t="n">
        <v>15</v>
      </c>
      <c r="H17" s="31" t="inlineStr">
        <is>
          <t>PAYMENT METHODS</t>
        </is>
      </c>
    </row>
    <row r="18">
      <c r="D18" s="7" t="inlineStr">
        <is>
          <t>Extra hours per depth tier</t>
        </is>
      </c>
      <c r="E18" s="46" t="n">
        <v>0.15</v>
      </c>
      <c r="H18" s="6" t="inlineStr">
        <is>
          <t>Cash</t>
        </is>
      </c>
    </row>
    <row r="19">
      <c r="D19" s="7" t="inlineStr">
        <is>
          <t>Extra hours per obstacle</t>
        </is>
      </c>
      <c r="E19" s="46" t="n">
        <v>0.1</v>
      </c>
      <c r="H19" s="6" t="inlineStr">
        <is>
          <t>Card</t>
        </is>
      </c>
    </row>
    <row r="20">
      <c r="D20" s="7" t="inlineStr">
        <is>
          <t>Extra hours per 1,000 sq ft over 1,500</t>
        </is>
      </c>
      <c r="E20" s="46" t="n">
        <v>0.1</v>
      </c>
      <c r="H20" s="6" t="inlineStr">
        <is>
          <t>Check</t>
        </is>
      </c>
    </row>
    <row r="21">
      <c r="H21" s="6" t="inlineStr">
        <is>
          <t>Zelle</t>
        </is>
      </c>
    </row>
    <row r="22">
      <c r="D22" s="31" t="inlineStr">
        <is>
          <t>ADD-ONS</t>
        </is>
      </c>
      <c r="H22" s="6" t="inlineStr">
        <is>
          <t>Venmo</t>
        </is>
      </c>
    </row>
    <row r="23">
      <c r="D23" s="44" t="inlineStr">
        <is>
          <t>Add-on</t>
        </is>
      </c>
      <c r="E23" s="44" t="inlineStr">
        <is>
          <t>Price</t>
        </is>
      </c>
      <c r="F23" s="44" t="inlineStr">
        <is>
          <t>Hours</t>
        </is>
      </c>
      <c r="H23" s="6" t="inlineStr">
        <is>
          <t>Bank transfer</t>
        </is>
      </c>
    </row>
    <row r="24">
      <c r="D24" s="6" t="inlineStr">
        <is>
          <t>Salt / ice melt</t>
        </is>
      </c>
      <c r="E24" s="25" t="n">
        <v>25</v>
      </c>
      <c r="F24" s="46" t="n">
        <v>0.15</v>
      </c>
      <c r="H24" s="6" t="n"/>
    </row>
    <row r="25">
      <c r="D25" s="6" t="inlineStr">
        <is>
          <t>Sidewalk shoveling</t>
        </is>
      </c>
      <c r="E25" s="25" t="n">
        <v>20</v>
      </c>
      <c r="F25" s="46" t="n">
        <v>0.3</v>
      </c>
    </row>
    <row r="26">
      <c r="D26" s="6" t="inlineStr">
        <is>
          <t>Steps &amp; porch</t>
        </is>
      </c>
      <c r="E26" s="25" t="n">
        <v>10</v>
      </c>
      <c r="F26" s="46" t="n">
        <v>0.1</v>
      </c>
    </row>
    <row r="27">
      <c r="D27" s="6" t="inlineStr">
        <is>
          <t>Mailbox &amp; hydrant clearing</t>
        </is>
      </c>
      <c r="E27" s="25" t="n">
        <v>10</v>
      </c>
      <c r="F27" s="46" t="n">
        <v>0.1</v>
      </c>
      <c r="H27" s="31" t="inlineStr">
        <is>
          <t>CREW / STAFF</t>
        </is>
      </c>
    </row>
    <row r="28">
      <c r="D28" s="6" t="inlineStr">
        <is>
          <t>Snow stakes (per season)</t>
        </is>
      </c>
      <c r="E28" s="25" t="n">
        <v>40</v>
      </c>
      <c r="F28" s="46" t="n">
        <v>0.5</v>
      </c>
      <c r="H28" s="6" t="inlineStr">
        <is>
          <t>Me</t>
        </is>
      </c>
    </row>
    <row r="29">
      <c r="D29" s="6" t="inlineStr">
        <is>
          <t>Snow pile haul-away</t>
        </is>
      </c>
      <c r="E29" s="25" t="n">
        <v>85</v>
      </c>
      <c r="F29" s="46" t="n">
        <v>1</v>
      </c>
      <c r="H29" s="6" t="inlineStr">
        <is>
          <t>Crew 2</t>
        </is>
      </c>
    </row>
    <row r="30">
      <c r="H30" s="6" t="n"/>
    </row>
    <row r="31">
      <c r="D31" s="31" t="inlineStr">
        <is>
          <t>CONTRACT TYPES</t>
        </is>
      </c>
      <c r="H31" s="6" t="n"/>
    </row>
    <row r="32">
      <c r="D32" s="44" t="inlineStr">
        <is>
          <t>Contract type</t>
        </is>
      </c>
      <c r="E32" s="44" t="inlineStr"/>
      <c r="F32" s="44" t="inlineStr">
        <is>
          <t>Discount</t>
        </is>
      </c>
      <c r="H32" s="6" t="n"/>
    </row>
    <row r="33">
      <c r="D33" s="6" t="inlineStr">
        <is>
          <t>Per push (on call)</t>
        </is>
      </c>
      <c r="E33" s="10" t="n"/>
      <c r="F33" s="45" t="n">
        <v>0</v>
      </c>
      <c r="H33" s="6" t="n"/>
    </row>
    <row r="34">
      <c r="D34" s="6" t="inlineStr">
        <is>
          <t>Seasonal contract</t>
        </is>
      </c>
      <c r="E34" s="10" t="n"/>
      <c r="F34" s="45" t="n">
        <v>0.1</v>
      </c>
    </row>
    <row r="35">
      <c r="D35" s="6" t="inlineStr">
        <is>
          <t>One-time</t>
        </is>
      </c>
      <c r="E35" s="10" t="n"/>
      <c r="F35" s="45" t="n">
        <v>0</v>
      </c>
    </row>
    <row r="36">
      <c r="D36" s="6" t="n"/>
      <c r="E36" s="10" t="n"/>
      <c r="F36" s="45" t="n"/>
    </row>
    <row r="37">
      <c r="D37" s="6" t="n"/>
      <c r="E37" s="10" t="n"/>
      <c r="F37" s="45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2026-10-26T16:56:47Z</dcterms:created>
  <dcterms:modified xmlns:dcterms="http://purl.org/dc/terms/" xmlns:xsi="http://www.w3.org/2001/XMLSchema-instance" xsi:type="dcterms:W3CDTF">2026-10-26T16:56:49Z</dcterms:modified>
</cp:coreProperties>
</file>