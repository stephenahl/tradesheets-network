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crew-hour.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<sst xmlns="http://schemas.openxmlformats.org/spreadsheetml/2006/main" count="238" uniqueCount="189">
  <si>
    <t xml:space="preserve">Pressure Washing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</si>
  <si>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</si>
  <si>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</si>
  <si>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</si>
  <si>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</si>
  <si>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</si>
  <si>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service them, and their price. Next due date and overdue flags fill in automatically.</t>
  </si>
  <si>
    <t xml:space="preserve">3. Jobs</t>
  </si>
  <si>
    <t xml:space="preserve">Log every visit.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</si>
  <si>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</si>
  <si>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</si>
  <si>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</si>
  <si>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property in seconds from house size, stories, extra surfaces,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</si>
  <si>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</si>
  <si>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</si>
  <si>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</si>
  <si>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</si>
  <si>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</si>
  <si>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</si>
  <si>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</si>
  <si>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</si>
  <si>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</si>
  <si>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</si>
  <si>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</si>
  <si>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 After that, clear a job row instead of deleting it, so Job IDs and invoice numbers stay the same.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</si>
  <si>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</si>
  <si>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</si>
  <si>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</si>
  <si>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</si>
  <si>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</si>
  <si>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</si>
  <si>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</si>
  <si>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</si>
  <si>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</si>
  <si>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</si>
  <si>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</si>
  <si>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</si>
  <si>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</si>
  <si>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</si>
  <si>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</si>
  <si>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</si>
  <si>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</si>
  <si>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</si>
  <si>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</si>
  <si>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</si>
  <si>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</si>
  <si>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</si>
  <si>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</si>
  <si>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</si>
  <si>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</si>
  <si>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</si>
  <si>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</si>
  <si>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</si>
  <si>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visit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</si>
  <si>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</si>
  <si>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</si>
  <si>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</si>
  <si>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</si>
  <si>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</si>
  <si>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</si>
  <si>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House Soft Wash</t>
  </si>
  <si>
    <t xml:space="preserve">Annual</t>
  </si>
  <si>
    <t xml:space="preserve">Spigot on north side</t>
  </si>
  <si>
    <t xml:space="preserve">EXAMPLE – Bright Dental</t>
  </si>
  <si>
    <t xml:space="preserve">(555) 870-1100</t>
  </si>
  <si>
    <t xml:space="preserve">office@example.com</t>
  </si>
  <si>
    <t xml:space="preserve">400 Main St</t>
  </si>
  <si>
    <t xml:space="preserve">Commercial Flatwork</t>
  </si>
  <si>
    <t xml:space="preserve">Quarterly</t>
  </si>
  <si>
    <t xml:space="preserve">Sundays only, lot closed</t>
  </si>
  <si>
    <t xml:space="preserve">Log every visit.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</si>
  <si>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</si>
  <si>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</si>
  <si>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</si>
  <si>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</si>
  <si>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Crew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</si>
  <si>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</si>
  <si>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</si>
  <si>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</si>
  <si>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</si>
  <si>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</si>
  <si>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</si>
  <si>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</si>
  <si>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</si>
  <si>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</si>
  <si>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</si>
  <si>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</si>
  <si>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</si>
  <si>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</si>
  <si>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Crew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</si>
  <si>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</si>
  <si>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</si>
  <si>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</si>
  <si>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</si>
  <si>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</si>
  <si>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</si>
  <si>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</si>
  <si>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</si>
  <si>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</si>
  <si>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Chemicals &amp; detergents</t>
  </si>
  <si>
    <t xml:space="preserve">Pool supply store</t>
  </si>
  <si>
    <t xml:space="preserve">EXAMPLE – Sodium hypochlorite, surfactant</t>
  </si>
  <si>
    <t xml:space="preserve">Insurance</t>
  </si>
  <si>
    <t xml:space="preserve">Next Insurance</t>
  </si>
  <si>
    <t xml:space="preserve">EXAMPLE – 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</si>
  <si>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</si>
  <si>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</si>
  <si>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</si>
  <si>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House size (sq ft)</t>
  </si>
  <si>
    <t xml:space="preserve">Stories</t>
  </si>
  <si>
    <t xml:space="preserve">Extra surfaces</t>
  </si>
  <si>
    <t xml:space="preserve">RESULT</t>
  </si>
  <si>
    <t xml:space="preserve">Base price</t>
  </si>
  <si>
    <t xml:space="preserve">Story adjustment</t>
  </si>
  <si>
    <t xml:space="preserve">Extra surface adjustment</t>
  </si>
  <si>
    <t xml:space="preserve">Size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</si>
  <si>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</si>
  <si>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</si>
  <si>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</si>
  <si>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</si>
  <si>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</si>
  <si>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</si>
  <si>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</si>
  <si>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</si>
  <si>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</si>
  <si>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</si>
  <si>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</si>
  <si>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</si>
  <si>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</si>
  <si>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</si>
  <si>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</si>
  <si>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</si>
  <si>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</si>
  <si>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</si>
  <si>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</si>
  <si>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</si>
  <si>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</si>
  <si>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</si>
  <si>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</si>
  <si>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</si>
  <si>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</si>
  <si>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Blue Wave Pressure Washing</t>
  </si>
  <si>
    <t xml:space="preserve">Est. hours</t>
  </si>
  <si>
    <t xml:space="preserve">Owner / contact</t>
  </si>
  <si>
    <t xml:space="preserve">Your Name</t>
  </si>
  <si>
    <t xml:space="preserve">Fuel</t>
  </si>
  <si>
    <t xml:space="preserve">(555) 555-0123</t>
  </si>
  <si>
    <t xml:space="preserve">Driveway &amp; Walkways</t>
  </si>
  <si>
    <t xml:space="preserve">Equipment &amp; repairs</t>
  </si>
  <si>
    <t xml:space="preserve">hello@example.com</t>
  </si>
  <si>
    <t xml:space="preserve">Deck / Patio Clean</t>
  </si>
  <si>
    <t xml:space="preserve">Water</t>
  </si>
  <si>
    <t xml:space="preserve">Hourly labor cost (what you pay per crew-hour)</t>
  </si>
  <si>
    <t xml:space="preserve">Roof Soft Wash</t>
  </si>
  <si>
    <t xml:space="preserve">Tax set-aside % of profit</t>
  </si>
  <si>
    <t xml:space="preserve">Fence Cleaning</t>
  </si>
  <si>
    <t xml:space="preserve">Advertising</t>
  </si>
  <si>
    <t xml:space="preserve">Mileage rate per mile</t>
  </si>
  <si>
    <t xml:space="preserve">Trailer / vehicle</t>
  </si>
  <si>
    <t xml:space="preserve">Invoice due in (days)</t>
  </si>
  <si>
    <t xml:space="preserve">Subcontractors</t>
  </si>
  <si>
    <t xml:space="preserve">Other</t>
  </si>
  <si>
    <t xml:space="preserve">QUOTE FACTORS</t>
  </si>
  <si>
    <t xml:space="preserve">Per extra story (over 1)</t>
  </si>
  <si>
    <t xml:space="preserve">Per extra surface (patio, walkway, steps)</t>
  </si>
  <si>
    <t xml:space="preserve">Per 250 sq ft over 2,000</t>
  </si>
  <si>
    <t xml:space="preserve">PAYMENT METHODS</t>
  </si>
  <si>
    <t xml:space="preserve">Extra hours per extra story</t>
  </si>
  <si>
    <t xml:space="preserve">Cash</t>
  </si>
  <si>
    <t xml:space="preserve">Extra hours per extra surface</t>
  </si>
  <si>
    <t xml:space="preserve">Extra hours per 250 sq ft over 2,000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</si>
  <si>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</si>
  <si>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</si>
  <si>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</si>
  <si>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</si>
  <si>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</si>
  <si>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Gutter brightening</t>
  </si>
  <si>
    <t xml:space="preserve">Window rinse</t>
  </si>
  <si>
    <t xml:space="preserve">Rust / stain removal</t>
  </si>
  <si>
    <t xml:space="preserve">Concrete sealing</t>
  </si>
  <si>
    <t xml:space="preserve">CREW / STAFF</t>
  </si>
  <si>
    <t xml:space="preserve">Trash can cleaning</t>
  </si>
  <si>
    <t xml:space="preserve">Oil stain treatment</t>
  </si>
  <si>
    <t xml:space="preserve">FREQUENCY</t>
  </si>
  <si>
    <t xml:space="preserve">Days between</t>
  </si>
  <si>
    <t xml:space="preserve">Discount</t>
  </si>
  <si>
    <t xml:space="preserve">Every 6 months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</si>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</sst>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5E8C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1F5E8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1F5E8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1F5E8C"/>
      <name val="Arial"/>
      <family val="0"/>
      <charset val="1"/>
    </font>
    <font>
      <b val="true"/>
      <sz val="13"/>
      <color rgb="FF1F5E8C"/>
      <name val="Arial"/>
      <family val="0"/>
      <charset val="1"/>
    </font>
    <font>
      <b val="true"/>
      <sz val="20"/>
      <color rgb="FF1F5E8C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1F5E8C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1F5E8C"/>
        <bgColor rgb="FF1F4EB4"/>
      </patternFill>
    </fill>
    <fill>
      <patternFill patternType="solid">
        <fgColor rgb="FFE5EEF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5E8C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E5EEF6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FF7D6"/>
      <rgbColor rgb="FFE5EEF6"/>
      <rgbColor rgb="FF660066"/>
      <rgbColor rgb="FFFF8080"/>
      <rgbColor rgb="FF1F5E8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9C1C28"/>
      <rgbColor rgb="FF993366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0</c:v>
                </c:pt>
                <c:pt idx="8">
                  <c:v>0</c:v>
                </c:pt>
                <c:pt idx="9">
                  <c:v>765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200.2</c:v>
                </c:pt>
                <c:pt idx="7">
                  <c:v>0</c:v>
                </c:pt>
                <c:pt idx="8">
                  <c:v>0</c:v>
                </c:pt>
                <c:pt idx="9">
                  <c:v>441.9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3965628"/>
        <c:axId val="13643062"/>
      </c:barChart>
      <c:catAx>
        <c:axId val="63965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643062"/>
        <c:crosses val="autoZero"/>
        <c:auto val="1"/>
        <c:lblAlgn val="ctr"/>
        <c:lblOffset val="100"/>
        <c:noMultiLvlLbl val="0"/>
      </c:catAx>
      <c:valAx>
        <c:axId val="136430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656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1065</v>
      </c>
      <c r="D6" s="12" t="n">
        <f aca="false">SUM(F9:F20)</f>
        <v>642.1</v>
      </c>
      <c r="F6" s="12" t="n">
        <f aca="false">SUMIFS(Jobs!$J$5:$J$1004,Jobs!$K$5:$K$1004,"No")</f>
        <v>340</v>
      </c>
      <c r="H6" s="12" t="n">
        <f aca="false">MAX(0,B23)*Settings!$B$9</f>
        <v>160.525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300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99.8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1</v>
      </c>
      <c r="F15" s="14" t="n">
        <f aca="false">B15-C15-D15</f>
        <v>200.2</v>
      </c>
      <c r="G15" s="16" t="n">
        <f aca="false">IF(B15=0,0,F15/B15)</f>
        <v>0.667333333333333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0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0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0</v>
      </c>
      <c r="F17" s="14" t="n">
        <f aca="false">B17-C17-D17</f>
        <v>0</v>
      </c>
      <c r="G17" s="16" t="n">
        <f aca="false">IF(B17=0,0,F17/B17)</f>
        <v>0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765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210.9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2</v>
      </c>
      <c r="F18" s="18" t="n">
        <f aca="false">B18-C18-D18</f>
        <v>441.9</v>
      </c>
      <c r="G18" s="20" t="n">
        <f aca="false">IF(B18=0,0,F18/B18)</f>
        <v>0.577647058823529</v>
      </c>
      <c r="H18" s="18" t="n">
        <f aca="false">SUMIFS(Jobs!$J$5:$J$1004,Jobs!$B$5:$B$1004,"&gt;="&amp;DATE($B$4,10,1),Jobs!$B$5:$B$1004,"&lt;="&amp;EOMONTH(DATE($B$4,10,1),0),Jobs!$K$5:$K$1004,"No")</f>
        <v>340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1065</v>
      </c>
      <c r="C21" s="21" t="n">
        <f aca="false">SUM(C9:C20)</f>
        <v>310.7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642.1</v>
      </c>
      <c r="G21" s="23" t="n">
        <f aca="false">IF(B21=0,0,F21/B21)</f>
        <v>0.602910798122066</v>
      </c>
      <c r="H21" s="21" t="n">
        <f aca="false">SUM(H9:H20)</f>
        <v>340</v>
      </c>
    </row>
    <row r="23" customFormat="false" ht="15" hidden="false" customHeight="false" outlineLevel="0" collapsed="false">
      <c r="A23" s="7" t="s">
        <v>38</v>
      </c>
      <c r="B23" s="14" t="n">
        <f aca="false">F21</f>
        <v>642.1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350</v>
      </c>
      <c r="H5" s="26" t="n">
        <v>45950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IF($A5="","",SUMIFS(Jobs!$J$5:$J$1004,Jobs!$C$5:$C$1004,$A5))</f>
        <v>425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46661</v>
      </c>
      <c r="N5" s="8" t="str">
        <f aca="true">IF($A5="","",IF(M5="",IF(J5=0,"New","—"),IF(M5&lt;TODAY(),"Overdue",IF(M5-TODAY()&lt;=3,"Due soon","Scheduled"))))</f>
        <v>Scheduled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300</v>
      </c>
      <c r="H6" s="26" t="n">
        <v>46127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IF($A6="","",SUMIFS(Jobs!$J$5:$J$1004,Jobs!$C$5:$C$1004,$A6))</f>
        <v>640</v>
      </c>
      <c r="L6" s="28" t="n">
        <f aca="false">IF(OR($A6="",J6=0),"",_xlfn.MAXIFS(Jobs!$B$5:$B$1004,Jobs!$C$5:$C$1004,$A6))</f>
        <v>46306</v>
      </c>
      <c r="M6" s="28" t="n">
        <f aca="false">IF(OR($A6="",L6=""),"",IFERROR(IF(INDEX(Settings!$E$33:$E$37,MATCH(F6,Settings!$D$33:$D$37,0))="","",L6+INDEX(Settings!$E$33:$E$37,MATCH(F6,Settings!$D$33:$D$37,0))),""))</f>
        <v>46397</v>
      </c>
      <c r="N6" s="8" t="str">
        <f aca="true">IF($A6="","",IF(M6="",IF(J6=0,"New","—"),IF(M6&lt;TODAY(),"Overdue",IF(M6-TODAY()&lt;=3,"Due soon","Scheduled"))))</f>
        <v>Scheduled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IF($A7="","",SUMIFS(Jobs!$J$5:$J$1004,Jobs!$C$5:$C$1004,$A7))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IF($A8="","",SUMIFS(Jobs!$J$5:$J$1004,Jobs!$C$5:$C$1004,$A8))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IF($A9="","",SUMIFS(Jobs!$J$5:$J$1004,Jobs!$C$5:$C$1004,$A9))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IF($A10="","",SUMIFS(Jobs!$J$5:$J$1004,Jobs!$C$5:$C$1004,$A10))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IF($A11="","",SUMIFS(Jobs!$J$5:$J$1004,Jobs!$C$5:$C$1004,$A11))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IF($A12="","",SUMIFS(Jobs!$J$5:$J$1004,Jobs!$C$5:$C$1004,$A12))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IF($A13="","",SUMIFS(Jobs!$J$5:$J$1004,Jobs!$C$5:$C$1004,$A13))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IF($A14="","",SUMIFS(Jobs!$J$5:$J$1004,Jobs!$C$5:$C$1004,$A14))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IF($A15="","",SUMIFS(Jobs!$J$5:$J$1004,Jobs!$C$5:$C$1004,$A15))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IF($A16="","",SUMIFS(Jobs!$J$5:$J$1004,Jobs!$C$5:$C$1004,$A16))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IF($A17="","",SUMIFS(Jobs!$J$5:$J$1004,Jobs!$C$5:$C$1004,$A17))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IF($A18="","",SUMIFS(Jobs!$J$5:$J$1004,Jobs!$C$5:$C$1004,$A18))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IF($A19="","",SUMIFS(Jobs!$J$5:$J$1004,Jobs!$C$5:$C$1004,$A19))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IF($A20="","",SUMIFS(Jobs!$J$5:$J$1004,Jobs!$C$5:$C$1004,$A20))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IF($A21="","",SUMIFS(Jobs!$J$5:$J$1004,Jobs!$C$5:$C$1004,$A21))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IF($A22="","",SUMIFS(Jobs!$J$5:$J$1004,Jobs!$C$5:$C$1004,$A22))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IF($A23="","",SUMIFS(Jobs!$J$5:$J$1004,Jobs!$C$5:$C$1004,$A23))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IF($A24="","",SUMIFS(Jobs!$J$5:$J$1004,Jobs!$C$5:$C$1004,$A24))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IF($A25="","",SUMIFS(Jobs!$J$5:$J$1004,Jobs!$C$5:$C$1004,$A25))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IF($A26="","",SUMIFS(Jobs!$J$5:$J$1004,Jobs!$C$5:$C$1004,$A26))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IF($A27="","",SUMIFS(Jobs!$J$5:$J$1004,Jobs!$C$5:$C$1004,$A27))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IF($A28="","",SUMIFS(Jobs!$J$5:$J$1004,Jobs!$C$5:$C$1004,$A28))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IF($A29="","",SUMIFS(Jobs!$J$5:$J$1004,Jobs!$C$5:$C$1004,$A29))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IF($A30="","",SUMIFS(Jobs!$J$5:$J$1004,Jobs!$C$5:$C$1004,$A30))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IF($A31="","",SUMIFS(Jobs!$J$5:$J$1004,Jobs!$C$5:$C$1004,$A31))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IF($A32="","",SUMIFS(Jobs!$J$5:$J$1004,Jobs!$C$5:$C$1004,$A32))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IF($A33="","",SUMIFS(Jobs!$J$5:$J$1004,Jobs!$C$5:$C$1004,$A33))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IF($A34="","",SUMIFS(Jobs!$J$5:$J$1004,Jobs!$C$5:$C$1004,$A34))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IF($A35="","",SUMIFS(Jobs!$J$5:$J$1004,Jobs!$C$5:$C$1004,$A35))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IF($A36="","",SUMIFS(Jobs!$J$5:$J$1004,Jobs!$C$5:$C$1004,$A36))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IF($A37="","",SUMIFS(Jobs!$J$5:$J$1004,Jobs!$C$5:$C$1004,$A37))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IF($A38="","",SUMIFS(Jobs!$J$5:$J$1004,Jobs!$C$5:$C$1004,$A38))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IF($A39="","",SUMIFS(Jobs!$J$5:$J$1004,Jobs!$C$5:$C$1004,$A39))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IF($A40="","",SUMIFS(Jobs!$J$5:$J$1004,Jobs!$C$5:$C$1004,$A40))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IF($A41="","",SUMIFS(Jobs!$J$5:$J$1004,Jobs!$C$5:$C$1004,$A41))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IF($A42="","",SUMIFS(Jobs!$J$5:$J$1004,Jobs!$C$5:$C$1004,$A42))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IF($A43="","",SUMIFS(Jobs!$J$5:$J$1004,Jobs!$C$5:$C$1004,$A43))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IF($A44="","",SUMIFS(Jobs!$J$5:$J$1004,Jobs!$C$5:$C$1004,$A44))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IF($A45="","",SUMIFS(Jobs!$J$5:$J$1004,Jobs!$C$5:$C$1004,$A45))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IF($A46="","",SUMIFS(Jobs!$J$5:$J$1004,Jobs!$C$5:$C$1004,$A46))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IF($A47="","",SUMIFS(Jobs!$J$5:$J$1004,Jobs!$C$5:$C$1004,$A47))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IF($A48="","",SUMIFS(Jobs!$J$5:$J$1004,Jobs!$C$5:$C$1004,$A48))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IF($A49="","",SUMIFS(Jobs!$J$5:$J$1004,Jobs!$C$5:$C$1004,$A49))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IF($A50="","",SUMIFS(Jobs!$J$5:$J$1004,Jobs!$C$5:$C$1004,$A50))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IF($A51="","",SUMIFS(Jobs!$J$5:$J$1004,Jobs!$C$5:$C$1004,$A51))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IF($A52="","",SUMIFS(Jobs!$J$5:$J$1004,Jobs!$C$5:$C$1004,$A52))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IF($A53="","",SUMIFS(Jobs!$J$5:$J$1004,Jobs!$C$5:$C$1004,$A53))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IF($A54="","",SUMIFS(Jobs!$J$5:$J$1004,Jobs!$C$5:$C$1004,$A54))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IF($A55="","",SUMIFS(Jobs!$J$5:$J$1004,Jobs!$C$5:$C$1004,$A55))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IF($A56="","",SUMIFS(Jobs!$J$5:$J$1004,Jobs!$C$5:$C$1004,$A56))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IF($A57="","",SUMIFS(Jobs!$J$5:$J$1004,Jobs!$C$5:$C$1004,$A57))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IF($A58="","",SUMIFS(Jobs!$J$5:$J$1004,Jobs!$C$5:$C$1004,$A58))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IF($A59="","",SUMIFS(Jobs!$J$5:$J$1004,Jobs!$C$5:$C$1004,$A59))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IF($A60="","",SUMIFS(Jobs!$J$5:$J$1004,Jobs!$C$5:$C$1004,$A60))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IF($A61="","",SUMIFS(Jobs!$J$5:$J$1004,Jobs!$C$5:$C$1004,$A61))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IF($A62="","",SUMIFS(Jobs!$J$5:$J$1004,Jobs!$C$5:$C$1004,$A62))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IF($A63="","",SUMIFS(Jobs!$J$5:$J$1004,Jobs!$C$5:$C$1004,$A63))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IF($A64="","",SUMIFS(Jobs!$J$5:$J$1004,Jobs!$C$5:$C$1004,$A64))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IF($A65="","",SUMIFS(Jobs!$J$5:$J$1004,Jobs!$C$5:$C$1004,$A65))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IF($A66="","",SUMIFS(Jobs!$J$5:$J$1004,Jobs!$C$5:$C$1004,$A66))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IF($A67="","",SUMIFS(Jobs!$J$5:$J$1004,Jobs!$C$5:$C$1004,$A67))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IF($A68="","",SUMIFS(Jobs!$J$5:$J$1004,Jobs!$C$5:$C$1004,$A68))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IF($A69="","",SUMIFS(Jobs!$J$5:$J$1004,Jobs!$C$5:$C$1004,$A69))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IF($A70="","",SUMIFS(Jobs!$J$5:$J$1004,Jobs!$C$5:$C$1004,$A70))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IF($A71="","",SUMIFS(Jobs!$J$5:$J$1004,Jobs!$C$5:$C$1004,$A71))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IF($A72="","",SUMIFS(Jobs!$J$5:$J$1004,Jobs!$C$5:$C$1004,$A72))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IF($A73="","",SUMIFS(Jobs!$J$5:$J$1004,Jobs!$C$5:$C$1004,$A73))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IF($A74="","",SUMIFS(Jobs!$J$5:$J$1004,Jobs!$C$5:$C$1004,$A74))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IF($A75="","",SUMIFS(Jobs!$J$5:$J$1004,Jobs!$C$5:$C$1004,$A75))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IF($A76="","",SUMIFS(Jobs!$J$5:$J$1004,Jobs!$C$5:$C$1004,$A76))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IF($A77="","",SUMIFS(Jobs!$J$5:$J$1004,Jobs!$C$5:$C$1004,$A77))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IF($A78="","",SUMIFS(Jobs!$J$5:$J$1004,Jobs!$C$5:$C$1004,$A78))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IF($A79="","",SUMIFS(Jobs!$J$5:$J$1004,Jobs!$C$5:$C$1004,$A79))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IF($A80="","",SUMIFS(Jobs!$J$5:$J$1004,Jobs!$C$5:$C$1004,$A80))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IF($A81="","",SUMIFS(Jobs!$J$5:$J$1004,Jobs!$C$5:$C$1004,$A81))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IF($A82="","",SUMIFS(Jobs!$J$5:$J$1004,Jobs!$C$5:$C$1004,$A82))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IF($A83="","",SUMIFS(Jobs!$J$5:$J$1004,Jobs!$C$5:$C$1004,$A83))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IF($A84="","",SUMIFS(Jobs!$J$5:$J$1004,Jobs!$C$5:$C$1004,$A84))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IF($A85="","",SUMIFS(Jobs!$J$5:$J$1004,Jobs!$C$5:$C$1004,$A85))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IF($A86="","",SUMIFS(Jobs!$J$5:$J$1004,Jobs!$C$5:$C$1004,$A86))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IF($A87="","",SUMIFS(Jobs!$J$5:$J$1004,Jobs!$C$5:$C$1004,$A87))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IF($A88="","",SUMIFS(Jobs!$J$5:$J$1004,Jobs!$C$5:$C$1004,$A88))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IF($A89="","",SUMIFS(Jobs!$J$5:$J$1004,Jobs!$C$5:$C$1004,$A89))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IF($A90="","",SUMIFS(Jobs!$J$5:$J$1004,Jobs!$C$5:$C$1004,$A90))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IF($A91="","",SUMIFS(Jobs!$J$5:$J$1004,Jobs!$C$5:$C$1004,$A91))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IF($A92="","",SUMIFS(Jobs!$J$5:$J$1004,Jobs!$C$5:$C$1004,$A92))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IF($A93="","",SUMIFS(Jobs!$J$5:$J$1004,Jobs!$C$5:$C$1004,$A93))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IF($A94="","",SUMIFS(Jobs!$J$5:$J$1004,Jobs!$C$5:$C$1004,$A94))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IF($A95="","",SUMIFS(Jobs!$J$5:$J$1004,Jobs!$C$5:$C$1004,$A95))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IF($A96="","",SUMIFS(Jobs!$J$5:$J$1004,Jobs!$C$5:$C$1004,$A96))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IF($A97="","",SUMIFS(Jobs!$J$5:$J$1004,Jobs!$C$5:$C$1004,$A97))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IF($A98="","",SUMIFS(Jobs!$J$5:$J$1004,Jobs!$C$5:$C$1004,$A98))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IF($A99="","",SUMIFS(Jobs!$J$5:$J$1004,Jobs!$C$5:$C$1004,$A99))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IF($A100="","",SUMIFS(Jobs!$J$5:$J$1004,Jobs!$C$5:$C$1004,$A100))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IF($A101="","",SUMIFS(Jobs!$J$5:$J$1004,Jobs!$C$5:$C$1004,$A101))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IF($A102="","",SUMIFS(Jobs!$J$5:$J$1004,Jobs!$C$5:$C$1004,$A102))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IF($A103="","",SUMIFS(Jobs!$J$5:$J$1004,Jobs!$C$5:$C$1004,$A103))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IF($A104="","",SUMIFS(Jobs!$J$5:$J$1004,Jobs!$C$5:$C$1004,$A104))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IF($A105="","",SUMIFS(Jobs!$J$5:$J$1004,Jobs!$C$5:$C$1004,$A105))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IF($A106="","",SUMIFS(Jobs!$J$5:$J$1004,Jobs!$C$5:$C$1004,$A106))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IF($A107="","",SUMIFS(Jobs!$J$5:$J$1004,Jobs!$C$5:$C$1004,$A107))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IF($A108="","",SUMIFS(Jobs!$J$5:$J$1004,Jobs!$C$5:$C$1004,$A108))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IF($A109="","",SUMIFS(Jobs!$J$5:$J$1004,Jobs!$C$5:$C$1004,$A109))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IF($A110="","",SUMIFS(Jobs!$J$5:$J$1004,Jobs!$C$5:$C$1004,$A110))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IF($A111="","",SUMIFS(Jobs!$J$5:$J$1004,Jobs!$C$5:$C$1004,$A111))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IF($A112="","",SUMIFS(Jobs!$J$5:$J$1004,Jobs!$C$5:$C$1004,$A112))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IF($A113="","",SUMIFS(Jobs!$J$5:$J$1004,Jobs!$C$5:$C$1004,$A113))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IF($A114="","",SUMIFS(Jobs!$J$5:$J$1004,Jobs!$C$5:$C$1004,$A114))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IF($A115="","",SUMIFS(Jobs!$J$5:$J$1004,Jobs!$C$5:$C$1004,$A115))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IF($A116="","",SUMIFS(Jobs!$J$5:$J$1004,Jobs!$C$5:$C$1004,$A116))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IF($A117="","",SUMIFS(Jobs!$J$5:$J$1004,Jobs!$C$5:$C$1004,$A117))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IF($A118="","",SUMIFS(Jobs!$J$5:$J$1004,Jobs!$C$5:$C$1004,$A118))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IF($A119="","",SUMIFS(Jobs!$J$5:$J$1004,Jobs!$C$5:$C$1004,$A119))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IF($A120="","",SUMIFS(Jobs!$J$5:$J$1004,Jobs!$C$5:$C$1004,$A120))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IF($A121="","",SUMIFS(Jobs!$J$5:$J$1004,Jobs!$C$5:$C$1004,$A121))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IF($A122="","",SUMIFS(Jobs!$J$5:$J$1004,Jobs!$C$5:$C$1004,$A122))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IF($A123="","",SUMIFS(Jobs!$J$5:$J$1004,Jobs!$C$5:$C$1004,$A123))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IF($A124="","",SUMIFS(Jobs!$J$5:$J$1004,Jobs!$C$5:$C$1004,$A124))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IF($A125="","",SUMIFS(Jobs!$J$5:$J$1004,Jobs!$C$5:$C$1004,$A125))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IF($A126="","",SUMIFS(Jobs!$J$5:$J$1004,Jobs!$C$5:$C$1004,$A126))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IF($A127="","",SUMIFS(Jobs!$J$5:$J$1004,Jobs!$C$5:$C$1004,$A127))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IF($A128="","",SUMIFS(Jobs!$J$5:$J$1004,Jobs!$C$5:$C$1004,$A128))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IF($A129="","",SUMIFS(Jobs!$J$5:$J$1004,Jobs!$C$5:$C$1004,$A129))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IF($A130="","",SUMIFS(Jobs!$J$5:$J$1004,Jobs!$C$5:$C$1004,$A130))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IF($A131="","",SUMIFS(Jobs!$J$5:$J$1004,Jobs!$C$5:$C$1004,$A131))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IF($A132="","",SUMIFS(Jobs!$J$5:$J$1004,Jobs!$C$5:$C$1004,$A132))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IF($A133="","",SUMIFS(Jobs!$J$5:$J$1004,Jobs!$C$5:$C$1004,$A133))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IF($A134="","",SUMIFS(Jobs!$J$5:$J$1004,Jobs!$C$5:$C$1004,$A134))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IF($A135="","",SUMIFS(Jobs!$J$5:$J$1004,Jobs!$C$5:$C$1004,$A135))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IF($A136="","",SUMIFS(Jobs!$J$5:$J$1004,Jobs!$C$5:$C$1004,$A136))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IF($A137="","",SUMIFS(Jobs!$J$5:$J$1004,Jobs!$C$5:$C$1004,$A137))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IF($A138="","",SUMIFS(Jobs!$J$5:$J$1004,Jobs!$C$5:$C$1004,$A138))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IF($A139="","",SUMIFS(Jobs!$J$5:$J$1004,Jobs!$C$5:$C$1004,$A139))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IF($A140="","",SUMIFS(Jobs!$J$5:$J$1004,Jobs!$C$5:$C$1004,$A140))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IF($A141="","",SUMIFS(Jobs!$J$5:$J$1004,Jobs!$C$5:$C$1004,$A141))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IF($A142="","",SUMIFS(Jobs!$J$5:$J$1004,Jobs!$C$5:$C$1004,$A142))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IF($A143="","",SUMIFS(Jobs!$J$5:$J$1004,Jobs!$C$5:$C$1004,$A143))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IF($A144="","",SUMIFS(Jobs!$J$5:$J$1004,Jobs!$C$5:$C$1004,$A144))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IF($A145="","",SUMIFS(Jobs!$J$5:$J$1004,Jobs!$C$5:$C$1004,$A145))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IF($A146="","",SUMIFS(Jobs!$J$5:$J$1004,Jobs!$C$5:$C$1004,$A146))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IF($A147="","",SUMIFS(Jobs!$J$5:$J$1004,Jobs!$C$5:$C$1004,$A147))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IF($A148="","",SUMIFS(Jobs!$J$5:$J$1004,Jobs!$C$5:$C$1004,$A148))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IF($A149="","",SUMIFS(Jobs!$J$5:$J$1004,Jobs!$C$5:$C$1004,$A149))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IF($A150="","",SUMIFS(Jobs!$J$5:$J$1004,Jobs!$C$5:$C$1004,$A150))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IF($A151="","",SUMIFS(Jobs!$J$5:$J$1004,Jobs!$C$5:$C$1004,$A151))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IF($A152="","",SUMIFS(Jobs!$J$5:$J$1004,Jobs!$C$5:$C$1004,$A152))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IF($A153="","",SUMIFS(Jobs!$J$5:$J$1004,Jobs!$C$5:$C$1004,$A153))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IF($A154="","",SUMIFS(Jobs!$J$5:$J$1004,Jobs!$C$5:$C$1004,$A154))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IF($A155="","",SUMIFS(Jobs!$J$5:$J$1004,Jobs!$C$5:$C$1004,$A155))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IF($A156="","",SUMIFS(Jobs!$J$5:$J$1004,Jobs!$C$5:$C$1004,$A156))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IF($A157="","",SUMIFS(Jobs!$J$5:$J$1004,Jobs!$C$5:$C$1004,$A157))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IF($A158="","",SUMIFS(Jobs!$J$5:$J$1004,Jobs!$C$5:$C$1004,$A158))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IF($A159="","",SUMIFS(Jobs!$J$5:$J$1004,Jobs!$C$5:$C$1004,$A159))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IF($A160="","",SUMIFS(Jobs!$J$5:$J$1004,Jobs!$C$5:$C$1004,$A160))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IF($A161="","",SUMIFS(Jobs!$J$5:$J$1004,Jobs!$C$5:$C$1004,$A161))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IF($A162="","",SUMIFS(Jobs!$J$5:$J$1004,Jobs!$C$5:$C$1004,$A162))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IF($A163="","",SUMIFS(Jobs!$J$5:$J$1004,Jobs!$C$5:$C$1004,$A163))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IF($A164="","",SUMIFS(Jobs!$J$5:$J$1004,Jobs!$C$5:$C$1004,$A164))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IF($A165="","",SUMIFS(Jobs!$J$5:$J$1004,Jobs!$C$5:$C$1004,$A165))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IF($A166="","",SUMIFS(Jobs!$J$5:$J$1004,Jobs!$C$5:$C$1004,$A166))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IF($A167="","",SUMIFS(Jobs!$J$5:$J$1004,Jobs!$C$5:$C$1004,$A167))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IF($A168="","",SUMIFS(Jobs!$J$5:$J$1004,Jobs!$C$5:$C$1004,$A168))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IF($A169="","",SUMIFS(Jobs!$J$5:$J$1004,Jobs!$C$5:$C$1004,$A169))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IF($A170="","",SUMIFS(Jobs!$J$5:$J$1004,Jobs!$C$5:$C$1004,$A170))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IF($A171="","",SUMIFS(Jobs!$J$5:$J$1004,Jobs!$C$5:$C$1004,$A171))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IF($A172="","",SUMIFS(Jobs!$J$5:$J$1004,Jobs!$C$5:$C$1004,$A172))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IF($A173="","",SUMIFS(Jobs!$J$5:$J$1004,Jobs!$C$5:$C$1004,$A173))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IF($A174="","",SUMIFS(Jobs!$J$5:$J$1004,Jobs!$C$5:$C$1004,$A174))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IF($A175="","",SUMIFS(Jobs!$J$5:$J$1004,Jobs!$C$5:$C$1004,$A175))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IF($A176="","",SUMIFS(Jobs!$J$5:$J$1004,Jobs!$C$5:$C$1004,$A176))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IF($A177="","",SUMIFS(Jobs!$J$5:$J$1004,Jobs!$C$5:$C$1004,$A177))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IF($A178="","",SUMIFS(Jobs!$J$5:$J$1004,Jobs!$C$5:$C$1004,$A178))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IF($A179="","",SUMIFS(Jobs!$J$5:$J$1004,Jobs!$C$5:$C$1004,$A179))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IF($A180="","",SUMIFS(Jobs!$J$5:$J$1004,Jobs!$C$5:$C$1004,$A180))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IF($A181="","",SUMIFS(Jobs!$J$5:$J$1004,Jobs!$C$5:$C$1004,$A181))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IF($A182="","",SUMIFS(Jobs!$J$5:$J$1004,Jobs!$C$5:$C$1004,$A182))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IF($A183="","",SUMIFS(Jobs!$J$5:$J$1004,Jobs!$C$5:$C$1004,$A183))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IF($A184="","",SUMIFS(Jobs!$J$5:$J$1004,Jobs!$C$5:$C$1004,$A184))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IF($A185="","",SUMIFS(Jobs!$J$5:$J$1004,Jobs!$C$5:$C$1004,$A185))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IF($A186="","",SUMIFS(Jobs!$J$5:$J$1004,Jobs!$C$5:$C$1004,$A186))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IF($A187="","",SUMIFS(Jobs!$J$5:$J$1004,Jobs!$C$5:$C$1004,$A187))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IF($A188="","",SUMIFS(Jobs!$J$5:$J$1004,Jobs!$C$5:$C$1004,$A188))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IF($A189="","",SUMIFS(Jobs!$J$5:$J$1004,Jobs!$C$5:$C$1004,$A189))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IF($A190="","",SUMIFS(Jobs!$J$5:$J$1004,Jobs!$C$5:$C$1004,$A190))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IF($A191="","",SUMIFS(Jobs!$J$5:$J$1004,Jobs!$C$5:$C$1004,$A191))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IF($A192="","",SUMIFS(Jobs!$J$5:$J$1004,Jobs!$C$5:$C$1004,$A192))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IF($A193="","",SUMIFS(Jobs!$J$5:$J$1004,Jobs!$C$5:$C$1004,$A193))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IF($A194="","",SUMIFS(Jobs!$J$5:$J$1004,Jobs!$C$5:$C$1004,$A194))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IF($A195="","",SUMIFS(Jobs!$J$5:$J$1004,Jobs!$C$5:$C$1004,$A195))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IF($A196="","",SUMIFS(Jobs!$J$5:$J$1004,Jobs!$C$5:$C$1004,$A196))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IF($A197="","",SUMIFS(Jobs!$J$5:$J$1004,Jobs!$C$5:$C$1004,$A197))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IF($A198="","",SUMIFS(Jobs!$J$5:$J$1004,Jobs!$C$5:$C$1004,$A198))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IF($A199="","",SUMIFS(Jobs!$J$5:$J$1004,Jobs!$C$5:$C$1004,$A199))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IF($A200="","",SUMIFS(Jobs!$J$5:$J$1004,Jobs!$C$5:$C$1004,$A200))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IF($A201="","",SUMIFS(Jobs!$J$5:$J$1004,Jobs!$C$5:$C$1004,$A201))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IF($A202="","",SUMIFS(Jobs!$J$5:$J$1004,Jobs!$C$5:$C$1004,$A202))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IF($A203="","",SUMIFS(Jobs!$J$5:$J$1004,Jobs!$C$5:$C$1004,$A203))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IF($A204="","",SUMIFS(Jobs!$J$5:$J$1004,Jobs!$C$5:$C$1004,$A204))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IF($A205="","",SUMIFS(Jobs!$J$5:$J$1004,Jobs!$C$5:$C$1004,$A205))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IF($A206="","",SUMIFS(Jobs!$J$5:$J$1004,Jobs!$C$5:$C$1004,$A206))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IF($A207="","",SUMIFS(Jobs!$J$5:$J$1004,Jobs!$C$5:$C$1004,$A207))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IF($A208="","",SUMIFS(Jobs!$J$5:$J$1004,Jobs!$C$5:$C$1004,$A208))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IF($A209="","",SUMIFS(Jobs!$J$5:$J$1004,Jobs!$C$5:$C$1004,$A209))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IF($A210="","",SUMIFS(Jobs!$J$5:$J$1004,Jobs!$C$5:$C$1004,$A210))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IF($A211="","",SUMIFS(Jobs!$J$5:$J$1004,Jobs!$C$5:$C$1004,$A211))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IF($A212="","",SUMIFS(Jobs!$J$5:$J$1004,Jobs!$C$5:$C$1004,$A212))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IF($A213="","",SUMIFS(Jobs!$J$5:$J$1004,Jobs!$C$5:$C$1004,$A213))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IF($A214="","",SUMIFS(Jobs!$J$5:$J$1004,Jobs!$C$5:$C$1004,$A214))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IF($A215="","",SUMIFS(Jobs!$J$5:$J$1004,Jobs!$C$5:$C$1004,$A215))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IF($A216="","",SUMIFS(Jobs!$J$5:$J$1004,Jobs!$C$5:$C$1004,$A216))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IF($A217="","",SUMIFS(Jobs!$J$5:$J$1004,Jobs!$C$5:$C$1004,$A217))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IF($A218="","",SUMIFS(Jobs!$J$5:$J$1004,Jobs!$C$5:$C$1004,$A218))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IF($A219="","",SUMIFS(Jobs!$J$5:$J$1004,Jobs!$C$5:$C$1004,$A219))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IF($A220="","",SUMIFS(Jobs!$J$5:$J$1004,Jobs!$C$5:$C$1004,$A220))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IF($A221="","",SUMIFS(Jobs!$J$5:$J$1004,Jobs!$C$5:$C$1004,$A221))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IF($A222="","",SUMIFS(Jobs!$J$5:$J$1004,Jobs!$C$5:$C$1004,$A222))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IF($A223="","",SUMIFS(Jobs!$J$5:$J$1004,Jobs!$C$5:$C$1004,$A223))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IF($A224="","",SUMIFS(Jobs!$J$5:$J$1004,Jobs!$C$5:$C$1004,$A224))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IF($A225="","",SUMIFS(Jobs!$J$5:$J$1004,Jobs!$C$5:$C$1004,$A225))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IF($A226="","",SUMIFS(Jobs!$J$5:$J$1004,Jobs!$C$5:$C$1004,$A226))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IF($A227="","",SUMIFS(Jobs!$J$5:$J$1004,Jobs!$C$5:$C$1004,$A227))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IF($A228="","",SUMIFS(Jobs!$J$5:$J$1004,Jobs!$C$5:$C$1004,$A228))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IF($A229="","",SUMIFS(Jobs!$J$5:$J$1004,Jobs!$C$5:$C$1004,$A229))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IF($A230="","",SUMIFS(Jobs!$J$5:$J$1004,Jobs!$C$5:$C$1004,$A230))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IF($A231="","",SUMIFS(Jobs!$J$5:$J$1004,Jobs!$C$5:$C$1004,$A231))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IF($A232="","",SUMIFS(Jobs!$J$5:$J$1004,Jobs!$C$5:$C$1004,$A232))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IF($A233="","",SUMIFS(Jobs!$J$5:$J$1004,Jobs!$C$5:$C$1004,$A233))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IF($A234="","",SUMIFS(Jobs!$J$5:$J$1004,Jobs!$C$5:$C$1004,$A234))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IF($A235="","",SUMIFS(Jobs!$J$5:$J$1004,Jobs!$C$5:$C$1004,$A235))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IF($A236="","",SUMIFS(Jobs!$J$5:$J$1004,Jobs!$C$5:$C$1004,$A236))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IF($A237="","",SUMIFS(Jobs!$J$5:$J$1004,Jobs!$C$5:$C$1004,$A237))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IF($A238="","",SUMIFS(Jobs!$J$5:$J$1004,Jobs!$C$5:$C$1004,$A238))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IF($A239="","",SUMIFS(Jobs!$J$5:$J$1004,Jobs!$C$5:$C$1004,$A239))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IF($A240="","",SUMIFS(Jobs!$J$5:$J$1004,Jobs!$C$5:$C$1004,$A240))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IF($A241="","",SUMIFS(Jobs!$J$5:$J$1004,Jobs!$C$5:$C$1004,$A241))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IF($A242="","",SUMIFS(Jobs!$J$5:$J$1004,Jobs!$C$5:$C$1004,$A242))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IF($A243="","",SUMIFS(Jobs!$J$5:$J$1004,Jobs!$C$5:$C$1004,$A243))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IF($A244="","",SUMIFS(Jobs!$J$5:$J$1004,Jobs!$C$5:$C$1004,$A244))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IF($A245="","",SUMIFS(Jobs!$J$5:$J$1004,Jobs!$C$5:$C$1004,$A245))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IF($A246="","",SUMIFS(Jobs!$J$5:$J$1004,Jobs!$C$5:$C$1004,$A246))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IF($A247="","",SUMIFS(Jobs!$J$5:$J$1004,Jobs!$C$5:$C$1004,$A247))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IF($A248="","",SUMIFS(Jobs!$J$5:$J$1004,Jobs!$C$5:$C$1004,$A248))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IF($A249="","",SUMIFS(Jobs!$J$5:$J$1004,Jobs!$C$5:$C$1004,$A249))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IF($A250="","",SUMIFS(Jobs!$J$5:$J$1004,Jobs!$C$5:$C$1004,$A250))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IF($A251="","",SUMIFS(Jobs!$J$5:$J$1004,Jobs!$C$5:$C$1004,$A251))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IF($A252="","",SUMIFS(Jobs!$J$5:$J$1004,Jobs!$C$5:$C$1004,$A252))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IF($A253="","",SUMIFS(Jobs!$J$5:$J$1004,Jobs!$C$5:$C$1004,$A253))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IF($A254="","",SUMIFS(Jobs!$J$5:$J$1004,Jobs!$C$5:$C$1004,$A254))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IF($A255="","",SUMIFS(Jobs!$J$5:$J$1004,Jobs!$C$5:$C$1004,$A255))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IF($A256="","",SUMIFS(Jobs!$J$5:$J$1004,Jobs!$C$5:$C$1004,$A256))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IF($A257="","",SUMIFS(Jobs!$J$5:$J$1004,Jobs!$C$5:$C$1004,$A257))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IF($A258="","",SUMIFS(Jobs!$J$5:$J$1004,Jobs!$C$5:$C$1004,$A258))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IF($A259="","",SUMIFS(Jobs!$J$5:$J$1004,Jobs!$C$5:$C$1004,$A259))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IF($A260="","",SUMIFS(Jobs!$J$5:$J$1004,Jobs!$C$5:$C$1004,$A260))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IF($A261="","",SUMIFS(Jobs!$J$5:$J$1004,Jobs!$C$5:$C$1004,$A261))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IF($A262="","",SUMIFS(Jobs!$J$5:$J$1004,Jobs!$C$5:$C$1004,$A262))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IF($A263="","",SUMIFS(Jobs!$J$5:$J$1004,Jobs!$C$5:$C$1004,$A263))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IF($A264="","",SUMIFS(Jobs!$J$5:$J$1004,Jobs!$C$5:$C$1004,$A264))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IF($A265="","",SUMIFS(Jobs!$J$5:$J$1004,Jobs!$C$5:$C$1004,$A265))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IF($A266="","",SUMIFS(Jobs!$J$5:$J$1004,Jobs!$C$5:$C$1004,$A266))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IF($A267="","",SUMIFS(Jobs!$J$5:$J$1004,Jobs!$C$5:$C$1004,$A267))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IF($A268="","",SUMIFS(Jobs!$J$5:$J$1004,Jobs!$C$5:$C$1004,$A268))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IF($A269="","",SUMIFS(Jobs!$J$5:$J$1004,Jobs!$C$5:$C$1004,$A269))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IF($A270="","",SUMIFS(Jobs!$J$5:$J$1004,Jobs!$C$5:$C$1004,$A270))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IF($A271="","",SUMIFS(Jobs!$J$5:$J$1004,Jobs!$C$5:$C$1004,$A271))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IF($A272="","",SUMIFS(Jobs!$J$5:$J$1004,Jobs!$C$5:$C$1004,$A272))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IF($A273="","",SUMIFS(Jobs!$J$5:$J$1004,Jobs!$C$5:$C$1004,$A273))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IF($A274="","",SUMIFS(Jobs!$J$5:$J$1004,Jobs!$C$5:$C$1004,$A274))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IF($A275="","",SUMIFS(Jobs!$J$5:$J$1004,Jobs!$C$5:$C$1004,$A275))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IF($A276="","",SUMIFS(Jobs!$J$5:$J$1004,Jobs!$C$5:$C$1004,$A276))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IF($A277="","",SUMIFS(Jobs!$J$5:$J$1004,Jobs!$C$5:$C$1004,$A277))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IF($A278="","",SUMIFS(Jobs!$J$5:$J$1004,Jobs!$C$5:$C$1004,$A278))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IF($A279="","",SUMIFS(Jobs!$J$5:$J$1004,Jobs!$C$5:$C$1004,$A279))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IF($A280="","",SUMIFS(Jobs!$J$5:$J$1004,Jobs!$C$5:$C$1004,$A280))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IF($A281="","",SUMIFS(Jobs!$J$5:$J$1004,Jobs!$C$5:$C$1004,$A281))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IF($A282="","",SUMIFS(Jobs!$J$5:$J$1004,Jobs!$C$5:$C$1004,$A282))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IF($A283="","",SUMIFS(Jobs!$J$5:$J$1004,Jobs!$C$5:$C$1004,$A283))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IF($A284="","",SUMIFS(Jobs!$J$5:$J$1004,Jobs!$C$5:$C$1004,$A284))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IF($A285="","",SUMIFS(Jobs!$J$5:$J$1004,Jobs!$C$5:$C$1004,$A285))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IF($A286="","",SUMIFS(Jobs!$J$5:$J$1004,Jobs!$C$5:$C$1004,$A286))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IF($A287="","",SUMIFS(Jobs!$J$5:$J$1004,Jobs!$C$5:$C$1004,$A287))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IF($A288="","",SUMIFS(Jobs!$J$5:$J$1004,Jobs!$C$5:$C$1004,$A288))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IF($A289="","",SUMIFS(Jobs!$J$5:$J$1004,Jobs!$C$5:$C$1004,$A289))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IF($A290="","",SUMIFS(Jobs!$J$5:$J$1004,Jobs!$C$5:$C$1004,$A290))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IF($A291="","",SUMIFS(Jobs!$J$5:$J$1004,Jobs!$C$5:$C$1004,$A291))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IF($A292="","",SUMIFS(Jobs!$J$5:$J$1004,Jobs!$C$5:$C$1004,$A292))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IF($A293="","",SUMIFS(Jobs!$J$5:$J$1004,Jobs!$C$5:$C$1004,$A293))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IF($A294="","",SUMIFS(Jobs!$J$5:$J$1004,Jobs!$C$5:$C$1004,$A294))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IF($A295="","",SUMIFS(Jobs!$J$5:$J$1004,Jobs!$C$5:$C$1004,$A295))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IF($A296="","",SUMIFS(Jobs!$J$5:$J$1004,Jobs!$C$5:$C$1004,$A296))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IF($A297="","",SUMIFS(Jobs!$J$5:$J$1004,Jobs!$C$5:$C$1004,$A297))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IF($A298="","",SUMIFS(Jobs!$J$5:$J$1004,Jobs!$C$5:$C$1004,$A298))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IF($A299="","",SUMIFS(Jobs!$J$5:$J$1004,Jobs!$C$5:$C$1004,$A299))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IF($A300="","",SUMIFS(Jobs!$J$5:$J$1004,Jobs!$C$5:$C$1004,$A300))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IF($A301="","",SUMIFS(Jobs!$J$5:$J$1004,Jobs!$C$5:$C$1004,$A301))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IF($A302="","",SUMIFS(Jobs!$J$5:$J$1004,Jobs!$C$5:$C$1004,$A302))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IF($A303="","",SUMIFS(Jobs!$J$5:$J$1004,Jobs!$C$5:$C$1004,$A303))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IF($A304="","",SUMIFS(Jobs!$J$5:$J$1004,Jobs!$C$5:$C$1004,$A304))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5">
      <formula>"Overdue"</formula>
    </cfRule>
    <cfRule type="cellIs" priority="3" operator="equal" aboveAverage="0" equalAverage="0" bottom="0" percent="0" rank="0" text="" dxfId="6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3</v>
      </c>
      <c r="F5" s="6" t="s">
        <v>86</v>
      </c>
      <c r="G5" s="25"/>
      <c r="H5" s="27" t="n">
        <f aca="false">IF(C5="","",IF(G5&lt;&gt;"",G5,IFERROR(INDEX(Clients!$G$5:$G$304,MATCH(C5,Clients!$A$5:$A$304,0)),0)))</f>
        <v>350</v>
      </c>
      <c r="I5" s="25" t="n">
        <v>75</v>
      </c>
      <c r="J5" s="27" t="n">
        <f aca="false">IF(C5="","",H5+N(I5))</f>
        <v>425</v>
      </c>
      <c r="K5" s="6" t="s">
        <v>87</v>
      </c>
      <c r="L5" s="6" t="s">
        <v>88</v>
      </c>
      <c r="M5" s="25" t="n">
        <v>18</v>
      </c>
      <c r="N5" s="10" t="n">
        <v>8</v>
      </c>
      <c r="O5" s="27" t="n">
        <f aca="false">IF(C5="","",N(E5)*Settings!$B$8)</f>
        <v>75</v>
      </c>
      <c r="P5" s="27" t="n">
        <f aca="false">IF(C5="","",N(N5)*Settings!$B$10)</f>
        <v>5.6</v>
      </c>
      <c r="Q5" s="27" t="n">
        <f aca="false">IF(C5="","",J5-N(M5)-O5-P5)</f>
        <v>326.4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46215</v>
      </c>
      <c r="C6" s="6" t="s">
        <v>63</v>
      </c>
      <c r="D6" s="6"/>
      <c r="E6" s="29" t="n">
        <v>3</v>
      </c>
      <c r="F6" s="6" t="s">
        <v>89</v>
      </c>
      <c r="G6" s="25"/>
      <c r="H6" s="30" t="n">
        <f aca="false">IF(C6="","",IF(G6&lt;&gt;"",G6,IFERROR(INDEX(Clients!$G$5:$G$304,MATCH(C6,Clients!$A$5:$A$304,0)),0)))</f>
        <v>300</v>
      </c>
      <c r="I6" s="25" t="n">
        <v>0</v>
      </c>
      <c r="J6" s="30" t="n">
        <f aca="false">IF(C6="","",H6+N(I6))</f>
        <v>300</v>
      </c>
      <c r="K6" s="6" t="s">
        <v>87</v>
      </c>
      <c r="L6" s="6" t="s">
        <v>90</v>
      </c>
      <c r="M6" s="25" t="n">
        <v>22</v>
      </c>
      <c r="N6" s="10" t="n">
        <v>4</v>
      </c>
      <c r="O6" s="30" t="n">
        <f aca="false">IF(C6="","",N(E6)*Settings!$B$8)</f>
        <v>75</v>
      </c>
      <c r="P6" s="30" t="n">
        <f aca="false">IF(C6="","",N(N6)*Settings!$B$10)</f>
        <v>2.8</v>
      </c>
      <c r="Q6" s="30" t="n">
        <f aca="false">IF(C6="","",J6-N(M6)-O6-P6)</f>
        <v>200.2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46306</v>
      </c>
      <c r="C7" s="6" t="s">
        <v>63</v>
      </c>
      <c r="D7" s="6"/>
      <c r="E7" s="29" t="n">
        <v>3.5</v>
      </c>
      <c r="F7" s="6" t="s">
        <v>89</v>
      </c>
      <c r="G7" s="25"/>
      <c r="H7" s="27" t="n">
        <f aca="false">IF(C7="","",IF(G7&lt;&gt;"",G7,IFERROR(INDEX(Clients!$G$5:$G$304,MATCH(C7,Clients!$A$5:$A$304,0)),0)))</f>
        <v>300</v>
      </c>
      <c r="I7" s="25" t="n">
        <v>40</v>
      </c>
      <c r="J7" s="27" t="n">
        <f aca="false">IF(C7="","",H7+N(I7))</f>
        <v>340</v>
      </c>
      <c r="K7" s="6" t="s">
        <v>91</v>
      </c>
      <c r="L7" s="6"/>
      <c r="M7" s="25" t="n">
        <v>22</v>
      </c>
      <c r="N7" s="10" t="n">
        <v>4</v>
      </c>
      <c r="O7" s="27" t="n">
        <f aca="false">IF(C7="","",N(E7)*Settings!$B$8)</f>
        <v>87.5</v>
      </c>
      <c r="P7" s="27" t="n">
        <f aca="false">IF(C7="","",N(N7)*Settings!$B$10)</f>
        <v>2.8</v>
      </c>
      <c r="Q7" s="27" t="n">
        <f aca="false">IF(C7="","",J7-N(M7)-O7-P7)</f>
        <v>227.7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5">
      <formula>"No"</formula>
    </cfRule>
  </conditionalFormatting>
  <conditionalFormatting sqref="Q5:Q1004">
    <cfRule type="cellIs" priority="3" operator="lessThan" aboveAverage="0" equalAverage="0" bottom="0" percent="0" rank="0" text="" dxfId="10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Gutter brightening</v>
      </c>
      <c r="E4" s="6" t="s">
        <v>91</v>
      </c>
    </row>
    <row r="5" customFormat="false" ht="15" hidden="false" customHeight="false" outlineLevel="0" collapsed="false">
      <c r="A5" s="7" t="s">
        <v>108</v>
      </c>
      <c r="B5" s="32" t="n">
        <v>2600</v>
      </c>
      <c r="D5" s="8" t="str">
        <f aca="false">IF(Settings!D25="","",Settings!D25)</f>
        <v>Window rinse</v>
      </c>
      <c r="E5" s="6" t="s">
        <v>87</v>
      </c>
    </row>
    <row r="6" customFormat="false" ht="15" hidden="false" customHeight="false" outlineLevel="0" collapsed="false">
      <c r="A6" s="7" t="s">
        <v>109</v>
      </c>
      <c r="B6" s="32" t="n">
        <v>2</v>
      </c>
      <c r="D6" s="8" t="str">
        <f aca="false">IF(Settings!D26="","",Settings!D26)</f>
        <v>Rust / stain removal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1</v>
      </c>
      <c r="D7" s="8" t="str">
        <f aca="false">IF(Settings!D27="","",Settings!D27)</f>
        <v>Concrete sealing</v>
      </c>
      <c r="E7" s="6" t="s">
        <v>91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Trash can cleaning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Oil stain treatment</v>
      </c>
      <c r="E9" s="6" t="s">
        <v>91</v>
      </c>
    </row>
    <row r="11" customFormat="false" ht="15" hidden="false" customHeight="false" outlineLevel="0" collapsed="false">
      <c r="A11" s="31" t="s">
        <v>111</v>
      </c>
    </row>
    <row r="12" customFormat="false" ht="15" hidden="false" customHeight="false" outlineLevel="0" collapsed="false">
      <c r="A12" s="7" t="s">
        <v>112</v>
      </c>
      <c r="B12" s="27" t="n">
        <f aca="false">IFERROR(INDEX(Settings!$E$5:$E$12,MATCH(B4,Settings!$D$5:$D$12,0)),0)</f>
        <v>325</v>
      </c>
    </row>
    <row r="13" customFormat="false" ht="15" hidden="false" customHeight="false" outlineLevel="0" collapsed="false">
      <c r="A13" s="7" t="s">
        <v>113</v>
      </c>
      <c r="B13" s="27" t="n">
        <f aca="false">MAX(0,B6-1)*Settings!$E$15</f>
        <v>75</v>
      </c>
    </row>
    <row r="14" customFormat="false" ht="15" hidden="false" customHeight="false" outlineLevel="0" collapsed="false">
      <c r="A14" s="7" t="s">
        <v>114</v>
      </c>
      <c r="B14" s="27" t="n">
        <f aca="false">MAX(0,B7)*Settings!$E$16</f>
        <v>60</v>
      </c>
    </row>
    <row r="15" customFormat="false" ht="15" hidden="false" customHeight="false" outlineLevel="0" collapsed="false">
      <c r="A15" s="7" t="s">
        <v>115</v>
      </c>
      <c r="B15" s="27" t="n">
        <f aca="false">MAX(0,ROUNDUP((B5-2000)/250,0))*Settings!$E$17</f>
        <v>60</v>
      </c>
    </row>
    <row r="16" customFormat="false" ht="15" hidden="false" customHeight="false" outlineLevel="0" collapsed="false">
      <c r="A16" s="7" t="s">
        <v>116</v>
      </c>
      <c r="B16" s="27" t="n">
        <f aca="false">SUMIFS(Settings!$E$24:$E$29,Settings!$D$24:$D$29,"&lt;&gt;",E4:E9,"Yes")</f>
        <v>50</v>
      </c>
    </row>
    <row r="17" customFormat="false" ht="15" hidden="false" customHeight="false" outlineLevel="0" collapsed="false">
      <c r="A17" s="7" t="s">
        <v>117</v>
      </c>
      <c r="B17" s="27" t="n">
        <f aca="false">SUM(B12:B16)</f>
        <v>570</v>
      </c>
    </row>
    <row r="18" customFormat="false" ht="15" hidden="false" customHeight="false" outlineLevel="0" collapsed="false">
      <c r="A18" s="7" t="s">
        <v>118</v>
      </c>
      <c r="B18" s="27" t="n">
        <f aca="false">-B17*IFERROR(INDEX(Settings!$F$33:$F$37,MATCH(B8,Settings!$D$33:$D$37,0)),0)</f>
        <v>-28.5</v>
      </c>
    </row>
    <row r="19" customFormat="false" ht="16.15" hidden="false" customHeight="false" outlineLevel="0" collapsed="false">
      <c r="A19" s="33" t="s">
        <v>119</v>
      </c>
      <c r="B19" s="34" t="n">
        <f aca="false">ROUND(B17+B18,0)</f>
        <v>542</v>
      </c>
    </row>
    <row r="21" customFormat="false" ht="15" hidden="false" customHeight="false" outlineLevel="0" collapsed="false">
      <c r="A21" s="7" t="s">
        <v>120</v>
      </c>
      <c r="B21" s="35" t="n">
        <f aca="false">IFERROR(INDEX(Settings!$F$5:$F$12,MATCH(B4,Settings!$D$5:$D$12,0)),0)+MAX(0,B6-1)*Settings!$E$18+MAX(0,B7)*Settings!$E$19+MAX(0,ROUNDUP((B5-2000)/250,0))*Settings!$E$20+SUMIFS(Settings!$F$24:$F$29,Settings!$D$24:$D$29,"&lt;&gt;",E4:E9,"Yes")</f>
        <v>5.75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143.75</v>
      </c>
    </row>
    <row r="23" customFormat="false" ht="15" hidden="false" customHeight="false" outlineLevel="0" collapsed="false">
      <c r="A23" s="7" t="s">
        <v>121</v>
      </c>
      <c r="B23" s="27" t="n">
        <f aca="false">B19-B22</f>
        <v>398.25</v>
      </c>
    </row>
    <row r="24" customFormat="false" ht="15" hidden="false" customHeight="false" outlineLevel="0" collapsed="false">
      <c r="A24" s="7" t="s">
        <v>122</v>
      </c>
      <c r="B24" s="27" t="n">
        <f aca="false">IF(B21=0,0,B19/B21)</f>
        <v>94.2608695652174</v>
      </c>
    </row>
    <row r="26" customFormat="false" ht="15" hidden="false" customHeight="false" outlineLevel="0" collapsed="false">
      <c r="A26" s="2" t="s">
        <v>123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124</v>
      </c>
      <c r="D1" s="36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  <c r="B4" s="6" t="s">
        <v>128</v>
      </c>
    </row>
    <row r="6" customFormat="false" ht="16.15" hidden="false" customHeight="false" outlineLevel="0" collapsed="false">
      <c r="A6" s="37" t="str">
        <f aca="false">Settings!B4</f>
        <v>Blue Wave Pressure Washing</v>
      </c>
      <c r="B6" s="7"/>
      <c r="C6" s="7"/>
      <c r="D6" s="7" t="s">
        <v>129</v>
      </c>
      <c r="E6" s="7" t="str">
        <f aca="false">IF(A12="","","INV-"&amp;MID(B4,3,10))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130</v>
      </c>
      <c r="E7" s="38" t="n">
        <f aca="false">IFERROR(INDEX(Jobs!$B$5:$B$1004,MATCH($B$4,Jobs!$A$5:$A$1004,0)),"")</f>
        <v>46306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131</v>
      </c>
      <c r="E8" s="38" t="n">
        <f aca="false">IF(E7="","",E7+Settings!$B$11)</f>
        <v>46320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IF(A12="","",IF(IFERROR(INDEX(Jobs!$K$5:$K$1004,MATCH($B$4,Jobs!$A$5:$A$1004,0)),"")="Yes","PAID","DUE"))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132</v>
      </c>
      <c r="B11" s="7"/>
      <c r="C11" s="7"/>
      <c r="D11" s="7"/>
      <c r="E11" s="7"/>
    </row>
    <row r="12" customFormat="false" ht="15" hidden="false" customHeight="false" outlineLevel="0" collapsed="false">
      <c r="A12" s="4" t="str">
        <f aca="false">IFERROR(INDEX(Jobs!$C$5:$C$1004,MATCH($B$4,Jobs!$A$5:$A$1004,0)),"")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IFERROR(INDEX(Clients!$D$5:$D$304,MATCH(A12,Clients!$A$5:$A$304,0)),"")</f>
        <v>400 Main St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IF(A12="","",IF(IFERROR(INDEX(Jobs!$D$5:$D$1004,MATCH($B$4,Jobs!$A$5:$A$1004,0)),"")&lt;&gt;"",IFERROR(INDEX(Jobs!$D$5:$D$1004,MATCH($B$4,Jobs!$A$5:$A$1004,0)),""),IFERROR(INDEX(Clients!$E$5:$E$304,MATCH(A12,Clients!$A$5:$A$304,0)),"Pressure washing service")))</f>
        <v>Commercial Flatwork</v>
      </c>
      <c r="B17" s="7"/>
      <c r="C17" s="7"/>
      <c r="D17" s="7"/>
      <c r="E17" s="40" t="n">
        <f aca="false">IFERROR(INDEX(Jobs!$H$5:$H$1004,MATCH($B$4,Jobs!$A$5:$A$1004,0)),"")</f>
        <v>300</v>
      </c>
    </row>
    <row r="18" customFormat="false" ht="15" hidden="false" customHeight="false" outlineLevel="0" collapsed="false">
      <c r="A18" s="7" t="s">
        <v>133</v>
      </c>
      <c r="B18" s="7"/>
      <c r="C18" s="7"/>
      <c r="D18" s="7"/>
      <c r="E18" s="40" t="n">
        <f aca="false">IFERROR(INDEX(Jobs!$I$5:$I$1004,MATCH($B$4,Jobs!$A$5:$A$1004,0)),"")</f>
        <v>40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134</v>
      </c>
      <c r="E20" s="42" t="n">
        <f aca="false">IF(A12="","",N(E17)+N(E18))</f>
        <v>340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135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5E8C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D3" s="31" t="s">
        <v>138</v>
      </c>
      <c r="H3" s="31" t="s">
        <v>139</v>
      </c>
    </row>
    <row r="4" customFormat="false" ht="15" hidden="false" customHeight="false" outlineLevel="0" collapsed="false">
      <c r="A4" s="7" t="s">
        <v>140</v>
      </c>
      <c r="B4" s="6" t="s">
        <v>141</v>
      </c>
      <c r="D4" s="44" t="s">
        <v>46</v>
      </c>
      <c r="E4" s="44" t="s">
        <v>112</v>
      </c>
      <c r="F4" s="44" t="s">
        <v>142</v>
      </c>
      <c r="H4" s="6" t="s">
        <v>99</v>
      </c>
    </row>
    <row r="5" customFormat="false" ht="15" hidden="false" customHeight="false" outlineLevel="0" collapsed="false">
      <c r="A5" s="7" t="s">
        <v>143</v>
      </c>
      <c r="B5" s="6" t="s">
        <v>144</v>
      </c>
      <c r="D5" s="6" t="s">
        <v>60</v>
      </c>
      <c r="E5" s="25" t="n">
        <v>325</v>
      </c>
      <c r="F5" s="29" t="n">
        <v>3</v>
      </c>
      <c r="H5" s="6" t="s">
        <v>145</v>
      </c>
    </row>
    <row r="6" customFormat="false" ht="15" hidden="false" customHeight="false" outlineLevel="0" collapsed="false">
      <c r="A6" s="7" t="s">
        <v>43</v>
      </c>
      <c r="B6" s="6" t="s">
        <v>146</v>
      </c>
      <c r="D6" s="6" t="s">
        <v>147</v>
      </c>
      <c r="E6" s="25" t="n">
        <v>150</v>
      </c>
      <c r="F6" s="29" t="n">
        <v>1.5</v>
      </c>
      <c r="H6" s="6" t="s">
        <v>148</v>
      </c>
    </row>
    <row r="7" customFormat="false" ht="15" hidden="false" customHeight="false" outlineLevel="0" collapsed="false">
      <c r="A7" s="7" t="s">
        <v>44</v>
      </c>
      <c r="B7" s="6" t="s">
        <v>149</v>
      </c>
      <c r="D7" s="6" t="s">
        <v>150</v>
      </c>
      <c r="E7" s="25" t="n">
        <v>225</v>
      </c>
      <c r="F7" s="29" t="n">
        <v>2.5</v>
      </c>
      <c r="H7" s="6" t="s">
        <v>151</v>
      </c>
    </row>
    <row r="8" customFormat="false" ht="15" hidden="false" customHeight="false" outlineLevel="0" collapsed="false">
      <c r="A8" s="7" t="s">
        <v>152</v>
      </c>
      <c r="B8" s="25" t="n">
        <v>25</v>
      </c>
      <c r="D8" s="6" t="s">
        <v>153</v>
      </c>
      <c r="E8" s="25" t="n">
        <v>450</v>
      </c>
      <c r="F8" s="29" t="n">
        <v>4</v>
      </c>
      <c r="H8" s="6" t="s">
        <v>102</v>
      </c>
    </row>
    <row r="9" customFormat="false" ht="15" hidden="false" customHeight="false" outlineLevel="0" collapsed="false">
      <c r="A9" s="7" t="s">
        <v>154</v>
      </c>
      <c r="B9" s="45" t="n">
        <v>0.25</v>
      </c>
      <c r="D9" s="6" t="s">
        <v>155</v>
      </c>
      <c r="E9" s="25" t="n">
        <v>200</v>
      </c>
      <c r="F9" s="29" t="n">
        <v>2.5</v>
      </c>
      <c r="H9" s="6" t="s">
        <v>156</v>
      </c>
    </row>
    <row r="10" customFormat="false" ht="15" hidden="false" customHeight="false" outlineLevel="0" collapsed="false">
      <c r="A10" s="7" t="s">
        <v>157</v>
      </c>
      <c r="B10" s="25" t="n">
        <v>0.7</v>
      </c>
      <c r="D10" s="6" t="s">
        <v>67</v>
      </c>
      <c r="E10" s="25" t="n">
        <v>300</v>
      </c>
      <c r="F10" s="29" t="n">
        <v>3</v>
      </c>
      <c r="H10" s="6" t="s">
        <v>158</v>
      </c>
    </row>
    <row r="11" customFormat="false" ht="15" hidden="false" customHeight="false" outlineLevel="0" collapsed="false">
      <c r="A11" s="7" t="s">
        <v>159</v>
      </c>
      <c r="B11" s="10" t="n">
        <v>14</v>
      </c>
      <c r="D11" s="6"/>
      <c r="E11" s="25"/>
      <c r="F11" s="29"/>
      <c r="H11" s="6" t="s">
        <v>160</v>
      </c>
    </row>
    <row r="12" customFormat="false" ht="15" hidden="false" customHeight="false" outlineLevel="0" collapsed="false">
      <c r="D12" s="6"/>
      <c r="E12" s="25"/>
      <c r="F12" s="29"/>
      <c r="H12" s="6" t="s">
        <v>161</v>
      </c>
    </row>
    <row r="13" customFormat="false" ht="15" hidden="false" customHeight="false" outlineLevel="0" collapsed="false">
      <c r="H13" s="6"/>
    </row>
    <row r="14" customFormat="false" ht="15" hidden="false" customHeight="false" outlineLevel="0" collapsed="false">
      <c r="D14" s="31" t="s">
        <v>162</v>
      </c>
      <c r="H14" s="6"/>
    </row>
    <row r="15" customFormat="false" ht="15" hidden="false" customHeight="false" outlineLevel="0" collapsed="false">
      <c r="D15" s="7" t="s">
        <v>163</v>
      </c>
      <c r="E15" s="25" t="n">
        <v>75</v>
      </c>
    </row>
    <row r="16" customFormat="false" ht="15" hidden="false" customHeight="false" outlineLevel="0" collapsed="false">
      <c r="D16" s="7" t="s">
        <v>164</v>
      </c>
      <c r="E16" s="25" t="n">
        <v>60</v>
      </c>
    </row>
    <row r="17" customFormat="false" ht="15" hidden="false" customHeight="false" outlineLevel="0" collapsed="false">
      <c r="D17" s="7" t="s">
        <v>165</v>
      </c>
      <c r="E17" s="25" t="n">
        <v>20</v>
      </c>
      <c r="H17" s="31" t="s">
        <v>166</v>
      </c>
    </row>
    <row r="18" customFormat="false" ht="15" hidden="false" customHeight="false" outlineLevel="0" collapsed="false">
      <c r="D18" s="7" t="s">
        <v>167</v>
      </c>
      <c r="E18" s="46" t="n">
        <v>0.75</v>
      </c>
      <c r="H18" s="6" t="s">
        <v>168</v>
      </c>
    </row>
    <row r="19" customFormat="false" ht="15" hidden="false" customHeight="false" outlineLevel="0" collapsed="false">
      <c r="D19" s="7" t="s">
        <v>169</v>
      </c>
      <c r="E19" s="46" t="n">
        <v>0.75</v>
      </c>
      <c r="H19" s="6" t="s">
        <v>90</v>
      </c>
    </row>
    <row r="20" customFormat="false" ht="15" hidden="false" customHeight="false" outlineLevel="0" collapsed="false">
      <c r="D20" s="7" t="s">
        <v>170</v>
      </c>
      <c r="E20" s="46" t="n">
        <v>0.25</v>
      </c>
      <c r="H20" s="6" t="s">
        <v>171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172</v>
      </c>
      <c r="H22" s="6" t="s">
        <v>173</v>
      </c>
    </row>
    <row r="23" customFormat="false" ht="15" hidden="false" customHeight="false" outlineLevel="0" collapsed="false">
      <c r="D23" s="44" t="s">
        <v>174</v>
      </c>
      <c r="E23" s="44" t="s">
        <v>77</v>
      </c>
      <c r="F23" s="44" t="s">
        <v>74</v>
      </c>
      <c r="H23" s="6" t="s">
        <v>175</v>
      </c>
    </row>
    <row r="24" customFormat="false" ht="15" hidden="false" customHeight="false" outlineLevel="0" collapsed="false">
      <c r="D24" s="6" t="s">
        <v>176</v>
      </c>
      <c r="E24" s="25" t="n">
        <v>75</v>
      </c>
      <c r="F24" s="46" t="n">
        <v>0.75</v>
      </c>
      <c r="H24" s="6"/>
    </row>
    <row r="25" customFormat="false" ht="15" hidden="false" customHeight="false" outlineLevel="0" collapsed="false">
      <c r="D25" s="6" t="s">
        <v>177</v>
      </c>
      <c r="E25" s="25" t="n">
        <v>50</v>
      </c>
      <c r="F25" s="46" t="n">
        <v>0.5</v>
      </c>
    </row>
    <row r="26" customFormat="false" ht="15" hidden="false" customHeight="false" outlineLevel="0" collapsed="false">
      <c r="D26" s="6" t="s">
        <v>178</v>
      </c>
      <c r="E26" s="25" t="n">
        <v>85</v>
      </c>
      <c r="F26" s="46" t="n">
        <v>1</v>
      </c>
    </row>
    <row r="27" customFormat="false" ht="15" hidden="false" customHeight="false" outlineLevel="0" collapsed="false">
      <c r="D27" s="6" t="s">
        <v>179</v>
      </c>
      <c r="E27" s="25" t="n">
        <v>150</v>
      </c>
      <c r="F27" s="46" t="n">
        <v>2</v>
      </c>
      <c r="H27" s="31" t="s">
        <v>180</v>
      </c>
    </row>
    <row r="28" customFormat="false" ht="15" hidden="false" customHeight="false" outlineLevel="0" collapsed="false">
      <c r="D28" s="6" t="s">
        <v>181</v>
      </c>
      <c r="E28" s="25" t="n">
        <v>15</v>
      </c>
      <c r="F28" s="46" t="n">
        <v>0.25</v>
      </c>
      <c r="H28" s="6" t="s">
        <v>86</v>
      </c>
    </row>
    <row r="29" customFormat="false" ht="15" hidden="false" customHeight="false" outlineLevel="0" collapsed="false">
      <c r="D29" s="6" t="s">
        <v>182</v>
      </c>
      <c r="E29" s="25" t="n">
        <v>40</v>
      </c>
      <c r="F29" s="46" t="n">
        <v>0.5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183</v>
      </c>
      <c r="H31" s="6"/>
    </row>
    <row r="32" customFormat="false" ht="15" hidden="false" customHeight="false" outlineLevel="0" collapsed="false">
      <c r="D32" s="44" t="s">
        <v>47</v>
      </c>
      <c r="E32" s="44" t="s">
        <v>184</v>
      </c>
      <c r="F32" s="44" t="s">
        <v>185</v>
      </c>
      <c r="H32" s="6"/>
    </row>
    <row r="33" customFormat="false" ht="15" hidden="false" customHeight="false" outlineLevel="0" collapsed="false">
      <c r="D33" s="6" t="s">
        <v>61</v>
      </c>
      <c r="E33" s="10" t="n">
        <v>365</v>
      </c>
      <c r="F33" s="45" t="n">
        <v>0.05</v>
      </c>
      <c r="H33" s="6"/>
    </row>
    <row r="34" customFormat="false" ht="15" hidden="false" customHeight="false" outlineLevel="0" collapsed="false">
      <c r="D34" s="6" t="s">
        <v>186</v>
      </c>
      <c r="E34" s="10" t="n">
        <v>182</v>
      </c>
      <c r="F34" s="45" t="n">
        <v>0.1</v>
      </c>
    </row>
    <row r="35" customFormat="false" ht="15" hidden="false" customHeight="false" outlineLevel="0" collapsed="false">
      <c r="D35" s="6" t="s">
        <v>68</v>
      </c>
      <c r="E35" s="10" t="n">
        <v>91</v>
      </c>
      <c r="F35" s="45" t="n">
        <v>0.1</v>
      </c>
    </row>
    <row r="36" customFormat="false" ht="15" hidden="false" customHeight="false" outlineLevel="0" collapsed="false">
      <c r="D36" s="6" t="s">
        <v>187</v>
      </c>
      <c r="E36" s="10" t="n">
        <v>30</v>
      </c>
      <c r="F36" s="45" t="n">
        <v>0.15</v>
      </c>
    </row>
    <row r="37" customFormat="false" ht="15" hidden="false" customHeight="false" outlineLevel="0" collapsed="false">
      <c r="D37" s="6" t="s">
        <v>188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2026-10-15T02:44:04Z</dcterms:created>
  <dc:creator>openpyxl</dc:creator>
  <dc:description/>
  <dc:language>en-US</dc:language>
  <cp:lastModifiedBy/>
  <dcterms:modified xsi:type="dcterms:W3CDTF">2026-10-14T20:44:08Z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