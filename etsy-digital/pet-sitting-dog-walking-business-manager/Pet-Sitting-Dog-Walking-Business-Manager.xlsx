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sitter-hour.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<sst xmlns="http://schemas.openxmlformats.org/spreadsheetml/2006/main" count="239" uniqueCount="191">
  <si>
    <t xml:space="preserve">Pet Sitting &amp; Dog Walking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</si>
  <si>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</si>
  <si>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</si>
  <si>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</si>
  <si>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</si>
  <si>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</si>
  <si>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visit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</si>
  <si>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</si>
  <si>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</si>
  <si>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</si>
  <si>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</si>
  <si>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</si>
  <si>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client in seconds from number of pets, medications / special care, travel distance,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</si>
  <si>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</si>
  <si>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</si>
  <si>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</si>
  <si>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</si>
  <si>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</si>
  <si>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</si>
  <si>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</si>
  <si>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</si>
  <si>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</si>
  <si>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</si>
  <si>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</si>
  <si>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</si>
  <si>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</si>
  <si>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</si>
  <si>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</si>
  <si>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</si>
  <si>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</si>
  <si>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</si>
  <si>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</si>
  <si>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</si>
  <si>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</si>
  <si>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</si>
  <si>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</si>
  <si>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</si>
  <si>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</si>
  <si>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</si>
  <si>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</si>
  <si>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</si>
  <si>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</si>
  <si>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</si>
  <si>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</si>
  <si>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</si>
  <si>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</si>
  <si>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</si>
  <si>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</si>
  <si>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</si>
  <si>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</si>
  <si>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Pets, vet &amp; access 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</si>
  <si>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</si>
  <si>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</si>
  <si>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</si>
  <si>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</si>
  <si>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</si>
  <si>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</si>
  <si>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</si>
  <si>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</si>
  <si>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</si>
  <si>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Dog Walk (30 min)</t>
  </si>
  <si>
    <t xml:space="preserve">Weekly</t>
  </si>
  <si>
    <t xml:space="preserve">Max (lab) &amp; Bella; lockbox 4412; vet Dr. Lee 555-0190</t>
  </si>
  <si>
    <t xml:space="preserve">EXAMPLE – Patel Family</t>
  </si>
  <si>
    <t xml:space="preserve">(555) 870-1100</t>
  </si>
  <si>
    <t xml:space="preserve">patel@example.com</t>
  </si>
  <si>
    <t xml:space="preserve">400 Main St</t>
  </si>
  <si>
    <t xml:space="preserve">Drop-in Visit (30 min)</t>
  </si>
  <si>
    <t xml:space="preserve">Every 2 weeks</t>
  </si>
  <si>
    <t xml:space="preserve">2 cats, insulin 8am; key under mat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</si>
  <si>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</si>
  <si>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</si>
  <si>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</si>
  <si>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</si>
  <si>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</si>
  <si>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Sitter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</si>
  <si>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</si>
  <si>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</si>
  <si>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</si>
  <si>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</si>
  <si>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</si>
  <si>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</si>
  <si>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</si>
  <si>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</si>
  <si>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</si>
  <si>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</si>
  <si>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Notes</t>
  </si>
  <si>
    <t xml:space="preserve">Me</t>
  </si>
  <si>
    <t xml:space="preserve">Yes</t>
  </si>
  <si>
    <t xml:space="preserve">Zelle</t>
  </si>
  <si>
    <t xml:space="preserve">Sitter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</si>
  <si>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</si>
  <si>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</si>
  <si>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</si>
  <si>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</si>
  <si>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</si>
  <si>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</si>
  <si>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</si>
  <si>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</si>
  <si>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</si>
  <si>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Treats &amp; pet supplies</t>
  </si>
  <si>
    <t xml:space="preserve">Pet supply store</t>
  </si>
  <si>
    <t xml:space="preserve">EXAMPLE – Poop bags, treats, towels</t>
  </si>
  <si>
    <t xml:space="preserve">Insurance &amp; bonding</t>
  </si>
  <si>
    <t xml:space="preserve">Pet Sitters Associates</t>
  </si>
  <si>
    <t xml:space="preserve">EXAMPLE – Monthly pet sitter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</si>
  <si>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</si>
  <si>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</si>
  <si>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</si>
  <si>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Travel miles (one way)</t>
  </si>
  <si>
    <t xml:space="preserve">Number of pets</t>
  </si>
  <si>
    <t xml:space="preserve">Medications / special-care tasks</t>
  </si>
  <si>
    <t xml:space="preserve">RESULT</t>
  </si>
  <si>
    <t xml:space="preserve">Base price</t>
  </si>
  <si>
    <t xml:space="preserve">Extra pet adjustment</t>
  </si>
  <si>
    <t xml:space="preserve">Medication / special care</t>
  </si>
  <si>
    <t xml:space="preserve">Travel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</si>
  <si>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</si>
  <si>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</si>
  <si>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</si>
  <si>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</si>
  <si>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</si>
  <si>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</si>
  <si>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</si>
  <si>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</si>
  <si>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</si>
  <si>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</si>
  <si>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</si>
  <si>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</si>
  <si>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</si>
  <si>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</si>
  <si>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</si>
  <si>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</si>
  <si>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</si>
  <si>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</si>
  <si>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</si>
  <si>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</si>
  <si>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</si>
  <si>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</si>
  <si>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</si>
  <si>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</si>
  <si>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</si>
  <si>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Happy Tails Pet Care</t>
  </si>
  <si>
    <t xml:space="preserve">Est. hours</t>
  </si>
  <si>
    <t xml:space="preserve">Owner / contact</t>
  </si>
  <si>
    <t xml:space="preserve">Your Name</t>
  </si>
  <si>
    <t xml:space="preserve">Fuel</t>
  </si>
  <si>
    <t xml:space="preserve">(555) 555-0123</t>
  </si>
  <si>
    <t xml:space="preserve">Dog Walk (60 min)</t>
  </si>
  <si>
    <t xml:space="preserve">Leashes &amp; gear</t>
  </si>
  <si>
    <t xml:space="preserve">hello@example.com</t>
  </si>
  <si>
    <t xml:space="preserve">Hourly labor cost (what you pay per sitter-hour)</t>
  </si>
  <si>
    <t xml:space="preserve">Overnight Stay</t>
  </si>
  <si>
    <t xml:space="preserve">Background check</t>
  </si>
  <si>
    <t xml:space="preserve">Tax set-aside % of profit</t>
  </si>
  <si>
    <t xml:space="preserve">Puppy Visit</t>
  </si>
  <si>
    <t xml:space="preserve">Advertising</t>
  </si>
  <si>
    <t xml:space="preserve">Mileage rate per mile</t>
  </si>
  <si>
    <t xml:space="preserve">Pet Taxi</t>
  </si>
  <si>
    <t xml:space="preserve">Vehicle</t>
  </si>
  <si>
    <t xml:space="preserve">Invoice due in (days)</t>
  </si>
  <si>
    <t xml:space="preserve">Booking app fees</t>
  </si>
  <si>
    <t xml:space="preserve">Subcontractors</t>
  </si>
  <si>
    <t xml:space="preserve">Other</t>
  </si>
  <si>
    <t xml:space="preserve">QUOTE FACTORS</t>
  </si>
  <si>
    <t xml:space="preserve">Per extra pet (over 1)</t>
  </si>
  <si>
    <t xml:space="preserve">Per medication / special-care task</t>
  </si>
  <si>
    <t xml:space="preserve">Per 5 miles of travel over 5</t>
  </si>
  <si>
    <t xml:space="preserve">PAYMENT METHODS</t>
  </si>
  <si>
    <t xml:space="preserve">Extra hours per extra pet</t>
  </si>
  <si>
    <t xml:space="preserve">Cash</t>
  </si>
  <si>
    <t xml:space="preserve">Extra hours per medication / task</t>
  </si>
  <si>
    <t xml:space="preserve">Extra hours per 5 miles over 5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</si>
  <si>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</si>
  <si>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</si>
  <si>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</si>
  <si>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</si>
  <si>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</si>
  <si>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Holiday / short-notice fee</t>
  </si>
  <si>
    <t xml:space="preserve">Extra 15 minutes</t>
  </si>
  <si>
    <t xml:space="preserve">Litter box / cage clean</t>
  </si>
  <si>
    <t xml:space="preserve">Plants, mail &amp; trash</t>
  </si>
  <si>
    <t xml:space="preserve">SITTERS / STAFF</t>
  </si>
  <si>
    <t xml:space="preserve">Bath &amp; brush</t>
  </si>
  <si>
    <t xml:space="preserve">Training reinforcement</t>
  </si>
  <si>
    <t xml:space="preserve">FREQUENCY</t>
  </si>
  <si>
    <t xml:space="preserve">Days between</t>
  </si>
  <si>
    <t xml:space="preserve">Discount</t>
  </si>
  <si>
    <t xml:space="preserve">Daily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</si>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</sst>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A0522D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A0522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A052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A0522D"/>
      <name val="Arial"/>
      <family val="0"/>
      <charset val="1"/>
    </font>
    <font>
      <b val="true"/>
      <sz val="13"/>
      <color rgb="FFA0522D"/>
      <name val="Arial"/>
      <family val="0"/>
      <charset val="1"/>
    </font>
    <font>
      <b val="true"/>
      <sz val="20"/>
      <color rgb="FFA0522D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A0522D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A0522D"/>
        <bgColor rgb="FFC0504D"/>
      </patternFill>
    </fill>
    <fill>
      <patternFill patternType="solid">
        <fgColor rgb="FFFBEDE3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A0522D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FBEDE3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A0522D"/>
      <rgbColor rgb="FFFFF7D6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DE3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C0504D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</c:v>
                </c:pt>
                <c:pt idx="9">
                  <c:v>71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14.8</c:v>
                </c:pt>
                <c:pt idx="9">
                  <c:v>-13.7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012963"/>
        <c:axId val="75129875"/>
      </c:barChart>
      <c:catAx>
        <c:axId val="5012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29875"/>
        <c:crosses val="autoZero"/>
        <c:auto val="1"/>
        <c:lblAlgn val="ctr"/>
        <c:lblOffset val="100"/>
        <c:noMultiLvlLbl val="0"/>
      </c:catAx>
      <c:valAx>
        <c:axId val="75129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2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99</v>
      </c>
      <c r="D6" s="12" t="n">
        <f aca="false">SUM(F9:F20)</f>
        <v>1.1</v>
      </c>
      <c r="F6" s="12" t="n">
        <f aca="false">SUMIFS(Jobs!$J$5:$J$1004,Jobs!$K$5:$K$1004,"No")</f>
        <v>36</v>
      </c>
      <c r="H6" s="12" t="n">
        <f aca="false">MAX(0,B23)*Settings!$B$9</f>
        <v>0.274999999999999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0</v>
      </c>
      <c r="F15" s="14" t="n">
        <f aca="false">B15-C15-D15</f>
        <v>0</v>
      </c>
      <c r="G15" s="16" t="n">
        <f aca="false">IF(B15=0,0,F15/B15)</f>
        <v>0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28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13.2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1</v>
      </c>
      <c r="F17" s="14" t="n">
        <f aca="false">B17-C17-D17</f>
        <v>14.8</v>
      </c>
      <c r="G17" s="16" t="n">
        <f aca="false">IF(B17=0,0,F17/B17)</f>
        <v>0.528571428571429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71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26.5</v>
      </c>
      <c r="D18" s="18" t="n">
        <f aca="false">SUMIFS(Expenses!$E$5:$E$1004,Expenses!$A$5:$A$1004,"&gt;="&amp;DATE($B$4,10,1),Expenses!$A$5:$A$1004,"&lt;="&amp;EOMONTH(DATE($B$4,10,1),0))</f>
        <v>58.2</v>
      </c>
      <c r="E18" s="19" t="n">
        <f aca="false">COUNTIFS(Jobs!$B$5:$B$1004,"&gt;="&amp;DATE($B$4,10,1),Jobs!$B$5:$B$1004,"&lt;="&amp;EOMONTH(DATE($B$4,10,1),0))</f>
        <v>2</v>
      </c>
      <c r="F18" s="18" t="n">
        <f aca="false">B18-C18-D18</f>
        <v>-13.7</v>
      </c>
      <c r="G18" s="20" t="n">
        <f aca="false">IF(B18=0,0,F18/B18)</f>
        <v>-0.192957746478873</v>
      </c>
      <c r="H18" s="18" t="n">
        <f aca="false">SUMIFS(Jobs!$J$5:$J$1004,Jobs!$B$5:$B$1004,"&gt;="&amp;DATE($B$4,10,1),Jobs!$B$5:$B$1004,"&lt;="&amp;EOMONTH(DATE($B$4,10,1),0),Jobs!$K$5:$K$1004,"No")</f>
        <v>36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99</v>
      </c>
      <c r="C21" s="21" t="n">
        <f aca="false">SUM(C9:C20)</f>
        <v>39.7</v>
      </c>
      <c r="D21" s="21" t="n">
        <f aca="false">SUM(D9:D20)</f>
        <v>58.2</v>
      </c>
      <c r="E21" s="22" t="n">
        <f aca="false">SUM(E9:E20)</f>
        <v>3</v>
      </c>
      <c r="F21" s="21" t="n">
        <f aca="false">SUM(F9:F20)</f>
        <v>1.1</v>
      </c>
      <c r="G21" s="23" t="n">
        <f aca="false">IF(B21=0,0,F21/B21)</f>
        <v>0.0111111111111111</v>
      </c>
      <c r="H21" s="21" t="n">
        <f aca="false">SUM(H9:H20)</f>
        <v>36</v>
      </c>
    </row>
    <row r="23" customFormat="false" ht="15" hidden="false" customHeight="false" outlineLevel="0" collapsed="false">
      <c r="A23" s="7" t="s">
        <v>38</v>
      </c>
      <c r="B23" s="14" t="n">
        <f aca="false">F21</f>
        <v>1.1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25</v>
      </c>
      <c r="H5" s="26" t="n">
        <v>46254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35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46303</v>
      </c>
      <c r="N5" s="8" t="str">
        <f aca="true">IF($A5="","",IF(M5="",IF(J5=0,"New","—"),IF(M5&lt;TODAY(),"Overdue",IF(M5-TODAY()&lt;=3,"Due soon","Scheduled"))))</f>
        <v>Overdue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28</v>
      </c>
      <c r="H6" s="26" t="n">
        <v>46249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64</v>
      </c>
      <c r="L6" s="28" t="n">
        <f aca="false">IF(OR($A6="",J6=0),"",_xlfn.MAXIFS(Jobs!$B$5:$B$1004,Jobs!$C$5:$C$1004,$A6))</f>
        <v>46308</v>
      </c>
      <c r="M6" s="28" t="n">
        <f aca="false">IF(OR($A6="",L6=""),"",IFERROR(IF(INDEX(Settings!$E$33:$E$37,MATCH(F6,Settings!$D$33:$D$37,0))="","",L6+INDEX(Settings!$E$33:$E$37,MATCH(F6,Settings!$D$33:$D$37,0))),""))</f>
        <v>46322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86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0.5</v>
      </c>
      <c r="F5" s="6" t="s">
        <v>87</v>
      </c>
      <c r="G5" s="25"/>
      <c r="H5" s="27" t="n">
        <f aca="false">IF(C5="","",IF(G5&lt;&gt;"",G5,IFERROR(INDEX(Clients!$G$5:$G$304,MATCH(C5,Clients!$A$5:$A$304,0)),0)))</f>
        <v>25</v>
      </c>
      <c r="I5" s="25" t="n">
        <v>10</v>
      </c>
      <c r="J5" s="27" t="n">
        <f aca="false">IF(C5="","",H5+N(I5))</f>
        <v>35</v>
      </c>
      <c r="K5" s="6" t="s">
        <v>88</v>
      </c>
      <c r="L5" s="6" t="s">
        <v>89</v>
      </c>
      <c r="M5" s="25" t="n">
        <v>1.5</v>
      </c>
      <c r="N5" s="10" t="n">
        <v>4</v>
      </c>
      <c r="O5" s="27" t="n">
        <f aca="false">IF(C5="","",N(E5)*Settings!$B$8)</f>
        <v>9</v>
      </c>
      <c r="P5" s="27" t="n">
        <f aca="false">IF(C5="","",N(N5)*Settings!$B$10)</f>
        <v>2.8</v>
      </c>
      <c r="Q5" s="27" t="n">
        <f aca="false">IF(C5="","",J5-N(M5)-O5-P5)</f>
        <v>21.7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46294</v>
      </c>
      <c r="C6" s="6" t="s">
        <v>63</v>
      </c>
      <c r="D6" s="6"/>
      <c r="E6" s="29" t="n">
        <v>0.5</v>
      </c>
      <c r="F6" s="6" t="s">
        <v>90</v>
      </c>
      <c r="G6" s="25"/>
      <c r="H6" s="30" t="n">
        <f aca="false">IF(C6="","",IF(G6&lt;&gt;"",G6,IFERROR(INDEX(Clients!$G$5:$G$304,MATCH(C6,Clients!$A$5:$A$304,0)),0)))</f>
        <v>28</v>
      </c>
      <c r="I6" s="25" t="n">
        <v>0</v>
      </c>
      <c r="J6" s="30" t="n">
        <f aca="false">IF(C6="","",H6+N(I6))</f>
        <v>28</v>
      </c>
      <c r="K6" s="6" t="s">
        <v>88</v>
      </c>
      <c r="L6" s="6" t="s">
        <v>91</v>
      </c>
      <c r="M6" s="25" t="n">
        <v>0</v>
      </c>
      <c r="N6" s="10" t="n">
        <v>6</v>
      </c>
      <c r="O6" s="30" t="n">
        <f aca="false">IF(C6="","",N(E6)*Settings!$B$8)</f>
        <v>9</v>
      </c>
      <c r="P6" s="30" t="n">
        <f aca="false">IF(C6="","",N(N6)*Settings!$B$10)</f>
        <v>4.2</v>
      </c>
      <c r="Q6" s="30" t="n">
        <f aca="false">IF(C6="","",J6-N(M6)-O6-P6)</f>
        <v>14.8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46308</v>
      </c>
      <c r="C7" s="6" t="s">
        <v>63</v>
      </c>
      <c r="D7" s="6"/>
      <c r="E7" s="29" t="n">
        <v>0.5</v>
      </c>
      <c r="F7" s="6" t="s">
        <v>90</v>
      </c>
      <c r="G7" s="25"/>
      <c r="H7" s="27" t="n">
        <f aca="false">IF(C7="","",IF(G7&lt;&gt;"",G7,IFERROR(INDEX(Clients!$G$5:$G$304,MATCH(C7,Clients!$A$5:$A$304,0)),0)))</f>
        <v>28</v>
      </c>
      <c r="I7" s="25" t="n">
        <v>8</v>
      </c>
      <c r="J7" s="27" t="n">
        <f aca="false">IF(C7="","",H7+N(I7))</f>
        <v>36</v>
      </c>
      <c r="K7" s="6" t="s">
        <v>92</v>
      </c>
      <c r="L7" s="6"/>
      <c r="M7" s="25" t="n">
        <v>0</v>
      </c>
      <c r="N7" s="10" t="n">
        <v>6</v>
      </c>
      <c r="O7" s="27" t="n">
        <f aca="false">IF(C7="","",N(E7)*Settings!$B$8)</f>
        <v>9</v>
      </c>
      <c r="P7" s="27" t="n">
        <f aca="false">IF(C7="","",N(N7)*Settings!$B$10)</f>
        <v>4.2</v>
      </c>
      <c r="Q7" s="27" t="n">
        <f aca="false">IF(C7="","",J7-N(M7)-O7-P7)</f>
        <v>22.8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7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93</v>
      </c>
    </row>
    <row r="4" customFormat="false" ht="31.5" hidden="false" customHeight="true" outlineLevel="0" collapsed="false">
      <c r="A4" s="13" t="s">
        <v>72</v>
      </c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</row>
    <row r="5" customFormat="false" ht="15" hidden="false" customHeight="false" outlineLevel="0" collapsed="false">
      <c r="A5" s="26" t="n">
        <v>46298</v>
      </c>
      <c r="B5" s="6" t="s">
        <v>100</v>
      </c>
      <c r="C5" s="6" t="s">
        <v>101</v>
      </c>
      <c r="D5" s="6" t="s">
        <v>102</v>
      </c>
      <c r="E5" s="25" t="n">
        <v>34.2</v>
      </c>
      <c r="F5" s="6" t="s">
        <v>91</v>
      </c>
      <c r="G5" s="6" t="s">
        <v>88</v>
      </c>
    </row>
    <row r="6" customFormat="false" ht="15" hidden="false" customHeight="false" outlineLevel="0" collapsed="false">
      <c r="A6" s="26" t="n">
        <v>46300</v>
      </c>
      <c r="B6" s="6" t="s">
        <v>103</v>
      </c>
      <c r="C6" s="6" t="s">
        <v>104</v>
      </c>
      <c r="D6" s="6" t="s">
        <v>105</v>
      </c>
      <c r="E6" s="25" t="n">
        <v>24</v>
      </c>
      <c r="F6" s="6" t="s">
        <v>91</v>
      </c>
      <c r="G6" s="6" t="s">
        <v>88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D3" s="31" t="s">
        <v>108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Holiday / short-notice fee</v>
      </c>
      <c r="E4" s="6" t="s">
        <v>92</v>
      </c>
    </row>
    <row r="5" customFormat="false" ht="15" hidden="false" customHeight="false" outlineLevel="0" collapsed="false">
      <c r="A5" s="7" t="s">
        <v>109</v>
      </c>
      <c r="B5" s="32" t="n">
        <v>8</v>
      </c>
      <c r="D5" s="8" t="str">
        <f aca="false">IF(Settings!D25="","",Settings!D25)</f>
        <v>Extra 15 minutes</v>
      </c>
      <c r="E5" s="6" t="s">
        <v>88</v>
      </c>
    </row>
    <row r="6" customFormat="false" ht="15" hidden="false" customHeight="false" outlineLevel="0" collapsed="false">
      <c r="A6" s="7" t="s">
        <v>110</v>
      </c>
      <c r="B6" s="32" t="n">
        <v>2</v>
      </c>
      <c r="D6" s="8" t="str">
        <f aca="false">IF(Settings!D26="","",Settings!D26)</f>
        <v>Litter box / cage clean</v>
      </c>
      <c r="E6" s="6" t="s">
        <v>92</v>
      </c>
    </row>
    <row r="7" customFormat="false" ht="15" hidden="false" customHeight="false" outlineLevel="0" collapsed="false">
      <c r="A7" s="7" t="s">
        <v>111</v>
      </c>
      <c r="B7" s="32" t="n">
        <v>1</v>
      </c>
      <c r="D7" s="8" t="str">
        <f aca="false">IF(Settings!D27="","",Settings!D27)</f>
        <v>Plants, mail &amp; trash</v>
      </c>
      <c r="E7" s="6" t="s">
        <v>92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Bath &amp; brush</v>
      </c>
      <c r="E8" s="6" t="s">
        <v>92</v>
      </c>
    </row>
    <row r="9" customFormat="false" ht="15" hidden="false" customHeight="false" outlineLevel="0" collapsed="false">
      <c r="D9" s="8" t="str">
        <f aca="false">IF(Settings!D29="","",Settings!D29)</f>
        <v>Training reinforcement</v>
      </c>
      <c r="E9" s="6" t="s">
        <v>92</v>
      </c>
    </row>
    <row r="11" customFormat="false" ht="15" hidden="false" customHeight="false" outlineLevel="0" collapsed="false">
      <c r="A11" s="31" t="s">
        <v>112</v>
      </c>
    </row>
    <row r="12" customFormat="false" ht="15" hidden="false" customHeight="false" outlineLevel="0" collapsed="false">
      <c r="A12" s="7" t="s">
        <v>113</v>
      </c>
      <c r="B12" s="27" t="n">
        <f aca="false">IFERROR(INDEX(Settings!$E$5:$E$12,MATCH(B4,Settings!$D$5:$D$12,0)),0)</f>
        <v>25</v>
      </c>
    </row>
    <row r="13" customFormat="false" ht="15" hidden="false" customHeight="false" outlineLevel="0" collapsed="false">
      <c r="A13" s="7" t="s">
        <v>114</v>
      </c>
      <c r="B13" s="27" t="n">
        <f aca="false">MAX(0,B6-1)*Settings!$E$15</f>
        <v>8</v>
      </c>
    </row>
    <row r="14" customFormat="false" ht="15" hidden="false" customHeight="false" outlineLevel="0" collapsed="false">
      <c r="A14" s="7" t="s">
        <v>115</v>
      </c>
      <c r="B14" s="27" t="n">
        <f aca="false">MAX(0,B7)*Settings!$E$16</f>
        <v>5</v>
      </c>
    </row>
    <row r="15" customFormat="false" ht="15" hidden="false" customHeight="false" outlineLevel="0" collapsed="false">
      <c r="A15" s="7" t="s">
        <v>116</v>
      </c>
      <c r="B15" s="27" t="n">
        <f aca="false">MAX(0,ROUNDUP((B5-5)/5,0))*Settings!$E$17</f>
        <v>3</v>
      </c>
    </row>
    <row r="16" customFormat="false" ht="15" hidden="false" customHeight="false" outlineLevel="0" collapsed="false">
      <c r="A16" s="7" t="s">
        <v>117</v>
      </c>
      <c r="B16" s="27" t="n">
        <f aca="false">SUMIFS(Settings!$E$24:$E$29,Settings!$D$24:$D$29,"&lt;&gt;",E4:E9,"Yes")</f>
        <v>10</v>
      </c>
    </row>
    <row r="17" customFormat="false" ht="15" hidden="false" customHeight="false" outlineLevel="0" collapsed="false">
      <c r="A17" s="7" t="s">
        <v>118</v>
      </c>
      <c r="B17" s="27" t="n">
        <f aca="false">SUM(B12:B16)</f>
        <v>51</v>
      </c>
    </row>
    <row r="18" customFormat="false" ht="15" hidden="false" customHeight="false" outlineLevel="0" collapsed="false">
      <c r="A18" s="7" t="s">
        <v>119</v>
      </c>
      <c r="B18" s="27" t="n">
        <f aca="false">-B17*IFERROR(INDEX(Settings!$F$33:$F$37,MATCH(B8,Settings!$D$33:$D$37,0)),0)</f>
        <v>-2.55</v>
      </c>
    </row>
    <row r="19" customFormat="false" ht="16.15" hidden="false" customHeight="false" outlineLevel="0" collapsed="false">
      <c r="A19" s="33" t="s">
        <v>120</v>
      </c>
      <c r="B19" s="34" t="n">
        <f aca="false">ROUND(B17+B18,0)</f>
        <v>48</v>
      </c>
    </row>
    <row r="21" customFormat="false" ht="15" hidden="false" customHeight="false" outlineLevel="0" collapsed="false">
      <c r="A21" s="7" t="s">
        <v>121</v>
      </c>
      <c r="B21" s="35" t="n">
        <f aca="false">IFERROR(INDEX(Settings!$F$5:$F$12,MATCH(B4,Settings!$D$5:$D$12,0)),0)+MAX(0,B6-1)*Settings!$E$18+MAX(0,B7)*Settings!$E$19+MAX(0,ROUNDUP((B5-5)/5,0))*Settings!$E$20+SUMIFS(Settings!$F$24:$F$29,Settings!$D$24:$D$29,"&lt;&gt;",E4:E9,"Yes")</f>
        <v>1.1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19.8</v>
      </c>
    </row>
    <row r="23" customFormat="false" ht="15" hidden="false" customHeight="false" outlineLevel="0" collapsed="false">
      <c r="A23" s="7" t="s">
        <v>122</v>
      </c>
      <c r="B23" s="27" t="n">
        <f aca="false">B19-B22</f>
        <v>28.2</v>
      </c>
    </row>
    <row r="24" customFormat="false" ht="15" hidden="false" customHeight="false" outlineLevel="0" collapsed="false">
      <c r="A24" s="7" t="s">
        <v>123</v>
      </c>
      <c r="B24" s="27" t="n">
        <f aca="false">IF(B21=0,0,B19/B21)</f>
        <v>43.6363636363636</v>
      </c>
    </row>
    <row r="26" customFormat="false" ht="15" hidden="false" customHeight="false" outlineLevel="0" collapsed="false">
      <c r="A26" s="2" t="s">
        <v>124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125</v>
      </c>
      <c r="D1" s="36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4" t="s">
        <v>128</v>
      </c>
      <c r="B4" s="6" t="s">
        <v>129</v>
      </c>
    </row>
    <row r="6" customFormat="false" ht="16.15" hidden="false" customHeight="false" outlineLevel="0" collapsed="false">
      <c r="A6" s="37" t="str">
        <f aca="false">Settings!B4</f>
        <v>Happy Tails Pet Care</v>
      </c>
      <c r="B6" s="7"/>
      <c r="C6" s="7"/>
      <c r="D6" s="7" t="s">
        <v>130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131</v>
      </c>
      <c r="E7" s="38" t="n">
        <f aca="false">IFERROR(INDEX(Jobs!$B$5:$B$1004,MATCH($B$4,Jobs!$A$5:$A$1004,0)),"")</f>
        <v>46308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132</v>
      </c>
      <c r="E8" s="38" t="n">
        <f aca="false">IF(E7="","",E7+Settings!$B$11)</f>
        <v>46322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133</v>
      </c>
      <c r="B11" s="7"/>
      <c r="C11" s="7"/>
      <c r="D11" s="7"/>
      <c r="E11" s="7"/>
    </row>
    <row r="12" customFormat="false" ht="15" hidden="false" customHeight="false" outlineLevel="0" collapsed="false">
      <c r="A12" s="7" t="str">
        <f aca="false">IFERROR(INDEX(Jobs!$C$5:$C$1004,MATCH($B$4,Jobs!$A$5:$A$1004,0))&amp;"","")</f>
        <v>EXAMPLE – Patel Family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IFERROR(INDEX(Clients!$D$5:$D$304,MATCH(A12,Clients!$A$5:$A$304,0))&amp;"","")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IFERROR(INDEX(Clients!$C$5:$C$304,MATCH(A12,Clients!$A$5:$A$304,0))&amp;"","")</f>
        <v>patel@example.com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96</v>
      </c>
      <c r="B16" s="39"/>
      <c r="C16" s="39"/>
      <c r="D16" s="39"/>
      <c r="E16" s="39" t="s">
        <v>97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Pet care service")))</f>
        <v>Drop-in Visit (30 min)</v>
      </c>
      <c r="B17" s="7"/>
      <c r="C17" s="7"/>
      <c r="D17" s="7"/>
      <c r="E17" s="40" t="n">
        <f aca="false">IFERROR(INDEX(Jobs!$H$5:$H$1004,MATCH($B$4,Jobs!$A$5:$A$1004,0)),"")</f>
        <v>28</v>
      </c>
    </row>
    <row r="18" customFormat="false" ht="15" hidden="false" customHeight="false" outlineLevel="0" collapsed="false">
      <c r="A18" s="7" t="s">
        <v>134</v>
      </c>
      <c r="B18" s="7"/>
      <c r="C18" s="7"/>
      <c r="D18" s="7"/>
      <c r="E18" s="40" t="n">
        <f aca="false">IFERROR(INDEX(Jobs!$I$5:$I$1004,MATCH($B$4,Jobs!$A$5:$A$1004,0)),"")</f>
        <v>8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135</v>
      </c>
      <c r="E20" s="42" t="n">
        <f aca="false">IF(A12="","",N(E17)+N(E18))</f>
        <v>36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136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3" customFormat="false" ht="15" hidden="false" customHeight="false" outlineLevel="0" collapsed="false">
      <c r="D3" s="31" t="s">
        <v>139</v>
      </c>
      <c r="H3" s="31" t="s">
        <v>140</v>
      </c>
    </row>
    <row r="4" customFormat="false" ht="15" hidden="false" customHeight="false" outlineLevel="0" collapsed="false">
      <c r="A4" s="7" t="s">
        <v>141</v>
      </c>
      <c r="B4" s="6" t="s">
        <v>142</v>
      </c>
      <c r="D4" s="44" t="s">
        <v>46</v>
      </c>
      <c r="E4" s="44" t="s">
        <v>113</v>
      </c>
      <c r="F4" s="44" t="s">
        <v>143</v>
      </c>
      <c r="H4" s="6" t="s">
        <v>100</v>
      </c>
    </row>
    <row r="5" customFormat="false" ht="15" hidden="false" customHeight="false" outlineLevel="0" collapsed="false">
      <c r="A5" s="7" t="s">
        <v>144</v>
      </c>
      <c r="B5" s="6" t="s">
        <v>145</v>
      </c>
      <c r="D5" s="6" t="s">
        <v>60</v>
      </c>
      <c r="E5" s="25" t="n">
        <v>25</v>
      </c>
      <c r="F5" s="29" t="n">
        <v>0.5</v>
      </c>
      <c r="H5" s="6" t="s">
        <v>146</v>
      </c>
    </row>
    <row r="6" customFormat="false" ht="15" hidden="false" customHeight="false" outlineLevel="0" collapsed="false">
      <c r="A6" s="7" t="s">
        <v>43</v>
      </c>
      <c r="B6" s="6" t="s">
        <v>147</v>
      </c>
      <c r="D6" s="6" t="s">
        <v>148</v>
      </c>
      <c r="E6" s="25" t="n">
        <v>40</v>
      </c>
      <c r="F6" s="29" t="n">
        <v>1</v>
      </c>
      <c r="H6" s="6" t="s">
        <v>149</v>
      </c>
    </row>
    <row r="7" customFormat="false" ht="15" hidden="false" customHeight="false" outlineLevel="0" collapsed="false">
      <c r="A7" s="7" t="s">
        <v>44</v>
      </c>
      <c r="B7" s="6" t="s">
        <v>150</v>
      </c>
      <c r="D7" s="6" t="s">
        <v>67</v>
      </c>
      <c r="E7" s="25" t="n">
        <v>28</v>
      </c>
      <c r="F7" s="29" t="n">
        <v>0.5</v>
      </c>
      <c r="H7" s="6" t="s">
        <v>103</v>
      </c>
    </row>
    <row r="8" customFormat="false" ht="15" hidden="false" customHeight="false" outlineLevel="0" collapsed="false">
      <c r="A8" s="7" t="s">
        <v>151</v>
      </c>
      <c r="B8" s="25" t="n">
        <v>18</v>
      </c>
      <c r="D8" s="6" t="s">
        <v>152</v>
      </c>
      <c r="E8" s="25" t="n">
        <v>90</v>
      </c>
      <c r="F8" s="29" t="n">
        <v>4</v>
      </c>
      <c r="H8" s="6" t="s">
        <v>153</v>
      </c>
    </row>
    <row r="9" customFormat="false" ht="15" hidden="false" customHeight="false" outlineLevel="0" collapsed="false">
      <c r="A9" s="7" t="s">
        <v>154</v>
      </c>
      <c r="B9" s="45" t="n">
        <v>0.25</v>
      </c>
      <c r="D9" s="6" t="s">
        <v>155</v>
      </c>
      <c r="E9" s="25" t="n">
        <v>30</v>
      </c>
      <c r="F9" s="29" t="n">
        <v>0.5</v>
      </c>
      <c r="H9" s="6" t="s">
        <v>156</v>
      </c>
    </row>
    <row r="10" customFormat="false" ht="15" hidden="false" customHeight="false" outlineLevel="0" collapsed="false">
      <c r="A10" s="7" t="s">
        <v>157</v>
      </c>
      <c r="B10" s="25" t="n">
        <v>0.7</v>
      </c>
      <c r="D10" s="6" t="s">
        <v>158</v>
      </c>
      <c r="E10" s="25" t="n">
        <v>35</v>
      </c>
      <c r="F10" s="29" t="n">
        <v>0.75</v>
      </c>
      <c r="H10" s="6" t="s">
        <v>159</v>
      </c>
    </row>
    <row r="11" customFormat="false" ht="15" hidden="false" customHeight="false" outlineLevel="0" collapsed="false">
      <c r="A11" s="7" t="s">
        <v>160</v>
      </c>
      <c r="B11" s="10" t="n">
        <v>14</v>
      </c>
      <c r="D11" s="6"/>
      <c r="E11" s="25"/>
      <c r="F11" s="29"/>
      <c r="H11" s="6" t="s">
        <v>161</v>
      </c>
    </row>
    <row r="12" customFormat="false" ht="15" hidden="false" customHeight="false" outlineLevel="0" collapsed="false">
      <c r="D12" s="6"/>
      <c r="E12" s="25"/>
      <c r="F12" s="29"/>
      <c r="H12" s="6" t="s">
        <v>162</v>
      </c>
    </row>
    <row r="13" customFormat="false" ht="15" hidden="false" customHeight="false" outlineLevel="0" collapsed="false">
      <c r="H13" s="6" t="s">
        <v>163</v>
      </c>
    </row>
    <row r="14" customFormat="false" ht="15" hidden="false" customHeight="false" outlineLevel="0" collapsed="false">
      <c r="D14" s="31" t="s">
        <v>164</v>
      </c>
      <c r="H14" s="6"/>
    </row>
    <row r="15" customFormat="false" ht="15" hidden="false" customHeight="false" outlineLevel="0" collapsed="false">
      <c r="D15" s="7" t="s">
        <v>165</v>
      </c>
      <c r="E15" s="25" t="n">
        <v>8</v>
      </c>
    </row>
    <row r="16" customFormat="false" ht="15" hidden="false" customHeight="false" outlineLevel="0" collapsed="false">
      <c r="D16" s="7" t="s">
        <v>166</v>
      </c>
      <c r="E16" s="25" t="n">
        <v>5</v>
      </c>
    </row>
    <row r="17" customFormat="false" ht="15" hidden="false" customHeight="false" outlineLevel="0" collapsed="false">
      <c r="D17" s="7" t="s">
        <v>167</v>
      </c>
      <c r="E17" s="25" t="n">
        <v>3</v>
      </c>
      <c r="H17" s="31" t="s">
        <v>168</v>
      </c>
    </row>
    <row r="18" customFormat="false" ht="15" hidden="false" customHeight="false" outlineLevel="0" collapsed="false">
      <c r="D18" s="7" t="s">
        <v>169</v>
      </c>
      <c r="E18" s="46" t="n">
        <v>0.1</v>
      </c>
      <c r="H18" s="6" t="s">
        <v>170</v>
      </c>
    </row>
    <row r="19" customFormat="false" ht="15" hidden="false" customHeight="false" outlineLevel="0" collapsed="false">
      <c r="D19" s="7" t="s">
        <v>171</v>
      </c>
      <c r="E19" s="46" t="n">
        <v>0.1</v>
      </c>
      <c r="H19" s="6" t="s">
        <v>91</v>
      </c>
    </row>
    <row r="20" customFormat="false" ht="15" hidden="false" customHeight="false" outlineLevel="0" collapsed="false">
      <c r="D20" s="7" t="s">
        <v>172</v>
      </c>
      <c r="E20" s="46" t="n">
        <v>0.15</v>
      </c>
      <c r="H20" s="6" t="s">
        <v>173</v>
      </c>
    </row>
    <row r="21" customFormat="false" ht="15" hidden="false" customHeight="false" outlineLevel="0" collapsed="false">
      <c r="H21" s="6" t="s">
        <v>89</v>
      </c>
    </row>
    <row r="22" customFormat="false" ht="15" hidden="false" customHeight="false" outlineLevel="0" collapsed="false">
      <c r="D22" s="31" t="s">
        <v>174</v>
      </c>
      <c r="H22" s="6" t="s">
        <v>175</v>
      </c>
    </row>
    <row r="23" customFormat="false" ht="15" hidden="false" customHeight="false" outlineLevel="0" collapsed="false">
      <c r="D23" s="44" t="s">
        <v>176</v>
      </c>
      <c r="E23" s="44" t="s">
        <v>77</v>
      </c>
      <c r="F23" s="44" t="s">
        <v>74</v>
      </c>
      <c r="H23" s="6" t="s">
        <v>177</v>
      </c>
    </row>
    <row r="24" customFormat="false" ht="15" hidden="false" customHeight="false" outlineLevel="0" collapsed="false">
      <c r="D24" s="6" t="s">
        <v>178</v>
      </c>
      <c r="E24" s="25" t="n">
        <v>15</v>
      </c>
      <c r="F24" s="46" t="n">
        <v>0</v>
      </c>
      <c r="H24" s="6"/>
    </row>
    <row r="25" customFormat="false" ht="15" hidden="false" customHeight="false" outlineLevel="0" collapsed="false">
      <c r="D25" s="6" t="s">
        <v>179</v>
      </c>
      <c r="E25" s="25" t="n">
        <v>10</v>
      </c>
      <c r="F25" s="46" t="n">
        <v>0.25</v>
      </c>
    </row>
    <row r="26" customFormat="false" ht="15" hidden="false" customHeight="false" outlineLevel="0" collapsed="false">
      <c r="D26" s="6" t="s">
        <v>180</v>
      </c>
      <c r="E26" s="25" t="n">
        <v>8</v>
      </c>
      <c r="F26" s="46" t="n">
        <v>0.15</v>
      </c>
    </row>
    <row r="27" customFormat="false" ht="15" hidden="false" customHeight="false" outlineLevel="0" collapsed="false">
      <c r="D27" s="6" t="s">
        <v>181</v>
      </c>
      <c r="E27" s="25" t="n">
        <v>5</v>
      </c>
      <c r="F27" s="46" t="n">
        <v>0.1</v>
      </c>
      <c r="H27" s="31" t="s">
        <v>182</v>
      </c>
    </row>
    <row r="28" customFormat="false" ht="15" hidden="false" customHeight="false" outlineLevel="0" collapsed="false">
      <c r="D28" s="6" t="s">
        <v>183</v>
      </c>
      <c r="E28" s="25" t="n">
        <v>30</v>
      </c>
      <c r="F28" s="46" t="n">
        <v>0.75</v>
      </c>
      <c r="H28" s="6" t="s">
        <v>87</v>
      </c>
    </row>
    <row r="29" customFormat="false" ht="15" hidden="false" customHeight="false" outlineLevel="0" collapsed="false">
      <c r="D29" s="6" t="s">
        <v>184</v>
      </c>
      <c r="E29" s="25" t="n">
        <v>12</v>
      </c>
      <c r="F29" s="46" t="n">
        <v>0.25</v>
      </c>
      <c r="H29" s="6" t="s">
        <v>90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185</v>
      </c>
      <c r="H31" s="6"/>
    </row>
    <row r="32" customFormat="false" ht="15" hidden="false" customHeight="false" outlineLevel="0" collapsed="false">
      <c r="D32" s="44" t="s">
        <v>47</v>
      </c>
      <c r="E32" s="44" t="s">
        <v>186</v>
      </c>
      <c r="F32" s="44" t="s">
        <v>187</v>
      </c>
      <c r="H32" s="6"/>
    </row>
    <row r="33" customFormat="false" ht="15" hidden="false" customHeight="false" outlineLevel="0" collapsed="false">
      <c r="D33" s="6" t="s">
        <v>188</v>
      </c>
      <c r="E33" s="10" t="n">
        <v>1</v>
      </c>
      <c r="F33" s="45" t="n">
        <v>0.1</v>
      </c>
      <c r="H33" s="6"/>
    </row>
    <row r="34" customFormat="false" ht="15" hidden="false" customHeight="false" outlineLevel="0" collapsed="false">
      <c r="D34" s="6" t="s">
        <v>61</v>
      </c>
      <c r="E34" s="10" t="n">
        <v>7</v>
      </c>
      <c r="F34" s="45" t="n">
        <v>0.05</v>
      </c>
    </row>
    <row r="35" customFormat="false" ht="15" hidden="false" customHeight="false" outlineLevel="0" collapsed="false">
      <c r="D35" s="6" t="s">
        <v>68</v>
      </c>
      <c r="E35" s="10" t="n">
        <v>14</v>
      </c>
      <c r="F35" s="45" t="n">
        <v>0</v>
      </c>
    </row>
    <row r="36" customFormat="false" ht="15" hidden="false" customHeight="false" outlineLevel="0" collapsed="false">
      <c r="D36" s="6" t="s">
        <v>189</v>
      </c>
      <c r="E36" s="10" t="n">
        <v>30</v>
      </c>
      <c r="F36" s="45" t="n">
        <v>0</v>
      </c>
    </row>
    <row r="37" customFormat="false" ht="15" hidden="false" customHeight="false" outlineLevel="0" collapsed="false">
      <c r="D37" s="6" t="s">
        <v>190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2026-10-19T16:53:36Z</dcterms:created>
  <dc:creator>openpyxl</dc:creator>
  <dc:description/>
  <dc:language>en-US</dc:language>
  <cp:lastModifiedBy/>
  <dcterms:modified xsi:type="dcterms:W3CDTF">2026-10-19T16:53:39Z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